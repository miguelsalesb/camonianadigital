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nportugalgovpt-my.sharepoint.com/personal/mbaptista_bnportugal_gov_pt/Documents/Documentos/python/camoniana/catalogo/"/>
    </mc:Choice>
  </mc:AlternateContent>
  <xr:revisionPtr revIDLastSave="849" documentId="8_{2468B745-977F-4AB2-9B8F-A7F384893DB7}" xr6:coauthVersionLast="47" xr6:coauthVersionMax="47" xr10:uidLastSave="{19CF86E1-2C98-439F-AC91-1AB46D1C7B88}"/>
  <bookViews>
    <workbookView xWindow="-120" yWindow="-120" windowWidth="29040" windowHeight="15720" xr2:uid="{6568FB2A-1F74-405B-A159-687BBC65B0BE}"/>
  </bookViews>
  <sheets>
    <sheet name="Folha1" sheetId="1" r:id="rId1"/>
    <sheet name="Folha4" sheetId="4" r:id="rId2"/>
    <sheet name="Folha2" sheetId="2" r:id="rId3"/>
    <sheet name="Folha3" sheetId="3" r:id="rId4"/>
  </sheets>
  <definedNames>
    <definedName name="_xlnm._FilterDatabase" localSheetId="0" hidden="1">Folha1!$A$1:$W$1116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L2" i="4"/>
  <c r="M2" i="4"/>
  <c r="O2" i="4"/>
  <c r="P2" i="4"/>
  <c r="J3" i="4"/>
  <c r="L3" i="4"/>
  <c r="M3" i="4"/>
  <c r="O3" i="4"/>
  <c r="P3" i="4"/>
  <c r="J4" i="4"/>
  <c r="L4" i="4"/>
  <c r="M4" i="4"/>
  <c r="O4" i="4"/>
  <c r="P4" i="4" s="1"/>
  <c r="J5" i="4"/>
  <c r="M5" i="4" s="1"/>
  <c r="L5" i="4"/>
  <c r="O5" i="4"/>
  <c r="P5" i="4"/>
  <c r="J6" i="4"/>
  <c r="L6" i="4"/>
  <c r="M6" i="4"/>
  <c r="O6" i="4"/>
  <c r="P6" i="4"/>
  <c r="J7" i="4"/>
  <c r="L7" i="4"/>
  <c r="M7" i="4"/>
  <c r="O7" i="4"/>
  <c r="P7" i="4"/>
  <c r="J8" i="4"/>
  <c r="L8" i="4"/>
  <c r="M8" i="4"/>
  <c r="O8" i="4"/>
  <c r="P8" i="4" s="1"/>
  <c r="J9" i="4"/>
  <c r="M9" i="4" s="1"/>
  <c r="L9" i="4"/>
  <c r="O9" i="4"/>
  <c r="P9" i="4"/>
  <c r="J10" i="4"/>
  <c r="L10" i="4"/>
  <c r="M10" i="4"/>
  <c r="O10" i="4"/>
  <c r="P10" i="4"/>
  <c r="J11" i="4"/>
  <c r="L11" i="4"/>
  <c r="M11" i="4"/>
  <c r="O11" i="4"/>
  <c r="P11" i="4"/>
  <c r="J12" i="4"/>
  <c r="L12" i="4"/>
  <c r="M12" i="4"/>
  <c r="O12" i="4"/>
  <c r="P12" i="4" s="1"/>
  <c r="J13" i="4"/>
  <c r="M13" i="4" s="1"/>
  <c r="L13" i="4"/>
  <c r="O13" i="4"/>
  <c r="P13" i="4"/>
  <c r="J14" i="4"/>
  <c r="L14" i="4"/>
  <c r="M14" i="4"/>
  <c r="O14" i="4"/>
  <c r="P14" i="4"/>
  <c r="J15" i="4"/>
  <c r="L15" i="4"/>
  <c r="M15" i="4"/>
  <c r="O15" i="4"/>
  <c r="P15" i="4"/>
  <c r="J16" i="4"/>
  <c r="L16" i="4"/>
  <c r="M16" i="4"/>
  <c r="O16" i="4"/>
  <c r="P16" i="4" s="1"/>
  <c r="J17" i="4"/>
  <c r="M17" i="4" s="1"/>
  <c r="L17" i="4"/>
  <c r="O17" i="4"/>
  <c r="P17" i="4"/>
  <c r="J18" i="4"/>
  <c r="L18" i="4"/>
  <c r="M18" i="4"/>
  <c r="O18" i="4"/>
  <c r="P18" i="4"/>
  <c r="J19" i="4"/>
  <c r="L19" i="4"/>
  <c r="M19" i="4"/>
  <c r="O19" i="4"/>
  <c r="P19" i="4"/>
  <c r="J20" i="4"/>
  <c r="L20" i="4"/>
  <c r="M20" i="4"/>
  <c r="O20" i="4"/>
  <c r="P20" i="4" s="1"/>
  <c r="J21" i="4"/>
  <c r="M21" i="4" s="1"/>
  <c r="L21" i="4"/>
  <c r="O21" i="4"/>
  <c r="P21" i="4"/>
  <c r="J22" i="4"/>
  <c r="L22" i="4"/>
  <c r="M22" i="4"/>
  <c r="O22" i="4"/>
  <c r="P22" i="4"/>
  <c r="J23" i="4"/>
  <c r="L23" i="4"/>
  <c r="M23" i="4"/>
  <c r="O23" i="4"/>
  <c r="P23" i="4"/>
  <c r="J24" i="4"/>
  <c r="L24" i="4"/>
  <c r="M24" i="4"/>
  <c r="O24" i="4"/>
  <c r="P24" i="4" s="1"/>
  <c r="J25" i="4"/>
  <c r="M25" i="4" s="1"/>
  <c r="L25" i="4"/>
  <c r="O25" i="4"/>
  <c r="P25" i="4"/>
  <c r="J26" i="4"/>
  <c r="L26" i="4"/>
  <c r="M26" i="4"/>
  <c r="O26" i="4"/>
  <c r="P26" i="4"/>
  <c r="J27" i="4"/>
  <c r="L27" i="4"/>
  <c r="M27" i="4"/>
  <c r="O27" i="4"/>
  <c r="P27" i="4"/>
  <c r="J28" i="4"/>
  <c r="L28" i="4"/>
  <c r="M28" i="4"/>
  <c r="O28" i="4"/>
  <c r="P28" i="4" s="1"/>
  <c r="J29" i="4"/>
  <c r="M29" i="4" s="1"/>
  <c r="L29" i="4"/>
  <c r="O29" i="4"/>
  <c r="P29" i="4"/>
  <c r="J30" i="4"/>
  <c r="L30" i="4"/>
  <c r="M30" i="4"/>
  <c r="O30" i="4"/>
  <c r="P30" i="4"/>
  <c r="J31" i="4"/>
  <c r="L31" i="4"/>
  <c r="M31" i="4"/>
  <c r="O31" i="4"/>
  <c r="P31" i="4"/>
  <c r="J32" i="4"/>
  <c r="L32" i="4"/>
  <c r="M32" i="4"/>
  <c r="O32" i="4"/>
  <c r="P32" i="4" s="1"/>
  <c r="J33" i="4"/>
  <c r="M33" i="4" s="1"/>
  <c r="L33" i="4"/>
  <c r="O33" i="4"/>
  <c r="P33" i="4"/>
  <c r="J34" i="4"/>
  <c r="L34" i="4"/>
  <c r="M34" i="4"/>
  <c r="O34" i="4"/>
  <c r="P34" i="4"/>
  <c r="J35" i="4"/>
  <c r="L35" i="4"/>
  <c r="M35" i="4"/>
  <c r="O35" i="4"/>
  <c r="P35" i="4"/>
  <c r="J36" i="4"/>
  <c r="L36" i="4"/>
  <c r="M36" i="4"/>
  <c r="O36" i="4"/>
  <c r="P36" i="4" s="1"/>
  <c r="J37" i="4"/>
  <c r="M37" i="4" s="1"/>
  <c r="L37" i="4"/>
  <c r="O37" i="4"/>
  <c r="P37" i="4"/>
  <c r="J38" i="4"/>
  <c r="L38" i="4"/>
  <c r="M38" i="4"/>
  <c r="O38" i="4"/>
  <c r="P38" i="4"/>
  <c r="J39" i="4"/>
  <c r="L39" i="4"/>
  <c r="M39" i="4"/>
  <c r="O39" i="4"/>
  <c r="P39" i="4"/>
  <c r="J40" i="4"/>
  <c r="L40" i="4"/>
  <c r="M40" i="4"/>
  <c r="O40" i="4"/>
  <c r="P40" i="4" s="1"/>
  <c r="J41" i="4"/>
  <c r="M41" i="4" s="1"/>
  <c r="L41" i="4"/>
  <c r="O41" i="4"/>
  <c r="P41" i="4"/>
  <c r="J42" i="4"/>
  <c r="L42" i="4"/>
  <c r="M42" i="4"/>
  <c r="O42" i="4"/>
  <c r="P42" i="4"/>
  <c r="J43" i="4"/>
  <c r="L43" i="4"/>
  <c r="M43" i="4"/>
  <c r="O43" i="4"/>
  <c r="P43" i="4"/>
  <c r="J44" i="4"/>
  <c r="L44" i="4"/>
  <c r="M44" i="4"/>
  <c r="O44" i="4"/>
  <c r="P44" i="4" s="1"/>
  <c r="J45" i="4"/>
  <c r="M45" i="4" s="1"/>
  <c r="L45" i="4"/>
  <c r="O45" i="4"/>
  <c r="P45" i="4"/>
  <c r="J46" i="4"/>
  <c r="L46" i="4"/>
  <c r="M46" i="4"/>
  <c r="O46" i="4"/>
  <c r="P46" i="4"/>
  <c r="J47" i="4"/>
  <c r="L47" i="4"/>
  <c r="M47" i="4"/>
  <c r="O47" i="4"/>
  <c r="P47" i="4"/>
  <c r="J48" i="4"/>
  <c r="L48" i="4"/>
  <c r="M48" i="4"/>
  <c r="O48" i="4"/>
  <c r="P48" i="4" s="1"/>
  <c r="J49" i="4"/>
  <c r="M49" i="4" s="1"/>
  <c r="L49" i="4"/>
  <c r="O49" i="4"/>
  <c r="P49" i="4"/>
  <c r="J50" i="4"/>
  <c r="L50" i="4"/>
  <c r="M50" i="4"/>
  <c r="O50" i="4"/>
  <c r="P50" i="4"/>
  <c r="J51" i="4"/>
  <c r="L51" i="4"/>
  <c r="M51" i="4"/>
  <c r="O51" i="4"/>
  <c r="P51" i="4"/>
  <c r="J52" i="4"/>
  <c r="L52" i="4"/>
  <c r="M52" i="4"/>
  <c r="O52" i="4"/>
  <c r="P52" i="4" s="1"/>
  <c r="J53" i="4"/>
  <c r="M53" i="4" s="1"/>
  <c r="L53" i="4"/>
  <c r="O53" i="4"/>
  <c r="P53" i="4"/>
  <c r="J54" i="4"/>
  <c r="L54" i="4"/>
  <c r="M54" i="4"/>
  <c r="O54" i="4"/>
  <c r="P54" i="4"/>
  <c r="J55" i="4"/>
  <c r="L55" i="4"/>
  <c r="M55" i="4"/>
  <c r="O55" i="4"/>
  <c r="P55" i="4"/>
  <c r="J56" i="4"/>
  <c r="L56" i="4"/>
  <c r="M56" i="4"/>
  <c r="O56" i="4"/>
  <c r="P56" i="4" s="1"/>
  <c r="J57" i="4"/>
  <c r="M57" i="4" s="1"/>
  <c r="L57" i="4"/>
  <c r="O57" i="4"/>
  <c r="P57" i="4"/>
  <c r="J58" i="4"/>
  <c r="L58" i="4"/>
  <c r="M58" i="4"/>
  <c r="O58" i="4"/>
  <c r="P58" i="4"/>
  <c r="J59" i="4"/>
  <c r="L59" i="4"/>
  <c r="M59" i="4"/>
  <c r="O59" i="4"/>
  <c r="P59" i="4"/>
  <c r="J60" i="4"/>
  <c r="L60" i="4"/>
  <c r="M60" i="4"/>
  <c r="O60" i="4"/>
  <c r="P60" i="4" s="1"/>
  <c r="J61" i="4"/>
  <c r="M61" i="4" s="1"/>
  <c r="L61" i="4"/>
  <c r="O61" i="4"/>
  <c r="P61" i="4"/>
  <c r="J62" i="4"/>
  <c r="L62" i="4"/>
  <c r="M62" i="4"/>
  <c r="O62" i="4"/>
  <c r="P62" i="4"/>
  <c r="J63" i="4"/>
  <c r="L63" i="4"/>
  <c r="M63" i="4"/>
  <c r="O63" i="4"/>
  <c r="P63" i="4"/>
  <c r="J64" i="4"/>
  <c r="L64" i="4"/>
  <c r="M64" i="4"/>
  <c r="O64" i="4"/>
  <c r="P64" i="4" s="1"/>
  <c r="J65" i="4"/>
  <c r="M65" i="4" s="1"/>
  <c r="L65" i="4"/>
  <c r="O65" i="4"/>
  <c r="P65" i="4"/>
  <c r="J66" i="4"/>
  <c r="L66" i="4"/>
  <c r="M66" i="4"/>
  <c r="O66" i="4"/>
  <c r="P66" i="4"/>
  <c r="J67" i="4"/>
  <c r="L67" i="4"/>
  <c r="M67" i="4"/>
  <c r="O67" i="4"/>
  <c r="P67" i="4"/>
  <c r="J68" i="4"/>
  <c r="L68" i="4"/>
  <c r="M68" i="4"/>
  <c r="O68" i="4"/>
  <c r="P68" i="4" s="1"/>
  <c r="J69" i="4"/>
  <c r="M69" i="4" s="1"/>
  <c r="L69" i="4"/>
  <c r="O69" i="4"/>
  <c r="P69" i="4"/>
  <c r="J70" i="4"/>
  <c r="L70" i="4"/>
  <c r="M70" i="4"/>
  <c r="O70" i="4"/>
  <c r="P70" i="4"/>
  <c r="J71" i="4"/>
  <c r="L71" i="4"/>
  <c r="M71" i="4"/>
  <c r="O71" i="4"/>
  <c r="P71" i="4"/>
  <c r="J72" i="4"/>
  <c r="L72" i="4"/>
  <c r="M72" i="4"/>
  <c r="O72" i="4"/>
  <c r="P72" i="4" s="1"/>
  <c r="J73" i="4"/>
  <c r="M73" i="4" s="1"/>
  <c r="L73" i="4"/>
  <c r="O73" i="4"/>
  <c r="P73" i="4"/>
  <c r="J74" i="4"/>
  <c r="L74" i="4"/>
  <c r="M74" i="4"/>
  <c r="O74" i="4"/>
  <c r="P74" i="4"/>
  <c r="J75" i="4"/>
  <c r="L75" i="4"/>
  <c r="M75" i="4"/>
  <c r="O75" i="4"/>
  <c r="P75" i="4"/>
  <c r="J76" i="4"/>
  <c r="L76" i="4"/>
  <c r="M76" i="4"/>
  <c r="O76" i="4"/>
  <c r="P76" i="4" s="1"/>
  <c r="J77" i="4"/>
  <c r="M77" i="4" s="1"/>
  <c r="L77" i="4"/>
  <c r="O77" i="4"/>
  <c r="P77" i="4"/>
  <c r="J78" i="4"/>
  <c r="L78" i="4"/>
  <c r="M78" i="4"/>
  <c r="O78" i="4"/>
  <c r="P78" i="4"/>
  <c r="J79" i="4"/>
  <c r="L79" i="4"/>
  <c r="M79" i="4"/>
  <c r="O79" i="4"/>
  <c r="P79" i="4"/>
  <c r="J80" i="4"/>
  <c r="L80" i="4"/>
  <c r="M80" i="4"/>
  <c r="O80" i="4"/>
  <c r="P80" i="4" s="1"/>
  <c r="J81" i="4"/>
  <c r="M81" i="4" s="1"/>
  <c r="L81" i="4"/>
  <c r="O81" i="4"/>
  <c r="P81" i="4"/>
  <c r="J82" i="4"/>
  <c r="L82" i="4"/>
  <c r="M82" i="4"/>
  <c r="O82" i="4"/>
  <c r="P82" i="4"/>
  <c r="J83" i="4"/>
  <c r="L83" i="4"/>
  <c r="M83" i="4"/>
  <c r="O83" i="4"/>
  <c r="P83" i="4"/>
  <c r="J84" i="4"/>
  <c r="L84" i="4"/>
  <c r="M84" i="4"/>
  <c r="O84" i="4"/>
  <c r="P84" i="4" s="1"/>
  <c r="J85" i="4"/>
  <c r="M85" i="4" s="1"/>
  <c r="L85" i="4"/>
  <c r="O85" i="4"/>
  <c r="P85" i="4"/>
  <c r="J86" i="4"/>
  <c r="L86" i="4"/>
  <c r="M86" i="4"/>
  <c r="O86" i="4"/>
  <c r="P86" i="4"/>
  <c r="J87" i="4"/>
  <c r="L87" i="4"/>
  <c r="M87" i="4"/>
  <c r="O87" i="4"/>
  <c r="P87" i="4" s="1"/>
  <c r="J88" i="4"/>
  <c r="L88" i="4"/>
  <c r="M88" i="4"/>
  <c r="O88" i="4"/>
  <c r="P88" i="4" s="1"/>
  <c r="J89" i="4"/>
  <c r="M89" i="4" s="1"/>
  <c r="L89" i="4"/>
  <c r="O89" i="4"/>
  <c r="P89" i="4"/>
  <c r="J90" i="4"/>
  <c r="L90" i="4"/>
  <c r="M90" i="4"/>
  <c r="O90" i="4"/>
  <c r="P90" i="4"/>
  <c r="J91" i="4"/>
  <c r="L91" i="4"/>
  <c r="M91" i="4"/>
  <c r="O91" i="4"/>
  <c r="P91" i="4" s="1"/>
  <c r="J92" i="4"/>
  <c r="L92" i="4"/>
  <c r="M92" i="4"/>
  <c r="O92" i="4"/>
  <c r="P92" i="4" s="1"/>
  <c r="J93" i="4"/>
  <c r="M93" i="4" s="1"/>
  <c r="L93" i="4"/>
  <c r="O93" i="4"/>
  <c r="P93" i="4"/>
  <c r="J94" i="4"/>
  <c r="L94" i="4"/>
  <c r="M94" i="4"/>
  <c r="O94" i="4"/>
  <c r="P94" i="4"/>
  <c r="J95" i="4"/>
  <c r="L95" i="4"/>
  <c r="M95" i="4"/>
  <c r="O95" i="4"/>
  <c r="P95" i="4" s="1"/>
  <c r="J96" i="4"/>
  <c r="L96" i="4"/>
  <c r="M96" i="4"/>
  <c r="O96" i="4"/>
  <c r="P96" i="4" s="1"/>
  <c r="J97" i="4"/>
  <c r="M97" i="4" s="1"/>
  <c r="L97" i="4"/>
  <c r="O97" i="4"/>
  <c r="P97" i="4"/>
  <c r="J98" i="4"/>
  <c r="L98" i="4"/>
  <c r="M98" i="4"/>
  <c r="O98" i="4"/>
  <c r="P98" i="4"/>
  <c r="J99" i="4"/>
  <c r="L99" i="4"/>
  <c r="M99" i="4"/>
  <c r="O99" i="4"/>
  <c r="P99" i="4" s="1"/>
  <c r="J100" i="4"/>
  <c r="L100" i="4"/>
  <c r="M100" i="4"/>
  <c r="O100" i="4"/>
  <c r="P100" i="4" s="1"/>
  <c r="J101" i="4"/>
  <c r="M101" i="4" s="1"/>
  <c r="L101" i="4"/>
  <c r="O101" i="4"/>
  <c r="P101" i="4"/>
  <c r="J102" i="4"/>
  <c r="L102" i="4"/>
  <c r="M102" i="4"/>
  <c r="O102" i="4"/>
  <c r="P102" i="4"/>
  <c r="J103" i="4"/>
  <c r="L103" i="4"/>
  <c r="M103" i="4"/>
  <c r="O103" i="4"/>
  <c r="P103" i="4" s="1"/>
  <c r="J104" i="4"/>
  <c r="L104" i="4"/>
  <c r="M104" i="4"/>
  <c r="O104" i="4"/>
  <c r="P104" i="4" s="1"/>
  <c r="J105" i="4"/>
  <c r="L105" i="4"/>
  <c r="O105" i="4"/>
  <c r="P105" i="4" s="1"/>
  <c r="J106" i="4"/>
  <c r="M106" i="4" s="1"/>
  <c r="L106" i="4"/>
  <c r="O106" i="4"/>
  <c r="P106" i="4" s="1"/>
  <c r="J107" i="4"/>
  <c r="L107" i="4"/>
  <c r="M107" i="4"/>
  <c r="O107" i="4"/>
  <c r="P107" i="4"/>
  <c r="J108" i="4"/>
  <c r="L108" i="4"/>
  <c r="M108" i="4"/>
  <c r="O108" i="4"/>
  <c r="P108" i="4"/>
  <c r="J109" i="4"/>
  <c r="L109" i="4"/>
  <c r="O109" i="4"/>
  <c r="P109" i="4"/>
  <c r="J110" i="4"/>
  <c r="M110" i="4" s="1"/>
  <c r="L110" i="4"/>
  <c r="O110" i="4"/>
  <c r="P110" i="4" s="1"/>
  <c r="J111" i="4"/>
  <c r="L111" i="4"/>
  <c r="M111" i="4"/>
  <c r="O111" i="4"/>
  <c r="P111" i="4"/>
  <c r="J112" i="4"/>
  <c r="M112" i="4" s="1"/>
  <c r="L112" i="4"/>
  <c r="O112" i="4"/>
  <c r="P112" i="4"/>
  <c r="J113" i="4"/>
  <c r="M113" i="4" s="1"/>
  <c r="L113" i="4"/>
  <c r="O113" i="4"/>
  <c r="P113" i="4"/>
  <c r="J114" i="4"/>
  <c r="M114" i="4" s="1"/>
  <c r="L114" i="4"/>
  <c r="O114" i="4"/>
  <c r="P114" i="4"/>
  <c r="J115" i="4"/>
  <c r="L115" i="4"/>
  <c r="M115" i="4"/>
  <c r="O115" i="4"/>
  <c r="P115" i="4"/>
  <c r="J116" i="4"/>
  <c r="L116" i="4"/>
  <c r="M116" i="4"/>
  <c r="O116" i="4"/>
  <c r="P116" i="4" s="1"/>
  <c r="J117" i="4"/>
  <c r="L117" i="4"/>
  <c r="O117" i="4"/>
  <c r="P117" i="4" s="1"/>
  <c r="J118" i="4"/>
  <c r="L118" i="4"/>
  <c r="O118" i="4"/>
  <c r="P118" i="4" s="1"/>
  <c r="J119" i="4"/>
  <c r="L119" i="4"/>
  <c r="O119" i="4"/>
  <c r="P119" i="4"/>
  <c r="J120" i="4"/>
  <c r="L120" i="4"/>
  <c r="O120" i="4"/>
  <c r="P120" i="4"/>
  <c r="J121" i="4"/>
  <c r="L121" i="4"/>
  <c r="O121" i="4"/>
  <c r="P121" i="4" s="1"/>
  <c r="J122" i="4"/>
  <c r="L122" i="4"/>
  <c r="M122" i="4"/>
  <c r="O122" i="4"/>
  <c r="P122" i="4"/>
  <c r="J123" i="4"/>
  <c r="M123" i="4" s="1"/>
  <c r="L123" i="4"/>
  <c r="O123" i="4"/>
  <c r="P123" i="4" s="1"/>
  <c r="J124" i="4"/>
  <c r="L124" i="4"/>
  <c r="M124" i="4"/>
  <c r="O124" i="4"/>
  <c r="P124" i="4" s="1"/>
  <c r="J125" i="4"/>
  <c r="L125" i="4"/>
  <c r="M125" i="4"/>
  <c r="O125" i="4"/>
  <c r="P125" i="4"/>
  <c r="J126" i="4"/>
  <c r="L126" i="4"/>
  <c r="M126" i="4"/>
  <c r="O126" i="4"/>
  <c r="P126" i="4" s="1"/>
  <c r="J127" i="4"/>
  <c r="M127" i="4" s="1"/>
  <c r="L127" i="4"/>
  <c r="O127" i="4"/>
  <c r="P127" i="4" s="1"/>
  <c r="J128" i="4"/>
  <c r="L128" i="4"/>
  <c r="M128" i="4"/>
  <c r="O128" i="4"/>
  <c r="P128" i="4"/>
  <c r="J129" i="4"/>
  <c r="M129" i="4" s="1"/>
  <c r="L129" i="4"/>
  <c r="O129" i="4"/>
  <c r="P129" i="4"/>
  <c r="J130" i="4"/>
  <c r="M130" i="4" s="1"/>
  <c r="L130" i="4"/>
  <c r="O130" i="4"/>
  <c r="P130" i="4"/>
  <c r="J131" i="4"/>
  <c r="M131" i="4" s="1"/>
  <c r="L131" i="4"/>
  <c r="O131" i="4"/>
  <c r="P131" i="4"/>
  <c r="J132" i="4"/>
  <c r="L132" i="4"/>
  <c r="M132" i="4"/>
  <c r="O132" i="4"/>
  <c r="P132" i="4" s="1"/>
  <c r="J133" i="4"/>
  <c r="M133" i="4" s="1"/>
  <c r="L133" i="4"/>
  <c r="O133" i="4"/>
  <c r="P133" i="4"/>
  <c r="J134" i="4"/>
  <c r="M134" i="4" s="1"/>
  <c r="L134" i="4"/>
  <c r="O134" i="4"/>
  <c r="P134" i="4"/>
  <c r="J135" i="4"/>
  <c r="M135" i="4" s="1"/>
  <c r="L135" i="4"/>
  <c r="O135" i="4"/>
  <c r="P135" i="4" s="1"/>
  <c r="J136" i="4"/>
  <c r="L136" i="4"/>
  <c r="M136" i="4"/>
  <c r="O136" i="4"/>
  <c r="P136" i="4"/>
  <c r="J137" i="4"/>
  <c r="M137" i="4" s="1"/>
  <c r="L137" i="4"/>
  <c r="O137" i="4"/>
  <c r="P137" i="4" s="1"/>
  <c r="J138" i="4"/>
  <c r="L138" i="4"/>
  <c r="M138" i="4"/>
  <c r="O138" i="4"/>
  <c r="P138" i="4" s="1"/>
  <c r="J139" i="4"/>
  <c r="M139" i="4" s="1"/>
  <c r="L139" i="4"/>
  <c r="O139" i="4"/>
  <c r="P139" i="4" s="1"/>
  <c r="J140" i="4"/>
  <c r="L140" i="4"/>
  <c r="M140" i="4"/>
  <c r="O140" i="4"/>
  <c r="P140" i="4"/>
  <c r="J141" i="4"/>
  <c r="L141" i="4"/>
  <c r="M141" i="4"/>
  <c r="O141" i="4"/>
  <c r="P141" i="4" s="1"/>
  <c r="J142" i="4"/>
  <c r="L142" i="4"/>
  <c r="M142" i="4"/>
  <c r="O142" i="4"/>
  <c r="P142" i="4" s="1"/>
  <c r="J143" i="4"/>
  <c r="M143" i="4" s="1"/>
  <c r="L143" i="4"/>
  <c r="O143" i="4"/>
  <c r="P143" i="4" s="1"/>
  <c r="J144" i="4"/>
  <c r="L144" i="4"/>
  <c r="M144" i="4"/>
  <c r="O144" i="4"/>
  <c r="P144" i="4" s="1"/>
  <c r="J145" i="4"/>
  <c r="M145" i="4" s="1"/>
  <c r="L145" i="4"/>
  <c r="O145" i="4"/>
  <c r="P145" i="4" s="1"/>
  <c r="J146" i="4"/>
  <c r="L146" i="4"/>
  <c r="M146" i="4"/>
  <c r="O146" i="4"/>
  <c r="P146" i="4"/>
  <c r="J147" i="4"/>
  <c r="M147" i="4" s="1"/>
  <c r="L147" i="4"/>
  <c r="O147" i="4"/>
  <c r="P147" i="4"/>
  <c r="J148" i="4"/>
  <c r="L148" i="4"/>
  <c r="M148" i="4"/>
  <c r="O148" i="4"/>
  <c r="P148" i="4" s="1"/>
  <c r="J149" i="4"/>
  <c r="L149" i="4"/>
  <c r="M149" i="4"/>
  <c r="O149" i="4"/>
  <c r="P149" i="4"/>
  <c r="J150" i="4"/>
  <c r="L150" i="4"/>
  <c r="M150" i="4"/>
  <c r="O150" i="4"/>
  <c r="P150" i="4"/>
  <c r="J151" i="4"/>
  <c r="M151" i="4" s="1"/>
  <c r="L151" i="4"/>
  <c r="O151" i="4"/>
  <c r="P151" i="4"/>
  <c r="J152" i="4"/>
  <c r="L152" i="4"/>
  <c r="M152" i="4"/>
  <c r="O152" i="4"/>
  <c r="P152" i="4"/>
  <c r="J153" i="4"/>
  <c r="M153" i="4" s="1"/>
  <c r="L153" i="4"/>
  <c r="O153" i="4"/>
  <c r="P153" i="4" s="1"/>
  <c r="J154" i="4"/>
  <c r="M154" i="4" s="1"/>
  <c r="L154" i="4"/>
  <c r="O154" i="4"/>
  <c r="P154" i="4"/>
  <c r="J155" i="4"/>
  <c r="M155" i="4" s="1"/>
  <c r="L155" i="4"/>
  <c r="O155" i="4"/>
  <c r="P155" i="4" s="1"/>
  <c r="J156" i="4"/>
  <c r="L156" i="4"/>
  <c r="M156" i="4"/>
  <c r="O156" i="4"/>
  <c r="P156" i="4" s="1"/>
  <c r="J157" i="4"/>
  <c r="M157" i="4" s="1"/>
  <c r="L157" i="4"/>
  <c r="O157" i="4"/>
  <c r="P157" i="4"/>
  <c r="J158" i="4"/>
  <c r="M158" i="4" s="1"/>
  <c r="L158" i="4"/>
  <c r="O158" i="4"/>
  <c r="P158" i="4" s="1"/>
  <c r="J159" i="4"/>
  <c r="M159" i="4" s="1"/>
  <c r="L159" i="4"/>
  <c r="O159" i="4"/>
  <c r="P159" i="4" s="1"/>
  <c r="J160" i="4"/>
  <c r="L160" i="4"/>
  <c r="M160" i="4"/>
  <c r="O160" i="4"/>
  <c r="P160" i="4"/>
  <c r="J161" i="4"/>
  <c r="L161" i="4"/>
  <c r="M161" i="4"/>
  <c r="O161" i="4"/>
  <c r="P161" i="4"/>
  <c r="J162" i="4"/>
  <c r="M162" i="4" s="1"/>
  <c r="L162" i="4"/>
  <c r="O162" i="4"/>
  <c r="P162" i="4" s="1"/>
  <c r="J163" i="4"/>
  <c r="M163" i="4" s="1"/>
  <c r="L163" i="4"/>
  <c r="O163" i="4"/>
  <c r="P163" i="4" s="1"/>
  <c r="J164" i="4"/>
  <c r="L164" i="4"/>
  <c r="M164" i="4"/>
  <c r="O164" i="4"/>
  <c r="P164" i="4"/>
  <c r="J165" i="4"/>
  <c r="L165" i="4"/>
  <c r="M165" i="4"/>
  <c r="O165" i="4"/>
  <c r="P165" i="4" s="1"/>
  <c r="J166" i="4"/>
  <c r="M166" i="4" s="1"/>
  <c r="L166" i="4"/>
  <c r="O166" i="4"/>
  <c r="P166" i="4" s="1"/>
  <c r="J167" i="4"/>
  <c r="M167" i="4" s="1"/>
  <c r="L167" i="4"/>
  <c r="O167" i="4"/>
  <c r="P167" i="4"/>
  <c r="J168" i="4"/>
  <c r="M168" i="4" s="1"/>
  <c r="L168" i="4"/>
  <c r="O168" i="4"/>
  <c r="P168" i="4"/>
  <c r="J169" i="4"/>
  <c r="M169" i="4" s="1"/>
  <c r="L169" i="4"/>
  <c r="O169" i="4"/>
  <c r="P169" i="4" s="1"/>
  <c r="J170" i="4"/>
  <c r="L170" i="4"/>
  <c r="M170" i="4"/>
  <c r="O170" i="4"/>
  <c r="P170" i="4"/>
  <c r="J171" i="4"/>
  <c r="M171" i="4" s="1"/>
  <c r="L171" i="4"/>
  <c r="O171" i="4"/>
  <c r="P171" i="4"/>
  <c r="J172" i="4"/>
  <c r="M172" i="4" s="1"/>
  <c r="L172" i="4"/>
  <c r="O172" i="4"/>
  <c r="P172" i="4"/>
  <c r="J173" i="4"/>
  <c r="M173" i="4" s="1"/>
  <c r="L173" i="4"/>
  <c r="O173" i="4"/>
  <c r="P173" i="4"/>
  <c r="J174" i="4"/>
  <c r="M174" i="4" s="1"/>
  <c r="L174" i="4"/>
  <c r="O174" i="4"/>
  <c r="P174" i="4" s="1"/>
  <c r="J175" i="4"/>
  <c r="M175" i="4" s="1"/>
  <c r="L175" i="4"/>
  <c r="O175" i="4"/>
  <c r="P175" i="4" s="1"/>
  <c r="J176" i="4"/>
  <c r="L176" i="4"/>
  <c r="M176" i="4"/>
  <c r="O176" i="4"/>
  <c r="P176" i="4" s="1"/>
  <c r="J177" i="4"/>
  <c r="L177" i="4"/>
  <c r="M177" i="4"/>
  <c r="O177" i="4"/>
  <c r="P177" i="4" s="1"/>
  <c r="J178" i="4"/>
  <c r="M178" i="4" s="1"/>
  <c r="L178" i="4"/>
  <c r="O178" i="4"/>
  <c r="P178" i="4"/>
  <c r="J179" i="4"/>
  <c r="M179" i="4" s="1"/>
  <c r="L179" i="4"/>
  <c r="O179" i="4"/>
  <c r="P179" i="4"/>
  <c r="J180" i="4"/>
  <c r="L180" i="4"/>
  <c r="M180" i="4"/>
  <c r="O180" i="4"/>
  <c r="P180" i="4" s="1"/>
  <c r="J181" i="4"/>
  <c r="L181" i="4"/>
  <c r="M181" i="4"/>
  <c r="O181" i="4"/>
  <c r="P181" i="4"/>
  <c r="J182" i="4"/>
  <c r="L182" i="4"/>
  <c r="M182" i="4"/>
  <c r="O182" i="4"/>
  <c r="P182" i="4"/>
  <c r="J183" i="4"/>
  <c r="M183" i="4" s="1"/>
  <c r="L183" i="4"/>
  <c r="O183" i="4"/>
  <c r="P183" i="4" s="1"/>
  <c r="J184" i="4"/>
  <c r="L184" i="4"/>
  <c r="M184" i="4"/>
  <c r="O184" i="4"/>
  <c r="P184" i="4" s="1"/>
  <c r="J185" i="4"/>
  <c r="L185" i="4"/>
  <c r="M185" i="4"/>
  <c r="O185" i="4"/>
  <c r="P185" i="4"/>
  <c r="J186" i="4"/>
  <c r="M186" i="4" s="1"/>
  <c r="L186" i="4"/>
  <c r="O186" i="4"/>
  <c r="P186" i="4" s="1"/>
  <c r="J187" i="4"/>
  <c r="M187" i="4" s="1"/>
  <c r="L187" i="4"/>
  <c r="O187" i="4"/>
  <c r="P187" i="4"/>
  <c r="J188" i="4"/>
  <c r="L188" i="4"/>
  <c r="M188" i="4"/>
  <c r="O188" i="4"/>
  <c r="P188" i="4"/>
  <c r="J189" i="4"/>
  <c r="M189" i="4" s="1"/>
  <c r="L189" i="4"/>
  <c r="O189" i="4"/>
  <c r="P189" i="4"/>
  <c r="J190" i="4"/>
  <c r="M190" i="4" s="1"/>
  <c r="L190" i="4"/>
  <c r="O190" i="4"/>
  <c r="P190" i="4"/>
  <c r="J191" i="4"/>
  <c r="M191" i="4" s="1"/>
  <c r="L191" i="4"/>
  <c r="O191" i="4"/>
  <c r="P191" i="4" s="1"/>
  <c r="J192" i="4"/>
  <c r="M192" i="4" s="1"/>
  <c r="L192" i="4"/>
  <c r="O192" i="4"/>
  <c r="P192" i="4"/>
  <c r="J193" i="4"/>
  <c r="M193" i="4" s="1"/>
  <c r="L193" i="4"/>
  <c r="O193" i="4"/>
  <c r="P193" i="4"/>
  <c r="J194" i="4"/>
  <c r="M194" i="4" s="1"/>
  <c r="L194" i="4"/>
  <c r="O194" i="4"/>
  <c r="P194" i="4"/>
  <c r="J195" i="4"/>
  <c r="M195" i="4" s="1"/>
  <c r="L195" i="4"/>
  <c r="O195" i="4"/>
  <c r="P195" i="4"/>
  <c r="J196" i="4"/>
  <c r="M196" i="4" s="1"/>
  <c r="L196" i="4"/>
  <c r="O196" i="4"/>
  <c r="P196" i="4" s="1"/>
  <c r="J197" i="4"/>
  <c r="L197" i="4"/>
  <c r="O197" i="4"/>
  <c r="P197" i="4" s="1"/>
  <c r="J198" i="4"/>
  <c r="L198" i="4"/>
  <c r="O198" i="4"/>
  <c r="P198" i="4" s="1"/>
  <c r="J199" i="4"/>
  <c r="L199" i="4"/>
  <c r="O199" i="4"/>
  <c r="P199" i="4" s="1"/>
  <c r="J200" i="4"/>
  <c r="L200" i="4"/>
  <c r="O200" i="4"/>
  <c r="P200" i="4" s="1"/>
  <c r="J201" i="4"/>
  <c r="L201" i="4"/>
  <c r="O201" i="4"/>
  <c r="P201" i="4" s="1"/>
  <c r="J202" i="4"/>
  <c r="L202" i="4"/>
  <c r="M202" i="4"/>
  <c r="O202" i="4"/>
  <c r="P202" i="4" s="1"/>
  <c r="J203" i="4"/>
  <c r="L203" i="4"/>
  <c r="M203" i="4"/>
  <c r="O203" i="4"/>
  <c r="P203" i="4" s="1"/>
  <c r="J204" i="4"/>
  <c r="M204" i="4" s="1"/>
  <c r="L204" i="4"/>
  <c r="O204" i="4"/>
  <c r="P204" i="4"/>
  <c r="J205" i="4"/>
  <c r="L205" i="4"/>
  <c r="M205" i="4"/>
  <c r="O205" i="4"/>
  <c r="P205" i="4" s="1"/>
  <c r="J206" i="4"/>
  <c r="L206" i="4"/>
  <c r="M206" i="4"/>
  <c r="O206" i="4"/>
  <c r="P206" i="4" s="1"/>
  <c r="J207" i="4"/>
  <c r="L207" i="4"/>
  <c r="M207" i="4"/>
  <c r="O207" i="4"/>
  <c r="P207" i="4"/>
  <c r="J208" i="4"/>
  <c r="M208" i="4" s="1"/>
  <c r="L208" i="4"/>
  <c r="O208" i="4"/>
  <c r="P208" i="4" s="1"/>
  <c r="J209" i="4"/>
  <c r="M209" i="4" s="1"/>
  <c r="L209" i="4"/>
  <c r="O209" i="4"/>
  <c r="P209" i="4" s="1"/>
  <c r="J210" i="4"/>
  <c r="M210" i="4" s="1"/>
  <c r="L210" i="4"/>
  <c r="O210" i="4"/>
  <c r="P210" i="4"/>
  <c r="J211" i="4"/>
  <c r="L211" i="4"/>
  <c r="M211" i="4"/>
  <c r="O211" i="4"/>
  <c r="P211" i="4"/>
  <c r="J212" i="4"/>
  <c r="M212" i="4" s="1"/>
  <c r="L212" i="4"/>
  <c r="O212" i="4"/>
  <c r="P212" i="4" s="1"/>
  <c r="J213" i="4"/>
  <c r="L213" i="4"/>
  <c r="M213" i="4"/>
  <c r="O213" i="4"/>
  <c r="P213" i="4"/>
  <c r="J214" i="4"/>
  <c r="M214" i="4" s="1"/>
  <c r="L214" i="4"/>
  <c r="O214" i="4"/>
  <c r="P214" i="4"/>
  <c r="J215" i="4"/>
  <c r="M215" i="4" s="1"/>
  <c r="L215" i="4"/>
  <c r="O215" i="4"/>
  <c r="P215" i="4"/>
  <c r="J216" i="4"/>
  <c r="M216" i="4" s="1"/>
  <c r="L216" i="4"/>
  <c r="O216" i="4"/>
  <c r="P216" i="4"/>
  <c r="J217" i="4"/>
  <c r="M217" i="4" s="1"/>
  <c r="L217" i="4"/>
  <c r="O217" i="4"/>
  <c r="P217" i="4" s="1"/>
  <c r="J218" i="4"/>
  <c r="M218" i="4" s="1"/>
  <c r="L218" i="4"/>
  <c r="O218" i="4"/>
  <c r="P218" i="4" s="1"/>
  <c r="J219" i="4"/>
  <c r="M219" i="4" s="1"/>
  <c r="L219" i="4"/>
  <c r="O219" i="4"/>
  <c r="P219" i="4"/>
  <c r="J220" i="4"/>
  <c r="M220" i="4" s="1"/>
  <c r="L220" i="4"/>
  <c r="O220" i="4"/>
  <c r="P220" i="4" s="1"/>
  <c r="J221" i="4"/>
  <c r="M221" i="4" s="1"/>
  <c r="L221" i="4"/>
  <c r="O221" i="4"/>
  <c r="P221" i="4" s="1"/>
  <c r="J222" i="4"/>
  <c r="M222" i="4" s="1"/>
  <c r="L222" i="4"/>
  <c r="O222" i="4"/>
  <c r="P222" i="4" s="1"/>
  <c r="J223" i="4"/>
  <c r="L223" i="4"/>
  <c r="M223" i="4"/>
  <c r="O223" i="4"/>
  <c r="P223" i="4" s="1"/>
  <c r="J224" i="4"/>
  <c r="M224" i="4" s="1"/>
  <c r="L224" i="4"/>
  <c r="O224" i="4"/>
  <c r="P224" i="4" s="1"/>
  <c r="J225" i="4"/>
  <c r="L225" i="4"/>
  <c r="M225" i="4"/>
  <c r="O225" i="4"/>
  <c r="P225" i="4"/>
  <c r="J226" i="4"/>
  <c r="M226" i="4" s="1"/>
  <c r="L226" i="4"/>
  <c r="O226" i="4"/>
  <c r="P226" i="4"/>
  <c r="J227" i="4"/>
  <c r="L227" i="4"/>
  <c r="M227" i="4"/>
  <c r="O227" i="4"/>
  <c r="P227" i="4" s="1"/>
  <c r="J228" i="4"/>
  <c r="M228" i="4" s="1"/>
  <c r="L228" i="4"/>
  <c r="O228" i="4"/>
  <c r="P228" i="4"/>
  <c r="J229" i="4"/>
  <c r="M229" i="4" s="1"/>
  <c r="L229" i="4"/>
  <c r="O229" i="4"/>
  <c r="P229" i="4" s="1"/>
  <c r="J230" i="4"/>
  <c r="M230" i="4" s="1"/>
  <c r="L230" i="4"/>
  <c r="O230" i="4"/>
  <c r="P230" i="4" s="1"/>
  <c r="J231" i="4"/>
  <c r="M231" i="4" s="1"/>
  <c r="L231" i="4"/>
  <c r="O231" i="4"/>
  <c r="P231" i="4"/>
  <c r="J232" i="4"/>
  <c r="M232" i="4" s="1"/>
  <c r="L232" i="4"/>
  <c r="O232" i="4"/>
  <c r="P232" i="4"/>
  <c r="J233" i="4"/>
  <c r="M233" i="4" s="1"/>
  <c r="L233" i="4"/>
  <c r="O233" i="4"/>
  <c r="P233" i="4" s="1"/>
  <c r="J234" i="4"/>
  <c r="L234" i="4"/>
  <c r="M234" i="4"/>
  <c r="O234" i="4"/>
  <c r="P234" i="4"/>
  <c r="J235" i="4"/>
  <c r="L235" i="4"/>
  <c r="M235" i="4"/>
  <c r="O235" i="4"/>
  <c r="P235" i="4"/>
  <c r="J236" i="4"/>
  <c r="M236" i="4" s="1"/>
  <c r="L236" i="4"/>
  <c r="O236" i="4"/>
  <c r="P236" i="4"/>
  <c r="J237" i="4"/>
  <c r="L237" i="4"/>
  <c r="M237" i="4"/>
  <c r="O237" i="4"/>
  <c r="P237" i="4"/>
  <c r="J238" i="4"/>
  <c r="M238" i="4" s="1"/>
  <c r="L238" i="4"/>
  <c r="O238" i="4"/>
  <c r="P238" i="4" s="1"/>
  <c r="J239" i="4"/>
  <c r="M239" i="4" s="1"/>
  <c r="L239" i="4"/>
  <c r="O239" i="4"/>
  <c r="P239" i="4" s="1"/>
  <c r="J240" i="4"/>
  <c r="M240" i="4" s="1"/>
  <c r="L240" i="4"/>
  <c r="O240" i="4"/>
  <c r="P240" i="4" s="1"/>
  <c r="J241" i="4"/>
  <c r="L241" i="4"/>
  <c r="M241" i="4"/>
  <c r="O241" i="4"/>
  <c r="P241" i="4" s="1"/>
  <c r="J242" i="4"/>
  <c r="M242" i="4" s="1"/>
  <c r="L242" i="4"/>
  <c r="O242" i="4"/>
  <c r="P242" i="4" s="1"/>
  <c r="J243" i="4"/>
  <c r="M243" i="4" s="1"/>
  <c r="L243" i="4"/>
  <c r="O243" i="4"/>
  <c r="P243" i="4" s="1"/>
  <c r="J244" i="4"/>
  <c r="M244" i="4" s="1"/>
  <c r="L244" i="4"/>
  <c r="O244" i="4"/>
  <c r="P244" i="4" s="1"/>
  <c r="J245" i="4"/>
  <c r="L245" i="4"/>
  <c r="M245" i="4"/>
  <c r="O245" i="4"/>
  <c r="P245" i="4" s="1"/>
  <c r="J246" i="4"/>
  <c r="L246" i="4"/>
  <c r="M246" i="4"/>
  <c r="O246" i="4"/>
  <c r="P246" i="4"/>
  <c r="J247" i="4"/>
  <c r="L247" i="4"/>
  <c r="M247" i="4"/>
  <c r="O247" i="4"/>
  <c r="P247" i="4"/>
  <c r="J248" i="4"/>
  <c r="M248" i="4" s="1"/>
  <c r="L248" i="4"/>
  <c r="O248" i="4"/>
  <c r="P248" i="4"/>
  <c r="J249" i="4"/>
  <c r="L249" i="4"/>
  <c r="M249" i="4"/>
  <c r="O249" i="4"/>
  <c r="P249" i="4" s="1"/>
  <c r="J250" i="4"/>
  <c r="M250" i="4" s="1"/>
  <c r="L250" i="4"/>
  <c r="O250" i="4"/>
  <c r="P250" i="4" s="1"/>
  <c r="J251" i="4"/>
  <c r="M251" i="4" s="1"/>
  <c r="L251" i="4"/>
  <c r="O251" i="4"/>
  <c r="P251" i="4" s="1"/>
  <c r="J252" i="4"/>
  <c r="M252" i="4" s="1"/>
  <c r="L252" i="4"/>
  <c r="O252" i="4"/>
  <c r="P252" i="4"/>
  <c r="J253" i="4"/>
  <c r="M253" i="4" s="1"/>
  <c r="L253" i="4"/>
  <c r="O253" i="4"/>
  <c r="P253" i="4"/>
  <c r="J254" i="4"/>
  <c r="M254" i="4" s="1"/>
  <c r="L254" i="4"/>
  <c r="O254" i="4"/>
  <c r="P254" i="4"/>
  <c r="J255" i="4"/>
  <c r="L255" i="4"/>
  <c r="M255" i="4"/>
  <c r="O255" i="4"/>
  <c r="P255" i="4"/>
  <c r="J256" i="4"/>
  <c r="M256" i="4" s="1"/>
  <c r="L256" i="4"/>
  <c r="O256" i="4"/>
  <c r="P256" i="4" s="1"/>
  <c r="J257" i="4"/>
  <c r="M257" i="4" s="1"/>
  <c r="L257" i="4"/>
  <c r="O257" i="4"/>
  <c r="P257" i="4"/>
  <c r="J258" i="4"/>
  <c r="M258" i="4" s="1"/>
  <c r="L258" i="4"/>
  <c r="O258" i="4"/>
  <c r="P258" i="4"/>
  <c r="J259" i="4"/>
  <c r="M259" i="4" s="1"/>
  <c r="L259" i="4"/>
  <c r="O259" i="4"/>
  <c r="P259" i="4" s="1"/>
  <c r="J260" i="4"/>
  <c r="M260" i="4" s="1"/>
  <c r="L260" i="4"/>
  <c r="O260" i="4"/>
  <c r="P260" i="4" s="1"/>
  <c r="J261" i="4"/>
  <c r="L261" i="4"/>
  <c r="M261" i="4"/>
  <c r="O261" i="4"/>
  <c r="P261" i="4" s="1"/>
  <c r="J262" i="4"/>
  <c r="L262" i="4"/>
  <c r="M262" i="4"/>
  <c r="O262" i="4"/>
  <c r="P262" i="4" s="1"/>
  <c r="J263" i="4"/>
  <c r="M263" i="4" s="1"/>
  <c r="L263" i="4"/>
  <c r="O263" i="4"/>
  <c r="P263" i="4" s="1"/>
  <c r="J264" i="4"/>
  <c r="M264" i="4" s="1"/>
  <c r="L264" i="4"/>
  <c r="O264" i="4"/>
  <c r="P264" i="4"/>
  <c r="J265" i="4"/>
  <c r="L265" i="4"/>
  <c r="M265" i="4"/>
  <c r="O265" i="4"/>
  <c r="P265" i="4" s="1"/>
  <c r="J266" i="4"/>
  <c r="L266" i="4"/>
  <c r="M266" i="4"/>
  <c r="O266" i="4"/>
  <c r="P266" i="4"/>
  <c r="J267" i="4"/>
  <c r="L267" i="4"/>
  <c r="M267" i="4"/>
  <c r="O267" i="4"/>
  <c r="P267" i="4"/>
  <c r="J268" i="4"/>
  <c r="M268" i="4" s="1"/>
  <c r="L268" i="4"/>
  <c r="O268" i="4"/>
  <c r="P268" i="4" s="1"/>
  <c r="J269" i="4"/>
  <c r="M269" i="4" s="1"/>
  <c r="L269" i="4"/>
  <c r="O269" i="4"/>
  <c r="P269" i="4"/>
  <c r="J270" i="4"/>
  <c r="L270" i="4"/>
  <c r="M270" i="4"/>
  <c r="O270" i="4"/>
  <c r="P270" i="4" s="1"/>
  <c r="J271" i="4"/>
  <c r="L271" i="4"/>
  <c r="M271" i="4"/>
  <c r="O271" i="4"/>
  <c r="P271" i="4" s="1"/>
  <c r="J272" i="4"/>
  <c r="M272" i="4" s="1"/>
  <c r="L272" i="4"/>
  <c r="O272" i="4"/>
  <c r="P272" i="4"/>
  <c r="J273" i="4"/>
  <c r="L273" i="4"/>
  <c r="M273" i="4"/>
  <c r="O273" i="4"/>
  <c r="P273" i="4"/>
  <c r="J274" i="4"/>
  <c r="M274" i="4" s="1"/>
  <c r="L274" i="4"/>
  <c r="O274" i="4"/>
  <c r="P274" i="4"/>
  <c r="J275" i="4"/>
  <c r="M275" i="4" s="1"/>
  <c r="L275" i="4"/>
  <c r="O275" i="4"/>
  <c r="P275" i="4"/>
  <c r="J276" i="4"/>
  <c r="M276" i="4" s="1"/>
  <c r="L276" i="4"/>
  <c r="O276" i="4"/>
  <c r="P276" i="4" s="1"/>
  <c r="J277" i="4"/>
  <c r="M277" i="4" s="1"/>
  <c r="L277" i="4"/>
  <c r="O277" i="4"/>
  <c r="P277" i="4" s="1"/>
  <c r="J278" i="4"/>
  <c r="M278" i="4" s="1"/>
  <c r="L278" i="4"/>
  <c r="O278" i="4"/>
  <c r="P278" i="4"/>
  <c r="J279" i="4"/>
  <c r="L279" i="4"/>
  <c r="M279" i="4"/>
  <c r="O279" i="4"/>
  <c r="P279" i="4"/>
  <c r="J280" i="4"/>
  <c r="M280" i="4" s="1"/>
  <c r="L280" i="4"/>
  <c r="O280" i="4"/>
  <c r="P280" i="4" s="1"/>
  <c r="J281" i="4"/>
  <c r="M281" i="4" s="1"/>
  <c r="L281" i="4"/>
  <c r="O281" i="4"/>
  <c r="P281" i="4" s="1"/>
  <c r="J282" i="4"/>
  <c r="L282" i="4"/>
  <c r="M282" i="4"/>
  <c r="O282" i="4"/>
  <c r="P282" i="4" s="1"/>
  <c r="J283" i="4"/>
  <c r="L283" i="4"/>
  <c r="M283" i="4"/>
  <c r="O283" i="4"/>
  <c r="P283" i="4" s="1"/>
  <c r="J284" i="4"/>
  <c r="M284" i="4" s="1"/>
  <c r="L284" i="4"/>
  <c r="O284" i="4"/>
  <c r="P284" i="4"/>
  <c r="J285" i="4"/>
  <c r="M285" i="4" s="1"/>
  <c r="L285" i="4"/>
  <c r="O285" i="4"/>
  <c r="P285" i="4"/>
  <c r="J286" i="4"/>
  <c r="L286" i="4"/>
  <c r="M286" i="4"/>
  <c r="O286" i="4"/>
  <c r="P286" i="4" s="1"/>
  <c r="J287" i="4"/>
  <c r="L287" i="4"/>
  <c r="M287" i="4"/>
  <c r="O287" i="4"/>
  <c r="P287" i="4"/>
  <c r="J288" i="4"/>
  <c r="M288" i="4" s="1"/>
  <c r="L288" i="4"/>
  <c r="O288" i="4"/>
  <c r="P288" i="4" s="1"/>
  <c r="J289" i="4"/>
  <c r="M289" i="4" s="1"/>
  <c r="L289" i="4"/>
  <c r="O289" i="4"/>
  <c r="P289" i="4" s="1"/>
  <c r="J290" i="4"/>
  <c r="M290" i="4" s="1"/>
  <c r="L290" i="4"/>
  <c r="O290" i="4"/>
  <c r="P290" i="4"/>
  <c r="J291" i="4"/>
  <c r="L291" i="4"/>
  <c r="M291" i="4"/>
  <c r="O291" i="4"/>
  <c r="P291" i="4" s="1"/>
  <c r="J292" i="4"/>
  <c r="M292" i="4" s="1"/>
  <c r="L292" i="4"/>
  <c r="O292" i="4"/>
  <c r="P292" i="4" s="1"/>
  <c r="J293" i="4"/>
  <c r="L293" i="4"/>
  <c r="M293" i="4"/>
  <c r="O293" i="4"/>
  <c r="P293" i="4"/>
  <c r="J294" i="4"/>
  <c r="L294" i="4"/>
  <c r="M294" i="4"/>
  <c r="O294" i="4"/>
  <c r="P294" i="4"/>
  <c r="J295" i="4"/>
  <c r="M295" i="4" s="1"/>
  <c r="L295" i="4"/>
  <c r="O295" i="4"/>
  <c r="P295" i="4"/>
  <c r="J296" i="4"/>
  <c r="M296" i="4" s="1"/>
  <c r="L296" i="4"/>
  <c r="O296" i="4"/>
  <c r="P296" i="4"/>
  <c r="J297" i="4"/>
  <c r="M297" i="4" s="1"/>
  <c r="L297" i="4"/>
  <c r="O297" i="4"/>
  <c r="P297" i="4" s="1"/>
  <c r="J298" i="4"/>
  <c r="M298" i="4" s="1"/>
  <c r="L298" i="4"/>
  <c r="O298" i="4"/>
  <c r="P298" i="4" s="1"/>
  <c r="J299" i="4"/>
  <c r="M299" i="4" s="1"/>
  <c r="L299" i="4"/>
  <c r="O299" i="4"/>
  <c r="P299" i="4"/>
  <c r="J300" i="4"/>
  <c r="M300" i="4" s="1"/>
  <c r="L300" i="4"/>
  <c r="O300" i="4"/>
  <c r="P300" i="4" s="1"/>
  <c r="J301" i="4"/>
  <c r="M301" i="4" s="1"/>
  <c r="L301" i="4"/>
  <c r="O301" i="4"/>
  <c r="P301" i="4" s="1"/>
  <c r="J302" i="4"/>
  <c r="M302" i="4" s="1"/>
  <c r="L302" i="4"/>
  <c r="O302" i="4"/>
  <c r="P302" i="4" s="1"/>
  <c r="J303" i="4"/>
  <c r="L303" i="4"/>
  <c r="M303" i="4"/>
  <c r="O303" i="4"/>
  <c r="P303" i="4" s="1"/>
  <c r="J304" i="4"/>
  <c r="M304" i="4" s="1"/>
  <c r="L304" i="4"/>
  <c r="O304" i="4"/>
  <c r="P304" i="4"/>
  <c r="J305" i="4"/>
  <c r="L305" i="4"/>
  <c r="M305" i="4"/>
  <c r="O305" i="4"/>
  <c r="P305" i="4"/>
  <c r="J306" i="4"/>
  <c r="M306" i="4" s="1"/>
  <c r="L306" i="4"/>
  <c r="O306" i="4"/>
  <c r="P306" i="4"/>
  <c r="J307" i="4"/>
  <c r="L307" i="4"/>
  <c r="M307" i="4"/>
  <c r="O307" i="4"/>
  <c r="P307" i="4" s="1"/>
  <c r="J308" i="4"/>
  <c r="M308" i="4" s="1"/>
  <c r="L308" i="4"/>
  <c r="O308" i="4"/>
  <c r="P308" i="4"/>
  <c r="J309" i="4"/>
  <c r="M309" i="4" s="1"/>
  <c r="L309" i="4"/>
  <c r="O309" i="4"/>
  <c r="P309" i="4" s="1"/>
  <c r="J310" i="4"/>
  <c r="M310" i="4" s="1"/>
  <c r="L310" i="4"/>
  <c r="O310" i="4"/>
  <c r="P310" i="4" s="1"/>
  <c r="J311" i="4"/>
  <c r="M311" i="4" s="1"/>
  <c r="L311" i="4"/>
  <c r="O311" i="4"/>
  <c r="P311" i="4"/>
  <c r="J312" i="4"/>
  <c r="M312" i="4" s="1"/>
  <c r="L312" i="4"/>
  <c r="O312" i="4"/>
  <c r="P312" i="4"/>
  <c r="J313" i="4"/>
  <c r="M313" i="4" s="1"/>
  <c r="L313" i="4"/>
  <c r="O313" i="4"/>
  <c r="P313" i="4"/>
  <c r="J314" i="4"/>
  <c r="L314" i="4"/>
  <c r="M314" i="4"/>
  <c r="O314" i="4"/>
  <c r="P314" i="4"/>
  <c r="J315" i="4"/>
  <c r="M315" i="4" s="1"/>
  <c r="L315" i="4"/>
  <c r="O315" i="4"/>
  <c r="P315" i="4"/>
  <c r="J316" i="4"/>
  <c r="M316" i="4" s="1"/>
  <c r="L316" i="4"/>
  <c r="O316" i="4"/>
  <c r="P316" i="4"/>
  <c r="J317" i="4"/>
  <c r="L317" i="4"/>
  <c r="M317" i="4"/>
  <c r="O317" i="4"/>
  <c r="P317" i="4"/>
  <c r="J318" i="4"/>
  <c r="M318" i="4" s="1"/>
  <c r="L318" i="4"/>
  <c r="O318" i="4"/>
  <c r="P318" i="4" s="1"/>
  <c r="J319" i="4"/>
  <c r="M319" i="4" s="1"/>
  <c r="L319" i="4"/>
  <c r="O319" i="4"/>
  <c r="P319" i="4" s="1"/>
  <c r="J320" i="4"/>
  <c r="M320" i="4" s="1"/>
  <c r="L320" i="4"/>
  <c r="O320" i="4"/>
  <c r="P320" i="4" s="1"/>
  <c r="J321" i="4"/>
  <c r="L321" i="4"/>
  <c r="M321" i="4"/>
  <c r="O321" i="4"/>
  <c r="P321" i="4" s="1"/>
  <c r="J322" i="4"/>
  <c r="M322" i="4" s="1"/>
  <c r="L322" i="4"/>
  <c r="O322" i="4"/>
  <c r="P322" i="4" s="1"/>
  <c r="J323" i="4"/>
  <c r="M323" i="4" s="1"/>
  <c r="L323" i="4"/>
  <c r="O323" i="4"/>
  <c r="P323" i="4" s="1"/>
  <c r="J324" i="4"/>
  <c r="M324" i="4" s="1"/>
  <c r="L324" i="4"/>
  <c r="O324" i="4"/>
  <c r="P324" i="4" s="1"/>
  <c r="J325" i="4"/>
  <c r="L325" i="4"/>
  <c r="M325" i="4"/>
  <c r="O325" i="4"/>
  <c r="P325" i="4" s="1"/>
  <c r="J326" i="4"/>
  <c r="L326" i="4"/>
  <c r="M326" i="4"/>
  <c r="O326" i="4"/>
  <c r="P326" i="4"/>
  <c r="J327" i="4"/>
  <c r="M327" i="4" s="1"/>
  <c r="L327" i="4"/>
  <c r="O327" i="4"/>
  <c r="P327" i="4"/>
  <c r="J328" i="4"/>
  <c r="M328" i="4" s="1"/>
  <c r="L328" i="4"/>
  <c r="O328" i="4"/>
  <c r="P328" i="4"/>
  <c r="J329" i="4"/>
  <c r="L329" i="4"/>
  <c r="M329" i="4"/>
  <c r="O329" i="4"/>
  <c r="P329" i="4" s="1"/>
  <c r="J330" i="4"/>
  <c r="M330" i="4" s="1"/>
  <c r="L330" i="4"/>
  <c r="O330" i="4"/>
  <c r="P330" i="4" s="1"/>
  <c r="J331" i="4"/>
  <c r="M331" i="4" s="1"/>
  <c r="L331" i="4"/>
  <c r="O331" i="4"/>
  <c r="P331" i="4" s="1"/>
  <c r="J332" i="4"/>
  <c r="M332" i="4" s="1"/>
  <c r="L332" i="4"/>
  <c r="O332" i="4"/>
  <c r="P332" i="4"/>
  <c r="J333" i="4"/>
  <c r="M333" i="4" s="1"/>
  <c r="L333" i="4"/>
  <c r="O333" i="4"/>
  <c r="P333" i="4"/>
  <c r="J334" i="4"/>
  <c r="M334" i="4" s="1"/>
  <c r="L334" i="4"/>
  <c r="O334" i="4"/>
  <c r="P334" i="4"/>
  <c r="J335" i="4"/>
  <c r="L335" i="4"/>
  <c r="M335" i="4"/>
  <c r="O335" i="4"/>
  <c r="P335" i="4"/>
  <c r="J336" i="4"/>
  <c r="M336" i="4" s="1"/>
  <c r="L336" i="4"/>
  <c r="O336" i="4"/>
  <c r="P336" i="4" s="1"/>
  <c r="J337" i="4"/>
  <c r="M337" i="4" s="1"/>
  <c r="L337" i="4"/>
  <c r="O337" i="4"/>
  <c r="P337" i="4"/>
  <c r="J338" i="4"/>
  <c r="L338" i="4"/>
  <c r="M338" i="4"/>
  <c r="O338" i="4"/>
  <c r="P338" i="4"/>
  <c r="J339" i="4"/>
  <c r="L339" i="4"/>
  <c r="M339" i="4"/>
  <c r="O339" i="4"/>
  <c r="P339" i="4" s="1"/>
  <c r="J340" i="4"/>
  <c r="M340" i="4" s="1"/>
  <c r="L340" i="4"/>
  <c r="O340" i="4"/>
  <c r="P340" i="4" s="1"/>
  <c r="J341" i="4"/>
  <c r="L341" i="4"/>
  <c r="M341" i="4"/>
  <c r="O341" i="4"/>
  <c r="P341" i="4" s="1"/>
  <c r="J342" i="4"/>
  <c r="M342" i="4" s="1"/>
  <c r="L342" i="4"/>
  <c r="O342" i="4"/>
  <c r="P342" i="4" s="1"/>
  <c r="J343" i="4"/>
  <c r="M343" i="4" s="1"/>
  <c r="L343" i="4"/>
  <c r="O343" i="4"/>
  <c r="P343" i="4"/>
  <c r="J344" i="4"/>
  <c r="M344" i="4" s="1"/>
  <c r="L344" i="4"/>
  <c r="O344" i="4"/>
  <c r="P344" i="4"/>
  <c r="J345" i="4"/>
  <c r="L345" i="4"/>
  <c r="M345" i="4"/>
  <c r="O345" i="4"/>
  <c r="P345" i="4" s="1"/>
  <c r="J346" i="4"/>
  <c r="L346" i="4"/>
  <c r="M346" i="4"/>
  <c r="O346" i="4"/>
  <c r="P346" i="4" s="1"/>
  <c r="J347" i="4"/>
  <c r="L347" i="4"/>
  <c r="M347" i="4"/>
  <c r="O347" i="4"/>
  <c r="P347" i="4"/>
  <c r="J348" i="4"/>
  <c r="M348" i="4" s="1"/>
  <c r="L348" i="4"/>
  <c r="O348" i="4"/>
  <c r="P348" i="4" s="1"/>
  <c r="J349" i="4"/>
  <c r="M349" i="4" s="1"/>
  <c r="L349" i="4"/>
  <c r="O349" i="4"/>
  <c r="P349" i="4"/>
  <c r="J350" i="4"/>
  <c r="L350" i="4"/>
  <c r="M350" i="4"/>
  <c r="O350" i="4"/>
  <c r="P350" i="4" s="1"/>
  <c r="J351" i="4"/>
  <c r="M351" i="4" s="1"/>
  <c r="L351" i="4"/>
  <c r="O351" i="4"/>
  <c r="P351" i="4" s="1"/>
  <c r="J352" i="4"/>
  <c r="M352" i="4" s="1"/>
  <c r="L352" i="4"/>
  <c r="O352" i="4"/>
  <c r="P352" i="4"/>
  <c r="J353" i="4"/>
  <c r="M353" i="4" s="1"/>
  <c r="L353" i="4"/>
  <c r="O353" i="4"/>
  <c r="P353" i="4"/>
  <c r="J354" i="4"/>
  <c r="M354" i="4" s="1"/>
  <c r="L354" i="4"/>
  <c r="O354" i="4"/>
  <c r="P354" i="4"/>
  <c r="J355" i="4"/>
  <c r="M355" i="4" s="1"/>
  <c r="L355" i="4"/>
  <c r="O355" i="4"/>
  <c r="P355" i="4"/>
  <c r="J356" i="4"/>
  <c r="M356" i="4" s="1"/>
  <c r="L356" i="4"/>
  <c r="O356" i="4"/>
  <c r="P356" i="4" s="1"/>
  <c r="J357" i="4"/>
  <c r="M357" i="4" s="1"/>
  <c r="L357" i="4"/>
  <c r="O357" i="4"/>
  <c r="P357" i="4" s="1"/>
  <c r="J358" i="4"/>
  <c r="M358" i="4" s="1"/>
  <c r="L358" i="4"/>
  <c r="O358" i="4"/>
  <c r="P358" i="4"/>
  <c r="J359" i="4"/>
  <c r="L359" i="4"/>
  <c r="M359" i="4"/>
  <c r="O359" i="4"/>
  <c r="P359" i="4"/>
  <c r="J360" i="4"/>
  <c r="M360" i="4" s="1"/>
  <c r="L360" i="4"/>
  <c r="O360" i="4"/>
  <c r="P360" i="4"/>
  <c r="J361" i="4"/>
  <c r="M361" i="4" s="1"/>
  <c r="L361" i="4"/>
  <c r="O361" i="4"/>
  <c r="P361" i="4" s="1"/>
  <c r="J362" i="4"/>
  <c r="L362" i="4"/>
  <c r="M362" i="4"/>
  <c r="O362" i="4"/>
  <c r="P362" i="4" s="1"/>
  <c r="J363" i="4"/>
  <c r="L363" i="4"/>
  <c r="M363" i="4"/>
  <c r="O363" i="4"/>
  <c r="P363" i="4" s="1"/>
  <c r="J364" i="4"/>
  <c r="M364" i="4" s="1"/>
  <c r="L364" i="4"/>
  <c r="O364" i="4"/>
  <c r="P364" i="4" s="1"/>
  <c r="J365" i="4"/>
  <c r="M365" i="4" s="1"/>
  <c r="L365" i="4"/>
  <c r="O365" i="4"/>
  <c r="P365" i="4" s="1"/>
  <c r="J366" i="4"/>
  <c r="L366" i="4"/>
  <c r="M366" i="4"/>
  <c r="O366" i="4"/>
  <c r="P366" i="4" s="1"/>
  <c r="J367" i="4"/>
  <c r="L367" i="4"/>
  <c r="M367" i="4"/>
  <c r="O367" i="4"/>
  <c r="P367" i="4"/>
  <c r="J368" i="4"/>
  <c r="M368" i="4" s="1"/>
  <c r="L368" i="4"/>
  <c r="O368" i="4"/>
  <c r="P368" i="4"/>
  <c r="J369" i="4"/>
  <c r="M369" i="4" s="1"/>
  <c r="L369" i="4"/>
  <c r="O369" i="4"/>
  <c r="P369" i="4" s="1"/>
  <c r="J370" i="4"/>
  <c r="M370" i="4" s="1"/>
  <c r="L370" i="4"/>
  <c r="O370" i="4"/>
  <c r="P370" i="4"/>
  <c r="J371" i="4"/>
  <c r="L371" i="4"/>
  <c r="M371" i="4"/>
  <c r="O371" i="4"/>
  <c r="P371" i="4"/>
  <c r="J372" i="4"/>
  <c r="M372" i="4" s="1"/>
  <c r="L372" i="4"/>
  <c r="O372" i="4"/>
  <c r="P372" i="4"/>
  <c r="J373" i="4"/>
  <c r="L373" i="4"/>
  <c r="M373" i="4"/>
  <c r="O373" i="4"/>
  <c r="P373" i="4"/>
  <c r="J374" i="4"/>
  <c r="M374" i="4" s="1"/>
  <c r="L374" i="4"/>
  <c r="O374" i="4"/>
  <c r="P374" i="4"/>
  <c r="J375" i="4"/>
  <c r="M375" i="4" s="1"/>
  <c r="L375" i="4"/>
  <c r="O375" i="4"/>
  <c r="P375" i="4"/>
  <c r="J376" i="4"/>
  <c r="M376" i="4" s="1"/>
  <c r="L376" i="4"/>
  <c r="O376" i="4"/>
  <c r="P376" i="4"/>
  <c r="J377" i="4"/>
  <c r="L377" i="4"/>
  <c r="M377" i="4"/>
  <c r="O377" i="4"/>
  <c r="P377" i="4" s="1"/>
  <c r="J378" i="4"/>
  <c r="M378" i="4" s="1"/>
  <c r="L378" i="4"/>
  <c r="O378" i="4"/>
  <c r="P378" i="4" s="1"/>
  <c r="J379" i="4"/>
  <c r="M379" i="4" s="1"/>
  <c r="L379" i="4"/>
  <c r="O379" i="4"/>
  <c r="P379" i="4"/>
  <c r="J380" i="4"/>
  <c r="M380" i="4" s="1"/>
  <c r="L380" i="4"/>
  <c r="O380" i="4"/>
  <c r="P380" i="4" s="1"/>
  <c r="J381" i="4"/>
  <c r="L381" i="4"/>
  <c r="M381" i="4"/>
  <c r="O381" i="4"/>
  <c r="P381" i="4"/>
  <c r="J382" i="4"/>
  <c r="M382" i="4" s="1"/>
  <c r="L382" i="4"/>
  <c r="O382" i="4"/>
  <c r="P382" i="4" s="1"/>
  <c r="J383" i="4"/>
  <c r="L383" i="4"/>
  <c r="M383" i="4"/>
  <c r="O383" i="4"/>
  <c r="P383" i="4" s="1"/>
  <c r="J384" i="4"/>
  <c r="M384" i="4" s="1"/>
  <c r="L384" i="4"/>
  <c r="O384" i="4"/>
  <c r="P384" i="4"/>
  <c r="J385" i="4"/>
  <c r="L385" i="4"/>
  <c r="M385" i="4"/>
  <c r="O385" i="4"/>
  <c r="P385" i="4" s="1"/>
  <c r="J386" i="4"/>
  <c r="M386" i="4" s="1"/>
  <c r="L386" i="4"/>
  <c r="O386" i="4"/>
  <c r="P386" i="4" s="1"/>
  <c r="J387" i="4"/>
  <c r="L387" i="4"/>
  <c r="M387" i="4"/>
  <c r="O387" i="4"/>
  <c r="P387" i="4" s="1"/>
  <c r="J388" i="4"/>
  <c r="M388" i="4" s="1"/>
  <c r="L388" i="4"/>
  <c r="O388" i="4"/>
  <c r="P388" i="4"/>
  <c r="J389" i="4"/>
  <c r="M389" i="4" s="1"/>
  <c r="L389" i="4"/>
  <c r="O389" i="4"/>
  <c r="P389" i="4"/>
  <c r="J390" i="4"/>
  <c r="M390" i="4" s="1"/>
  <c r="L390" i="4"/>
  <c r="O390" i="4"/>
  <c r="P390" i="4" s="1"/>
  <c r="J391" i="4"/>
  <c r="M391" i="4" s="1"/>
  <c r="L391" i="4"/>
  <c r="O391" i="4"/>
  <c r="P391" i="4" s="1"/>
  <c r="J392" i="4"/>
  <c r="M392" i="4" s="1"/>
  <c r="L392" i="4"/>
  <c r="O392" i="4"/>
  <c r="P392" i="4" s="1"/>
  <c r="J393" i="4"/>
  <c r="L393" i="4"/>
  <c r="M393" i="4"/>
  <c r="O393" i="4"/>
  <c r="P393" i="4" s="1"/>
  <c r="J394" i="4"/>
  <c r="L394" i="4"/>
  <c r="M394" i="4"/>
  <c r="O394" i="4"/>
  <c r="P394" i="4"/>
  <c r="J395" i="4"/>
  <c r="L395" i="4"/>
  <c r="M395" i="4"/>
  <c r="O395" i="4"/>
  <c r="P395" i="4"/>
  <c r="J396" i="4"/>
  <c r="M396" i="4" s="1"/>
  <c r="L396" i="4"/>
  <c r="O396" i="4"/>
  <c r="P396" i="4"/>
  <c r="J397" i="4"/>
  <c r="M397" i="4" s="1"/>
  <c r="L397" i="4"/>
  <c r="O397" i="4"/>
  <c r="P397" i="4"/>
  <c r="J398" i="4"/>
  <c r="M398" i="4" s="1"/>
  <c r="L398" i="4"/>
  <c r="O398" i="4"/>
  <c r="P398" i="4" s="1"/>
  <c r="J399" i="4"/>
  <c r="M399" i="4" s="1"/>
  <c r="L399" i="4"/>
  <c r="O399" i="4"/>
  <c r="P399" i="4" s="1"/>
  <c r="J400" i="4"/>
  <c r="M400" i="4" s="1"/>
  <c r="L400" i="4"/>
  <c r="O400" i="4"/>
  <c r="P400" i="4" s="1"/>
  <c r="J401" i="4"/>
  <c r="M401" i="4" s="1"/>
  <c r="L401" i="4"/>
  <c r="O401" i="4"/>
  <c r="P401" i="4"/>
  <c r="J402" i="4"/>
  <c r="M402" i="4" s="1"/>
  <c r="L402" i="4"/>
  <c r="O402" i="4"/>
  <c r="P402" i="4"/>
  <c r="J403" i="4"/>
  <c r="L403" i="4"/>
  <c r="M403" i="4"/>
  <c r="O403" i="4"/>
  <c r="P403" i="4"/>
  <c r="J404" i="4"/>
  <c r="M404" i="4" s="1"/>
  <c r="L404" i="4"/>
  <c r="O404" i="4"/>
  <c r="P404" i="4" s="1"/>
  <c r="J405" i="4"/>
  <c r="L405" i="4"/>
  <c r="M405" i="4"/>
  <c r="O405" i="4"/>
  <c r="P405" i="4"/>
  <c r="J406" i="4"/>
  <c r="L406" i="4"/>
  <c r="M406" i="4"/>
  <c r="O406" i="4"/>
  <c r="P406" i="4" s="1"/>
  <c r="J407" i="4"/>
  <c r="M407" i="4" s="1"/>
  <c r="L407" i="4"/>
  <c r="O407" i="4"/>
  <c r="P407" i="4" s="1"/>
  <c r="J408" i="4"/>
  <c r="M408" i="4" s="1"/>
  <c r="L408" i="4"/>
  <c r="O408" i="4"/>
  <c r="P408" i="4" s="1"/>
  <c r="J409" i="4"/>
  <c r="L409" i="4"/>
  <c r="M409" i="4"/>
  <c r="O409" i="4"/>
  <c r="P409" i="4"/>
  <c r="J410" i="4"/>
  <c r="L410" i="4"/>
  <c r="M410" i="4"/>
  <c r="O410" i="4"/>
  <c r="P410" i="4"/>
  <c r="J411" i="4"/>
  <c r="M411" i="4" s="1"/>
  <c r="L411" i="4"/>
  <c r="O411" i="4"/>
  <c r="P411" i="4"/>
  <c r="J412" i="4"/>
  <c r="M412" i="4" s="1"/>
  <c r="L412" i="4"/>
  <c r="O412" i="4"/>
  <c r="P412" i="4"/>
  <c r="J413" i="4"/>
  <c r="M413" i="4" s="1"/>
  <c r="L413" i="4"/>
  <c r="O413" i="4"/>
  <c r="P413" i="4"/>
  <c r="J414" i="4"/>
  <c r="L414" i="4"/>
  <c r="M414" i="4"/>
  <c r="O414" i="4"/>
  <c r="P414" i="4" s="1"/>
  <c r="J415" i="4"/>
  <c r="M415" i="4" s="1"/>
  <c r="L415" i="4"/>
  <c r="O415" i="4"/>
  <c r="P415" i="4"/>
  <c r="J416" i="4"/>
  <c r="M416" i="4" s="1"/>
  <c r="L416" i="4"/>
  <c r="O416" i="4"/>
  <c r="P416" i="4" s="1"/>
  <c r="J417" i="4"/>
  <c r="M417" i="4" s="1"/>
  <c r="L417" i="4"/>
  <c r="O417" i="4"/>
  <c r="P417" i="4"/>
  <c r="J418" i="4"/>
  <c r="M418" i="4" s="1"/>
  <c r="L418" i="4"/>
  <c r="O418" i="4"/>
  <c r="P418" i="4"/>
  <c r="J419" i="4"/>
  <c r="M419" i="4" s="1"/>
  <c r="L419" i="4"/>
  <c r="O419" i="4"/>
  <c r="P419" i="4" s="1"/>
  <c r="J420" i="4"/>
  <c r="M420" i="4" s="1"/>
  <c r="L420" i="4"/>
  <c r="O420" i="4"/>
  <c r="P420" i="4"/>
  <c r="J421" i="4"/>
  <c r="L421" i="4"/>
  <c r="M421" i="4"/>
  <c r="O421" i="4"/>
  <c r="P421" i="4"/>
  <c r="J422" i="4"/>
  <c r="L422" i="4"/>
  <c r="M422" i="4"/>
  <c r="O422" i="4"/>
  <c r="P422" i="4" s="1"/>
  <c r="J423" i="4"/>
  <c r="L423" i="4"/>
  <c r="M423" i="4"/>
  <c r="O423" i="4"/>
  <c r="P423" i="4" s="1"/>
  <c r="J424" i="4"/>
  <c r="M424" i="4" s="1"/>
  <c r="L424" i="4"/>
  <c r="O424" i="4"/>
  <c r="P424" i="4" s="1"/>
  <c r="J425" i="4"/>
  <c r="M425" i="4" s="1"/>
  <c r="L425" i="4"/>
  <c r="O425" i="4"/>
  <c r="P425" i="4" s="1"/>
  <c r="J426" i="4"/>
  <c r="L426" i="4"/>
  <c r="M426" i="4"/>
  <c r="O426" i="4"/>
  <c r="P426" i="4"/>
  <c r="J427" i="4"/>
  <c r="L427" i="4"/>
  <c r="M427" i="4"/>
  <c r="O427" i="4"/>
  <c r="P427" i="4"/>
  <c r="J428" i="4"/>
  <c r="M428" i="4" s="1"/>
  <c r="L428" i="4"/>
  <c r="O428" i="4"/>
  <c r="P428" i="4"/>
  <c r="J429" i="4"/>
  <c r="M429" i="4" s="1"/>
  <c r="L429" i="4"/>
  <c r="O429" i="4"/>
  <c r="P429" i="4"/>
  <c r="J430" i="4"/>
  <c r="L430" i="4"/>
  <c r="M430" i="4"/>
  <c r="O430" i="4"/>
  <c r="P430" i="4" s="1"/>
  <c r="J431" i="4"/>
  <c r="L431" i="4"/>
  <c r="M431" i="4"/>
  <c r="O431" i="4"/>
  <c r="P431" i="4"/>
  <c r="J432" i="4"/>
  <c r="M432" i="4" s="1"/>
  <c r="L432" i="4"/>
  <c r="O432" i="4"/>
  <c r="P432" i="4" s="1"/>
  <c r="J433" i="4"/>
  <c r="M433" i="4" s="1"/>
  <c r="L433" i="4"/>
  <c r="O433" i="4"/>
  <c r="P433" i="4"/>
  <c r="J434" i="4"/>
  <c r="M434" i="4" s="1"/>
  <c r="L434" i="4"/>
  <c r="O434" i="4"/>
  <c r="P434" i="4"/>
  <c r="J435" i="4"/>
  <c r="M435" i="4" s="1"/>
  <c r="L435" i="4"/>
  <c r="O435" i="4"/>
  <c r="P435" i="4"/>
  <c r="J436" i="4"/>
  <c r="M436" i="4" s="1"/>
  <c r="L436" i="4"/>
  <c r="O436" i="4"/>
  <c r="P436" i="4"/>
  <c r="J437" i="4"/>
  <c r="L437" i="4"/>
  <c r="M437" i="4"/>
  <c r="O437" i="4"/>
  <c r="P437" i="4" s="1"/>
  <c r="J438" i="4"/>
  <c r="M438" i="4" s="1"/>
  <c r="L438" i="4"/>
  <c r="O438" i="4"/>
  <c r="P438" i="4"/>
  <c r="J439" i="4"/>
  <c r="L439" i="4"/>
  <c r="M439" i="4"/>
  <c r="O439" i="4"/>
  <c r="P439" i="4" s="1"/>
  <c r="J440" i="4"/>
  <c r="M440" i="4" s="1"/>
  <c r="L440" i="4"/>
  <c r="O440" i="4"/>
  <c r="P440" i="4"/>
  <c r="J441" i="4"/>
  <c r="L441" i="4"/>
  <c r="M441" i="4"/>
  <c r="O441" i="4"/>
  <c r="P441" i="4" s="1"/>
  <c r="J442" i="4"/>
  <c r="L442" i="4"/>
  <c r="M442" i="4"/>
  <c r="O442" i="4"/>
  <c r="P442" i="4" s="1"/>
  <c r="J443" i="4"/>
  <c r="M443" i="4" s="1"/>
  <c r="L443" i="4"/>
  <c r="O443" i="4"/>
  <c r="P443" i="4"/>
  <c r="J444" i="4"/>
  <c r="M444" i="4" s="1"/>
  <c r="L444" i="4"/>
  <c r="O444" i="4"/>
  <c r="P444" i="4"/>
  <c r="J445" i="4"/>
  <c r="M445" i="4" s="1"/>
  <c r="L445" i="4"/>
  <c r="O445" i="4"/>
  <c r="P445" i="4"/>
  <c r="J446" i="4"/>
  <c r="L446" i="4"/>
  <c r="M446" i="4"/>
  <c r="O446" i="4"/>
  <c r="P446" i="4" s="1"/>
  <c r="J447" i="4"/>
  <c r="L447" i="4"/>
  <c r="M447" i="4"/>
  <c r="O447" i="4"/>
  <c r="P447" i="4" s="1"/>
  <c r="J448" i="4"/>
  <c r="M448" i="4" s="1"/>
  <c r="L448" i="4"/>
  <c r="O448" i="4"/>
  <c r="P448" i="4" s="1"/>
  <c r="J449" i="4"/>
  <c r="L449" i="4"/>
  <c r="M449" i="4"/>
  <c r="O449" i="4"/>
  <c r="P449" i="4"/>
  <c r="J450" i="4"/>
  <c r="M450" i="4" s="1"/>
  <c r="L450" i="4"/>
  <c r="O450" i="4"/>
  <c r="P450" i="4" s="1"/>
  <c r="J451" i="4"/>
  <c r="M451" i="4" s="1"/>
  <c r="L451" i="4"/>
  <c r="O451" i="4"/>
  <c r="P451" i="4" s="1"/>
  <c r="J452" i="4"/>
  <c r="M452" i="4" s="1"/>
  <c r="L452" i="4"/>
  <c r="O452" i="4"/>
  <c r="P452" i="4"/>
  <c r="J453" i="4"/>
  <c r="M453" i="4" s="1"/>
  <c r="L453" i="4"/>
  <c r="O453" i="4"/>
  <c r="P453" i="4" s="1"/>
  <c r="J454" i="4"/>
  <c r="M454" i="4" s="1"/>
  <c r="L454" i="4"/>
  <c r="O454" i="4"/>
  <c r="P454" i="4"/>
  <c r="J455" i="4"/>
  <c r="M455" i="4" s="1"/>
  <c r="L455" i="4"/>
  <c r="O455" i="4"/>
  <c r="P455" i="4"/>
  <c r="J456" i="4"/>
  <c r="L456" i="4"/>
  <c r="M456" i="4"/>
  <c r="O456" i="4"/>
  <c r="P456" i="4" s="1"/>
  <c r="J457" i="4"/>
  <c r="L457" i="4"/>
  <c r="M457" i="4"/>
  <c r="O457" i="4"/>
  <c r="P457" i="4" s="1"/>
  <c r="J458" i="4"/>
  <c r="L458" i="4"/>
  <c r="M458" i="4"/>
  <c r="O458" i="4"/>
  <c r="P458" i="4"/>
  <c r="J459" i="4"/>
  <c r="M459" i="4" s="1"/>
  <c r="L459" i="4"/>
  <c r="O459" i="4"/>
  <c r="P459" i="4" s="1"/>
  <c r="J460" i="4"/>
  <c r="M460" i="4" s="1"/>
  <c r="L460" i="4"/>
  <c r="O460" i="4"/>
  <c r="P460" i="4" s="1"/>
  <c r="J461" i="4"/>
  <c r="L461" i="4"/>
  <c r="M461" i="4"/>
  <c r="O461" i="4"/>
  <c r="P461" i="4" s="1"/>
  <c r="J462" i="4"/>
  <c r="M462" i="4" s="1"/>
  <c r="L462" i="4"/>
  <c r="O462" i="4"/>
  <c r="P462" i="4"/>
  <c r="J463" i="4"/>
  <c r="M463" i="4" s="1"/>
  <c r="L463" i="4"/>
  <c r="O463" i="4"/>
  <c r="P463" i="4"/>
  <c r="J464" i="4"/>
  <c r="L464" i="4"/>
  <c r="M464" i="4"/>
  <c r="O464" i="4"/>
  <c r="P464" i="4" s="1"/>
  <c r="J465" i="4"/>
  <c r="L465" i="4"/>
  <c r="M465" i="4"/>
  <c r="O465" i="4"/>
  <c r="P465" i="4" s="1"/>
  <c r="J466" i="4"/>
  <c r="L466" i="4"/>
  <c r="M466" i="4"/>
  <c r="O466" i="4"/>
  <c r="P466" i="4"/>
  <c r="J467" i="4"/>
  <c r="M467" i="4" s="1"/>
  <c r="L467" i="4"/>
  <c r="O467" i="4"/>
  <c r="P467" i="4" s="1"/>
  <c r="J468" i="4"/>
  <c r="L468" i="4"/>
  <c r="M468" i="4"/>
  <c r="O468" i="4"/>
  <c r="P468" i="4" s="1"/>
  <c r="J469" i="4"/>
  <c r="M469" i="4" s="1"/>
  <c r="L469" i="4"/>
  <c r="O469" i="4"/>
  <c r="P469" i="4" s="1"/>
  <c r="J470" i="4"/>
  <c r="L470" i="4"/>
  <c r="M470" i="4"/>
  <c r="O470" i="4"/>
  <c r="P470" i="4"/>
  <c r="J471" i="4"/>
  <c r="M471" i="4" s="1"/>
  <c r="L471" i="4"/>
  <c r="O471" i="4"/>
  <c r="P471" i="4"/>
  <c r="J472" i="4"/>
  <c r="L472" i="4"/>
  <c r="M472" i="4"/>
  <c r="O472" i="4"/>
  <c r="P472" i="4" s="1"/>
  <c r="J473" i="4"/>
  <c r="M473" i="4" s="1"/>
  <c r="L473" i="4"/>
  <c r="O473" i="4"/>
  <c r="P473" i="4" s="1"/>
  <c r="J474" i="4"/>
  <c r="L474" i="4"/>
  <c r="M474" i="4"/>
  <c r="O474" i="4"/>
  <c r="P474" i="4"/>
  <c r="J475" i="4"/>
  <c r="M475" i="4" s="1"/>
  <c r="L475" i="4"/>
  <c r="O475" i="4"/>
  <c r="P475" i="4"/>
  <c r="J476" i="4"/>
  <c r="L476" i="4"/>
  <c r="M476" i="4"/>
  <c r="O476" i="4"/>
  <c r="P476" i="4" s="1"/>
  <c r="J477" i="4"/>
  <c r="L477" i="4"/>
  <c r="M477" i="4"/>
  <c r="O477" i="4"/>
  <c r="P477" i="4" s="1"/>
  <c r="J478" i="4"/>
  <c r="M478" i="4" s="1"/>
  <c r="L478" i="4"/>
  <c r="O478" i="4"/>
  <c r="P478" i="4"/>
  <c r="J479" i="4"/>
  <c r="M479" i="4" s="1"/>
  <c r="L479" i="4"/>
  <c r="O479" i="4"/>
  <c r="P479" i="4" s="1"/>
  <c r="J480" i="4"/>
  <c r="L480" i="4"/>
  <c r="M480" i="4"/>
  <c r="O480" i="4"/>
  <c r="P480" i="4"/>
  <c r="J481" i="4"/>
  <c r="L481" i="4"/>
  <c r="M481" i="4"/>
  <c r="O481" i="4"/>
  <c r="P481" i="4" s="1"/>
  <c r="J482" i="4"/>
  <c r="L482" i="4"/>
  <c r="M482" i="4"/>
  <c r="O482" i="4"/>
  <c r="P482" i="4"/>
  <c r="J483" i="4"/>
  <c r="M483" i="4" s="1"/>
  <c r="L483" i="4"/>
  <c r="O483" i="4"/>
  <c r="P483" i="4"/>
  <c r="J484" i="4"/>
  <c r="M484" i="4" s="1"/>
  <c r="L484" i="4"/>
  <c r="O484" i="4"/>
  <c r="P484" i="4"/>
  <c r="J485" i="4"/>
  <c r="M485" i="4" s="1"/>
  <c r="L485" i="4"/>
  <c r="O485" i="4"/>
  <c r="P485" i="4" s="1"/>
  <c r="J486" i="4"/>
  <c r="M486" i="4" s="1"/>
  <c r="L486" i="4"/>
  <c r="O486" i="4"/>
  <c r="P486" i="4"/>
  <c r="J487" i="4"/>
  <c r="M487" i="4" s="1"/>
  <c r="L487" i="4"/>
  <c r="O487" i="4"/>
  <c r="P487" i="4"/>
  <c r="J488" i="4"/>
  <c r="L488" i="4"/>
  <c r="M488" i="4"/>
  <c r="O488" i="4"/>
  <c r="P488" i="4" s="1"/>
  <c r="J489" i="4"/>
  <c r="L489" i="4"/>
  <c r="M489" i="4"/>
  <c r="O489" i="4"/>
  <c r="P489" i="4" s="1"/>
  <c r="J490" i="4"/>
  <c r="L490" i="4"/>
  <c r="M490" i="4"/>
  <c r="O490" i="4"/>
  <c r="P490" i="4" s="1"/>
  <c r="J491" i="4"/>
  <c r="M491" i="4" s="1"/>
  <c r="L491" i="4"/>
  <c r="O491" i="4"/>
  <c r="P491" i="4"/>
  <c r="J492" i="4"/>
  <c r="M492" i="4" s="1"/>
  <c r="L492" i="4"/>
  <c r="O492" i="4"/>
  <c r="P492" i="4"/>
  <c r="J493" i="4"/>
  <c r="M493" i="4" s="1"/>
  <c r="L493" i="4"/>
  <c r="O493" i="4"/>
  <c r="P493" i="4" s="1"/>
  <c r="J494" i="4"/>
  <c r="L494" i="4"/>
  <c r="M494" i="4"/>
  <c r="O494" i="4"/>
  <c r="P494" i="4" s="1"/>
  <c r="J495" i="4"/>
  <c r="M495" i="4" s="1"/>
  <c r="L495" i="4"/>
  <c r="O495" i="4"/>
  <c r="P495" i="4"/>
  <c r="J496" i="4"/>
  <c r="L496" i="4"/>
  <c r="M496" i="4"/>
  <c r="O496" i="4"/>
  <c r="P496" i="4" s="1"/>
  <c r="J497" i="4"/>
  <c r="L497" i="4"/>
  <c r="M497" i="4"/>
  <c r="O497" i="4"/>
  <c r="P497" i="4" s="1"/>
  <c r="J498" i="4"/>
  <c r="L498" i="4"/>
  <c r="M498" i="4"/>
  <c r="O498" i="4"/>
  <c r="P498" i="4"/>
  <c r="J499" i="4"/>
  <c r="M499" i="4" s="1"/>
  <c r="L499" i="4"/>
  <c r="O499" i="4"/>
  <c r="P499" i="4"/>
  <c r="J500" i="4"/>
  <c r="M500" i="4" s="1"/>
  <c r="L500" i="4"/>
  <c r="O500" i="4"/>
  <c r="P500" i="4" s="1"/>
  <c r="J501" i="4"/>
  <c r="L501" i="4"/>
  <c r="M501" i="4"/>
  <c r="O501" i="4"/>
  <c r="P501" i="4" s="1"/>
  <c r="J502" i="4"/>
  <c r="M502" i="4" s="1"/>
  <c r="L502" i="4"/>
  <c r="O502" i="4"/>
  <c r="P502" i="4" s="1"/>
  <c r="J503" i="4"/>
  <c r="M503" i="4" s="1"/>
  <c r="L503" i="4"/>
  <c r="O503" i="4"/>
  <c r="P503" i="4" s="1"/>
  <c r="J504" i="4"/>
  <c r="L504" i="4"/>
  <c r="M504" i="4"/>
  <c r="O504" i="4"/>
  <c r="P504" i="4" s="1"/>
  <c r="J505" i="4"/>
  <c r="L505" i="4"/>
  <c r="M505" i="4"/>
  <c r="O505" i="4"/>
  <c r="P505" i="4" s="1"/>
  <c r="J506" i="4"/>
  <c r="L506" i="4"/>
  <c r="M506" i="4"/>
  <c r="O506" i="4"/>
  <c r="P506" i="4"/>
  <c r="J507" i="4"/>
  <c r="M507" i="4" s="1"/>
  <c r="L507" i="4"/>
  <c r="O507" i="4"/>
  <c r="P507" i="4"/>
  <c r="J508" i="4"/>
  <c r="M508" i="4" s="1"/>
  <c r="L508" i="4"/>
  <c r="O508" i="4"/>
  <c r="P508" i="4"/>
  <c r="J509" i="4"/>
  <c r="M509" i="4" s="1"/>
  <c r="L509" i="4"/>
  <c r="O509" i="4"/>
  <c r="P509" i="4" s="1"/>
  <c r="J510" i="4"/>
  <c r="L510" i="4"/>
  <c r="M510" i="4"/>
  <c r="O510" i="4"/>
  <c r="P510" i="4" s="1"/>
  <c r="J511" i="4"/>
  <c r="M511" i="4" s="1"/>
  <c r="L511" i="4"/>
  <c r="O511" i="4"/>
  <c r="P511" i="4"/>
  <c r="J512" i="4"/>
  <c r="M512" i="4" s="1"/>
  <c r="L512" i="4"/>
  <c r="O512" i="4"/>
  <c r="P512" i="4"/>
  <c r="J513" i="4"/>
  <c r="L513" i="4"/>
  <c r="M513" i="4"/>
  <c r="O513" i="4"/>
  <c r="P513" i="4" s="1"/>
  <c r="J514" i="4"/>
  <c r="L514" i="4"/>
  <c r="M514" i="4"/>
  <c r="O514" i="4"/>
  <c r="P514" i="4"/>
  <c r="J515" i="4"/>
  <c r="M515" i="4" s="1"/>
  <c r="L515" i="4"/>
  <c r="O515" i="4"/>
  <c r="P515" i="4"/>
  <c r="J516" i="4"/>
  <c r="L516" i="4"/>
  <c r="M516" i="4"/>
  <c r="O516" i="4"/>
  <c r="P516" i="4"/>
  <c r="J517" i="4"/>
  <c r="M517" i="4" s="1"/>
  <c r="L517" i="4"/>
  <c r="O517" i="4"/>
  <c r="P517" i="4" s="1"/>
  <c r="J518" i="4"/>
  <c r="M518" i="4" s="1"/>
  <c r="L518" i="4"/>
  <c r="O518" i="4"/>
  <c r="P518" i="4"/>
  <c r="J519" i="4"/>
  <c r="M519" i="4" s="1"/>
  <c r="L519" i="4"/>
  <c r="O519" i="4"/>
  <c r="P519" i="4" s="1"/>
  <c r="J520" i="4"/>
  <c r="L520" i="4"/>
  <c r="M520" i="4"/>
  <c r="O520" i="4"/>
  <c r="P520" i="4"/>
  <c r="J521" i="4"/>
  <c r="M521" i="4" s="1"/>
  <c r="L521" i="4"/>
  <c r="O521" i="4"/>
  <c r="P521" i="4" s="1"/>
  <c r="J522" i="4"/>
  <c r="L522" i="4"/>
  <c r="M522" i="4"/>
  <c r="O522" i="4"/>
  <c r="P522" i="4"/>
  <c r="J523" i="4"/>
  <c r="M523" i="4" s="1"/>
  <c r="L523" i="4"/>
  <c r="O523" i="4"/>
  <c r="P523" i="4"/>
  <c r="J524" i="4"/>
  <c r="M524" i="4" s="1"/>
  <c r="L524" i="4"/>
  <c r="O524" i="4"/>
  <c r="P524" i="4"/>
  <c r="J525" i="4"/>
  <c r="M525" i="4" s="1"/>
  <c r="L525" i="4"/>
  <c r="O525" i="4"/>
  <c r="P525" i="4" s="1"/>
  <c r="J526" i="4"/>
  <c r="L526" i="4"/>
  <c r="M526" i="4"/>
  <c r="O526" i="4"/>
  <c r="P526" i="4" s="1"/>
  <c r="J527" i="4"/>
  <c r="M527" i="4" s="1"/>
  <c r="L527" i="4"/>
  <c r="O527" i="4"/>
  <c r="P527" i="4"/>
  <c r="J528" i="4"/>
  <c r="L528" i="4"/>
  <c r="M528" i="4"/>
  <c r="O528" i="4"/>
  <c r="P528" i="4" s="1"/>
  <c r="J529" i="4"/>
  <c r="L529" i="4"/>
  <c r="M529" i="4"/>
  <c r="O529" i="4"/>
  <c r="P529" i="4" s="1"/>
  <c r="J530" i="4"/>
  <c r="L530" i="4"/>
  <c r="M530" i="4"/>
  <c r="O530" i="4"/>
  <c r="P530" i="4"/>
  <c r="J531" i="4"/>
  <c r="M531" i="4" s="1"/>
  <c r="L531" i="4"/>
  <c r="O531" i="4"/>
  <c r="P531" i="4"/>
  <c r="J532" i="4"/>
  <c r="M532" i="4" s="1"/>
  <c r="L532" i="4"/>
  <c r="O532" i="4"/>
  <c r="P532" i="4"/>
  <c r="J533" i="4"/>
  <c r="M533" i="4" s="1"/>
  <c r="L533" i="4"/>
  <c r="O533" i="4"/>
  <c r="P533" i="4" s="1"/>
  <c r="J534" i="4"/>
  <c r="L534" i="4"/>
  <c r="M534" i="4"/>
  <c r="O534" i="4"/>
  <c r="P534" i="4" s="1"/>
  <c r="J535" i="4"/>
  <c r="M535" i="4" s="1"/>
  <c r="L535" i="4"/>
  <c r="O535" i="4"/>
  <c r="P535" i="4"/>
  <c r="J536" i="4"/>
  <c r="L536" i="4"/>
  <c r="M536" i="4"/>
  <c r="O536" i="4"/>
  <c r="P536" i="4" s="1"/>
  <c r="J537" i="4"/>
  <c r="L537" i="4"/>
  <c r="M537" i="4"/>
  <c r="O537" i="4"/>
  <c r="P537" i="4" s="1"/>
  <c r="J538" i="4"/>
  <c r="L538" i="4"/>
  <c r="M538" i="4"/>
  <c r="O538" i="4"/>
  <c r="P538" i="4" s="1"/>
  <c r="J539" i="4"/>
  <c r="M539" i="4" s="1"/>
  <c r="L539" i="4"/>
  <c r="O539" i="4"/>
  <c r="P539" i="4"/>
  <c r="J540" i="4"/>
  <c r="M540" i="4" s="1"/>
  <c r="L540" i="4"/>
  <c r="O540" i="4"/>
  <c r="P540" i="4" s="1"/>
  <c r="J541" i="4"/>
  <c r="L541" i="4"/>
  <c r="M541" i="4"/>
  <c r="O541" i="4"/>
  <c r="P541" i="4" s="1"/>
  <c r="J542" i="4"/>
  <c r="M542" i="4" s="1"/>
  <c r="L542" i="4"/>
  <c r="O542" i="4"/>
  <c r="P542" i="4"/>
  <c r="J543" i="4"/>
  <c r="M543" i="4" s="1"/>
  <c r="L543" i="4"/>
  <c r="O543" i="4"/>
  <c r="P543" i="4" s="1"/>
  <c r="J544" i="4"/>
  <c r="L544" i="4"/>
  <c r="M544" i="4"/>
  <c r="O544" i="4"/>
  <c r="P544" i="4" s="1"/>
  <c r="J545" i="4"/>
  <c r="L545" i="4"/>
  <c r="M545" i="4"/>
  <c r="O545" i="4"/>
  <c r="P545" i="4" s="1"/>
  <c r="J546" i="4"/>
  <c r="L546" i="4"/>
  <c r="M546" i="4"/>
  <c r="O546" i="4"/>
  <c r="P546" i="4"/>
  <c r="J547" i="4"/>
  <c r="M547" i="4" s="1"/>
  <c r="L547" i="4"/>
  <c r="O547" i="4"/>
  <c r="P547" i="4"/>
  <c r="J548" i="4"/>
  <c r="M548" i="4" s="1"/>
  <c r="L548" i="4"/>
  <c r="O548" i="4"/>
  <c r="P548" i="4"/>
  <c r="J549" i="4"/>
  <c r="M549" i="4" s="1"/>
  <c r="L549" i="4"/>
  <c r="O549" i="4"/>
  <c r="P549" i="4" s="1"/>
  <c r="J550" i="4"/>
  <c r="L550" i="4"/>
  <c r="M550" i="4"/>
  <c r="O550" i="4"/>
  <c r="P550" i="4"/>
  <c r="J551" i="4"/>
  <c r="M551" i="4" s="1"/>
  <c r="L551" i="4"/>
  <c r="O551" i="4"/>
  <c r="P551" i="4" s="1"/>
  <c r="J552" i="4"/>
  <c r="L552" i="4"/>
  <c r="M552" i="4"/>
  <c r="O552" i="4"/>
  <c r="P552" i="4" s="1"/>
  <c r="J553" i="4"/>
  <c r="L553" i="4"/>
  <c r="M553" i="4"/>
  <c r="O553" i="4"/>
  <c r="P553" i="4" s="1"/>
  <c r="J554" i="4"/>
  <c r="L554" i="4"/>
  <c r="M554" i="4"/>
  <c r="O554" i="4"/>
  <c r="P554" i="4"/>
  <c r="J555" i="4"/>
  <c r="M555" i="4" s="1"/>
  <c r="L555" i="4"/>
  <c r="O555" i="4"/>
  <c r="P555" i="4"/>
  <c r="J556" i="4"/>
  <c r="M556" i="4" s="1"/>
  <c r="L556" i="4"/>
  <c r="O556" i="4"/>
  <c r="P556" i="4"/>
  <c r="J557" i="4"/>
  <c r="M557" i="4" s="1"/>
  <c r="L557" i="4"/>
  <c r="O557" i="4"/>
  <c r="P557" i="4" s="1"/>
  <c r="J558" i="4"/>
  <c r="M558" i="4" s="1"/>
  <c r="L558" i="4"/>
  <c r="O558" i="4"/>
  <c r="P558" i="4"/>
  <c r="J559" i="4"/>
  <c r="M559" i="4" s="1"/>
  <c r="L559" i="4"/>
  <c r="O559" i="4"/>
  <c r="P559" i="4"/>
  <c r="J560" i="4"/>
  <c r="L560" i="4"/>
  <c r="M560" i="4"/>
  <c r="O560" i="4"/>
  <c r="P560" i="4" s="1"/>
  <c r="J561" i="4"/>
  <c r="L561" i="4"/>
  <c r="M561" i="4"/>
  <c r="O561" i="4"/>
  <c r="P561" i="4" s="1"/>
  <c r="J562" i="4"/>
  <c r="M562" i="4" s="1"/>
  <c r="L562" i="4"/>
  <c r="O562" i="4"/>
  <c r="P562" i="4"/>
  <c r="J563" i="4"/>
  <c r="M563" i="4" s="1"/>
  <c r="L563" i="4"/>
  <c r="O563" i="4"/>
  <c r="P563" i="4"/>
  <c r="J564" i="4"/>
  <c r="M564" i="4" s="1"/>
  <c r="L564" i="4"/>
  <c r="O564" i="4"/>
  <c r="P564" i="4"/>
  <c r="J565" i="4"/>
  <c r="L565" i="4"/>
  <c r="M565" i="4"/>
  <c r="O565" i="4"/>
  <c r="P565" i="4" s="1"/>
  <c r="J566" i="4"/>
  <c r="L566" i="4"/>
  <c r="M566" i="4"/>
  <c r="O566" i="4"/>
  <c r="P566" i="4" s="1"/>
  <c r="J567" i="4"/>
  <c r="M567" i="4" s="1"/>
  <c r="L567" i="4"/>
  <c r="O567" i="4"/>
  <c r="P567" i="4"/>
  <c r="J568" i="4"/>
  <c r="L568" i="4"/>
  <c r="M568" i="4"/>
  <c r="O568" i="4"/>
  <c r="P568" i="4" s="1"/>
  <c r="J569" i="4"/>
  <c r="L569" i="4"/>
  <c r="M569" i="4"/>
  <c r="O569" i="4"/>
  <c r="P569" i="4" s="1"/>
  <c r="J570" i="4"/>
  <c r="M570" i="4" s="1"/>
  <c r="L570" i="4"/>
  <c r="O570" i="4"/>
  <c r="P570" i="4"/>
  <c r="J571" i="4"/>
  <c r="M571" i="4" s="1"/>
  <c r="L571" i="4"/>
  <c r="O571" i="4"/>
  <c r="P571" i="4"/>
  <c r="J572" i="4"/>
  <c r="M572" i="4" s="1"/>
  <c r="L572" i="4"/>
  <c r="O572" i="4"/>
  <c r="P572" i="4"/>
  <c r="J573" i="4"/>
  <c r="M573" i="4" s="1"/>
  <c r="L573" i="4"/>
  <c r="O573" i="4"/>
  <c r="P573" i="4" s="1"/>
  <c r="J574" i="4"/>
  <c r="M574" i="4" s="1"/>
  <c r="L574" i="4"/>
  <c r="O574" i="4"/>
  <c r="P574" i="4"/>
  <c r="J575" i="4"/>
  <c r="M575" i="4" s="1"/>
  <c r="L575" i="4"/>
  <c r="O575" i="4"/>
  <c r="P575" i="4"/>
  <c r="J576" i="4"/>
  <c r="L576" i="4"/>
  <c r="M576" i="4"/>
  <c r="O576" i="4"/>
  <c r="P576" i="4" s="1"/>
  <c r="J577" i="4"/>
  <c r="M577" i="4" s="1"/>
  <c r="L577" i="4"/>
  <c r="O577" i="4"/>
  <c r="P577" i="4" s="1"/>
  <c r="J578" i="4"/>
  <c r="L578" i="4"/>
  <c r="M578" i="4"/>
  <c r="O578" i="4"/>
  <c r="P578" i="4"/>
  <c r="J579" i="4"/>
  <c r="M579" i="4" s="1"/>
  <c r="L579" i="4"/>
  <c r="O579" i="4"/>
  <c r="P579" i="4" s="1"/>
  <c r="J580" i="4"/>
  <c r="M580" i="4" s="1"/>
  <c r="L580" i="4"/>
  <c r="O580" i="4"/>
  <c r="P580" i="4" s="1"/>
  <c r="J581" i="4"/>
  <c r="L581" i="4"/>
  <c r="M581" i="4"/>
  <c r="O581" i="4"/>
  <c r="P581" i="4" s="1"/>
  <c r="J582" i="4"/>
  <c r="M582" i="4" s="1"/>
  <c r="L582" i="4"/>
  <c r="O582" i="4"/>
  <c r="P582" i="4"/>
  <c r="J583" i="4"/>
  <c r="M583" i="4" s="1"/>
  <c r="L583" i="4"/>
  <c r="O583" i="4"/>
  <c r="P583" i="4" s="1"/>
  <c r="J584" i="4"/>
  <c r="M584" i="4" s="1"/>
  <c r="L584" i="4"/>
  <c r="O584" i="4"/>
  <c r="P584" i="4" s="1"/>
  <c r="J585" i="4"/>
  <c r="L585" i="4"/>
  <c r="M585" i="4"/>
  <c r="O585" i="4"/>
  <c r="P585" i="4" s="1"/>
  <c r="J586" i="4"/>
  <c r="M586" i="4" s="1"/>
  <c r="L586" i="4"/>
  <c r="O586" i="4"/>
  <c r="P586" i="4"/>
  <c r="J587" i="4"/>
  <c r="M587" i="4" s="1"/>
  <c r="L587" i="4"/>
  <c r="O587" i="4"/>
  <c r="P587" i="4" s="1"/>
  <c r="J588" i="4"/>
  <c r="L588" i="4"/>
  <c r="M588" i="4"/>
  <c r="O588" i="4"/>
  <c r="P588" i="4" s="1"/>
  <c r="J589" i="4"/>
  <c r="M589" i="4" s="1"/>
  <c r="L589" i="4"/>
  <c r="O589" i="4"/>
  <c r="P589" i="4" s="1"/>
  <c r="J590" i="4"/>
  <c r="L590" i="4"/>
  <c r="M590" i="4"/>
  <c r="O590" i="4"/>
  <c r="P590" i="4"/>
  <c r="J591" i="4"/>
  <c r="M591" i="4" s="1"/>
  <c r="L591" i="4"/>
  <c r="O591" i="4"/>
  <c r="P591" i="4"/>
  <c r="J592" i="4"/>
  <c r="L592" i="4"/>
  <c r="M592" i="4"/>
  <c r="O592" i="4"/>
  <c r="P592" i="4"/>
  <c r="J593" i="4"/>
  <c r="M593" i="4" s="1"/>
  <c r="L593" i="4"/>
  <c r="O593" i="4"/>
  <c r="P593" i="4" s="1"/>
  <c r="J594" i="4"/>
  <c r="L594" i="4"/>
  <c r="M594" i="4"/>
  <c r="O594" i="4"/>
  <c r="P594" i="4"/>
  <c r="J595" i="4"/>
  <c r="M595" i="4" s="1"/>
  <c r="L595" i="4"/>
  <c r="O595" i="4"/>
  <c r="P595" i="4"/>
  <c r="J596" i="4"/>
  <c r="M596" i="4" s="1"/>
  <c r="L596" i="4"/>
  <c r="O596" i="4"/>
  <c r="P596" i="4" s="1"/>
  <c r="J597" i="4"/>
  <c r="L597" i="4"/>
  <c r="M597" i="4"/>
  <c r="O597" i="4"/>
  <c r="P597" i="4" s="1"/>
  <c r="J598" i="4"/>
  <c r="M598" i="4" s="1"/>
  <c r="L598" i="4"/>
  <c r="O598" i="4"/>
  <c r="P598" i="4"/>
  <c r="J599" i="4"/>
  <c r="M599" i="4" s="1"/>
  <c r="L599" i="4"/>
  <c r="O599" i="4"/>
  <c r="P599" i="4" s="1"/>
  <c r="J600" i="4"/>
  <c r="L600" i="4"/>
  <c r="M600" i="4"/>
  <c r="O600" i="4"/>
  <c r="P600" i="4"/>
  <c r="J601" i="4"/>
  <c r="L601" i="4"/>
  <c r="M601" i="4"/>
  <c r="O601" i="4"/>
  <c r="P601" i="4" s="1"/>
  <c r="J602" i="4"/>
  <c r="L602" i="4"/>
  <c r="M602" i="4"/>
  <c r="O602" i="4"/>
  <c r="P602" i="4"/>
  <c r="J603" i="4"/>
  <c r="M603" i="4" s="1"/>
  <c r="L603" i="4"/>
  <c r="O603" i="4"/>
  <c r="P603" i="4"/>
  <c r="J604" i="4"/>
  <c r="M604" i="4" s="1"/>
  <c r="L604" i="4"/>
  <c r="O604" i="4"/>
  <c r="P604" i="4"/>
  <c r="J605" i="4"/>
  <c r="L605" i="4"/>
  <c r="M605" i="4"/>
  <c r="O605" i="4"/>
  <c r="P605" i="4" s="1"/>
  <c r="J606" i="4"/>
  <c r="M606" i="4" s="1"/>
  <c r="L606" i="4"/>
  <c r="O606" i="4"/>
  <c r="P606" i="4" s="1"/>
  <c r="J607" i="4"/>
  <c r="M607" i="4" s="1"/>
  <c r="L607" i="4"/>
  <c r="O607" i="4"/>
  <c r="P607" i="4"/>
  <c r="J608" i="4"/>
  <c r="L608" i="4"/>
  <c r="M608" i="4"/>
  <c r="O608" i="4"/>
  <c r="P608" i="4" s="1"/>
  <c r="J609" i="4"/>
  <c r="L609" i="4"/>
  <c r="M609" i="4"/>
  <c r="O609" i="4"/>
  <c r="P609" i="4" s="1"/>
  <c r="J610" i="4"/>
  <c r="M610" i="4" s="1"/>
  <c r="L610" i="4"/>
  <c r="O610" i="4"/>
  <c r="P610" i="4"/>
  <c r="J611" i="4"/>
  <c r="M611" i="4" s="1"/>
  <c r="L611" i="4"/>
  <c r="O611" i="4"/>
  <c r="P611" i="4"/>
  <c r="J612" i="4"/>
  <c r="M612" i="4" s="1"/>
  <c r="L612" i="4"/>
  <c r="O612" i="4"/>
  <c r="P612" i="4" s="1"/>
  <c r="J613" i="4"/>
  <c r="M613" i="4" s="1"/>
  <c r="L613" i="4"/>
  <c r="O613" i="4"/>
  <c r="P613" i="4" s="1"/>
  <c r="J614" i="4"/>
  <c r="M614" i="4" s="1"/>
  <c r="L614" i="4"/>
  <c r="O614" i="4"/>
  <c r="P614" i="4"/>
  <c r="J615" i="4"/>
  <c r="M615" i="4" s="1"/>
  <c r="L615" i="4"/>
  <c r="O615" i="4"/>
  <c r="P615" i="4"/>
  <c r="J616" i="4"/>
  <c r="L616" i="4"/>
  <c r="M616" i="4"/>
  <c r="O616" i="4"/>
  <c r="P616" i="4" s="1"/>
  <c r="J617" i="4"/>
  <c r="L617" i="4"/>
  <c r="M617" i="4"/>
  <c r="O617" i="4"/>
  <c r="P617" i="4" s="1"/>
  <c r="J618" i="4"/>
  <c r="L618" i="4"/>
  <c r="M618" i="4"/>
  <c r="O618" i="4"/>
  <c r="P618" i="4" s="1"/>
  <c r="J619" i="4"/>
  <c r="M619" i="4" s="1"/>
  <c r="L619" i="4"/>
  <c r="O619" i="4"/>
  <c r="P619" i="4" s="1"/>
  <c r="J620" i="4"/>
  <c r="M620" i="4" s="1"/>
  <c r="L620" i="4"/>
  <c r="O620" i="4"/>
  <c r="P620" i="4" s="1"/>
  <c r="J621" i="4"/>
  <c r="L621" i="4"/>
  <c r="M621" i="4"/>
  <c r="O621" i="4"/>
  <c r="P621" i="4" s="1"/>
  <c r="J622" i="4"/>
  <c r="M622" i="4" s="1"/>
  <c r="L622" i="4"/>
  <c r="O622" i="4"/>
  <c r="P622" i="4" s="1"/>
  <c r="J623" i="4"/>
  <c r="M623" i="4" s="1"/>
  <c r="L623" i="4"/>
  <c r="O623" i="4"/>
  <c r="P623" i="4" s="1"/>
  <c r="J624" i="4"/>
  <c r="M624" i="4" s="1"/>
  <c r="L624" i="4"/>
  <c r="O624" i="4"/>
  <c r="P624" i="4" s="1"/>
  <c r="J625" i="4"/>
  <c r="L625" i="4"/>
  <c r="M625" i="4"/>
  <c r="O625" i="4"/>
  <c r="P625" i="4" s="1"/>
  <c r="J626" i="4"/>
  <c r="L626" i="4"/>
  <c r="M626" i="4"/>
  <c r="O626" i="4"/>
  <c r="P626" i="4"/>
  <c r="J627" i="4"/>
  <c r="M627" i="4" s="1"/>
  <c r="L627" i="4"/>
  <c r="O627" i="4"/>
  <c r="P627" i="4" s="1"/>
  <c r="J628" i="4"/>
  <c r="L628" i="4"/>
  <c r="M628" i="4"/>
  <c r="O628" i="4"/>
  <c r="P628" i="4" s="1"/>
  <c r="J629" i="4"/>
  <c r="M629" i="4" s="1"/>
  <c r="L629" i="4"/>
  <c r="O629" i="4"/>
  <c r="P629" i="4" s="1"/>
  <c r="J630" i="4"/>
  <c r="L630" i="4"/>
  <c r="M630" i="4"/>
  <c r="O630" i="4"/>
  <c r="P630" i="4"/>
  <c r="J631" i="4"/>
  <c r="M631" i="4" s="1"/>
  <c r="L631" i="4"/>
  <c r="O631" i="4"/>
  <c r="P631" i="4"/>
  <c r="J632" i="4"/>
  <c r="M632" i="4" s="1"/>
  <c r="L632" i="4"/>
  <c r="O632" i="4"/>
  <c r="P632" i="4"/>
  <c r="J633" i="4"/>
  <c r="L633" i="4"/>
  <c r="M633" i="4"/>
  <c r="O633" i="4"/>
  <c r="P633" i="4" s="1"/>
  <c r="J634" i="4"/>
  <c r="L634" i="4"/>
  <c r="M634" i="4"/>
  <c r="O634" i="4"/>
  <c r="P634" i="4"/>
  <c r="J635" i="4"/>
  <c r="M635" i="4" s="1"/>
  <c r="L635" i="4"/>
  <c r="O635" i="4"/>
  <c r="P635" i="4"/>
  <c r="J636" i="4"/>
  <c r="L636" i="4"/>
  <c r="M636" i="4"/>
  <c r="O636" i="4"/>
  <c r="P636" i="4" s="1"/>
  <c r="J637" i="4"/>
  <c r="L637" i="4"/>
  <c r="M637" i="4"/>
  <c r="O637" i="4"/>
  <c r="P637" i="4" s="1"/>
  <c r="J638" i="4"/>
  <c r="M638" i="4" s="1"/>
  <c r="L638" i="4"/>
  <c r="O638" i="4"/>
  <c r="P638" i="4"/>
  <c r="J639" i="4"/>
  <c r="M639" i="4" s="1"/>
  <c r="L639" i="4"/>
  <c r="O639" i="4"/>
  <c r="P639" i="4" s="1"/>
  <c r="J640" i="4"/>
  <c r="L640" i="4"/>
  <c r="M640" i="4"/>
  <c r="O640" i="4"/>
  <c r="P640" i="4"/>
  <c r="J641" i="4"/>
  <c r="M641" i="4" s="1"/>
  <c r="L641" i="4"/>
  <c r="O641" i="4"/>
  <c r="P641" i="4" s="1"/>
  <c r="J642" i="4"/>
  <c r="M642" i="4" s="1"/>
  <c r="L642" i="4"/>
  <c r="O642" i="4"/>
  <c r="P642" i="4"/>
  <c r="J643" i="4"/>
  <c r="M643" i="4" s="1"/>
  <c r="L643" i="4"/>
  <c r="O643" i="4"/>
  <c r="P643" i="4"/>
  <c r="J644" i="4"/>
  <c r="M644" i="4" s="1"/>
  <c r="L644" i="4"/>
  <c r="O644" i="4"/>
  <c r="P644" i="4"/>
  <c r="J645" i="4"/>
  <c r="M645" i="4" s="1"/>
  <c r="L645" i="4"/>
  <c r="O645" i="4"/>
  <c r="P645" i="4" s="1"/>
  <c r="J646" i="4"/>
  <c r="M646" i="4" s="1"/>
  <c r="L646" i="4"/>
  <c r="O646" i="4"/>
  <c r="P646" i="4"/>
  <c r="J647" i="4"/>
  <c r="M647" i="4" s="1"/>
  <c r="L647" i="4"/>
  <c r="O647" i="4"/>
  <c r="P647" i="4"/>
  <c r="J648" i="4"/>
  <c r="L648" i="4"/>
  <c r="M648" i="4"/>
  <c r="O648" i="4"/>
  <c r="P648" i="4" s="1"/>
  <c r="J649" i="4"/>
  <c r="L649" i="4"/>
  <c r="M649" i="4"/>
  <c r="O649" i="4"/>
  <c r="P649" i="4" s="1"/>
  <c r="J650" i="4"/>
  <c r="L650" i="4"/>
  <c r="M650" i="4"/>
  <c r="O650" i="4"/>
  <c r="P650" i="4" s="1"/>
  <c r="J651" i="4"/>
  <c r="M651" i="4" s="1"/>
  <c r="L651" i="4"/>
  <c r="O651" i="4"/>
  <c r="P651" i="4"/>
  <c r="J652" i="4"/>
  <c r="M652" i="4" s="1"/>
  <c r="L652" i="4"/>
  <c r="O652" i="4"/>
  <c r="P652" i="4"/>
  <c r="J653" i="4"/>
  <c r="L653" i="4"/>
  <c r="M653" i="4"/>
  <c r="O653" i="4"/>
  <c r="P653" i="4" s="1"/>
  <c r="J654" i="4"/>
  <c r="L654" i="4"/>
  <c r="M654" i="4"/>
  <c r="O654" i="4"/>
  <c r="P654" i="4"/>
  <c r="J655" i="4"/>
  <c r="M655" i="4" s="1"/>
  <c r="L655" i="4"/>
  <c r="O655" i="4"/>
  <c r="P655" i="4"/>
  <c r="J656" i="4"/>
  <c r="L656" i="4"/>
  <c r="M656" i="4"/>
  <c r="O656" i="4"/>
  <c r="P656" i="4" s="1"/>
  <c r="J657" i="4"/>
  <c r="L657" i="4"/>
  <c r="M657" i="4"/>
  <c r="O657" i="4"/>
  <c r="P657" i="4" s="1"/>
  <c r="J658" i="4"/>
  <c r="M658" i="4" s="1"/>
  <c r="L658" i="4"/>
  <c r="O658" i="4"/>
  <c r="P658" i="4" s="1"/>
  <c r="J659" i="4"/>
  <c r="M659" i="4" s="1"/>
  <c r="L659" i="4"/>
  <c r="O659" i="4"/>
  <c r="P659" i="4"/>
  <c r="J660" i="4"/>
  <c r="M660" i="4" s="1"/>
  <c r="L660" i="4"/>
  <c r="O660" i="4"/>
  <c r="P660" i="4" s="1"/>
  <c r="J661" i="4"/>
  <c r="L661" i="4"/>
  <c r="M661" i="4"/>
  <c r="O661" i="4"/>
  <c r="P661" i="4" s="1"/>
  <c r="J662" i="4"/>
  <c r="L662" i="4"/>
  <c r="M662" i="4"/>
  <c r="O662" i="4"/>
  <c r="P662" i="4"/>
  <c r="J663" i="4"/>
  <c r="M663" i="4" s="1"/>
  <c r="L663" i="4"/>
  <c r="O663" i="4"/>
  <c r="P663" i="4"/>
  <c r="J664" i="4"/>
  <c r="L664" i="4"/>
  <c r="M664" i="4"/>
  <c r="O664" i="4"/>
  <c r="P664" i="4"/>
  <c r="J665" i="4"/>
  <c r="M665" i="4" s="1"/>
  <c r="L665" i="4"/>
  <c r="O665" i="4"/>
  <c r="P665" i="4" s="1"/>
  <c r="J666" i="4"/>
  <c r="M666" i="4" s="1"/>
  <c r="L666" i="4"/>
  <c r="O666" i="4"/>
  <c r="P666" i="4"/>
  <c r="J667" i="4"/>
  <c r="M667" i="4" s="1"/>
  <c r="L667" i="4"/>
  <c r="O667" i="4"/>
  <c r="P667" i="4" s="1"/>
  <c r="J668" i="4"/>
  <c r="L668" i="4"/>
  <c r="M668" i="4"/>
  <c r="O668" i="4"/>
  <c r="P668" i="4" s="1"/>
  <c r="J669" i="4"/>
  <c r="L669" i="4"/>
  <c r="M669" i="4"/>
  <c r="O669" i="4"/>
  <c r="P669" i="4"/>
  <c r="J670" i="4"/>
  <c r="M670" i="4" s="1"/>
  <c r="L670" i="4"/>
  <c r="O670" i="4"/>
  <c r="P670" i="4"/>
  <c r="J671" i="4"/>
  <c r="L671" i="4"/>
  <c r="M671" i="4"/>
  <c r="O671" i="4"/>
  <c r="P671" i="4"/>
  <c r="J672" i="4"/>
  <c r="M672" i="4" s="1"/>
  <c r="L672" i="4"/>
  <c r="O672" i="4"/>
  <c r="P672" i="4" s="1"/>
  <c r="J673" i="4"/>
  <c r="L673" i="4"/>
  <c r="M673" i="4"/>
  <c r="O673" i="4"/>
  <c r="P673" i="4"/>
  <c r="J674" i="4"/>
  <c r="M674" i="4" s="1"/>
  <c r="L674" i="4"/>
  <c r="O674" i="4"/>
  <c r="P674" i="4" s="1"/>
  <c r="J675" i="4"/>
  <c r="M675" i="4" s="1"/>
  <c r="L675" i="4"/>
  <c r="O675" i="4"/>
  <c r="P675" i="4" s="1"/>
  <c r="J676" i="4"/>
  <c r="L676" i="4"/>
  <c r="M676" i="4"/>
  <c r="O676" i="4"/>
  <c r="P676" i="4" s="1"/>
  <c r="J677" i="4"/>
  <c r="L677" i="4"/>
  <c r="M677" i="4"/>
  <c r="O677" i="4"/>
  <c r="P677" i="4"/>
  <c r="J678" i="4"/>
  <c r="M678" i="4" s="1"/>
  <c r="L678" i="4"/>
  <c r="O678" i="4"/>
  <c r="P678" i="4"/>
  <c r="J679" i="4"/>
  <c r="L679" i="4"/>
  <c r="M679" i="4"/>
  <c r="O679" i="4"/>
  <c r="P679" i="4" s="1"/>
  <c r="J680" i="4"/>
  <c r="M680" i="4" s="1"/>
  <c r="L680" i="4"/>
  <c r="O680" i="4"/>
  <c r="P680" i="4" s="1"/>
  <c r="J681" i="4"/>
  <c r="L681" i="4"/>
  <c r="M681" i="4"/>
  <c r="O681" i="4"/>
  <c r="P681" i="4"/>
  <c r="J682" i="4"/>
  <c r="M682" i="4" s="1"/>
  <c r="L682" i="4"/>
  <c r="O682" i="4"/>
  <c r="P682" i="4"/>
  <c r="J683" i="4"/>
  <c r="L683" i="4"/>
  <c r="M683" i="4"/>
  <c r="O683" i="4"/>
  <c r="P683" i="4" s="1"/>
  <c r="J684" i="4"/>
  <c r="M684" i="4" s="1"/>
  <c r="L684" i="4"/>
  <c r="O684" i="4"/>
  <c r="P684" i="4" s="1"/>
  <c r="J685" i="4"/>
  <c r="L685" i="4"/>
  <c r="M685" i="4"/>
  <c r="O685" i="4"/>
  <c r="P685" i="4"/>
  <c r="J686" i="4"/>
  <c r="M686" i="4" s="1"/>
  <c r="L686" i="4"/>
  <c r="O686" i="4"/>
  <c r="P686" i="4"/>
  <c r="J687" i="4"/>
  <c r="M687" i="4" s="1"/>
  <c r="L687" i="4"/>
  <c r="O687" i="4"/>
  <c r="P687" i="4"/>
  <c r="J688" i="4"/>
  <c r="M688" i="4" s="1"/>
  <c r="L688" i="4"/>
  <c r="O688" i="4"/>
  <c r="P688" i="4" s="1"/>
  <c r="J689" i="4"/>
  <c r="L689" i="4"/>
  <c r="M689" i="4"/>
  <c r="O689" i="4"/>
  <c r="P689" i="4"/>
  <c r="J690" i="4"/>
  <c r="M690" i="4" s="1"/>
  <c r="L690" i="4"/>
  <c r="O690" i="4"/>
  <c r="P690" i="4"/>
  <c r="J691" i="4"/>
  <c r="L691" i="4"/>
  <c r="M691" i="4"/>
  <c r="O691" i="4"/>
  <c r="P691" i="4" s="1"/>
  <c r="J692" i="4"/>
  <c r="L692" i="4"/>
  <c r="M692" i="4"/>
  <c r="O692" i="4"/>
  <c r="P692" i="4" s="1"/>
  <c r="J693" i="4"/>
  <c r="L693" i="4"/>
  <c r="M693" i="4"/>
  <c r="O693" i="4"/>
  <c r="P693" i="4"/>
  <c r="J694" i="4"/>
  <c r="M694" i="4" s="1"/>
  <c r="L694" i="4"/>
  <c r="O694" i="4"/>
  <c r="P694" i="4"/>
  <c r="J695" i="4"/>
  <c r="M695" i="4" s="1"/>
  <c r="L695" i="4"/>
  <c r="O695" i="4"/>
  <c r="P695" i="4"/>
  <c r="J696" i="4"/>
  <c r="M696" i="4" s="1"/>
  <c r="L696" i="4"/>
  <c r="O696" i="4"/>
  <c r="P696" i="4" s="1"/>
  <c r="J697" i="4"/>
  <c r="L697" i="4"/>
  <c r="M697" i="4"/>
  <c r="O697" i="4"/>
  <c r="P697" i="4"/>
  <c r="J698" i="4"/>
  <c r="M698" i="4" s="1"/>
  <c r="L698" i="4"/>
  <c r="O698" i="4"/>
  <c r="P698" i="4" s="1"/>
  <c r="J699" i="4"/>
  <c r="L699" i="4"/>
  <c r="M699" i="4"/>
  <c r="O699" i="4"/>
  <c r="P699" i="4" s="1"/>
  <c r="J700" i="4"/>
  <c r="L700" i="4"/>
  <c r="M700" i="4"/>
  <c r="O700" i="4"/>
  <c r="P700" i="4" s="1"/>
  <c r="J701" i="4"/>
  <c r="L701" i="4"/>
  <c r="M701" i="4"/>
  <c r="O701" i="4"/>
  <c r="P701" i="4"/>
  <c r="J702" i="4"/>
  <c r="M702" i="4" s="1"/>
  <c r="L702" i="4"/>
  <c r="O702" i="4"/>
  <c r="P702" i="4" s="1"/>
  <c r="J703" i="4"/>
  <c r="M703" i="4" s="1"/>
  <c r="L703" i="4"/>
  <c r="O703" i="4"/>
  <c r="P703" i="4" s="1"/>
  <c r="J704" i="4"/>
  <c r="M704" i="4" s="1"/>
  <c r="L704" i="4"/>
  <c r="O704" i="4"/>
  <c r="P704" i="4" s="1"/>
  <c r="J705" i="4"/>
  <c r="L705" i="4"/>
  <c r="M705" i="4"/>
  <c r="O705" i="4"/>
  <c r="P705" i="4"/>
  <c r="J706" i="4"/>
  <c r="M706" i="4" s="1"/>
  <c r="L706" i="4"/>
  <c r="O706" i="4"/>
  <c r="P706" i="4"/>
  <c r="J707" i="4"/>
  <c r="M707" i="4" s="1"/>
  <c r="L707" i="4"/>
  <c r="O707" i="4"/>
  <c r="P707" i="4" s="1"/>
  <c r="J708" i="4"/>
  <c r="L708" i="4"/>
  <c r="M708" i="4"/>
  <c r="O708" i="4"/>
  <c r="P708" i="4" s="1"/>
  <c r="J709" i="4"/>
  <c r="L709" i="4"/>
  <c r="M709" i="4"/>
  <c r="O709" i="4"/>
  <c r="P709" i="4"/>
  <c r="J710" i="4"/>
  <c r="M710" i="4" s="1"/>
  <c r="L710" i="4"/>
  <c r="O710" i="4"/>
  <c r="P710" i="4"/>
  <c r="J711" i="4"/>
  <c r="L711" i="4"/>
  <c r="M711" i="4"/>
  <c r="O711" i="4"/>
  <c r="P711" i="4"/>
  <c r="J712" i="4"/>
  <c r="M712" i="4" s="1"/>
  <c r="L712" i="4"/>
  <c r="O712" i="4"/>
  <c r="P712" i="4" s="1"/>
  <c r="J713" i="4"/>
  <c r="L713" i="4"/>
  <c r="M713" i="4"/>
  <c r="O713" i="4"/>
  <c r="P713" i="4"/>
  <c r="J714" i="4"/>
  <c r="M714" i="4" s="1"/>
  <c r="L714" i="4"/>
  <c r="O714" i="4"/>
  <c r="P714" i="4"/>
  <c r="J715" i="4"/>
  <c r="M715" i="4" s="1"/>
  <c r="L715" i="4"/>
  <c r="O715" i="4"/>
  <c r="P715" i="4"/>
  <c r="J716" i="4"/>
  <c r="L716" i="4"/>
  <c r="M716" i="4"/>
  <c r="O716" i="4"/>
  <c r="P716" i="4" s="1"/>
  <c r="J717" i="4"/>
  <c r="L717" i="4"/>
  <c r="M717" i="4"/>
  <c r="O717" i="4"/>
  <c r="P717" i="4"/>
  <c r="J718" i="4"/>
  <c r="M718" i="4" s="1"/>
  <c r="L718" i="4"/>
  <c r="O718" i="4"/>
  <c r="P718" i="4"/>
  <c r="J719" i="4"/>
  <c r="L719" i="4"/>
  <c r="M719" i="4"/>
  <c r="O719" i="4"/>
  <c r="P719" i="4" s="1"/>
  <c r="J720" i="4"/>
  <c r="M720" i="4" s="1"/>
  <c r="L720" i="4"/>
  <c r="O720" i="4"/>
  <c r="P720" i="4" s="1"/>
  <c r="J721" i="4"/>
  <c r="L721" i="4"/>
  <c r="M721" i="4"/>
  <c r="O721" i="4"/>
  <c r="P721" i="4"/>
  <c r="J722" i="4"/>
  <c r="M722" i="4" s="1"/>
  <c r="L722" i="4"/>
  <c r="O722" i="4"/>
  <c r="P722" i="4"/>
  <c r="J723" i="4"/>
  <c r="L723" i="4"/>
  <c r="M723" i="4"/>
  <c r="O723" i="4"/>
  <c r="P723" i="4" s="1"/>
  <c r="J724" i="4"/>
  <c r="L724" i="4"/>
  <c r="M724" i="4"/>
  <c r="O724" i="4"/>
  <c r="P724" i="4" s="1"/>
  <c r="J725" i="4"/>
  <c r="L725" i="4"/>
  <c r="M725" i="4"/>
  <c r="O725" i="4"/>
  <c r="P725" i="4"/>
  <c r="J726" i="4"/>
  <c r="M726" i="4" s="1"/>
  <c r="L726" i="4"/>
  <c r="O726" i="4"/>
  <c r="P726" i="4"/>
  <c r="J727" i="4"/>
  <c r="M727" i="4" s="1"/>
  <c r="L727" i="4"/>
  <c r="O727" i="4"/>
  <c r="P727" i="4"/>
  <c r="J728" i="4"/>
  <c r="L728" i="4"/>
  <c r="M728" i="4"/>
  <c r="O728" i="4"/>
  <c r="P728" i="4" s="1"/>
  <c r="J729" i="4"/>
  <c r="L729" i="4"/>
  <c r="M729" i="4"/>
  <c r="O729" i="4"/>
  <c r="P729" i="4"/>
  <c r="J730" i="4"/>
  <c r="M730" i="4" s="1"/>
  <c r="L730" i="4"/>
  <c r="O730" i="4"/>
  <c r="P730" i="4"/>
  <c r="J731" i="4"/>
  <c r="L731" i="4"/>
  <c r="M731" i="4"/>
  <c r="O731" i="4"/>
  <c r="P731" i="4" s="1"/>
  <c r="J732" i="4"/>
  <c r="L732" i="4"/>
  <c r="M732" i="4"/>
  <c r="O732" i="4"/>
  <c r="P732" i="4" s="1"/>
  <c r="J733" i="4"/>
  <c r="M733" i="4" s="1"/>
  <c r="L733" i="4"/>
  <c r="O733" i="4"/>
  <c r="P733" i="4"/>
  <c r="J734" i="4"/>
  <c r="M734" i="4" s="1"/>
  <c r="L734" i="4"/>
  <c r="O734" i="4"/>
  <c r="P734" i="4"/>
  <c r="J735" i="4"/>
  <c r="M735" i="4" s="1"/>
  <c r="L735" i="4"/>
  <c r="O735" i="4"/>
  <c r="P735" i="4"/>
  <c r="J736" i="4"/>
  <c r="M736" i="4" s="1"/>
  <c r="L736" i="4"/>
  <c r="O736" i="4"/>
  <c r="P736" i="4" s="1"/>
  <c r="J737" i="4"/>
  <c r="M737" i="4" s="1"/>
  <c r="L737" i="4"/>
  <c r="O737" i="4"/>
  <c r="P737" i="4"/>
  <c r="J738" i="4"/>
  <c r="M738" i="4" s="1"/>
  <c r="L738" i="4"/>
  <c r="O738" i="4"/>
  <c r="P738" i="4"/>
  <c r="J739" i="4"/>
  <c r="L739" i="4"/>
  <c r="M739" i="4"/>
  <c r="O739" i="4"/>
  <c r="P739" i="4" s="1"/>
  <c r="J740" i="4"/>
  <c r="L740" i="4"/>
  <c r="M740" i="4"/>
  <c r="O740" i="4"/>
  <c r="P740" i="4" s="1"/>
  <c r="J741" i="4"/>
  <c r="L741" i="4"/>
  <c r="M741" i="4"/>
  <c r="O741" i="4"/>
  <c r="P741" i="4"/>
  <c r="J742" i="4"/>
  <c r="M742" i="4" s="1"/>
  <c r="L742" i="4"/>
  <c r="O742" i="4"/>
  <c r="P742" i="4" s="1"/>
  <c r="J743" i="4"/>
  <c r="M743" i="4" s="1"/>
  <c r="L743" i="4"/>
  <c r="O743" i="4"/>
  <c r="P743" i="4" s="1"/>
  <c r="J744" i="4"/>
  <c r="M744" i="4" s="1"/>
  <c r="L744" i="4"/>
  <c r="O744" i="4"/>
  <c r="P744" i="4" s="1"/>
  <c r="J745" i="4"/>
  <c r="M745" i="4" s="1"/>
  <c r="L745" i="4"/>
  <c r="O745" i="4"/>
  <c r="P745" i="4"/>
  <c r="J746" i="4"/>
  <c r="M746" i="4" s="1"/>
  <c r="L746" i="4"/>
  <c r="O746" i="4"/>
  <c r="P746" i="4"/>
  <c r="J747" i="4"/>
  <c r="L747" i="4"/>
  <c r="O747" i="4"/>
  <c r="P747" i="4" s="1"/>
  <c r="J748" i="4"/>
  <c r="L748" i="4"/>
  <c r="O748" i="4"/>
  <c r="P748" i="4"/>
  <c r="J749" i="4"/>
  <c r="L749" i="4"/>
  <c r="O749" i="4"/>
  <c r="P749" i="4" s="1"/>
  <c r="J750" i="4"/>
  <c r="L750" i="4"/>
  <c r="O750" i="4"/>
  <c r="P750" i="4"/>
  <c r="J751" i="4"/>
  <c r="L751" i="4"/>
  <c r="O751" i="4"/>
  <c r="P751" i="4" s="1"/>
  <c r="J752" i="4"/>
  <c r="L752" i="4"/>
  <c r="O752" i="4"/>
  <c r="P752" i="4"/>
  <c r="J753" i="4"/>
  <c r="L753" i="4"/>
  <c r="O753" i="4"/>
  <c r="P753" i="4" s="1"/>
  <c r="J754" i="4"/>
  <c r="M754" i="4" s="1"/>
  <c r="L754" i="4"/>
  <c r="O754" i="4"/>
  <c r="P754" i="4"/>
  <c r="J755" i="4"/>
  <c r="L755" i="4"/>
  <c r="M755" i="4"/>
  <c r="O755" i="4"/>
  <c r="P755" i="4" s="1"/>
  <c r="J756" i="4"/>
  <c r="M756" i="4" s="1"/>
  <c r="L756" i="4"/>
  <c r="O756" i="4"/>
  <c r="P756" i="4" s="1"/>
  <c r="J757" i="4"/>
  <c r="L757" i="4"/>
  <c r="M757" i="4"/>
  <c r="O757" i="4"/>
  <c r="P757" i="4"/>
  <c r="J758" i="4"/>
  <c r="M758" i="4" s="1"/>
  <c r="L758" i="4"/>
  <c r="O758" i="4"/>
  <c r="P758" i="4"/>
  <c r="J759" i="4"/>
  <c r="L759" i="4"/>
  <c r="M759" i="4"/>
  <c r="O759" i="4"/>
  <c r="P759" i="4" s="1"/>
  <c r="J760" i="4"/>
  <c r="L760" i="4"/>
  <c r="M760" i="4"/>
  <c r="O760" i="4"/>
  <c r="P760" i="4"/>
  <c r="J761" i="4"/>
  <c r="M761" i="4" s="1"/>
  <c r="L761" i="4"/>
  <c r="O761" i="4"/>
  <c r="P761" i="4" s="1"/>
  <c r="J762" i="4"/>
  <c r="L762" i="4"/>
  <c r="M762" i="4"/>
  <c r="O762" i="4"/>
  <c r="P762" i="4"/>
  <c r="J763" i="4"/>
  <c r="L763" i="4"/>
  <c r="M763" i="4"/>
  <c r="O763" i="4"/>
  <c r="P763" i="4" s="1"/>
  <c r="J764" i="4"/>
  <c r="M764" i="4" s="1"/>
  <c r="L764" i="4"/>
  <c r="O764" i="4"/>
  <c r="P764" i="4" s="1"/>
  <c r="J765" i="4"/>
  <c r="M765" i="4" s="1"/>
  <c r="L765" i="4"/>
  <c r="O765" i="4"/>
  <c r="P765" i="4"/>
  <c r="J766" i="4"/>
  <c r="M766" i="4" s="1"/>
  <c r="L766" i="4"/>
  <c r="O766" i="4"/>
  <c r="P766" i="4"/>
  <c r="J767" i="4"/>
  <c r="L767" i="4"/>
  <c r="M767" i="4"/>
  <c r="O767" i="4"/>
  <c r="P767" i="4" s="1"/>
  <c r="J768" i="4"/>
  <c r="L768" i="4"/>
  <c r="M768" i="4"/>
  <c r="O768" i="4"/>
  <c r="P768" i="4"/>
  <c r="J769" i="4"/>
  <c r="L769" i="4"/>
  <c r="M769" i="4"/>
  <c r="O769" i="4"/>
  <c r="P769" i="4"/>
  <c r="J770" i="4"/>
  <c r="M770" i="4" s="1"/>
  <c r="L770" i="4"/>
  <c r="O770" i="4"/>
  <c r="P770" i="4"/>
  <c r="J771" i="4"/>
  <c r="L771" i="4"/>
  <c r="M771" i="4"/>
  <c r="O771" i="4"/>
  <c r="P771" i="4" s="1"/>
  <c r="J772" i="4"/>
  <c r="L772" i="4"/>
  <c r="M772" i="4"/>
  <c r="O772" i="4"/>
  <c r="P772" i="4" s="1"/>
  <c r="J773" i="4"/>
  <c r="L773" i="4"/>
  <c r="M773" i="4"/>
  <c r="O773" i="4"/>
  <c r="P773" i="4" s="1"/>
  <c r="J774" i="4"/>
  <c r="M774" i="4" s="1"/>
  <c r="L774" i="4"/>
  <c r="O774" i="4"/>
  <c r="P774" i="4"/>
  <c r="J775" i="4"/>
  <c r="L775" i="4"/>
  <c r="M775" i="4"/>
  <c r="O775" i="4"/>
  <c r="P775" i="4" s="1"/>
  <c r="J776" i="4"/>
  <c r="M776" i="4" s="1"/>
  <c r="L776" i="4"/>
  <c r="O776" i="4"/>
  <c r="P776" i="4" s="1"/>
  <c r="J777" i="4"/>
  <c r="M777" i="4" s="1"/>
  <c r="L777" i="4"/>
  <c r="O777" i="4"/>
  <c r="P777" i="4" s="1"/>
  <c r="J778" i="4"/>
  <c r="L778" i="4"/>
  <c r="M778" i="4"/>
  <c r="O778" i="4"/>
  <c r="P778" i="4"/>
  <c r="J779" i="4"/>
  <c r="L779" i="4"/>
  <c r="M779" i="4"/>
  <c r="O779" i="4"/>
  <c r="P779" i="4" s="1"/>
  <c r="J780" i="4"/>
  <c r="M780" i="4" s="1"/>
  <c r="L780" i="4"/>
  <c r="O780" i="4"/>
  <c r="P780" i="4"/>
  <c r="J781" i="4"/>
  <c r="L781" i="4"/>
  <c r="M781" i="4"/>
  <c r="O781" i="4"/>
  <c r="P781" i="4"/>
  <c r="J782" i="4"/>
  <c r="M782" i="4" s="1"/>
  <c r="L782" i="4"/>
  <c r="O782" i="4"/>
  <c r="P782" i="4"/>
  <c r="J783" i="4"/>
  <c r="L783" i="4"/>
  <c r="M783" i="4"/>
  <c r="O783" i="4"/>
  <c r="P783" i="4" s="1"/>
  <c r="J784" i="4"/>
  <c r="L784" i="4"/>
  <c r="M784" i="4"/>
  <c r="O784" i="4"/>
  <c r="P784" i="4"/>
  <c r="J785" i="4"/>
  <c r="L785" i="4"/>
  <c r="M785" i="4"/>
  <c r="O785" i="4"/>
  <c r="P785" i="4" s="1"/>
  <c r="J786" i="4"/>
  <c r="M786" i="4" s="1"/>
  <c r="L786" i="4"/>
  <c r="O786" i="4"/>
  <c r="P786" i="4"/>
  <c r="J787" i="4"/>
  <c r="L787" i="4"/>
  <c r="M787" i="4"/>
  <c r="O787" i="4"/>
  <c r="P787" i="4" s="1"/>
  <c r="J788" i="4"/>
  <c r="L788" i="4"/>
  <c r="M788" i="4"/>
  <c r="O788" i="4"/>
  <c r="P788" i="4" s="1"/>
  <c r="J789" i="4"/>
  <c r="L789" i="4"/>
  <c r="M789" i="4"/>
  <c r="O789" i="4"/>
  <c r="P789" i="4" s="1"/>
  <c r="J790" i="4"/>
  <c r="L790" i="4"/>
  <c r="M790" i="4"/>
  <c r="O790" i="4"/>
  <c r="P790" i="4"/>
  <c r="J791" i="4"/>
  <c r="L791" i="4"/>
  <c r="O791" i="4"/>
  <c r="P791" i="4" s="1"/>
  <c r="J792" i="4"/>
  <c r="L792" i="4"/>
  <c r="O792" i="4"/>
  <c r="P792" i="4"/>
  <c r="J793" i="4"/>
  <c r="L793" i="4"/>
  <c r="O793" i="4"/>
  <c r="P793" i="4"/>
  <c r="J794" i="4"/>
  <c r="L794" i="4"/>
  <c r="O794" i="4"/>
  <c r="P794" i="4" s="1"/>
  <c r="J795" i="4"/>
  <c r="L795" i="4"/>
  <c r="O795" i="4"/>
  <c r="P795" i="4"/>
  <c r="J796" i="4"/>
  <c r="L796" i="4"/>
  <c r="O796" i="4"/>
  <c r="P796" i="4" s="1"/>
  <c r="J797" i="4"/>
  <c r="L797" i="4"/>
  <c r="O797" i="4"/>
  <c r="P797" i="4"/>
  <c r="J798" i="4"/>
  <c r="L798" i="4"/>
  <c r="O798" i="4"/>
  <c r="P798" i="4"/>
  <c r="J799" i="4"/>
  <c r="L799" i="4"/>
  <c r="O799" i="4"/>
  <c r="P799" i="4" s="1"/>
  <c r="J800" i="4"/>
  <c r="L800" i="4"/>
  <c r="O800" i="4"/>
  <c r="P800" i="4"/>
  <c r="J801" i="4"/>
  <c r="L801" i="4"/>
  <c r="O801" i="4"/>
  <c r="P801" i="4" s="1"/>
  <c r="J802" i="4"/>
  <c r="L802" i="4"/>
  <c r="O802" i="4"/>
  <c r="P802" i="4"/>
  <c r="J803" i="4"/>
  <c r="L803" i="4"/>
  <c r="O803" i="4"/>
  <c r="P803" i="4"/>
  <c r="J804" i="4"/>
  <c r="L804" i="4"/>
  <c r="O804" i="4"/>
  <c r="P804" i="4" s="1"/>
  <c r="J805" i="4"/>
  <c r="L805" i="4"/>
  <c r="O805" i="4"/>
  <c r="P805" i="4"/>
  <c r="J806" i="4"/>
  <c r="L806" i="4"/>
  <c r="O806" i="4"/>
  <c r="P806" i="4" s="1"/>
  <c r="J807" i="4"/>
  <c r="L807" i="4"/>
  <c r="O807" i="4"/>
  <c r="P807" i="4"/>
  <c r="J808" i="4"/>
  <c r="L808" i="4"/>
  <c r="O808" i="4"/>
  <c r="P808" i="4"/>
  <c r="J809" i="4"/>
  <c r="L809" i="4"/>
  <c r="O809" i="4"/>
  <c r="P809" i="4" s="1"/>
  <c r="J810" i="4"/>
  <c r="L810" i="4"/>
  <c r="O810" i="4"/>
  <c r="P810" i="4"/>
  <c r="J811" i="4"/>
  <c r="L811" i="4"/>
  <c r="M811" i="4"/>
  <c r="O811" i="4"/>
  <c r="P811" i="4" s="1"/>
  <c r="J812" i="4"/>
  <c r="M812" i="4" s="1"/>
  <c r="L812" i="4"/>
  <c r="O812" i="4"/>
  <c r="P812" i="4" s="1"/>
  <c r="J813" i="4"/>
  <c r="L813" i="4"/>
  <c r="M813" i="4"/>
  <c r="O813" i="4"/>
  <c r="P813" i="4"/>
  <c r="J814" i="4"/>
  <c r="L814" i="4"/>
  <c r="M814" i="4"/>
  <c r="O814" i="4"/>
  <c r="P814" i="4"/>
  <c r="J815" i="4"/>
  <c r="L815" i="4"/>
  <c r="M815" i="4"/>
  <c r="O815" i="4"/>
  <c r="P815" i="4" s="1"/>
  <c r="J816" i="4"/>
  <c r="M816" i="4" s="1"/>
  <c r="L816" i="4"/>
  <c r="O816" i="4"/>
  <c r="P816" i="4"/>
  <c r="J817" i="4"/>
  <c r="M817" i="4" s="1"/>
  <c r="L817" i="4"/>
  <c r="O817" i="4"/>
  <c r="P817" i="4" s="1"/>
  <c r="J818" i="4"/>
  <c r="M818" i="4" s="1"/>
  <c r="L818" i="4"/>
  <c r="O818" i="4"/>
  <c r="P818" i="4"/>
  <c r="J819" i="4"/>
  <c r="L819" i="4"/>
  <c r="M819" i="4"/>
  <c r="O819" i="4"/>
  <c r="P819" i="4" s="1"/>
  <c r="J820" i="4"/>
  <c r="L820" i="4"/>
  <c r="M820" i="4"/>
  <c r="O820" i="4"/>
  <c r="P820" i="4"/>
  <c r="J821" i="4"/>
  <c r="M821" i="4" s="1"/>
  <c r="L821" i="4"/>
  <c r="O821" i="4"/>
  <c r="P821" i="4"/>
  <c r="J822" i="4"/>
  <c r="L822" i="4"/>
  <c r="M822" i="4"/>
  <c r="O822" i="4"/>
  <c r="P822" i="4"/>
  <c r="J823" i="4"/>
  <c r="L823" i="4"/>
  <c r="M823" i="4"/>
  <c r="O823" i="4"/>
  <c r="P823" i="4" s="1"/>
  <c r="J824" i="4"/>
  <c r="M824" i="4" s="1"/>
  <c r="L824" i="4"/>
  <c r="O824" i="4"/>
  <c r="P824" i="4" s="1"/>
  <c r="J825" i="4"/>
  <c r="L825" i="4"/>
  <c r="M825" i="4"/>
  <c r="O825" i="4"/>
  <c r="P825" i="4"/>
  <c r="J826" i="4"/>
  <c r="M826" i="4" s="1"/>
  <c r="L826" i="4"/>
  <c r="O826" i="4"/>
  <c r="P826" i="4"/>
  <c r="J827" i="4"/>
  <c r="L827" i="4"/>
  <c r="M827" i="4"/>
  <c r="O827" i="4"/>
  <c r="P827" i="4" s="1"/>
  <c r="J828" i="4"/>
  <c r="M828" i="4" s="1"/>
  <c r="L828" i="4"/>
  <c r="O828" i="4"/>
  <c r="P828" i="4"/>
  <c r="J829" i="4"/>
  <c r="L829" i="4"/>
  <c r="M829" i="4"/>
  <c r="O829" i="4"/>
  <c r="P829" i="4" s="1"/>
  <c r="J830" i="4"/>
  <c r="L830" i="4"/>
  <c r="M830" i="4"/>
  <c r="O830" i="4"/>
  <c r="P830" i="4"/>
  <c r="J831" i="4"/>
  <c r="L831" i="4"/>
  <c r="M831" i="4"/>
  <c r="O831" i="4"/>
  <c r="P831" i="4" s="1"/>
  <c r="J832" i="4"/>
  <c r="M832" i="4" s="1"/>
  <c r="L832" i="4"/>
  <c r="O832" i="4"/>
  <c r="P832" i="4" s="1"/>
  <c r="J833" i="4"/>
  <c r="M833" i="4" s="1"/>
  <c r="L833" i="4"/>
  <c r="O833" i="4"/>
  <c r="P833" i="4" s="1"/>
  <c r="J834" i="4"/>
  <c r="L834" i="4"/>
  <c r="M834" i="4"/>
  <c r="O834" i="4"/>
  <c r="P834" i="4"/>
  <c r="J835" i="4"/>
  <c r="L835" i="4"/>
  <c r="M835" i="4"/>
  <c r="O835" i="4"/>
  <c r="P835" i="4" s="1"/>
  <c r="J836" i="4"/>
  <c r="L836" i="4"/>
  <c r="M836" i="4"/>
  <c r="O836" i="4"/>
  <c r="P836" i="4"/>
  <c r="J837" i="4"/>
  <c r="M837" i="4" s="1"/>
  <c r="L837" i="4"/>
  <c r="O837" i="4"/>
  <c r="P837" i="4"/>
  <c r="J838" i="4"/>
  <c r="M838" i="4" s="1"/>
  <c r="L838" i="4"/>
  <c r="O838" i="4"/>
  <c r="P838" i="4"/>
  <c r="J839" i="4"/>
  <c r="L839" i="4"/>
  <c r="M839" i="4"/>
  <c r="O839" i="4"/>
  <c r="P839" i="4" s="1"/>
  <c r="J840" i="4"/>
  <c r="L840" i="4"/>
  <c r="M840" i="4"/>
  <c r="O840" i="4"/>
  <c r="P840" i="4" s="1"/>
  <c r="J841" i="4"/>
  <c r="L841" i="4"/>
  <c r="M841" i="4"/>
  <c r="O841" i="4"/>
  <c r="P841" i="4"/>
  <c r="J842" i="4"/>
  <c r="M842" i="4" s="1"/>
  <c r="L842" i="4"/>
  <c r="O842" i="4"/>
  <c r="P842" i="4"/>
  <c r="J843" i="4"/>
  <c r="L843" i="4"/>
  <c r="M843" i="4"/>
  <c r="O843" i="4"/>
  <c r="P843" i="4" s="1"/>
  <c r="J844" i="4"/>
  <c r="M844" i="4" s="1"/>
  <c r="L844" i="4"/>
  <c r="O844" i="4"/>
  <c r="P844" i="4" s="1"/>
  <c r="J845" i="4"/>
  <c r="M845" i="4" s="1"/>
  <c r="L845" i="4"/>
  <c r="O845" i="4"/>
  <c r="P845" i="4" s="1"/>
  <c r="J846" i="4"/>
  <c r="L846" i="4"/>
  <c r="M846" i="4"/>
  <c r="O846" i="4"/>
  <c r="P846" i="4"/>
  <c r="J847" i="4"/>
  <c r="L847" i="4"/>
  <c r="M847" i="4"/>
  <c r="O847" i="4"/>
  <c r="P847" i="4" s="1"/>
  <c r="J848" i="4"/>
  <c r="L848" i="4"/>
  <c r="M848" i="4"/>
  <c r="O848" i="4"/>
  <c r="P848" i="4"/>
  <c r="J849" i="4"/>
  <c r="M849" i="4" s="1"/>
  <c r="L849" i="4"/>
  <c r="O849" i="4"/>
  <c r="P849" i="4"/>
  <c r="J850" i="4"/>
  <c r="L850" i="4"/>
  <c r="M850" i="4"/>
  <c r="O850" i="4"/>
  <c r="P850" i="4" s="1"/>
  <c r="J851" i="4"/>
  <c r="L851" i="4"/>
  <c r="M851" i="4"/>
  <c r="O851" i="4"/>
  <c r="P851" i="4" s="1"/>
  <c r="J852" i="4"/>
  <c r="L852" i="4"/>
  <c r="M852" i="4"/>
  <c r="O852" i="4"/>
  <c r="P852" i="4" s="1"/>
  <c r="J853" i="4"/>
  <c r="M853" i="4" s="1"/>
  <c r="L853" i="4"/>
  <c r="O853" i="4"/>
  <c r="P853" i="4" s="1"/>
  <c r="J854" i="4"/>
  <c r="M854" i="4" s="1"/>
  <c r="L854" i="4"/>
  <c r="O854" i="4"/>
  <c r="P854" i="4" s="1"/>
  <c r="J855" i="4"/>
  <c r="L855" i="4"/>
  <c r="M855" i="4"/>
  <c r="O855" i="4"/>
  <c r="P855" i="4" s="1"/>
  <c r="J856" i="4"/>
  <c r="M856" i="4" s="1"/>
  <c r="L856" i="4"/>
  <c r="O856" i="4"/>
  <c r="P856" i="4"/>
  <c r="J857" i="4"/>
  <c r="L857" i="4"/>
  <c r="M857" i="4"/>
  <c r="O857" i="4"/>
  <c r="P857" i="4"/>
  <c r="J858" i="4"/>
  <c r="M858" i="4" s="1"/>
  <c r="L858" i="4"/>
  <c r="O858" i="4"/>
  <c r="P858" i="4"/>
  <c r="J859" i="4"/>
  <c r="L859" i="4"/>
  <c r="M859" i="4"/>
  <c r="O859" i="4"/>
  <c r="P859" i="4" s="1"/>
  <c r="J860" i="4"/>
  <c r="M860" i="4" s="1"/>
  <c r="L860" i="4"/>
  <c r="O860" i="4"/>
  <c r="P860" i="4"/>
  <c r="J861" i="4"/>
  <c r="L861" i="4"/>
  <c r="M861" i="4"/>
  <c r="O861" i="4"/>
  <c r="P861" i="4" s="1"/>
  <c r="J862" i="4"/>
  <c r="L862" i="4"/>
  <c r="M862" i="4"/>
  <c r="O862" i="4"/>
  <c r="P862" i="4"/>
  <c r="J863" i="4"/>
  <c r="L863" i="4"/>
  <c r="M863" i="4"/>
  <c r="O863" i="4"/>
  <c r="P863" i="4" s="1"/>
  <c r="J864" i="4"/>
  <c r="L864" i="4"/>
  <c r="M864" i="4"/>
  <c r="O864" i="4"/>
  <c r="P864" i="4" s="1"/>
  <c r="J865" i="4"/>
  <c r="M865" i="4" s="1"/>
  <c r="L865" i="4"/>
  <c r="O865" i="4"/>
  <c r="P865" i="4"/>
  <c r="J866" i="4"/>
  <c r="M866" i="4" s="1"/>
  <c r="L866" i="4"/>
  <c r="O866" i="4"/>
  <c r="P866" i="4" s="1"/>
  <c r="J867" i="4"/>
  <c r="L867" i="4"/>
  <c r="M867" i="4"/>
  <c r="O867" i="4"/>
  <c r="P867" i="4" s="1"/>
  <c r="J868" i="4"/>
  <c r="L868" i="4"/>
  <c r="M868" i="4"/>
  <c r="O868" i="4"/>
  <c r="P868" i="4" s="1"/>
  <c r="J869" i="4"/>
  <c r="L869" i="4"/>
  <c r="M869" i="4"/>
  <c r="O869" i="4"/>
  <c r="P869" i="4"/>
  <c r="J870" i="4"/>
  <c r="M870" i="4" s="1"/>
  <c r="L870" i="4"/>
  <c r="O870" i="4"/>
  <c r="P870" i="4"/>
  <c r="J871" i="4"/>
  <c r="L871" i="4"/>
  <c r="M871" i="4"/>
  <c r="O871" i="4"/>
  <c r="P871" i="4" s="1"/>
  <c r="J872" i="4"/>
  <c r="L872" i="4"/>
  <c r="M872" i="4"/>
  <c r="O872" i="4"/>
  <c r="P872" i="4"/>
  <c r="J873" i="4"/>
  <c r="M873" i="4" s="1"/>
  <c r="L873" i="4"/>
  <c r="O873" i="4"/>
  <c r="P873" i="4" s="1"/>
  <c r="J874" i="4"/>
  <c r="M874" i="4" s="1"/>
  <c r="L874" i="4"/>
  <c r="O874" i="4"/>
  <c r="P874" i="4" s="1"/>
  <c r="J875" i="4"/>
  <c r="L875" i="4"/>
  <c r="M875" i="4"/>
  <c r="O875" i="4"/>
  <c r="P875" i="4" s="1"/>
  <c r="J876" i="4"/>
  <c r="M876" i="4" s="1"/>
  <c r="L876" i="4"/>
  <c r="O876" i="4"/>
  <c r="P876" i="4"/>
  <c r="J877" i="4"/>
  <c r="M877" i="4" s="1"/>
  <c r="L877" i="4"/>
  <c r="O877" i="4"/>
  <c r="P877" i="4" s="1"/>
  <c r="J878" i="4"/>
  <c r="L878" i="4"/>
  <c r="M878" i="4"/>
  <c r="O878" i="4"/>
  <c r="P878" i="4"/>
  <c r="J879" i="4"/>
  <c r="L879" i="4"/>
  <c r="M879" i="4"/>
  <c r="O879" i="4"/>
  <c r="P879" i="4" s="1"/>
  <c r="J880" i="4"/>
  <c r="M880" i="4" s="1"/>
  <c r="L880" i="4"/>
  <c r="O880" i="4"/>
  <c r="P880" i="4"/>
  <c r="J881" i="4"/>
  <c r="L881" i="4"/>
  <c r="M881" i="4"/>
  <c r="O881" i="4"/>
  <c r="P881" i="4"/>
  <c r="J882" i="4"/>
  <c r="M882" i="4" s="1"/>
  <c r="L882" i="4"/>
  <c r="O882" i="4"/>
  <c r="P882" i="4" s="1"/>
  <c r="J883" i="4"/>
  <c r="L883" i="4"/>
  <c r="M883" i="4"/>
  <c r="O883" i="4"/>
  <c r="P883" i="4" s="1"/>
  <c r="J884" i="4"/>
  <c r="L884" i="4"/>
  <c r="M884" i="4"/>
  <c r="O884" i="4"/>
  <c r="P884" i="4"/>
  <c r="J885" i="4"/>
  <c r="M885" i="4" s="1"/>
  <c r="L885" i="4"/>
  <c r="O885" i="4"/>
  <c r="P885" i="4" s="1"/>
  <c r="J886" i="4"/>
  <c r="M886" i="4" s="1"/>
  <c r="L886" i="4"/>
  <c r="O886" i="4"/>
  <c r="P886" i="4"/>
  <c r="J887" i="4"/>
  <c r="L887" i="4"/>
  <c r="M887" i="4"/>
  <c r="O887" i="4"/>
  <c r="P887" i="4" s="1"/>
  <c r="J888" i="4"/>
  <c r="L888" i="4"/>
  <c r="M888" i="4"/>
  <c r="O888" i="4"/>
  <c r="P888" i="4" s="1"/>
  <c r="J889" i="4"/>
  <c r="L889" i="4"/>
  <c r="M889" i="4"/>
  <c r="O889" i="4"/>
  <c r="P889" i="4"/>
  <c r="J890" i="4"/>
  <c r="L890" i="4"/>
  <c r="M890" i="4"/>
  <c r="O890" i="4"/>
  <c r="P890" i="4"/>
  <c r="J891" i="4"/>
  <c r="L891" i="4"/>
  <c r="M891" i="4"/>
  <c r="O891" i="4"/>
  <c r="P891" i="4" s="1"/>
  <c r="J892" i="4"/>
  <c r="M892" i="4" s="1"/>
  <c r="L892" i="4"/>
  <c r="O892" i="4"/>
  <c r="P892" i="4"/>
  <c r="J893" i="4"/>
  <c r="L893" i="4"/>
  <c r="M893" i="4"/>
  <c r="O893" i="4"/>
  <c r="P893" i="4" s="1"/>
  <c r="J894" i="4"/>
  <c r="L894" i="4"/>
  <c r="M894" i="4"/>
  <c r="O894" i="4"/>
  <c r="P894" i="4" s="1"/>
  <c r="J895" i="4"/>
  <c r="L895" i="4"/>
  <c r="M895" i="4"/>
  <c r="O895" i="4"/>
  <c r="P895" i="4" s="1"/>
  <c r="J896" i="4"/>
  <c r="M896" i="4" s="1"/>
  <c r="L896" i="4"/>
  <c r="O896" i="4"/>
  <c r="P896" i="4"/>
  <c r="J897" i="4"/>
  <c r="M897" i="4" s="1"/>
  <c r="L897" i="4"/>
  <c r="O897" i="4"/>
  <c r="P897" i="4" s="1"/>
  <c r="J898" i="4"/>
  <c r="M898" i="4" s="1"/>
  <c r="L898" i="4"/>
  <c r="O898" i="4"/>
  <c r="P898" i="4" s="1"/>
  <c r="J899" i="4"/>
  <c r="L899" i="4"/>
  <c r="M899" i="4"/>
  <c r="O899" i="4"/>
  <c r="P899" i="4" s="1"/>
  <c r="J900" i="4"/>
  <c r="L900" i="4"/>
  <c r="M900" i="4"/>
  <c r="O900" i="4"/>
  <c r="P900" i="4"/>
  <c r="J901" i="4"/>
  <c r="M901" i="4" s="1"/>
  <c r="L901" i="4"/>
  <c r="O901" i="4"/>
  <c r="P901" i="4"/>
  <c r="J902" i="4"/>
  <c r="L902" i="4"/>
  <c r="M902" i="4"/>
  <c r="O902" i="4"/>
  <c r="P902" i="4"/>
  <c r="J903" i="4"/>
  <c r="L903" i="4"/>
  <c r="M903" i="4"/>
  <c r="O903" i="4"/>
  <c r="P903" i="4" s="1"/>
  <c r="J904" i="4"/>
  <c r="M904" i="4" s="1"/>
  <c r="L904" i="4"/>
  <c r="O904" i="4"/>
  <c r="P904" i="4" s="1"/>
  <c r="J905" i="4"/>
  <c r="L905" i="4"/>
  <c r="M905" i="4"/>
  <c r="O905" i="4"/>
  <c r="P905" i="4"/>
  <c r="J906" i="4"/>
  <c r="M906" i="4" s="1"/>
  <c r="L906" i="4"/>
  <c r="O906" i="4"/>
  <c r="P906" i="4" s="1"/>
  <c r="J907" i="4"/>
  <c r="L907" i="4"/>
  <c r="M907" i="4"/>
  <c r="O907" i="4"/>
  <c r="P907" i="4" s="1"/>
  <c r="J908" i="4"/>
  <c r="M908" i="4" s="1"/>
  <c r="L908" i="4"/>
  <c r="O908" i="4"/>
  <c r="P908" i="4"/>
  <c r="J909" i="4"/>
  <c r="L909" i="4"/>
  <c r="M909" i="4"/>
  <c r="O909" i="4"/>
  <c r="P909" i="4" s="1"/>
  <c r="J910" i="4"/>
  <c r="L910" i="4"/>
  <c r="M910" i="4"/>
  <c r="O910" i="4"/>
  <c r="P910" i="4"/>
  <c r="J911" i="4"/>
  <c r="L911" i="4"/>
  <c r="M911" i="4"/>
  <c r="O911" i="4"/>
  <c r="P911" i="4" s="1"/>
  <c r="J912" i="4"/>
  <c r="M912" i="4" s="1"/>
  <c r="L912" i="4"/>
  <c r="O912" i="4"/>
  <c r="P912" i="4" s="1"/>
  <c r="J913" i="4"/>
  <c r="M913" i="4" s="1"/>
  <c r="L913" i="4"/>
  <c r="O913" i="4"/>
  <c r="P913" i="4"/>
  <c r="J914" i="4"/>
  <c r="L914" i="4"/>
  <c r="M914" i="4"/>
  <c r="O914" i="4"/>
  <c r="P914" i="4" s="1"/>
  <c r="J915" i="4"/>
  <c r="L915" i="4"/>
  <c r="M915" i="4"/>
  <c r="O915" i="4"/>
  <c r="P915" i="4" s="1"/>
  <c r="J916" i="4"/>
  <c r="L916" i="4"/>
  <c r="M916" i="4"/>
  <c r="O916" i="4"/>
  <c r="P916" i="4"/>
  <c r="J917" i="4"/>
  <c r="M917" i="4" s="1"/>
  <c r="L917" i="4"/>
  <c r="O917" i="4"/>
  <c r="P917" i="4"/>
  <c r="J918" i="4"/>
  <c r="M918" i="4" s="1"/>
  <c r="L918" i="4"/>
  <c r="O918" i="4"/>
  <c r="P918" i="4" s="1"/>
  <c r="J919" i="4"/>
  <c r="L919" i="4"/>
  <c r="M919" i="4"/>
  <c r="O919" i="4"/>
  <c r="P919" i="4" s="1"/>
  <c r="J920" i="4"/>
  <c r="M920" i="4" s="1"/>
  <c r="L920" i="4"/>
  <c r="O920" i="4"/>
  <c r="P920" i="4" s="1"/>
  <c r="J921" i="4"/>
  <c r="L921" i="4"/>
  <c r="M921" i="4"/>
  <c r="O921" i="4"/>
  <c r="P921" i="4"/>
  <c r="J922" i="4"/>
  <c r="M922" i="4" s="1"/>
  <c r="L922" i="4"/>
  <c r="O922" i="4"/>
  <c r="P922" i="4"/>
  <c r="J923" i="4"/>
  <c r="L923" i="4"/>
  <c r="M923" i="4"/>
  <c r="O923" i="4"/>
  <c r="P923" i="4" s="1"/>
  <c r="J924" i="4"/>
  <c r="M924" i="4" s="1"/>
  <c r="L924" i="4"/>
  <c r="O924" i="4"/>
  <c r="P924" i="4"/>
  <c r="J925" i="4"/>
  <c r="M925" i="4" s="1"/>
  <c r="L925" i="4"/>
  <c r="O925" i="4"/>
  <c r="P925" i="4" s="1"/>
  <c r="J926" i="4"/>
  <c r="L926" i="4"/>
  <c r="M926" i="4"/>
  <c r="O926" i="4"/>
  <c r="P926" i="4"/>
  <c r="J927" i="4"/>
  <c r="L927" i="4"/>
  <c r="M927" i="4"/>
  <c r="O927" i="4"/>
  <c r="P927" i="4" s="1"/>
  <c r="J928" i="4"/>
  <c r="L928" i="4"/>
  <c r="M928" i="4"/>
  <c r="O928" i="4"/>
  <c r="P928" i="4"/>
  <c r="J929" i="4"/>
  <c r="M929" i="4" s="1"/>
  <c r="L929" i="4"/>
  <c r="O929" i="4"/>
  <c r="P929" i="4"/>
  <c r="J930" i="4"/>
  <c r="L930" i="4"/>
  <c r="M930" i="4"/>
  <c r="O930" i="4"/>
  <c r="P930" i="4" s="1"/>
  <c r="J931" i="4"/>
  <c r="L931" i="4"/>
  <c r="M931" i="4"/>
  <c r="O931" i="4"/>
  <c r="P931" i="4" s="1"/>
  <c r="J932" i="4"/>
  <c r="M932" i="4" s="1"/>
  <c r="L932" i="4"/>
  <c r="O932" i="4"/>
  <c r="P932" i="4" s="1"/>
  <c r="J933" i="4"/>
  <c r="M933" i="4" s="1"/>
  <c r="L933" i="4"/>
  <c r="O933" i="4"/>
  <c r="P933" i="4" s="1"/>
  <c r="J934" i="4"/>
  <c r="M934" i="4" s="1"/>
  <c r="L934" i="4"/>
  <c r="O934" i="4"/>
  <c r="P934" i="4"/>
  <c r="J935" i="4"/>
  <c r="L935" i="4"/>
  <c r="M935" i="4"/>
  <c r="O935" i="4"/>
  <c r="P935" i="4" s="1"/>
  <c r="J936" i="4"/>
  <c r="L936" i="4"/>
  <c r="M936" i="4"/>
  <c r="O936" i="4"/>
  <c r="P936" i="4" s="1"/>
  <c r="J937" i="4"/>
  <c r="L937" i="4"/>
  <c r="M937" i="4"/>
  <c r="O937" i="4"/>
  <c r="P937" i="4"/>
  <c r="J938" i="4"/>
  <c r="M938" i="4" s="1"/>
  <c r="L938" i="4"/>
  <c r="O938" i="4"/>
  <c r="P938" i="4"/>
  <c r="J939" i="4"/>
  <c r="L939" i="4"/>
  <c r="M939" i="4"/>
  <c r="O939" i="4"/>
  <c r="P939" i="4" s="1"/>
  <c r="J940" i="4"/>
  <c r="M940" i="4" s="1"/>
  <c r="L940" i="4"/>
  <c r="O940" i="4"/>
  <c r="P940" i="4" s="1"/>
  <c r="J941" i="4"/>
  <c r="L941" i="4"/>
  <c r="M941" i="4"/>
  <c r="O941" i="4"/>
  <c r="P941" i="4" s="1"/>
  <c r="J942" i="4"/>
  <c r="L942" i="4"/>
  <c r="M942" i="4"/>
  <c r="O942" i="4"/>
  <c r="P942" i="4"/>
  <c r="J943" i="4"/>
  <c r="L943" i="4"/>
  <c r="M943" i="4"/>
  <c r="O943" i="4"/>
  <c r="P943" i="4" s="1"/>
  <c r="J944" i="4"/>
  <c r="L944" i="4"/>
  <c r="M944" i="4"/>
  <c r="O944" i="4"/>
  <c r="P944" i="4" s="1"/>
  <c r="J945" i="4"/>
  <c r="M945" i="4" s="1"/>
  <c r="L945" i="4"/>
  <c r="O945" i="4"/>
  <c r="P945" i="4" s="1"/>
  <c r="J946" i="4"/>
  <c r="M946" i="4" s="1"/>
  <c r="L946" i="4"/>
  <c r="O946" i="4"/>
  <c r="P946" i="4" s="1"/>
  <c r="J947" i="4"/>
  <c r="L947" i="4"/>
  <c r="M947" i="4"/>
  <c r="O947" i="4"/>
  <c r="P947" i="4" s="1"/>
  <c r="J948" i="4"/>
  <c r="L948" i="4"/>
  <c r="M948" i="4"/>
  <c r="O948" i="4"/>
  <c r="P948" i="4" s="1"/>
  <c r="J949" i="4"/>
  <c r="M949" i="4" s="1"/>
  <c r="L949" i="4"/>
  <c r="O949" i="4"/>
  <c r="P949" i="4"/>
  <c r="J950" i="4"/>
  <c r="M950" i="4" s="1"/>
  <c r="L950" i="4"/>
  <c r="O950" i="4"/>
  <c r="P950" i="4"/>
  <c r="J951" i="4"/>
  <c r="L951" i="4"/>
  <c r="M951" i="4"/>
  <c r="O951" i="4"/>
  <c r="P951" i="4" s="1"/>
  <c r="J952" i="4"/>
  <c r="L952" i="4"/>
  <c r="M952" i="4"/>
  <c r="O952" i="4"/>
  <c r="P952" i="4"/>
  <c r="J953" i="4"/>
  <c r="M953" i="4" s="1"/>
  <c r="L953" i="4"/>
  <c r="O953" i="4"/>
  <c r="P953" i="4" s="1"/>
  <c r="J954" i="4"/>
  <c r="M954" i="4" s="1"/>
  <c r="L954" i="4"/>
  <c r="O954" i="4"/>
  <c r="P954" i="4" s="1"/>
  <c r="J955" i="4"/>
  <c r="L955" i="4"/>
  <c r="M955" i="4"/>
  <c r="O955" i="4"/>
  <c r="P955" i="4" s="1"/>
  <c r="J956" i="4"/>
  <c r="M956" i="4" s="1"/>
  <c r="L956" i="4"/>
  <c r="O956" i="4"/>
  <c r="P956" i="4" s="1"/>
  <c r="J957" i="4"/>
  <c r="L957" i="4"/>
  <c r="M957" i="4"/>
  <c r="O957" i="4"/>
  <c r="P957" i="4"/>
  <c r="J958" i="4"/>
  <c r="L958" i="4"/>
  <c r="M958" i="4"/>
  <c r="O958" i="4"/>
  <c r="P958" i="4"/>
  <c r="J959" i="4"/>
  <c r="L959" i="4"/>
  <c r="M959" i="4"/>
  <c r="O959" i="4"/>
  <c r="P959" i="4" s="1"/>
  <c r="J960" i="4"/>
  <c r="M960" i="4" s="1"/>
  <c r="L960" i="4"/>
  <c r="O960" i="4"/>
  <c r="P960" i="4"/>
  <c r="J961" i="4"/>
  <c r="M961" i="4" s="1"/>
  <c r="L961" i="4"/>
  <c r="O961" i="4"/>
  <c r="P961" i="4"/>
  <c r="J962" i="4"/>
  <c r="L962" i="4"/>
  <c r="M962" i="4"/>
  <c r="O962" i="4"/>
  <c r="P962" i="4" s="1"/>
  <c r="J963" i="4"/>
  <c r="L963" i="4"/>
  <c r="M963" i="4"/>
  <c r="O963" i="4"/>
  <c r="P963" i="4" s="1"/>
  <c r="J964" i="4"/>
  <c r="L964" i="4"/>
  <c r="M964" i="4"/>
  <c r="O964" i="4"/>
  <c r="P964" i="4"/>
  <c r="J965" i="4"/>
  <c r="L965" i="4"/>
  <c r="M965" i="4"/>
  <c r="O965" i="4"/>
  <c r="P965" i="4" s="1"/>
  <c r="J966" i="4"/>
  <c r="M966" i="4" s="1"/>
  <c r="L966" i="4"/>
  <c r="O966" i="4"/>
  <c r="P966" i="4"/>
  <c r="J967" i="4"/>
  <c r="L967" i="4"/>
  <c r="M967" i="4"/>
  <c r="O967" i="4"/>
  <c r="P967" i="4" s="1"/>
  <c r="J968" i="4"/>
  <c r="L968" i="4"/>
  <c r="M968" i="4"/>
  <c r="O968" i="4"/>
  <c r="P968" i="4"/>
  <c r="J969" i="4"/>
  <c r="L969" i="4"/>
  <c r="M969" i="4"/>
  <c r="O969" i="4"/>
  <c r="P969" i="4"/>
  <c r="J970" i="4"/>
  <c r="M970" i="4" s="1"/>
  <c r="L970" i="4"/>
  <c r="O970" i="4"/>
  <c r="P970" i="4"/>
  <c r="J971" i="4"/>
  <c r="L971" i="4"/>
  <c r="M971" i="4"/>
  <c r="O971" i="4"/>
  <c r="P971" i="4" s="1"/>
  <c r="J972" i="4"/>
  <c r="L972" i="4"/>
  <c r="M972" i="4"/>
  <c r="O972" i="4"/>
  <c r="P972" i="4"/>
  <c r="J973" i="4"/>
  <c r="M973" i="4" s="1"/>
  <c r="L973" i="4"/>
  <c r="O973" i="4"/>
  <c r="P973" i="4" s="1"/>
  <c r="J974" i="4"/>
  <c r="M974" i="4" s="1"/>
  <c r="L974" i="4"/>
  <c r="O974" i="4"/>
  <c r="P974" i="4" s="1"/>
  <c r="J975" i="4"/>
  <c r="L975" i="4"/>
  <c r="M975" i="4"/>
  <c r="O975" i="4"/>
  <c r="P975" i="4" s="1"/>
  <c r="J976" i="4"/>
  <c r="L976" i="4"/>
  <c r="M976" i="4"/>
  <c r="O976" i="4"/>
  <c r="P976" i="4"/>
  <c r="J977" i="4"/>
  <c r="L977" i="4"/>
  <c r="M977" i="4"/>
  <c r="O977" i="4"/>
  <c r="P977" i="4" s="1"/>
  <c r="J978" i="4"/>
  <c r="M978" i="4" s="1"/>
  <c r="L978" i="4"/>
  <c r="O978" i="4"/>
  <c r="P978" i="4"/>
  <c r="J979" i="4"/>
  <c r="L979" i="4"/>
  <c r="M979" i="4"/>
  <c r="O979" i="4"/>
  <c r="P979" i="4" s="1"/>
  <c r="J980" i="4"/>
  <c r="L980" i="4"/>
  <c r="M980" i="4"/>
  <c r="O980" i="4"/>
  <c r="P980" i="4"/>
  <c r="J981" i="4"/>
  <c r="M981" i="4" s="1"/>
  <c r="L981" i="4"/>
  <c r="O981" i="4"/>
  <c r="P981" i="4" s="1"/>
  <c r="J982" i="4"/>
  <c r="M982" i="4" s="1"/>
  <c r="L982" i="4"/>
  <c r="O982" i="4"/>
  <c r="P982" i="4" s="1"/>
  <c r="J983" i="4"/>
  <c r="L983" i="4"/>
  <c r="M983" i="4"/>
  <c r="O983" i="4"/>
  <c r="P983" i="4" s="1"/>
  <c r="J984" i="4"/>
  <c r="L984" i="4"/>
  <c r="M984" i="4"/>
  <c r="O984" i="4"/>
  <c r="P984" i="4"/>
  <c r="J985" i="4"/>
  <c r="L985" i="4"/>
  <c r="M985" i="4"/>
  <c r="O985" i="4"/>
  <c r="P985" i="4" s="1"/>
  <c r="J986" i="4"/>
  <c r="M986" i="4" s="1"/>
  <c r="L986" i="4"/>
  <c r="O986" i="4"/>
  <c r="P986" i="4" s="1"/>
  <c r="J987" i="4"/>
  <c r="M987" i="4" s="1"/>
  <c r="L987" i="4"/>
  <c r="O987" i="4"/>
  <c r="P987" i="4" s="1"/>
  <c r="J988" i="4"/>
  <c r="L988" i="4"/>
  <c r="M988" i="4"/>
  <c r="O988" i="4"/>
  <c r="P988" i="4"/>
  <c r="J989" i="4"/>
  <c r="L989" i="4"/>
  <c r="M989" i="4"/>
  <c r="O989" i="4"/>
  <c r="P989" i="4"/>
  <c r="J990" i="4"/>
  <c r="M990" i="4" s="1"/>
  <c r="L990" i="4"/>
  <c r="O990" i="4"/>
  <c r="P990" i="4"/>
  <c r="J991" i="4"/>
  <c r="M991" i="4" s="1"/>
  <c r="L991" i="4"/>
  <c r="O991" i="4"/>
  <c r="P991" i="4" s="1"/>
  <c r="J992" i="4"/>
  <c r="L992" i="4"/>
  <c r="M992" i="4"/>
  <c r="O992" i="4"/>
  <c r="P992" i="4"/>
  <c r="J993" i="4"/>
  <c r="L993" i="4"/>
  <c r="M993" i="4"/>
  <c r="O993" i="4"/>
  <c r="P993" i="4"/>
  <c r="J994" i="4"/>
  <c r="M994" i="4" s="1"/>
  <c r="L994" i="4"/>
  <c r="O994" i="4"/>
  <c r="P994" i="4"/>
  <c r="J995" i="4"/>
  <c r="M995" i="4" s="1"/>
  <c r="L995" i="4"/>
  <c r="O995" i="4"/>
  <c r="P995" i="4" s="1"/>
  <c r="J996" i="4"/>
  <c r="L996" i="4"/>
  <c r="M996" i="4"/>
  <c r="O996" i="4"/>
  <c r="P996" i="4"/>
  <c r="J997" i="4"/>
  <c r="L997" i="4"/>
  <c r="M997" i="4"/>
  <c r="O997" i="4"/>
  <c r="P997" i="4"/>
  <c r="J998" i="4"/>
  <c r="M998" i="4" s="1"/>
  <c r="L998" i="4"/>
  <c r="O998" i="4"/>
  <c r="P998" i="4"/>
  <c r="J999" i="4"/>
  <c r="M999" i="4" s="1"/>
  <c r="L999" i="4"/>
  <c r="O999" i="4"/>
  <c r="P999" i="4" s="1"/>
  <c r="J1000" i="4"/>
  <c r="L1000" i="4"/>
  <c r="M1000" i="4"/>
  <c r="O1000" i="4"/>
  <c r="P1000" i="4"/>
  <c r="J1001" i="4"/>
  <c r="L1001" i="4"/>
  <c r="M1001" i="4"/>
  <c r="O1001" i="4"/>
  <c r="P1001" i="4"/>
  <c r="J1002" i="4"/>
  <c r="M1002" i="4" s="1"/>
  <c r="L1002" i="4"/>
  <c r="O1002" i="4"/>
  <c r="P1002" i="4" s="1"/>
  <c r="J1003" i="4"/>
  <c r="M1003" i="4" s="1"/>
  <c r="L1003" i="4"/>
  <c r="O1003" i="4"/>
  <c r="P1003" i="4" s="1"/>
  <c r="J1004" i="4"/>
  <c r="L1004" i="4"/>
  <c r="M1004" i="4"/>
  <c r="O1004" i="4"/>
  <c r="P1004" i="4"/>
  <c r="J1005" i="4"/>
  <c r="M1005" i="4" s="1"/>
  <c r="L1005" i="4"/>
  <c r="O1005" i="4"/>
  <c r="P1005" i="4"/>
  <c r="J1006" i="4"/>
  <c r="M1006" i="4" s="1"/>
  <c r="L1006" i="4"/>
  <c r="O1006" i="4"/>
  <c r="P1006" i="4"/>
  <c r="J1007" i="4"/>
  <c r="M1007" i="4" s="1"/>
  <c r="L1007" i="4"/>
  <c r="O1007" i="4"/>
  <c r="P1007" i="4" s="1"/>
  <c r="J1008" i="4"/>
  <c r="L1008" i="4"/>
  <c r="M1008" i="4"/>
  <c r="O1008" i="4"/>
  <c r="P1008" i="4"/>
  <c r="J1009" i="4"/>
  <c r="M1009" i="4" s="1"/>
  <c r="L1009" i="4"/>
  <c r="O1009" i="4"/>
  <c r="P1009" i="4" s="1"/>
  <c r="J1010" i="4"/>
  <c r="M1010" i="4" s="1"/>
  <c r="L1010" i="4"/>
  <c r="O1010" i="4"/>
  <c r="P1010" i="4" s="1"/>
  <c r="J1011" i="4"/>
  <c r="M1011" i="4" s="1"/>
  <c r="L1011" i="4"/>
  <c r="O1011" i="4"/>
  <c r="P1011" i="4" s="1"/>
  <c r="J1012" i="4"/>
  <c r="L1012" i="4"/>
  <c r="M1012" i="4"/>
  <c r="O1012" i="4"/>
  <c r="P1012" i="4"/>
  <c r="J1013" i="4"/>
  <c r="M1013" i="4" s="1"/>
  <c r="L1013" i="4"/>
  <c r="O1013" i="4"/>
  <c r="P1013" i="4" s="1"/>
  <c r="J1014" i="4"/>
  <c r="M1014" i="4" s="1"/>
  <c r="L1014" i="4"/>
  <c r="O1014" i="4"/>
  <c r="P1014" i="4" s="1"/>
  <c r="J1015" i="4"/>
  <c r="M1015" i="4" s="1"/>
  <c r="L1015" i="4"/>
  <c r="O1015" i="4"/>
  <c r="P1015" i="4" s="1"/>
  <c r="J1016" i="4"/>
  <c r="L1016" i="4"/>
  <c r="M1016" i="4"/>
  <c r="O1016" i="4"/>
  <c r="P1016" i="4"/>
  <c r="J1017" i="4"/>
  <c r="M1017" i="4" s="1"/>
  <c r="L1017" i="4"/>
  <c r="O1017" i="4"/>
  <c r="P1017" i="4" s="1"/>
  <c r="J1018" i="4"/>
  <c r="M1018" i="4" s="1"/>
  <c r="L1018" i="4"/>
  <c r="O1018" i="4"/>
  <c r="P1018" i="4" s="1"/>
  <c r="J1019" i="4"/>
  <c r="M1019" i="4" s="1"/>
  <c r="L1019" i="4"/>
  <c r="O1019" i="4"/>
  <c r="P1019" i="4" s="1"/>
  <c r="J1020" i="4"/>
  <c r="L1020" i="4"/>
  <c r="M1020" i="4"/>
  <c r="O1020" i="4"/>
  <c r="P1020" i="4"/>
  <c r="J1021" i="4"/>
  <c r="M1021" i="4" s="1"/>
  <c r="L1021" i="4"/>
  <c r="O1021" i="4"/>
  <c r="P1021" i="4" s="1"/>
  <c r="J1022" i="4"/>
  <c r="M1022" i="4" s="1"/>
  <c r="L1022" i="4"/>
  <c r="O1022" i="4"/>
  <c r="P1022" i="4"/>
  <c r="J1023" i="4"/>
  <c r="M1023" i="4" s="1"/>
  <c r="L1023" i="4"/>
  <c r="O1023" i="4"/>
  <c r="P1023" i="4" s="1"/>
  <c r="J1024" i="4"/>
  <c r="L1024" i="4"/>
  <c r="M1024" i="4"/>
  <c r="O1024" i="4"/>
  <c r="P1024" i="4"/>
  <c r="J1025" i="4"/>
  <c r="L1025" i="4"/>
  <c r="M1025" i="4"/>
  <c r="O1025" i="4"/>
  <c r="P1025" i="4" s="1"/>
  <c r="J1026" i="4"/>
  <c r="M1026" i="4" s="1"/>
  <c r="L1026" i="4"/>
  <c r="O1026" i="4"/>
  <c r="P1026" i="4"/>
  <c r="J1027" i="4"/>
  <c r="M1027" i="4" s="1"/>
  <c r="L1027" i="4"/>
  <c r="O1027" i="4"/>
  <c r="P1027" i="4" s="1"/>
  <c r="J1028" i="4"/>
  <c r="L1028" i="4"/>
  <c r="M1028" i="4"/>
  <c r="O1028" i="4"/>
  <c r="P1028" i="4"/>
  <c r="J1029" i="4"/>
  <c r="L1029" i="4"/>
  <c r="M1029" i="4"/>
  <c r="O1029" i="4"/>
  <c r="P1029" i="4"/>
  <c r="J1030" i="4"/>
  <c r="M1030" i="4" s="1"/>
  <c r="L1030" i="4"/>
  <c r="O1030" i="4"/>
  <c r="P1030" i="4"/>
  <c r="J1031" i="4"/>
  <c r="M1031" i="4" s="1"/>
  <c r="L1031" i="4"/>
  <c r="O1031" i="4"/>
  <c r="P1031" i="4" s="1"/>
  <c r="J1032" i="4"/>
  <c r="L1032" i="4"/>
  <c r="M1032" i="4"/>
  <c r="O1032" i="4"/>
  <c r="P1032" i="4"/>
  <c r="J1033" i="4"/>
  <c r="L1033" i="4"/>
  <c r="M1033" i="4"/>
  <c r="O1033" i="4"/>
  <c r="P1033" i="4" s="1"/>
  <c r="J1034" i="4"/>
  <c r="M1034" i="4" s="1"/>
  <c r="L1034" i="4"/>
  <c r="O1034" i="4"/>
  <c r="P1034" i="4"/>
  <c r="J1035" i="4"/>
  <c r="M1035" i="4" s="1"/>
  <c r="L1035" i="4"/>
  <c r="O1035" i="4"/>
  <c r="P1035" i="4" s="1"/>
  <c r="J1036" i="4"/>
  <c r="L1036" i="4"/>
  <c r="M1036" i="4"/>
  <c r="O1036" i="4"/>
  <c r="P1036" i="4"/>
  <c r="J1037" i="4"/>
  <c r="M1037" i="4" s="1"/>
  <c r="L1037" i="4"/>
  <c r="O1037" i="4"/>
  <c r="P1037" i="4"/>
  <c r="J1038" i="4"/>
  <c r="M1038" i="4" s="1"/>
  <c r="L1038" i="4"/>
  <c r="O1038" i="4"/>
  <c r="P1038" i="4"/>
  <c r="J1039" i="4"/>
  <c r="M1039" i="4" s="1"/>
  <c r="L1039" i="4"/>
  <c r="O1039" i="4"/>
  <c r="P1039" i="4" s="1"/>
  <c r="J1040" i="4"/>
  <c r="L1040" i="4"/>
  <c r="M1040" i="4"/>
  <c r="O1040" i="4"/>
  <c r="P1040" i="4"/>
  <c r="J1041" i="4"/>
  <c r="M1041" i="4" s="1"/>
  <c r="L1041" i="4"/>
  <c r="O1041" i="4"/>
  <c r="P1041" i="4"/>
  <c r="J1042" i="4"/>
  <c r="M1042" i="4" s="1"/>
  <c r="L1042" i="4"/>
  <c r="O1042" i="4"/>
  <c r="P1042" i="4" s="1"/>
  <c r="J1043" i="4"/>
  <c r="M1043" i="4" s="1"/>
  <c r="L1043" i="4"/>
  <c r="O1043" i="4"/>
  <c r="P1043" i="4" s="1"/>
  <c r="J1044" i="4"/>
  <c r="L1044" i="4"/>
  <c r="M1044" i="4"/>
  <c r="O1044" i="4"/>
  <c r="P1044" i="4"/>
  <c r="J1045" i="4"/>
  <c r="M1045" i="4" s="1"/>
  <c r="L1045" i="4"/>
  <c r="O1045" i="4"/>
  <c r="P1045" i="4"/>
  <c r="J1046" i="4"/>
  <c r="M1046" i="4" s="1"/>
  <c r="L1046" i="4"/>
  <c r="O1046" i="4"/>
  <c r="P1046" i="4" s="1"/>
  <c r="J1047" i="4"/>
  <c r="M1047" i="4" s="1"/>
  <c r="L1047" i="4"/>
  <c r="O1047" i="4"/>
  <c r="P1047" i="4" s="1"/>
  <c r="J1048" i="4"/>
  <c r="L1048" i="4"/>
  <c r="M1048" i="4"/>
  <c r="O1048" i="4"/>
  <c r="P1048" i="4"/>
  <c r="J1049" i="4"/>
  <c r="M1049" i="4" s="1"/>
  <c r="L1049" i="4"/>
  <c r="O1049" i="4"/>
  <c r="P1049" i="4" s="1"/>
  <c r="J1050" i="4"/>
  <c r="M1050" i="4" s="1"/>
  <c r="L1050" i="4"/>
  <c r="O1050" i="4"/>
  <c r="P1050" i="4" s="1"/>
  <c r="J1051" i="4"/>
  <c r="M1051" i="4" s="1"/>
  <c r="L1051" i="4"/>
  <c r="O1051" i="4"/>
  <c r="P1051" i="4" s="1"/>
  <c r="J1052" i="4"/>
  <c r="L1052" i="4"/>
  <c r="M1052" i="4"/>
  <c r="O1052" i="4"/>
  <c r="P1052" i="4"/>
  <c r="J1053" i="4"/>
  <c r="L1053" i="4"/>
  <c r="M1053" i="4"/>
  <c r="O1053" i="4"/>
  <c r="P1053" i="4" s="1"/>
  <c r="J1054" i="4"/>
  <c r="M1054" i="4" s="1"/>
  <c r="L1054" i="4"/>
  <c r="O1054" i="4"/>
  <c r="P1054" i="4" s="1"/>
  <c r="J1055" i="4"/>
  <c r="M1055" i="4" s="1"/>
  <c r="L1055" i="4"/>
  <c r="O1055" i="4"/>
  <c r="P1055" i="4" s="1"/>
  <c r="J1056" i="4"/>
  <c r="L1056" i="4"/>
  <c r="M1056" i="4"/>
  <c r="O1056" i="4"/>
  <c r="P1056" i="4"/>
  <c r="J1057" i="4"/>
  <c r="M1057" i="4" s="1"/>
  <c r="L1057" i="4"/>
  <c r="O1057" i="4"/>
  <c r="P1057" i="4" s="1"/>
  <c r="J1058" i="4"/>
  <c r="M1058" i="4" s="1"/>
  <c r="L1058" i="4"/>
  <c r="O1058" i="4"/>
  <c r="P1058" i="4" s="1"/>
  <c r="J1059" i="4"/>
  <c r="M1059" i="4" s="1"/>
  <c r="L1059" i="4"/>
  <c r="O1059" i="4"/>
  <c r="P1059" i="4" s="1"/>
  <c r="J1060" i="4"/>
  <c r="L1060" i="4"/>
  <c r="M1060" i="4"/>
  <c r="O1060" i="4"/>
  <c r="P1060" i="4"/>
  <c r="J1061" i="4"/>
  <c r="L1061" i="4"/>
  <c r="M1061" i="4"/>
  <c r="O1061" i="4"/>
  <c r="P1061" i="4" s="1"/>
  <c r="J1062" i="4"/>
  <c r="M1062" i="4" s="1"/>
  <c r="L1062" i="4"/>
  <c r="O1062" i="4"/>
  <c r="P1062" i="4"/>
  <c r="J1063" i="4"/>
  <c r="M1063" i="4" s="1"/>
  <c r="L1063" i="4"/>
  <c r="O1063" i="4"/>
  <c r="P1063" i="4" s="1"/>
  <c r="J1064" i="4"/>
  <c r="L1064" i="4"/>
  <c r="M1064" i="4"/>
  <c r="O1064" i="4"/>
  <c r="P1064" i="4"/>
  <c r="J1065" i="4"/>
  <c r="L1065" i="4"/>
  <c r="M1065" i="4"/>
  <c r="O1065" i="4"/>
  <c r="P1065" i="4" s="1"/>
  <c r="J1066" i="4"/>
  <c r="M1066" i="4" s="1"/>
  <c r="L1066" i="4"/>
  <c r="O1066" i="4"/>
  <c r="P1066" i="4" s="1"/>
  <c r="J1067" i="4"/>
  <c r="M1067" i="4" s="1"/>
  <c r="L1067" i="4"/>
  <c r="O1067" i="4"/>
  <c r="P1067" i="4" s="1"/>
  <c r="J1068" i="4"/>
  <c r="L1068" i="4"/>
  <c r="M1068" i="4"/>
  <c r="O1068" i="4"/>
  <c r="P1068" i="4"/>
  <c r="J1069" i="4"/>
  <c r="L1069" i="4"/>
  <c r="M1069" i="4"/>
  <c r="O1069" i="4"/>
  <c r="P1069" i="4"/>
  <c r="J1070" i="4"/>
  <c r="M1070" i="4" s="1"/>
  <c r="L1070" i="4"/>
  <c r="O1070" i="4"/>
  <c r="P1070" i="4"/>
  <c r="J1071" i="4"/>
  <c r="M1071" i="4" s="1"/>
  <c r="L1071" i="4"/>
  <c r="O1071" i="4"/>
  <c r="P1071" i="4" s="1"/>
  <c r="J1072" i="4"/>
  <c r="L1072" i="4"/>
  <c r="M1072" i="4"/>
  <c r="O1072" i="4"/>
  <c r="P1072" i="4"/>
  <c r="J1073" i="4"/>
  <c r="L1073" i="4"/>
  <c r="M1073" i="4"/>
  <c r="O1073" i="4"/>
  <c r="P1073" i="4"/>
  <c r="J1074" i="4"/>
  <c r="M1074" i="4" s="1"/>
  <c r="L1074" i="4"/>
  <c r="O1074" i="4"/>
  <c r="P1074" i="4"/>
  <c r="J1075" i="4"/>
  <c r="M1075" i="4" s="1"/>
  <c r="L1075" i="4"/>
  <c r="O1075" i="4"/>
  <c r="P1075" i="4" s="1"/>
  <c r="J1076" i="4"/>
  <c r="L1076" i="4"/>
  <c r="M1076" i="4"/>
  <c r="O1076" i="4"/>
  <c r="P1076" i="4"/>
  <c r="J1077" i="4"/>
  <c r="L1077" i="4"/>
  <c r="M1077" i="4"/>
  <c r="O1077" i="4"/>
  <c r="P1077" i="4"/>
  <c r="J1078" i="4"/>
  <c r="M1078" i="4" s="1"/>
  <c r="L1078" i="4"/>
  <c r="O1078" i="4"/>
  <c r="P1078" i="4"/>
  <c r="J1079" i="4"/>
  <c r="M1079" i="4" s="1"/>
  <c r="L1079" i="4"/>
  <c r="O1079" i="4"/>
  <c r="P1079" i="4" s="1"/>
  <c r="J1080" i="4"/>
  <c r="L1080" i="4"/>
  <c r="M1080" i="4"/>
  <c r="O1080" i="4"/>
  <c r="P1080" i="4"/>
  <c r="J1081" i="4"/>
  <c r="L1081" i="4"/>
  <c r="M1081" i="4"/>
  <c r="O1081" i="4"/>
  <c r="P1081" i="4"/>
  <c r="J1082" i="4"/>
  <c r="M1082" i="4" s="1"/>
  <c r="L1082" i="4"/>
  <c r="O1082" i="4"/>
  <c r="P1082" i="4" s="1"/>
  <c r="J1083" i="4"/>
  <c r="M1083" i="4" s="1"/>
  <c r="L1083" i="4"/>
  <c r="O1083" i="4"/>
  <c r="P1083" i="4" s="1"/>
  <c r="J1084" i="4"/>
  <c r="L1084" i="4"/>
  <c r="M1084" i="4"/>
  <c r="O1084" i="4"/>
  <c r="P1084" i="4"/>
  <c r="J1085" i="4"/>
  <c r="M1085" i="4" s="1"/>
  <c r="L1085" i="4"/>
  <c r="O1085" i="4"/>
  <c r="P1085" i="4"/>
  <c r="J1086" i="4"/>
  <c r="M1086" i="4" s="1"/>
  <c r="L1086" i="4"/>
  <c r="O1086" i="4"/>
  <c r="P1086" i="4"/>
  <c r="J1087" i="4"/>
  <c r="M1087" i="4" s="1"/>
  <c r="L1087" i="4"/>
  <c r="O1087" i="4"/>
  <c r="P1087" i="4" s="1"/>
  <c r="J1088" i="4"/>
  <c r="L1088" i="4"/>
  <c r="M1088" i="4"/>
  <c r="O1088" i="4"/>
  <c r="P1088" i="4"/>
  <c r="J1089" i="4"/>
  <c r="M1089" i="4" s="1"/>
  <c r="L1089" i="4"/>
  <c r="O1089" i="4"/>
  <c r="P1089" i="4"/>
  <c r="J1090" i="4"/>
  <c r="M1090" i="4" s="1"/>
  <c r="L1090" i="4"/>
  <c r="O1090" i="4"/>
  <c r="P1090" i="4" s="1"/>
  <c r="J1091" i="4"/>
  <c r="M1091" i="4" s="1"/>
  <c r="L1091" i="4"/>
  <c r="O1091" i="4"/>
  <c r="P1091" i="4" s="1"/>
  <c r="J1092" i="4"/>
  <c r="L1092" i="4"/>
  <c r="M1092" i="4"/>
  <c r="O1092" i="4"/>
  <c r="P1092" i="4"/>
  <c r="J1093" i="4"/>
  <c r="M1093" i="4" s="1"/>
  <c r="L1093" i="4"/>
  <c r="O1093" i="4"/>
  <c r="P1093" i="4" s="1"/>
  <c r="J1094" i="4"/>
  <c r="M1094" i="4" s="1"/>
  <c r="L1094" i="4"/>
  <c r="O1094" i="4"/>
  <c r="P1094" i="4" s="1"/>
  <c r="J1095" i="4"/>
  <c r="M1095" i="4" s="1"/>
  <c r="L1095" i="4"/>
  <c r="O1095" i="4"/>
  <c r="P1095" i="4" s="1"/>
  <c r="J1096" i="4"/>
  <c r="L1096" i="4"/>
  <c r="M1096" i="4"/>
  <c r="O1096" i="4"/>
  <c r="P1096" i="4"/>
  <c r="J1097" i="4"/>
  <c r="M1097" i="4" s="1"/>
  <c r="L1097" i="4"/>
  <c r="O1097" i="4"/>
  <c r="P1097" i="4" s="1"/>
  <c r="J1098" i="4"/>
  <c r="M1098" i="4" s="1"/>
  <c r="L1098" i="4"/>
  <c r="O1098" i="4"/>
  <c r="P1098" i="4" s="1"/>
  <c r="J1099" i="4"/>
  <c r="M1099" i="4" s="1"/>
  <c r="L1099" i="4"/>
  <c r="O1099" i="4"/>
  <c r="P1099" i="4" s="1"/>
  <c r="J1100" i="4"/>
  <c r="L1100" i="4"/>
  <c r="M1100" i="4"/>
  <c r="O1100" i="4"/>
  <c r="P1100" i="4"/>
  <c r="J1101" i="4"/>
  <c r="L1101" i="4"/>
  <c r="M1101" i="4"/>
  <c r="O1101" i="4"/>
  <c r="P1101" i="4" s="1"/>
  <c r="J1102" i="4"/>
  <c r="M1102" i="4" s="1"/>
  <c r="L1102" i="4"/>
  <c r="O1102" i="4"/>
  <c r="P1102" i="4"/>
  <c r="J1103" i="4"/>
  <c r="M1103" i="4" s="1"/>
  <c r="L1103" i="4"/>
  <c r="O1103" i="4"/>
  <c r="P1103" i="4" s="1"/>
  <c r="J1104" i="4"/>
  <c r="L1104" i="4"/>
  <c r="M1104" i="4"/>
  <c r="O1104" i="4"/>
  <c r="P1104" i="4"/>
  <c r="J1105" i="4"/>
  <c r="L1105" i="4"/>
  <c r="M1105" i="4"/>
  <c r="O1105" i="4"/>
  <c r="P1105" i="4" s="1"/>
  <c r="J1106" i="4"/>
  <c r="M1106" i="4" s="1"/>
  <c r="L1106" i="4"/>
  <c r="O1106" i="4"/>
  <c r="P1106" i="4"/>
  <c r="J1107" i="4"/>
  <c r="M1107" i="4" s="1"/>
  <c r="L1107" i="4"/>
  <c r="O1107" i="4"/>
  <c r="P1107" i="4" s="1"/>
  <c r="J1108" i="4"/>
  <c r="L1108" i="4"/>
  <c r="M1108" i="4"/>
  <c r="O1108" i="4"/>
  <c r="P1108" i="4"/>
  <c r="J1109" i="4"/>
  <c r="L1109" i="4"/>
  <c r="M1109" i="4"/>
  <c r="O1109" i="4"/>
  <c r="P1109" i="4"/>
  <c r="J1110" i="4"/>
  <c r="M1110" i="4" s="1"/>
  <c r="L1110" i="4"/>
  <c r="O1110" i="4"/>
  <c r="P1110" i="4"/>
  <c r="J1111" i="4"/>
  <c r="M1111" i="4" s="1"/>
  <c r="L1111" i="4"/>
  <c r="O1111" i="4"/>
  <c r="P1111" i="4" s="1"/>
  <c r="J1112" i="4"/>
  <c r="L1112" i="4"/>
  <c r="M1112" i="4"/>
  <c r="O1112" i="4"/>
  <c r="P1112" i="4"/>
  <c r="J1113" i="4"/>
  <c r="L1113" i="4"/>
  <c r="M1113" i="4"/>
  <c r="O1113" i="4"/>
  <c r="P1113" i="4" s="1"/>
  <c r="J1114" i="4"/>
  <c r="M1114" i="4" s="1"/>
  <c r="L1114" i="4"/>
  <c r="O1114" i="4"/>
  <c r="P1114" i="4" s="1"/>
  <c r="J1115" i="4"/>
  <c r="M1115" i="4" s="1"/>
  <c r="L1115" i="4"/>
  <c r="O1115" i="4"/>
  <c r="P1115" i="4" s="1"/>
  <c r="J1116" i="4"/>
  <c r="L1116" i="4"/>
  <c r="M1116" i="4"/>
  <c r="O1116" i="4"/>
  <c r="P1116"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2" i="1"/>
  <c r="O3" i="1"/>
  <c r="O4" i="1"/>
  <c r="O5" i="1"/>
  <c r="P5" i="1" s="1"/>
  <c r="O6" i="1"/>
  <c r="O7" i="1"/>
  <c r="P7" i="1" s="1"/>
  <c r="O8" i="1"/>
  <c r="O9" i="1"/>
  <c r="O10" i="1"/>
  <c r="O11" i="1"/>
  <c r="P11" i="1" s="1"/>
  <c r="O12" i="1"/>
  <c r="P12" i="1" s="1"/>
  <c r="O13" i="1"/>
  <c r="P13" i="1" s="1"/>
  <c r="O14" i="1"/>
  <c r="O15" i="1"/>
  <c r="P15" i="1" s="1"/>
  <c r="O16" i="1"/>
  <c r="P16" i="1" s="1"/>
  <c r="O17" i="1"/>
  <c r="P17" i="1" s="1"/>
  <c r="O18" i="1"/>
  <c r="O19" i="1"/>
  <c r="P19" i="1" s="1"/>
  <c r="O20" i="1"/>
  <c r="O21" i="1"/>
  <c r="O22" i="1"/>
  <c r="O23" i="1"/>
  <c r="P23" i="1" s="1"/>
  <c r="O24" i="1"/>
  <c r="O25" i="1"/>
  <c r="P25" i="1" s="1"/>
  <c r="O26" i="1"/>
  <c r="O27" i="1"/>
  <c r="P27" i="1" s="1"/>
  <c r="O28" i="1"/>
  <c r="O29" i="1"/>
  <c r="O30" i="1"/>
  <c r="O31" i="1"/>
  <c r="P31" i="1" s="1"/>
  <c r="O32" i="1"/>
  <c r="O33" i="1"/>
  <c r="O34" i="1"/>
  <c r="O35" i="1"/>
  <c r="O36" i="1"/>
  <c r="P36" i="1" s="1"/>
  <c r="O37" i="1"/>
  <c r="O38" i="1"/>
  <c r="O39" i="1"/>
  <c r="P39" i="1" s="1"/>
  <c r="O40" i="1"/>
  <c r="O41" i="1"/>
  <c r="P41" i="1" s="1"/>
  <c r="O42" i="1"/>
  <c r="O43" i="1"/>
  <c r="P43" i="1" s="1"/>
  <c r="O44" i="1"/>
  <c r="O45" i="1"/>
  <c r="P45" i="1" s="1"/>
  <c r="O46" i="1"/>
  <c r="O47" i="1"/>
  <c r="P47" i="1" s="1"/>
  <c r="O48" i="1"/>
  <c r="O49" i="1"/>
  <c r="O50" i="1"/>
  <c r="O51" i="1"/>
  <c r="P51" i="1" s="1"/>
  <c r="O52" i="1"/>
  <c r="O53" i="1"/>
  <c r="O54" i="1"/>
  <c r="O55" i="1"/>
  <c r="O56" i="1"/>
  <c r="O57" i="1"/>
  <c r="O58" i="1"/>
  <c r="O59" i="1"/>
  <c r="P59" i="1" s="1"/>
  <c r="O60" i="1"/>
  <c r="O61" i="1"/>
  <c r="P61" i="1" s="1"/>
  <c r="O62" i="1"/>
  <c r="O63" i="1"/>
  <c r="P63" i="1" s="1"/>
  <c r="O64" i="1"/>
  <c r="O65" i="1"/>
  <c r="P65" i="1" s="1"/>
  <c r="O66" i="1"/>
  <c r="O67" i="1"/>
  <c r="P67" i="1" s="1"/>
  <c r="O68" i="1"/>
  <c r="O69" i="1"/>
  <c r="O70" i="1"/>
  <c r="O71" i="1"/>
  <c r="P71" i="1" s="1"/>
  <c r="O72" i="1"/>
  <c r="P72" i="1" s="1"/>
  <c r="O73" i="1"/>
  <c r="O74" i="1"/>
  <c r="O75" i="1"/>
  <c r="O76" i="1"/>
  <c r="O77" i="1"/>
  <c r="O78" i="1"/>
  <c r="O79" i="1"/>
  <c r="P79" i="1" s="1"/>
  <c r="O80" i="1"/>
  <c r="O81" i="1"/>
  <c r="P81" i="1" s="1"/>
  <c r="O82" i="1"/>
  <c r="O83" i="1"/>
  <c r="O84" i="1"/>
  <c r="P84" i="1" s="1"/>
  <c r="O85" i="1"/>
  <c r="P85" i="1" s="1"/>
  <c r="O86" i="1"/>
  <c r="O87" i="1"/>
  <c r="P87" i="1" s="1"/>
  <c r="O88" i="1"/>
  <c r="O89" i="1"/>
  <c r="O90" i="1"/>
  <c r="P90" i="1" s="1"/>
  <c r="O91" i="1"/>
  <c r="P91" i="1" s="1"/>
  <c r="O92" i="1"/>
  <c r="O93" i="1"/>
  <c r="O94" i="1"/>
  <c r="O95" i="1"/>
  <c r="O96" i="1"/>
  <c r="O97" i="1"/>
  <c r="O98" i="1"/>
  <c r="O99" i="1"/>
  <c r="O100" i="1"/>
  <c r="O101" i="1"/>
  <c r="O102" i="1"/>
  <c r="O103" i="1"/>
  <c r="O104" i="1"/>
  <c r="O105" i="1"/>
  <c r="P105" i="1" s="1"/>
  <c r="O106" i="1"/>
  <c r="O107" i="1"/>
  <c r="P107" i="1" s="1"/>
  <c r="O108" i="1"/>
  <c r="O109" i="1"/>
  <c r="P109" i="1" s="1"/>
  <c r="O110" i="1"/>
  <c r="P110" i="1" s="1"/>
  <c r="O111" i="1"/>
  <c r="P111" i="1" s="1"/>
  <c r="O112" i="1"/>
  <c r="P112" i="1" s="1"/>
  <c r="O113" i="1"/>
  <c r="P113" i="1" s="1"/>
  <c r="O114" i="1"/>
  <c r="P114" i="1" s="1"/>
  <c r="O115" i="1"/>
  <c r="O116" i="1"/>
  <c r="P116" i="1" s="1"/>
  <c r="O117" i="1"/>
  <c r="O118" i="1"/>
  <c r="O119" i="1"/>
  <c r="P119" i="1" s="1"/>
  <c r="O120" i="1"/>
  <c r="O121" i="1"/>
  <c r="O122" i="1"/>
  <c r="O123" i="1"/>
  <c r="O124" i="1"/>
  <c r="O125" i="1"/>
  <c r="P125" i="1" s="1"/>
  <c r="O126" i="1"/>
  <c r="O127" i="1"/>
  <c r="P127" i="1" s="1"/>
  <c r="O128" i="1"/>
  <c r="O129" i="1"/>
  <c r="O130" i="1"/>
  <c r="O131" i="1"/>
  <c r="P131" i="1" s="1"/>
  <c r="O132" i="1"/>
  <c r="O133" i="1"/>
  <c r="P133" i="1" s="1"/>
  <c r="O134" i="1"/>
  <c r="P134" i="1" s="1"/>
  <c r="O135" i="1"/>
  <c r="O136" i="1"/>
  <c r="P136" i="1" s="1"/>
  <c r="O137" i="1"/>
  <c r="P137" i="1" s="1"/>
  <c r="O138" i="1"/>
  <c r="O139" i="1"/>
  <c r="P139" i="1" s="1"/>
  <c r="O140" i="1"/>
  <c r="O141" i="1"/>
  <c r="P141" i="1" s="1"/>
  <c r="O142" i="1"/>
  <c r="O143" i="1"/>
  <c r="P143" i="1" s="1"/>
  <c r="O144" i="1"/>
  <c r="O145" i="1"/>
  <c r="P145" i="1" s="1"/>
  <c r="O146" i="1"/>
  <c r="O147" i="1"/>
  <c r="P147" i="1" s="1"/>
  <c r="O148" i="1"/>
  <c r="O149" i="1"/>
  <c r="O150" i="1"/>
  <c r="O151" i="1"/>
  <c r="P151" i="1" s="1"/>
  <c r="O152" i="1"/>
  <c r="O153" i="1"/>
  <c r="P153" i="1" s="1"/>
  <c r="O154" i="1"/>
  <c r="P154" i="1" s="1"/>
  <c r="O155" i="1"/>
  <c r="O156" i="1"/>
  <c r="P156" i="1" s="1"/>
  <c r="O157" i="1"/>
  <c r="P157" i="1" s="1"/>
  <c r="O158" i="1"/>
  <c r="O159" i="1"/>
  <c r="P159" i="1" s="1"/>
  <c r="O160" i="1"/>
  <c r="O161" i="1"/>
  <c r="O162" i="1"/>
  <c r="O163" i="1"/>
  <c r="P163" i="1" s="1"/>
  <c r="O164" i="1"/>
  <c r="P164" i="1" s="1"/>
  <c r="O165" i="1"/>
  <c r="P165" i="1" s="1"/>
  <c r="O166" i="1"/>
  <c r="O167" i="1"/>
  <c r="P167" i="1" s="1"/>
  <c r="O168" i="1"/>
  <c r="O169" i="1"/>
  <c r="O170" i="1"/>
  <c r="O171" i="1"/>
  <c r="P171" i="1" s="1"/>
  <c r="O172" i="1"/>
  <c r="O173" i="1"/>
  <c r="P173" i="1" s="1"/>
  <c r="O174" i="1"/>
  <c r="O175" i="1"/>
  <c r="O176" i="1"/>
  <c r="P176" i="1" s="1"/>
  <c r="O177" i="1"/>
  <c r="P177" i="1" s="1"/>
  <c r="O178" i="1"/>
  <c r="O179" i="1"/>
  <c r="P179" i="1" s="1"/>
  <c r="O180" i="1"/>
  <c r="O181" i="1"/>
  <c r="P181" i="1" s="1"/>
  <c r="O182" i="1"/>
  <c r="O183" i="1"/>
  <c r="P183" i="1" s="1"/>
  <c r="O184" i="1"/>
  <c r="O185" i="1"/>
  <c r="P185" i="1" s="1"/>
  <c r="O186" i="1"/>
  <c r="O187" i="1"/>
  <c r="P187" i="1" s="1"/>
  <c r="O188" i="1"/>
  <c r="O189" i="1"/>
  <c r="O190" i="1"/>
  <c r="O191" i="1"/>
  <c r="P191" i="1" s="1"/>
  <c r="O192" i="1"/>
  <c r="O193" i="1"/>
  <c r="O194" i="1"/>
  <c r="O195" i="1"/>
  <c r="O196" i="1"/>
  <c r="P196" i="1" s="1"/>
  <c r="O197" i="1"/>
  <c r="O198" i="1"/>
  <c r="O199" i="1"/>
  <c r="P199" i="1" s="1"/>
  <c r="O200" i="1"/>
  <c r="O201" i="1"/>
  <c r="O202" i="1"/>
  <c r="O203" i="1"/>
  <c r="P203" i="1" s="1"/>
  <c r="O204" i="1"/>
  <c r="P204" i="1" s="1"/>
  <c r="O205" i="1"/>
  <c r="P205" i="1" s="1"/>
  <c r="O206" i="1"/>
  <c r="O207" i="1"/>
  <c r="P207" i="1" s="1"/>
  <c r="O208" i="1"/>
  <c r="P208" i="1" s="1"/>
  <c r="O209" i="1"/>
  <c r="O210" i="1"/>
  <c r="O211" i="1"/>
  <c r="P211" i="1" s="1"/>
  <c r="O212" i="1"/>
  <c r="O213" i="1"/>
  <c r="P213" i="1" s="1"/>
  <c r="O214" i="1"/>
  <c r="O215" i="1"/>
  <c r="O216" i="1"/>
  <c r="O217" i="1"/>
  <c r="O218" i="1"/>
  <c r="O219" i="1"/>
  <c r="P219" i="1" s="1"/>
  <c r="O220" i="1"/>
  <c r="O221" i="1"/>
  <c r="O222" i="1"/>
  <c r="O223" i="1"/>
  <c r="P223" i="1" s="1"/>
  <c r="O224" i="1"/>
  <c r="O225" i="1"/>
  <c r="P225" i="1" s="1"/>
  <c r="O226" i="1"/>
  <c r="O227" i="1"/>
  <c r="P227" i="1" s="1"/>
  <c r="O228" i="1"/>
  <c r="O229" i="1"/>
  <c r="O230" i="1"/>
  <c r="O231" i="1"/>
  <c r="P231" i="1" s="1"/>
  <c r="O232" i="1"/>
  <c r="P232" i="1" s="1"/>
  <c r="O233" i="1"/>
  <c r="P233" i="1" s="1"/>
  <c r="O234" i="1"/>
  <c r="O235" i="1"/>
  <c r="O236" i="1"/>
  <c r="P236" i="1" s="1"/>
  <c r="O237" i="1"/>
  <c r="O238" i="1"/>
  <c r="O239" i="1"/>
  <c r="P239" i="1" s="1"/>
  <c r="O240" i="1"/>
  <c r="O241" i="1"/>
  <c r="O242" i="1"/>
  <c r="O243" i="1"/>
  <c r="O244" i="1"/>
  <c r="O245" i="1"/>
  <c r="P245" i="1" s="1"/>
  <c r="O246" i="1"/>
  <c r="O247" i="1"/>
  <c r="P247" i="1" s="1"/>
  <c r="O248" i="1"/>
  <c r="O249" i="1"/>
  <c r="O250" i="1"/>
  <c r="P250" i="1" s="1"/>
  <c r="O251" i="1"/>
  <c r="P251" i="1" s="1"/>
  <c r="O252" i="1"/>
  <c r="P252" i="1" s="1"/>
  <c r="O253" i="1"/>
  <c r="P253" i="1" s="1"/>
  <c r="O254" i="1"/>
  <c r="P254" i="1" s="1"/>
  <c r="O255" i="1"/>
  <c r="P255" i="1" s="1"/>
  <c r="O256" i="1"/>
  <c r="P256" i="1" s="1"/>
  <c r="O257" i="1"/>
  <c r="O258" i="1"/>
  <c r="O259" i="1"/>
  <c r="P259" i="1" s="1"/>
  <c r="O260" i="1"/>
  <c r="O261" i="1"/>
  <c r="O262" i="1"/>
  <c r="O263" i="1"/>
  <c r="O264" i="1"/>
  <c r="O265" i="1"/>
  <c r="P265" i="1" s="1"/>
  <c r="O266" i="1"/>
  <c r="O267" i="1"/>
  <c r="P267" i="1" s="1"/>
  <c r="O268" i="1"/>
  <c r="O269" i="1"/>
  <c r="O270" i="1"/>
  <c r="O271" i="1"/>
  <c r="P271" i="1" s="1"/>
  <c r="O272" i="1"/>
  <c r="P272" i="1" s="1"/>
  <c r="O273" i="1"/>
  <c r="O274" i="1"/>
  <c r="P274" i="1" s="1"/>
  <c r="O275" i="1"/>
  <c r="P275" i="1" s="1"/>
  <c r="O276" i="1"/>
  <c r="P276" i="1" s="1"/>
  <c r="O277" i="1"/>
  <c r="P277" i="1" s="1"/>
  <c r="O278" i="1"/>
  <c r="O279" i="1"/>
  <c r="P279" i="1" s="1"/>
  <c r="O280" i="1"/>
  <c r="O281" i="1"/>
  <c r="O282" i="1"/>
  <c r="O283" i="1"/>
  <c r="P283" i="1" s="1"/>
  <c r="O284" i="1"/>
  <c r="O285" i="1"/>
  <c r="P285" i="1" s="1"/>
  <c r="O286" i="1"/>
  <c r="O287" i="1"/>
  <c r="P287" i="1" s="1"/>
  <c r="O288" i="1"/>
  <c r="O289" i="1"/>
  <c r="O290" i="1"/>
  <c r="O291" i="1"/>
  <c r="P291" i="1" s="1"/>
  <c r="O292" i="1"/>
  <c r="O293" i="1"/>
  <c r="O294" i="1"/>
  <c r="P294" i="1" s="1"/>
  <c r="O295" i="1"/>
  <c r="O296" i="1"/>
  <c r="O297" i="1"/>
  <c r="P297" i="1" s="1"/>
  <c r="O298" i="1"/>
  <c r="O299" i="1"/>
  <c r="P299" i="1" s="1"/>
  <c r="O300" i="1"/>
  <c r="O301" i="1"/>
  <c r="P301" i="1" s="1"/>
  <c r="O302" i="1"/>
  <c r="O303" i="1"/>
  <c r="P303" i="1" s="1"/>
  <c r="O304" i="1"/>
  <c r="O305" i="1"/>
  <c r="P305" i="1" s="1"/>
  <c r="O306" i="1"/>
  <c r="O307" i="1"/>
  <c r="P307" i="1" s="1"/>
  <c r="O308" i="1"/>
  <c r="O309" i="1"/>
  <c r="O310" i="1"/>
  <c r="O311" i="1"/>
  <c r="P311" i="1" s="1"/>
  <c r="O312" i="1"/>
  <c r="O313" i="1"/>
  <c r="O314" i="1"/>
  <c r="O315" i="1"/>
  <c r="O316" i="1"/>
  <c r="O317" i="1"/>
  <c r="P317" i="1" s="1"/>
  <c r="O318" i="1"/>
  <c r="O319" i="1"/>
  <c r="P319" i="1" s="1"/>
  <c r="O320" i="1"/>
  <c r="O321" i="1"/>
  <c r="P321" i="1" s="1"/>
  <c r="O322" i="1"/>
  <c r="O323" i="1"/>
  <c r="P323" i="1" s="1"/>
  <c r="O324" i="1"/>
  <c r="P324" i="1" s="1"/>
  <c r="O325" i="1"/>
  <c r="P325" i="1" s="1"/>
  <c r="O326" i="1"/>
  <c r="O327" i="1"/>
  <c r="P327" i="1" s="1"/>
  <c r="O328" i="1"/>
  <c r="O329" i="1"/>
  <c r="O330" i="1"/>
  <c r="O331" i="1"/>
  <c r="P331" i="1" s="1"/>
  <c r="O332" i="1"/>
  <c r="O333" i="1"/>
  <c r="P333" i="1" s="1"/>
  <c r="O334" i="1"/>
  <c r="O335" i="1"/>
  <c r="O336" i="1"/>
  <c r="O337" i="1"/>
  <c r="O338" i="1"/>
  <c r="O339" i="1"/>
  <c r="P339" i="1" s="1"/>
  <c r="O340" i="1"/>
  <c r="O341" i="1"/>
  <c r="P341" i="1" s="1"/>
  <c r="O342" i="1"/>
  <c r="O343" i="1"/>
  <c r="P343" i="1" s="1"/>
  <c r="O344" i="1"/>
  <c r="P344" i="1" s="1"/>
  <c r="O345" i="1"/>
  <c r="P345" i="1" s="1"/>
  <c r="O346" i="1"/>
  <c r="O347" i="1"/>
  <c r="P347" i="1" s="1"/>
  <c r="O348" i="1"/>
  <c r="O349" i="1"/>
  <c r="P349" i="1" s="1"/>
  <c r="O350" i="1"/>
  <c r="O351" i="1"/>
  <c r="P351" i="1" s="1"/>
  <c r="O352" i="1"/>
  <c r="O353" i="1"/>
  <c r="P353" i="1" s="1"/>
  <c r="O354" i="1"/>
  <c r="P354" i="1" s="1"/>
  <c r="O355" i="1"/>
  <c r="O356" i="1"/>
  <c r="P356" i="1" s="1"/>
  <c r="O357" i="1"/>
  <c r="O358" i="1"/>
  <c r="O359" i="1"/>
  <c r="P359" i="1" s="1"/>
  <c r="O360" i="1"/>
  <c r="O361" i="1"/>
  <c r="O362" i="1"/>
  <c r="O363" i="1"/>
  <c r="P363" i="1" s="1"/>
  <c r="O364" i="1"/>
  <c r="O365" i="1"/>
  <c r="P365" i="1" s="1"/>
  <c r="O366" i="1"/>
  <c r="O367" i="1"/>
  <c r="P367" i="1" s="1"/>
  <c r="O368" i="1"/>
  <c r="P368" i="1" s="1"/>
  <c r="O369" i="1"/>
  <c r="O370" i="1"/>
  <c r="O371" i="1"/>
  <c r="P371" i="1" s="1"/>
  <c r="O372" i="1"/>
  <c r="P372" i="1" s="1"/>
  <c r="O373" i="1"/>
  <c r="P373" i="1" s="1"/>
  <c r="O374" i="1"/>
  <c r="O375" i="1"/>
  <c r="O376" i="1"/>
  <c r="P376" i="1" s="1"/>
  <c r="O377" i="1"/>
  <c r="P377" i="1" s="1"/>
  <c r="O378" i="1"/>
  <c r="O379" i="1"/>
  <c r="P379" i="1" s="1"/>
  <c r="O380" i="1"/>
  <c r="O381" i="1"/>
  <c r="O382" i="1"/>
  <c r="O383" i="1"/>
  <c r="P383" i="1" s="1"/>
  <c r="O384" i="1"/>
  <c r="O385" i="1"/>
  <c r="P385" i="1" s="1"/>
  <c r="O386" i="1"/>
  <c r="O387" i="1"/>
  <c r="O388" i="1"/>
  <c r="O389" i="1"/>
  <c r="O390" i="1"/>
  <c r="P390" i="1" s="1"/>
  <c r="O391" i="1"/>
  <c r="O392" i="1"/>
  <c r="P392" i="1" s="1"/>
  <c r="O393" i="1"/>
  <c r="P393" i="1" s="1"/>
  <c r="O394" i="1"/>
  <c r="P394" i="1" s="1"/>
  <c r="O395" i="1"/>
  <c r="O396" i="1"/>
  <c r="P396" i="1" s="1"/>
  <c r="O397" i="1"/>
  <c r="O398" i="1"/>
  <c r="O399" i="1"/>
  <c r="P399" i="1" s="1"/>
  <c r="O400" i="1"/>
  <c r="O401" i="1"/>
  <c r="O402" i="1"/>
  <c r="O403" i="1"/>
  <c r="O404" i="1"/>
  <c r="O405" i="1"/>
  <c r="O406" i="1"/>
  <c r="O407" i="1"/>
  <c r="O408" i="1"/>
  <c r="O409" i="1"/>
  <c r="O410" i="1"/>
  <c r="P410" i="1" s="1"/>
  <c r="O411" i="1"/>
  <c r="O412" i="1"/>
  <c r="P412" i="1" s="1"/>
  <c r="O413" i="1"/>
  <c r="P413" i="1" s="1"/>
  <c r="O414" i="1"/>
  <c r="P414" i="1" s="1"/>
  <c r="O415" i="1"/>
  <c r="O416" i="1"/>
  <c r="P416" i="1" s="1"/>
  <c r="O417" i="1"/>
  <c r="O418" i="1"/>
  <c r="O419" i="1"/>
  <c r="P419" i="1" s="1"/>
  <c r="O420" i="1"/>
  <c r="O421" i="1"/>
  <c r="O422" i="1"/>
  <c r="O423" i="1"/>
  <c r="O424" i="1"/>
  <c r="O425" i="1"/>
  <c r="O426" i="1"/>
  <c r="O427" i="1"/>
  <c r="O428" i="1"/>
  <c r="O429" i="1"/>
  <c r="O430" i="1"/>
  <c r="P430" i="1" s="1"/>
  <c r="O431" i="1"/>
  <c r="O432" i="1"/>
  <c r="P432" i="1" s="1"/>
  <c r="O433" i="1"/>
  <c r="P433" i="1" s="1"/>
  <c r="O434" i="1"/>
  <c r="P434" i="1" s="1"/>
  <c r="O435" i="1"/>
  <c r="O436" i="1"/>
  <c r="P436" i="1" s="1"/>
  <c r="O437" i="1"/>
  <c r="O438" i="1"/>
  <c r="O439" i="1"/>
  <c r="P439" i="1" s="1"/>
  <c r="O440" i="1"/>
  <c r="O441" i="1"/>
  <c r="O442" i="1"/>
  <c r="O443" i="1"/>
  <c r="O444" i="1"/>
  <c r="O445" i="1"/>
  <c r="O446" i="1"/>
  <c r="O447" i="1"/>
  <c r="O448" i="1"/>
  <c r="O449" i="1"/>
  <c r="O450" i="1"/>
  <c r="P450" i="1" s="1"/>
  <c r="O451" i="1"/>
  <c r="O452" i="1"/>
  <c r="P452" i="1" s="1"/>
  <c r="O453" i="1"/>
  <c r="P453" i="1" s="1"/>
  <c r="O454" i="1"/>
  <c r="P454" i="1" s="1"/>
  <c r="O455" i="1"/>
  <c r="O456" i="1"/>
  <c r="P456" i="1" s="1"/>
  <c r="O457" i="1"/>
  <c r="O458" i="1"/>
  <c r="O459" i="1"/>
  <c r="P459" i="1" s="1"/>
  <c r="O460" i="1"/>
  <c r="O461" i="1"/>
  <c r="O462" i="1"/>
  <c r="O463" i="1"/>
  <c r="O464" i="1"/>
  <c r="O465" i="1"/>
  <c r="O466" i="1"/>
  <c r="O467" i="1"/>
  <c r="O468" i="1"/>
  <c r="O469" i="1"/>
  <c r="O470" i="1"/>
  <c r="P470" i="1" s="1"/>
  <c r="O471" i="1"/>
  <c r="O472" i="1"/>
  <c r="P472" i="1" s="1"/>
  <c r="O473" i="1"/>
  <c r="P473" i="1" s="1"/>
  <c r="O474" i="1"/>
  <c r="P474" i="1" s="1"/>
  <c r="O475" i="1"/>
  <c r="O476" i="1"/>
  <c r="P476" i="1" s="1"/>
  <c r="O477" i="1"/>
  <c r="O478" i="1"/>
  <c r="O479" i="1"/>
  <c r="P479" i="1" s="1"/>
  <c r="O480" i="1"/>
  <c r="O481" i="1"/>
  <c r="O482" i="1"/>
  <c r="O483" i="1"/>
  <c r="O484" i="1"/>
  <c r="O485" i="1"/>
  <c r="O486" i="1"/>
  <c r="O487" i="1"/>
  <c r="O488" i="1"/>
  <c r="O489" i="1"/>
  <c r="O490" i="1"/>
  <c r="P490" i="1" s="1"/>
  <c r="O491" i="1"/>
  <c r="O492" i="1"/>
  <c r="P492" i="1" s="1"/>
  <c r="O493" i="1"/>
  <c r="P493" i="1" s="1"/>
  <c r="O494" i="1"/>
  <c r="P494" i="1" s="1"/>
  <c r="O495" i="1"/>
  <c r="O496" i="1"/>
  <c r="P496" i="1" s="1"/>
  <c r="O497" i="1"/>
  <c r="O498" i="1"/>
  <c r="O499" i="1"/>
  <c r="P499" i="1" s="1"/>
  <c r="O500" i="1"/>
  <c r="O501" i="1"/>
  <c r="O502" i="1"/>
  <c r="O503" i="1"/>
  <c r="O504" i="1"/>
  <c r="O505" i="1"/>
  <c r="O506" i="1"/>
  <c r="O507" i="1"/>
  <c r="O508" i="1"/>
  <c r="O509" i="1"/>
  <c r="O510" i="1"/>
  <c r="P510" i="1" s="1"/>
  <c r="O511" i="1"/>
  <c r="O512" i="1"/>
  <c r="P512" i="1" s="1"/>
  <c r="O513" i="1"/>
  <c r="P513" i="1" s="1"/>
  <c r="O514" i="1"/>
  <c r="P514" i="1" s="1"/>
  <c r="O515" i="1"/>
  <c r="O516" i="1"/>
  <c r="P516" i="1" s="1"/>
  <c r="O517" i="1"/>
  <c r="O518" i="1"/>
  <c r="O519" i="1"/>
  <c r="P519" i="1" s="1"/>
  <c r="O520" i="1"/>
  <c r="O521" i="1"/>
  <c r="O522" i="1"/>
  <c r="O523" i="1"/>
  <c r="O524" i="1"/>
  <c r="O525" i="1"/>
  <c r="O526" i="1"/>
  <c r="O527" i="1"/>
  <c r="O528" i="1"/>
  <c r="O529" i="1"/>
  <c r="O530" i="1"/>
  <c r="P530" i="1" s="1"/>
  <c r="O531" i="1"/>
  <c r="O532" i="1"/>
  <c r="P532" i="1" s="1"/>
  <c r="O533" i="1"/>
  <c r="P533" i="1" s="1"/>
  <c r="O534" i="1"/>
  <c r="P534" i="1" s="1"/>
  <c r="O535" i="1"/>
  <c r="O536" i="1"/>
  <c r="P536" i="1" s="1"/>
  <c r="O537" i="1"/>
  <c r="O538" i="1"/>
  <c r="O539" i="1"/>
  <c r="P539" i="1" s="1"/>
  <c r="O540" i="1"/>
  <c r="O541" i="1"/>
  <c r="O542" i="1"/>
  <c r="O543" i="1"/>
  <c r="O544" i="1"/>
  <c r="O545" i="1"/>
  <c r="O546" i="1"/>
  <c r="O547" i="1"/>
  <c r="O548" i="1"/>
  <c r="O549" i="1"/>
  <c r="O550" i="1"/>
  <c r="P550" i="1" s="1"/>
  <c r="O551" i="1"/>
  <c r="O552" i="1"/>
  <c r="P552" i="1" s="1"/>
  <c r="O553" i="1"/>
  <c r="P553" i="1" s="1"/>
  <c r="O554" i="1"/>
  <c r="P554" i="1" s="1"/>
  <c r="O555" i="1"/>
  <c r="O556" i="1"/>
  <c r="P556" i="1" s="1"/>
  <c r="O557" i="1"/>
  <c r="O558" i="1"/>
  <c r="O559" i="1"/>
  <c r="P559" i="1" s="1"/>
  <c r="O560" i="1"/>
  <c r="O561" i="1"/>
  <c r="O562" i="1"/>
  <c r="O563" i="1"/>
  <c r="O564" i="1"/>
  <c r="O565" i="1"/>
  <c r="O566" i="1"/>
  <c r="O567" i="1"/>
  <c r="O568" i="1"/>
  <c r="O569" i="1"/>
  <c r="O570" i="1"/>
  <c r="P570" i="1" s="1"/>
  <c r="O571" i="1"/>
  <c r="O572" i="1"/>
  <c r="P572" i="1" s="1"/>
  <c r="O573" i="1"/>
  <c r="P573" i="1" s="1"/>
  <c r="O574" i="1"/>
  <c r="P574" i="1" s="1"/>
  <c r="O575" i="1"/>
  <c r="O576" i="1"/>
  <c r="P576" i="1" s="1"/>
  <c r="O577" i="1"/>
  <c r="O578" i="1"/>
  <c r="O579" i="1"/>
  <c r="P579" i="1" s="1"/>
  <c r="O580" i="1"/>
  <c r="O581" i="1"/>
  <c r="O582" i="1"/>
  <c r="O583" i="1"/>
  <c r="O584" i="1"/>
  <c r="O585" i="1"/>
  <c r="O586" i="1"/>
  <c r="O587" i="1"/>
  <c r="O588" i="1"/>
  <c r="O589" i="1"/>
  <c r="O590" i="1"/>
  <c r="P590" i="1" s="1"/>
  <c r="O591" i="1"/>
  <c r="O592" i="1"/>
  <c r="P592" i="1" s="1"/>
  <c r="O593" i="1"/>
  <c r="P593" i="1" s="1"/>
  <c r="O594" i="1"/>
  <c r="P594" i="1" s="1"/>
  <c r="O595" i="1"/>
  <c r="O596" i="1"/>
  <c r="P596" i="1" s="1"/>
  <c r="O597" i="1"/>
  <c r="O598" i="1"/>
  <c r="O599" i="1"/>
  <c r="P599" i="1" s="1"/>
  <c r="O600" i="1"/>
  <c r="O601" i="1"/>
  <c r="O602" i="1"/>
  <c r="O603" i="1"/>
  <c r="O604" i="1"/>
  <c r="O605" i="1"/>
  <c r="O606" i="1"/>
  <c r="O607" i="1"/>
  <c r="O608" i="1"/>
  <c r="O609" i="1"/>
  <c r="O610" i="1"/>
  <c r="P610" i="1" s="1"/>
  <c r="O611" i="1"/>
  <c r="O612" i="1"/>
  <c r="P612" i="1" s="1"/>
  <c r="O613" i="1"/>
  <c r="P613" i="1" s="1"/>
  <c r="O614" i="1"/>
  <c r="P614" i="1" s="1"/>
  <c r="O615" i="1"/>
  <c r="O616" i="1"/>
  <c r="P616" i="1" s="1"/>
  <c r="O617" i="1"/>
  <c r="O618" i="1"/>
  <c r="O619" i="1"/>
  <c r="P619" i="1" s="1"/>
  <c r="O620" i="1"/>
  <c r="O621" i="1"/>
  <c r="O622" i="1"/>
  <c r="O623" i="1"/>
  <c r="O624" i="1"/>
  <c r="O625" i="1"/>
  <c r="O626" i="1"/>
  <c r="O627" i="1"/>
  <c r="O628" i="1"/>
  <c r="O629" i="1"/>
  <c r="O630" i="1"/>
  <c r="P630" i="1" s="1"/>
  <c r="O631" i="1"/>
  <c r="O632" i="1"/>
  <c r="P632" i="1" s="1"/>
  <c r="O633" i="1"/>
  <c r="P633" i="1" s="1"/>
  <c r="O634" i="1"/>
  <c r="P634" i="1" s="1"/>
  <c r="O635" i="1"/>
  <c r="O636" i="1"/>
  <c r="P636" i="1" s="1"/>
  <c r="O637" i="1"/>
  <c r="O638" i="1"/>
  <c r="O639" i="1"/>
  <c r="P639" i="1" s="1"/>
  <c r="O640" i="1"/>
  <c r="O641" i="1"/>
  <c r="O642" i="1"/>
  <c r="O643" i="1"/>
  <c r="O644" i="1"/>
  <c r="O645" i="1"/>
  <c r="O646" i="1"/>
  <c r="O647" i="1"/>
  <c r="O648" i="1"/>
  <c r="O649" i="1"/>
  <c r="O650" i="1"/>
  <c r="P650" i="1" s="1"/>
  <c r="O651" i="1"/>
  <c r="O652" i="1"/>
  <c r="P652" i="1" s="1"/>
  <c r="O653" i="1"/>
  <c r="P653" i="1" s="1"/>
  <c r="O654" i="1"/>
  <c r="P654" i="1" s="1"/>
  <c r="O655" i="1"/>
  <c r="O656" i="1"/>
  <c r="P656" i="1" s="1"/>
  <c r="O657" i="1"/>
  <c r="O658" i="1"/>
  <c r="O659" i="1"/>
  <c r="O660" i="1"/>
  <c r="O661" i="1"/>
  <c r="O662" i="1"/>
  <c r="O663" i="1"/>
  <c r="O664" i="1"/>
  <c r="O665" i="1"/>
  <c r="O666" i="1"/>
  <c r="O667" i="1"/>
  <c r="O668" i="1"/>
  <c r="O669" i="1"/>
  <c r="O670" i="1"/>
  <c r="P670" i="1" s="1"/>
  <c r="O671" i="1"/>
  <c r="O672" i="1"/>
  <c r="P672" i="1" s="1"/>
  <c r="O673" i="1"/>
  <c r="P673" i="1" s="1"/>
  <c r="O674" i="1"/>
  <c r="P674" i="1" s="1"/>
  <c r="O675" i="1"/>
  <c r="O676" i="1"/>
  <c r="P676" i="1" s="1"/>
  <c r="O677" i="1"/>
  <c r="O678" i="1"/>
  <c r="O679" i="1"/>
  <c r="P679" i="1" s="1"/>
  <c r="O680" i="1"/>
  <c r="O681" i="1"/>
  <c r="O682" i="1"/>
  <c r="O683" i="1"/>
  <c r="O684" i="1"/>
  <c r="O685" i="1"/>
  <c r="O686" i="1"/>
  <c r="O687" i="1"/>
  <c r="O688" i="1"/>
  <c r="O689" i="1"/>
  <c r="O690" i="1"/>
  <c r="P690" i="1" s="1"/>
  <c r="O691" i="1"/>
  <c r="O692" i="1"/>
  <c r="P692" i="1" s="1"/>
  <c r="O693" i="1"/>
  <c r="P693" i="1" s="1"/>
  <c r="O694" i="1"/>
  <c r="P694" i="1" s="1"/>
  <c r="O695" i="1"/>
  <c r="O696" i="1"/>
  <c r="P696" i="1" s="1"/>
  <c r="O697" i="1"/>
  <c r="O698" i="1"/>
  <c r="O699" i="1"/>
  <c r="P699" i="1" s="1"/>
  <c r="O700" i="1"/>
  <c r="O701" i="1"/>
  <c r="O702" i="1"/>
  <c r="O703" i="1"/>
  <c r="O704" i="1"/>
  <c r="O705" i="1"/>
  <c r="O706" i="1"/>
  <c r="O707" i="1"/>
  <c r="O708" i="1"/>
  <c r="O709" i="1"/>
  <c r="O710" i="1"/>
  <c r="P710" i="1" s="1"/>
  <c r="O711" i="1"/>
  <c r="O712" i="1"/>
  <c r="P712" i="1" s="1"/>
  <c r="O713" i="1"/>
  <c r="P713" i="1" s="1"/>
  <c r="O714" i="1"/>
  <c r="P714" i="1" s="1"/>
  <c r="O715" i="1"/>
  <c r="O716" i="1"/>
  <c r="P716" i="1" s="1"/>
  <c r="O717" i="1"/>
  <c r="O718" i="1"/>
  <c r="O719" i="1"/>
  <c r="P719" i="1" s="1"/>
  <c r="O720" i="1"/>
  <c r="O721" i="1"/>
  <c r="O722" i="1"/>
  <c r="O723" i="1"/>
  <c r="O724" i="1"/>
  <c r="O725" i="1"/>
  <c r="O726" i="1"/>
  <c r="O727" i="1"/>
  <c r="O728" i="1"/>
  <c r="O729" i="1"/>
  <c r="O730" i="1"/>
  <c r="P730" i="1" s="1"/>
  <c r="O731" i="1"/>
  <c r="O732" i="1"/>
  <c r="P732" i="1" s="1"/>
  <c r="O733" i="1"/>
  <c r="P733" i="1" s="1"/>
  <c r="O734" i="1"/>
  <c r="P734" i="1" s="1"/>
  <c r="O735" i="1"/>
  <c r="O736" i="1"/>
  <c r="P736" i="1" s="1"/>
  <c r="O737" i="1"/>
  <c r="O738" i="1"/>
  <c r="O739" i="1"/>
  <c r="O740" i="1"/>
  <c r="O741" i="1"/>
  <c r="O742" i="1"/>
  <c r="O743" i="1"/>
  <c r="O744" i="1"/>
  <c r="O745" i="1"/>
  <c r="O746" i="1"/>
  <c r="O747" i="1"/>
  <c r="O748" i="1"/>
  <c r="O749" i="1"/>
  <c r="O750" i="1"/>
  <c r="P750" i="1" s="1"/>
  <c r="O751" i="1"/>
  <c r="O752" i="1"/>
  <c r="P752" i="1" s="1"/>
  <c r="O753" i="1"/>
  <c r="P753" i="1" s="1"/>
  <c r="O754" i="1"/>
  <c r="P754" i="1" s="1"/>
  <c r="O755" i="1"/>
  <c r="O756" i="1"/>
  <c r="P756" i="1" s="1"/>
  <c r="O757" i="1"/>
  <c r="O758" i="1"/>
  <c r="O759" i="1"/>
  <c r="P759" i="1" s="1"/>
  <c r="O760" i="1"/>
  <c r="O761" i="1"/>
  <c r="O762" i="1"/>
  <c r="O763" i="1"/>
  <c r="O764" i="1"/>
  <c r="O765" i="1"/>
  <c r="O766" i="1"/>
  <c r="O767" i="1"/>
  <c r="O768" i="1"/>
  <c r="O769" i="1"/>
  <c r="O770" i="1"/>
  <c r="P770" i="1" s="1"/>
  <c r="O771" i="1"/>
  <c r="O772" i="1"/>
  <c r="P772" i="1" s="1"/>
  <c r="O773" i="1"/>
  <c r="P773" i="1" s="1"/>
  <c r="O774" i="1"/>
  <c r="P774" i="1" s="1"/>
  <c r="O775" i="1"/>
  <c r="O776" i="1"/>
  <c r="P776" i="1" s="1"/>
  <c r="O777" i="1"/>
  <c r="O778" i="1"/>
  <c r="O779" i="1"/>
  <c r="P779" i="1" s="1"/>
  <c r="O780" i="1"/>
  <c r="O781" i="1"/>
  <c r="O782" i="1"/>
  <c r="O783" i="1"/>
  <c r="O784" i="1"/>
  <c r="O785" i="1"/>
  <c r="O786" i="1"/>
  <c r="O787" i="1"/>
  <c r="O788" i="1"/>
  <c r="O789" i="1"/>
  <c r="O790" i="1"/>
  <c r="P790" i="1" s="1"/>
  <c r="O791" i="1"/>
  <c r="O792" i="1"/>
  <c r="P792" i="1" s="1"/>
  <c r="O793" i="1"/>
  <c r="P793" i="1" s="1"/>
  <c r="O794" i="1"/>
  <c r="P794" i="1" s="1"/>
  <c r="O795" i="1"/>
  <c r="O796" i="1"/>
  <c r="P796" i="1" s="1"/>
  <c r="O797" i="1"/>
  <c r="O798" i="1"/>
  <c r="O799" i="1"/>
  <c r="P799" i="1" s="1"/>
  <c r="O800" i="1"/>
  <c r="O801" i="1"/>
  <c r="O802" i="1"/>
  <c r="O803" i="1"/>
  <c r="P803" i="1" s="1"/>
  <c r="O804" i="1"/>
  <c r="O805" i="1"/>
  <c r="O806" i="1"/>
  <c r="O807" i="1"/>
  <c r="O808" i="1"/>
  <c r="O809" i="1"/>
  <c r="O810" i="1"/>
  <c r="P810" i="1" s="1"/>
  <c r="O811" i="1"/>
  <c r="O812" i="1"/>
  <c r="P812" i="1" s="1"/>
  <c r="O813" i="1"/>
  <c r="P813" i="1" s="1"/>
  <c r="O814" i="1"/>
  <c r="P814" i="1" s="1"/>
  <c r="O815" i="1"/>
  <c r="O816" i="1"/>
  <c r="P816" i="1" s="1"/>
  <c r="O817" i="1"/>
  <c r="O818" i="1"/>
  <c r="O819" i="1"/>
  <c r="O820" i="1"/>
  <c r="O821" i="1"/>
  <c r="O822" i="1"/>
  <c r="O823" i="1"/>
  <c r="O824" i="1"/>
  <c r="O825" i="1"/>
  <c r="O826" i="1"/>
  <c r="O827" i="1"/>
  <c r="O828" i="1"/>
  <c r="O829" i="1"/>
  <c r="O830" i="1"/>
  <c r="P830" i="1" s="1"/>
  <c r="O831" i="1"/>
  <c r="O832" i="1"/>
  <c r="P832" i="1" s="1"/>
  <c r="O833" i="1"/>
  <c r="P833" i="1" s="1"/>
  <c r="O834" i="1"/>
  <c r="P834" i="1" s="1"/>
  <c r="O835" i="1"/>
  <c r="O836" i="1"/>
  <c r="P836" i="1" s="1"/>
  <c r="O837" i="1"/>
  <c r="O838" i="1"/>
  <c r="O839" i="1"/>
  <c r="P839" i="1" s="1"/>
  <c r="O840" i="1"/>
  <c r="O841" i="1"/>
  <c r="O842" i="1"/>
  <c r="O843" i="1"/>
  <c r="O844" i="1"/>
  <c r="O845" i="1"/>
  <c r="O846" i="1"/>
  <c r="O847" i="1"/>
  <c r="O848" i="1"/>
  <c r="O849" i="1"/>
  <c r="O850" i="1"/>
  <c r="P850" i="1" s="1"/>
  <c r="O851" i="1"/>
  <c r="O852" i="1"/>
  <c r="P852" i="1" s="1"/>
  <c r="O853" i="1"/>
  <c r="P853" i="1" s="1"/>
  <c r="O854" i="1"/>
  <c r="P854" i="1" s="1"/>
  <c r="O855" i="1"/>
  <c r="O856" i="1"/>
  <c r="P856" i="1" s="1"/>
  <c r="O857" i="1"/>
  <c r="O858" i="1"/>
  <c r="O859" i="1"/>
  <c r="P859" i="1" s="1"/>
  <c r="O860" i="1"/>
  <c r="O861" i="1"/>
  <c r="O862" i="1"/>
  <c r="O863" i="1"/>
  <c r="O864" i="1"/>
  <c r="O865" i="1"/>
  <c r="O866" i="1"/>
  <c r="O867" i="1"/>
  <c r="O868" i="1"/>
  <c r="O869" i="1"/>
  <c r="O870" i="1"/>
  <c r="P870" i="1" s="1"/>
  <c r="O871" i="1"/>
  <c r="O872" i="1"/>
  <c r="P872" i="1" s="1"/>
  <c r="O873" i="1"/>
  <c r="P873" i="1" s="1"/>
  <c r="O874" i="1"/>
  <c r="P874" i="1" s="1"/>
  <c r="O875" i="1"/>
  <c r="O876" i="1"/>
  <c r="P876" i="1" s="1"/>
  <c r="O877" i="1"/>
  <c r="O878" i="1"/>
  <c r="O879" i="1"/>
  <c r="P879" i="1" s="1"/>
  <c r="O880" i="1"/>
  <c r="O881" i="1"/>
  <c r="O882" i="1"/>
  <c r="O883" i="1"/>
  <c r="P883" i="1" s="1"/>
  <c r="O884" i="1"/>
  <c r="O885" i="1"/>
  <c r="O886" i="1"/>
  <c r="O887" i="1"/>
  <c r="O888" i="1"/>
  <c r="O889" i="1"/>
  <c r="O890" i="1"/>
  <c r="P890" i="1" s="1"/>
  <c r="O891" i="1"/>
  <c r="O892" i="1"/>
  <c r="P892" i="1" s="1"/>
  <c r="O893" i="1"/>
  <c r="P893" i="1" s="1"/>
  <c r="O894" i="1"/>
  <c r="P894" i="1" s="1"/>
  <c r="O895" i="1"/>
  <c r="O896" i="1"/>
  <c r="P896" i="1" s="1"/>
  <c r="O897" i="1"/>
  <c r="O898" i="1"/>
  <c r="O899" i="1"/>
  <c r="O900" i="1"/>
  <c r="O901" i="1"/>
  <c r="O902" i="1"/>
  <c r="O903" i="1"/>
  <c r="O904" i="1"/>
  <c r="O905" i="1"/>
  <c r="O906" i="1"/>
  <c r="O907" i="1"/>
  <c r="O908" i="1"/>
  <c r="O909" i="1"/>
  <c r="O910" i="1"/>
  <c r="P910" i="1" s="1"/>
  <c r="O911" i="1"/>
  <c r="O912" i="1"/>
  <c r="P912" i="1" s="1"/>
  <c r="O913" i="1"/>
  <c r="P913" i="1" s="1"/>
  <c r="O914" i="1"/>
  <c r="P914" i="1" s="1"/>
  <c r="O915" i="1"/>
  <c r="O916" i="1"/>
  <c r="P916" i="1" s="1"/>
  <c r="O917" i="1"/>
  <c r="O918" i="1"/>
  <c r="O919" i="1"/>
  <c r="P919" i="1" s="1"/>
  <c r="O920" i="1"/>
  <c r="O921" i="1"/>
  <c r="O922" i="1"/>
  <c r="O923" i="1"/>
  <c r="O924" i="1"/>
  <c r="O925" i="1"/>
  <c r="O926" i="1"/>
  <c r="O927" i="1"/>
  <c r="O928" i="1"/>
  <c r="O929" i="1"/>
  <c r="O930" i="1"/>
  <c r="P930" i="1" s="1"/>
  <c r="O931" i="1"/>
  <c r="O932" i="1"/>
  <c r="P932" i="1" s="1"/>
  <c r="O933" i="1"/>
  <c r="P933" i="1" s="1"/>
  <c r="O934" i="1"/>
  <c r="P934" i="1" s="1"/>
  <c r="O935" i="1"/>
  <c r="O936" i="1"/>
  <c r="P936" i="1" s="1"/>
  <c r="O937" i="1"/>
  <c r="O938" i="1"/>
  <c r="O939" i="1"/>
  <c r="P939" i="1" s="1"/>
  <c r="O940" i="1"/>
  <c r="O941" i="1"/>
  <c r="O942" i="1"/>
  <c r="O943" i="1"/>
  <c r="O944" i="1"/>
  <c r="O945" i="1"/>
  <c r="O946" i="1"/>
  <c r="O947" i="1"/>
  <c r="O948" i="1"/>
  <c r="O949" i="1"/>
  <c r="O950" i="1"/>
  <c r="P950" i="1" s="1"/>
  <c r="O951" i="1"/>
  <c r="O952" i="1"/>
  <c r="P952" i="1" s="1"/>
  <c r="O953" i="1"/>
  <c r="P953" i="1" s="1"/>
  <c r="O954" i="1"/>
  <c r="P954" i="1" s="1"/>
  <c r="O955" i="1"/>
  <c r="O956" i="1"/>
  <c r="P956" i="1" s="1"/>
  <c r="O957" i="1"/>
  <c r="O958" i="1"/>
  <c r="P958" i="1" s="1"/>
  <c r="O959" i="1"/>
  <c r="P959" i="1" s="1"/>
  <c r="O960" i="1"/>
  <c r="O961" i="1"/>
  <c r="O962" i="1"/>
  <c r="O963" i="1"/>
  <c r="O964" i="1"/>
  <c r="O965" i="1"/>
  <c r="O966" i="1"/>
  <c r="O967" i="1"/>
  <c r="O968" i="1"/>
  <c r="O969" i="1"/>
  <c r="O970" i="1"/>
  <c r="P970" i="1" s="1"/>
  <c r="O971" i="1"/>
  <c r="O972" i="1"/>
  <c r="P972" i="1" s="1"/>
  <c r="O973" i="1"/>
  <c r="P973" i="1" s="1"/>
  <c r="O974" i="1"/>
  <c r="P974" i="1" s="1"/>
  <c r="O975" i="1"/>
  <c r="O976" i="1"/>
  <c r="P976" i="1" s="1"/>
  <c r="O977" i="1"/>
  <c r="O978" i="1"/>
  <c r="P978" i="1" s="1"/>
  <c r="O979" i="1"/>
  <c r="O980" i="1"/>
  <c r="O981" i="1"/>
  <c r="O982" i="1"/>
  <c r="O983" i="1"/>
  <c r="O984" i="1"/>
  <c r="O985" i="1"/>
  <c r="O986" i="1"/>
  <c r="O987" i="1"/>
  <c r="O988" i="1"/>
  <c r="O989" i="1"/>
  <c r="O990" i="1"/>
  <c r="P990" i="1" s="1"/>
  <c r="O991" i="1"/>
  <c r="O992" i="1"/>
  <c r="P992" i="1" s="1"/>
  <c r="O993" i="1"/>
  <c r="P993" i="1" s="1"/>
  <c r="O994" i="1"/>
  <c r="P994" i="1" s="1"/>
  <c r="O995" i="1"/>
  <c r="O996" i="1"/>
  <c r="P996" i="1" s="1"/>
  <c r="O997" i="1"/>
  <c r="O998" i="1"/>
  <c r="P998" i="1" s="1"/>
  <c r="O999" i="1"/>
  <c r="P999" i="1" s="1"/>
  <c r="O1000" i="1"/>
  <c r="O1001" i="1"/>
  <c r="O1002" i="1"/>
  <c r="O1003" i="1"/>
  <c r="O1004" i="1"/>
  <c r="O1005" i="1"/>
  <c r="O1006" i="1"/>
  <c r="O1007" i="1"/>
  <c r="O1008" i="1"/>
  <c r="O1009" i="1"/>
  <c r="O1010" i="1"/>
  <c r="P1010" i="1" s="1"/>
  <c r="O1011" i="1"/>
  <c r="O1012" i="1"/>
  <c r="P1012" i="1" s="1"/>
  <c r="O1013" i="1"/>
  <c r="P1013" i="1" s="1"/>
  <c r="O1014" i="1"/>
  <c r="P1014" i="1" s="1"/>
  <c r="O1015" i="1"/>
  <c r="O1016" i="1"/>
  <c r="P1016" i="1" s="1"/>
  <c r="O1017" i="1"/>
  <c r="O1018" i="1"/>
  <c r="P1018" i="1" s="1"/>
  <c r="O1019" i="1"/>
  <c r="P1019" i="1" s="1"/>
  <c r="O1020" i="1"/>
  <c r="O1021" i="1"/>
  <c r="O1022" i="1"/>
  <c r="O1023" i="1"/>
  <c r="O1024" i="1"/>
  <c r="O1025" i="1"/>
  <c r="O1026" i="1"/>
  <c r="O1027" i="1"/>
  <c r="O1028" i="1"/>
  <c r="O1029" i="1"/>
  <c r="O1030" i="1"/>
  <c r="P1030" i="1" s="1"/>
  <c r="O1031" i="1"/>
  <c r="O1032" i="1"/>
  <c r="P1032" i="1" s="1"/>
  <c r="O1033" i="1"/>
  <c r="P1033" i="1" s="1"/>
  <c r="O1034" i="1"/>
  <c r="P1034" i="1" s="1"/>
  <c r="O1035" i="1"/>
  <c r="O1036" i="1"/>
  <c r="P1036" i="1" s="1"/>
  <c r="O1037" i="1"/>
  <c r="O1038" i="1"/>
  <c r="P1038" i="1" s="1"/>
  <c r="O1039" i="1"/>
  <c r="O1040" i="1"/>
  <c r="O1041" i="1"/>
  <c r="O1042" i="1"/>
  <c r="O1043" i="1"/>
  <c r="O1044" i="1"/>
  <c r="O1045" i="1"/>
  <c r="O1046" i="1"/>
  <c r="O1047" i="1"/>
  <c r="O1048" i="1"/>
  <c r="O1049" i="1"/>
  <c r="O1050" i="1"/>
  <c r="P1050" i="1" s="1"/>
  <c r="O1051" i="1"/>
  <c r="O1052" i="1"/>
  <c r="P1052" i="1" s="1"/>
  <c r="O1053" i="1"/>
  <c r="P1053" i="1" s="1"/>
  <c r="O1054" i="1"/>
  <c r="P1054" i="1" s="1"/>
  <c r="O1055" i="1"/>
  <c r="O1056" i="1"/>
  <c r="P1056" i="1" s="1"/>
  <c r="O1057" i="1"/>
  <c r="O1058" i="1"/>
  <c r="P1058" i="1" s="1"/>
  <c r="O1059" i="1"/>
  <c r="P1059" i="1" s="1"/>
  <c r="O1060" i="1"/>
  <c r="O1061" i="1"/>
  <c r="O1062" i="1"/>
  <c r="O1063" i="1"/>
  <c r="O1064" i="1"/>
  <c r="O1065" i="1"/>
  <c r="O1066" i="1"/>
  <c r="O1067" i="1"/>
  <c r="O1068" i="1"/>
  <c r="O1069" i="1"/>
  <c r="O1070" i="1"/>
  <c r="P1070" i="1" s="1"/>
  <c r="O1071" i="1"/>
  <c r="O1072" i="1"/>
  <c r="P1072" i="1" s="1"/>
  <c r="O1073" i="1"/>
  <c r="P1073" i="1" s="1"/>
  <c r="O1074" i="1"/>
  <c r="P1074" i="1" s="1"/>
  <c r="O1075" i="1"/>
  <c r="O1076" i="1"/>
  <c r="P1076" i="1" s="1"/>
  <c r="O1077" i="1"/>
  <c r="O1078" i="1"/>
  <c r="P1078" i="1" s="1"/>
  <c r="O1079" i="1"/>
  <c r="P1079" i="1" s="1"/>
  <c r="O1080" i="1"/>
  <c r="O1081" i="1"/>
  <c r="O1082" i="1"/>
  <c r="O1083" i="1"/>
  <c r="O1084" i="1"/>
  <c r="O1085" i="1"/>
  <c r="O1086" i="1"/>
  <c r="O1087" i="1"/>
  <c r="O1088" i="1"/>
  <c r="O1089" i="1"/>
  <c r="O1090" i="1"/>
  <c r="P1090" i="1" s="1"/>
  <c r="O1091" i="1"/>
  <c r="O1092" i="1"/>
  <c r="P1092" i="1" s="1"/>
  <c r="O1093" i="1"/>
  <c r="P1093" i="1" s="1"/>
  <c r="O1094" i="1"/>
  <c r="P1094" i="1" s="1"/>
  <c r="O1095" i="1"/>
  <c r="O1096" i="1"/>
  <c r="P1096" i="1" s="1"/>
  <c r="O1097" i="1"/>
  <c r="O1098" i="1"/>
  <c r="P1098" i="1" s="1"/>
  <c r="O1099" i="1"/>
  <c r="P1099" i="1" s="1"/>
  <c r="O1100" i="1"/>
  <c r="O1101" i="1"/>
  <c r="O1102" i="1"/>
  <c r="O1103" i="1"/>
  <c r="O1104" i="1"/>
  <c r="O1105" i="1"/>
  <c r="O1106" i="1"/>
  <c r="O1107" i="1"/>
  <c r="O1108" i="1"/>
  <c r="O1109" i="1"/>
  <c r="O1110" i="1"/>
  <c r="P1110" i="1" s="1"/>
  <c r="O1111" i="1"/>
  <c r="O1112" i="1"/>
  <c r="P1112" i="1" s="1"/>
  <c r="O1113" i="1"/>
  <c r="P1113" i="1" s="1"/>
  <c r="O1114" i="1"/>
  <c r="P1114" i="1" s="1"/>
  <c r="O1115" i="1"/>
  <c r="O1116" i="1"/>
  <c r="P1116" i="1" s="1"/>
  <c r="O2" i="1"/>
  <c r="P3" i="1"/>
  <c r="P4" i="1"/>
  <c r="P6" i="1"/>
  <c r="P8" i="1"/>
  <c r="P9" i="1"/>
  <c r="P10" i="1"/>
  <c r="P14" i="1"/>
  <c r="P18" i="1"/>
  <c r="P20" i="1"/>
  <c r="P21" i="1"/>
  <c r="P22" i="1"/>
  <c r="P24" i="1"/>
  <c r="P26" i="1"/>
  <c r="P28" i="1"/>
  <c r="P29" i="1"/>
  <c r="P30" i="1"/>
  <c r="P32" i="1"/>
  <c r="P33" i="1"/>
  <c r="P34" i="1"/>
  <c r="P35" i="1"/>
  <c r="P37" i="1"/>
  <c r="P38" i="1"/>
  <c r="P40" i="1"/>
  <c r="P42" i="1"/>
  <c r="P44" i="1"/>
  <c r="P46" i="1"/>
  <c r="P48" i="1"/>
  <c r="P49" i="1"/>
  <c r="P50" i="1"/>
  <c r="P52" i="1"/>
  <c r="P53" i="1"/>
  <c r="P54" i="1"/>
  <c r="P55" i="1"/>
  <c r="P56" i="1"/>
  <c r="P57" i="1"/>
  <c r="P58" i="1"/>
  <c r="P60" i="1"/>
  <c r="P62" i="1"/>
  <c r="P64" i="1"/>
  <c r="P66" i="1"/>
  <c r="P68" i="1"/>
  <c r="P69" i="1"/>
  <c r="P70" i="1"/>
  <c r="P73" i="1"/>
  <c r="P74" i="1"/>
  <c r="P75" i="1"/>
  <c r="P76" i="1"/>
  <c r="P77" i="1"/>
  <c r="P78" i="1"/>
  <c r="P80" i="1"/>
  <c r="P82" i="1"/>
  <c r="P83" i="1"/>
  <c r="P86" i="1"/>
  <c r="P88" i="1"/>
  <c r="P89" i="1"/>
  <c r="P92" i="1"/>
  <c r="P93" i="1"/>
  <c r="P94" i="1"/>
  <c r="P95" i="1"/>
  <c r="P96" i="1"/>
  <c r="P97" i="1"/>
  <c r="P98" i="1"/>
  <c r="P99" i="1"/>
  <c r="P100" i="1"/>
  <c r="P101" i="1"/>
  <c r="P102" i="1"/>
  <c r="P103" i="1"/>
  <c r="P104" i="1"/>
  <c r="P106" i="1"/>
  <c r="P108" i="1"/>
  <c r="P115" i="1"/>
  <c r="P117" i="1"/>
  <c r="P118" i="1"/>
  <c r="P120" i="1"/>
  <c r="P121" i="1"/>
  <c r="P122" i="1"/>
  <c r="P123" i="1"/>
  <c r="P124" i="1"/>
  <c r="P126" i="1"/>
  <c r="P128" i="1"/>
  <c r="P129" i="1"/>
  <c r="P130" i="1"/>
  <c r="P132" i="1"/>
  <c r="P135" i="1"/>
  <c r="P138" i="1"/>
  <c r="P140" i="1"/>
  <c r="P142" i="1"/>
  <c r="P144" i="1"/>
  <c r="P146" i="1"/>
  <c r="P148" i="1"/>
  <c r="P149" i="1"/>
  <c r="P150" i="1"/>
  <c r="P152" i="1"/>
  <c r="P155" i="1"/>
  <c r="P158" i="1"/>
  <c r="P160" i="1"/>
  <c r="P161" i="1"/>
  <c r="P162" i="1"/>
  <c r="P166" i="1"/>
  <c r="P168" i="1"/>
  <c r="P169" i="1"/>
  <c r="P170" i="1"/>
  <c r="P172" i="1"/>
  <c r="P174" i="1"/>
  <c r="P175" i="1"/>
  <c r="P178" i="1"/>
  <c r="P180" i="1"/>
  <c r="P182" i="1"/>
  <c r="P184" i="1"/>
  <c r="P186" i="1"/>
  <c r="P188" i="1"/>
  <c r="P189" i="1"/>
  <c r="P190" i="1"/>
  <c r="P192" i="1"/>
  <c r="P193" i="1"/>
  <c r="P194" i="1"/>
  <c r="P195" i="1"/>
  <c r="P197" i="1"/>
  <c r="P198" i="1"/>
  <c r="P200" i="1"/>
  <c r="P201" i="1"/>
  <c r="P202" i="1"/>
  <c r="P206" i="1"/>
  <c r="P209" i="1"/>
  <c r="P210" i="1"/>
  <c r="P212" i="1"/>
  <c r="P214" i="1"/>
  <c r="P215" i="1"/>
  <c r="P216" i="1"/>
  <c r="P217" i="1"/>
  <c r="P218" i="1"/>
  <c r="P220" i="1"/>
  <c r="P221" i="1"/>
  <c r="P222" i="1"/>
  <c r="P224" i="1"/>
  <c r="P226" i="1"/>
  <c r="P228" i="1"/>
  <c r="P229" i="1"/>
  <c r="P230" i="1"/>
  <c r="P234" i="1"/>
  <c r="P235" i="1"/>
  <c r="P237" i="1"/>
  <c r="P238" i="1"/>
  <c r="P240" i="1"/>
  <c r="P241" i="1"/>
  <c r="P242" i="1"/>
  <c r="P243" i="1"/>
  <c r="P244" i="1"/>
  <c r="P246" i="1"/>
  <c r="P248" i="1"/>
  <c r="P249" i="1"/>
  <c r="P257" i="1"/>
  <c r="P258" i="1"/>
  <c r="P260" i="1"/>
  <c r="P261" i="1"/>
  <c r="P262" i="1"/>
  <c r="P263" i="1"/>
  <c r="P264" i="1"/>
  <c r="P266" i="1"/>
  <c r="P268" i="1"/>
  <c r="P269" i="1"/>
  <c r="P270" i="1"/>
  <c r="P273" i="1"/>
  <c r="P278" i="1"/>
  <c r="P280" i="1"/>
  <c r="P281" i="1"/>
  <c r="P282" i="1"/>
  <c r="P284" i="1"/>
  <c r="P286" i="1"/>
  <c r="P288" i="1"/>
  <c r="P289" i="1"/>
  <c r="P290" i="1"/>
  <c r="P292" i="1"/>
  <c r="P293" i="1"/>
  <c r="P295" i="1"/>
  <c r="P296" i="1"/>
  <c r="P298" i="1"/>
  <c r="P300" i="1"/>
  <c r="P302" i="1"/>
  <c r="P304" i="1"/>
  <c r="P306" i="1"/>
  <c r="P308" i="1"/>
  <c r="P309" i="1"/>
  <c r="P310" i="1"/>
  <c r="P312" i="1"/>
  <c r="P313" i="1"/>
  <c r="P314" i="1"/>
  <c r="P315" i="1"/>
  <c r="P316" i="1"/>
  <c r="P318" i="1"/>
  <c r="P320" i="1"/>
  <c r="P322" i="1"/>
  <c r="P326" i="1"/>
  <c r="P328" i="1"/>
  <c r="P329" i="1"/>
  <c r="P330" i="1"/>
  <c r="P332" i="1"/>
  <c r="P334" i="1"/>
  <c r="P335" i="1"/>
  <c r="P336" i="1"/>
  <c r="P337" i="1"/>
  <c r="P338" i="1"/>
  <c r="P340" i="1"/>
  <c r="P342" i="1"/>
  <c r="P346" i="1"/>
  <c r="P348" i="1"/>
  <c r="P350" i="1"/>
  <c r="P352" i="1"/>
  <c r="P355" i="1"/>
  <c r="P357" i="1"/>
  <c r="P358" i="1"/>
  <c r="P360" i="1"/>
  <c r="P361" i="1"/>
  <c r="P362" i="1"/>
  <c r="P364" i="1"/>
  <c r="P366" i="1"/>
  <c r="P369" i="1"/>
  <c r="P370" i="1"/>
  <c r="P374" i="1"/>
  <c r="P375" i="1"/>
  <c r="P378" i="1"/>
  <c r="P380" i="1"/>
  <c r="P381" i="1"/>
  <c r="P382" i="1"/>
  <c r="P384" i="1"/>
  <c r="P386" i="1"/>
  <c r="P387" i="1"/>
  <c r="P388" i="1"/>
  <c r="P389" i="1"/>
  <c r="P391" i="1"/>
  <c r="P395" i="1"/>
  <c r="P397" i="1"/>
  <c r="P398" i="1"/>
  <c r="P400" i="1"/>
  <c r="P401" i="1"/>
  <c r="P402" i="1"/>
  <c r="P403" i="1"/>
  <c r="P404" i="1"/>
  <c r="P405" i="1"/>
  <c r="P406" i="1"/>
  <c r="P407" i="1"/>
  <c r="P408" i="1"/>
  <c r="P409" i="1"/>
  <c r="P411" i="1"/>
  <c r="P415" i="1"/>
  <c r="P417" i="1"/>
  <c r="P418" i="1"/>
  <c r="P420" i="1"/>
  <c r="P421" i="1"/>
  <c r="P422" i="1"/>
  <c r="P423" i="1"/>
  <c r="P424" i="1"/>
  <c r="P425" i="1"/>
  <c r="P426" i="1"/>
  <c r="P427" i="1"/>
  <c r="P428" i="1"/>
  <c r="P429" i="1"/>
  <c r="P431" i="1"/>
  <c r="P435" i="1"/>
  <c r="P437" i="1"/>
  <c r="P438" i="1"/>
  <c r="P440" i="1"/>
  <c r="P441" i="1"/>
  <c r="P442" i="1"/>
  <c r="P443" i="1"/>
  <c r="P444" i="1"/>
  <c r="P445" i="1"/>
  <c r="P446" i="1"/>
  <c r="P447" i="1"/>
  <c r="P448" i="1"/>
  <c r="P449" i="1"/>
  <c r="P451" i="1"/>
  <c r="P455" i="1"/>
  <c r="P457" i="1"/>
  <c r="P458" i="1"/>
  <c r="P460" i="1"/>
  <c r="P461" i="1"/>
  <c r="P462" i="1"/>
  <c r="P463" i="1"/>
  <c r="P464" i="1"/>
  <c r="P465" i="1"/>
  <c r="P466" i="1"/>
  <c r="P467" i="1"/>
  <c r="P468" i="1"/>
  <c r="P469" i="1"/>
  <c r="P471" i="1"/>
  <c r="P475" i="1"/>
  <c r="P477" i="1"/>
  <c r="P478" i="1"/>
  <c r="P480" i="1"/>
  <c r="P481" i="1"/>
  <c r="P482" i="1"/>
  <c r="P483" i="1"/>
  <c r="P484" i="1"/>
  <c r="P485" i="1"/>
  <c r="P486" i="1"/>
  <c r="P487" i="1"/>
  <c r="P488" i="1"/>
  <c r="P489" i="1"/>
  <c r="P491" i="1"/>
  <c r="P495" i="1"/>
  <c r="P497" i="1"/>
  <c r="P498" i="1"/>
  <c r="P500" i="1"/>
  <c r="P501" i="1"/>
  <c r="P502" i="1"/>
  <c r="P503" i="1"/>
  <c r="P504" i="1"/>
  <c r="P505" i="1"/>
  <c r="P506" i="1"/>
  <c r="P507" i="1"/>
  <c r="P508" i="1"/>
  <c r="P509" i="1"/>
  <c r="P511" i="1"/>
  <c r="P515" i="1"/>
  <c r="P517" i="1"/>
  <c r="P518" i="1"/>
  <c r="P520" i="1"/>
  <c r="P521" i="1"/>
  <c r="P522" i="1"/>
  <c r="P523" i="1"/>
  <c r="P524" i="1"/>
  <c r="P525" i="1"/>
  <c r="P526" i="1"/>
  <c r="P527" i="1"/>
  <c r="P528" i="1"/>
  <c r="P529" i="1"/>
  <c r="P531" i="1"/>
  <c r="P535" i="1"/>
  <c r="P537" i="1"/>
  <c r="P538" i="1"/>
  <c r="P540" i="1"/>
  <c r="P541" i="1"/>
  <c r="P542" i="1"/>
  <c r="P543" i="1"/>
  <c r="P544" i="1"/>
  <c r="P545" i="1"/>
  <c r="P546" i="1"/>
  <c r="P547" i="1"/>
  <c r="P548" i="1"/>
  <c r="P549" i="1"/>
  <c r="P551" i="1"/>
  <c r="P555" i="1"/>
  <c r="P557" i="1"/>
  <c r="P558" i="1"/>
  <c r="P560" i="1"/>
  <c r="P561" i="1"/>
  <c r="P562" i="1"/>
  <c r="P563" i="1"/>
  <c r="P564" i="1"/>
  <c r="P565" i="1"/>
  <c r="P566" i="1"/>
  <c r="P567" i="1"/>
  <c r="P568" i="1"/>
  <c r="P569" i="1"/>
  <c r="P571" i="1"/>
  <c r="P575" i="1"/>
  <c r="P577" i="1"/>
  <c r="P578" i="1"/>
  <c r="P580" i="1"/>
  <c r="P581" i="1"/>
  <c r="P582" i="1"/>
  <c r="P583" i="1"/>
  <c r="P584" i="1"/>
  <c r="P585" i="1"/>
  <c r="P586" i="1"/>
  <c r="P587" i="1"/>
  <c r="P588" i="1"/>
  <c r="P589" i="1"/>
  <c r="P591" i="1"/>
  <c r="P595" i="1"/>
  <c r="P597" i="1"/>
  <c r="P598" i="1"/>
  <c r="P600" i="1"/>
  <c r="P601" i="1"/>
  <c r="P602" i="1"/>
  <c r="P603" i="1"/>
  <c r="P604" i="1"/>
  <c r="P605" i="1"/>
  <c r="P606" i="1"/>
  <c r="P607" i="1"/>
  <c r="P608" i="1"/>
  <c r="P609" i="1"/>
  <c r="P611" i="1"/>
  <c r="P615" i="1"/>
  <c r="P617" i="1"/>
  <c r="P618" i="1"/>
  <c r="P620" i="1"/>
  <c r="P621" i="1"/>
  <c r="P622" i="1"/>
  <c r="P623" i="1"/>
  <c r="P624" i="1"/>
  <c r="P625" i="1"/>
  <c r="P626" i="1"/>
  <c r="P627" i="1"/>
  <c r="P628" i="1"/>
  <c r="P629" i="1"/>
  <c r="P631" i="1"/>
  <c r="P635" i="1"/>
  <c r="P637" i="1"/>
  <c r="P638" i="1"/>
  <c r="P640" i="1"/>
  <c r="P641" i="1"/>
  <c r="P642" i="1"/>
  <c r="P643" i="1"/>
  <c r="P644" i="1"/>
  <c r="P645" i="1"/>
  <c r="P646" i="1"/>
  <c r="P647" i="1"/>
  <c r="P648" i="1"/>
  <c r="P649" i="1"/>
  <c r="P651" i="1"/>
  <c r="P655" i="1"/>
  <c r="P657" i="1"/>
  <c r="P658" i="1"/>
  <c r="P659" i="1"/>
  <c r="P660" i="1"/>
  <c r="P661" i="1"/>
  <c r="P662" i="1"/>
  <c r="P663" i="1"/>
  <c r="P664" i="1"/>
  <c r="P665" i="1"/>
  <c r="P666" i="1"/>
  <c r="P667" i="1"/>
  <c r="P668" i="1"/>
  <c r="P669" i="1"/>
  <c r="P671" i="1"/>
  <c r="P675" i="1"/>
  <c r="P677" i="1"/>
  <c r="P678" i="1"/>
  <c r="P680" i="1"/>
  <c r="P681" i="1"/>
  <c r="P682" i="1"/>
  <c r="P683" i="1"/>
  <c r="P684" i="1"/>
  <c r="P685" i="1"/>
  <c r="P686" i="1"/>
  <c r="P687" i="1"/>
  <c r="P688" i="1"/>
  <c r="P689" i="1"/>
  <c r="P691" i="1"/>
  <c r="P695" i="1"/>
  <c r="P697" i="1"/>
  <c r="P698" i="1"/>
  <c r="P700" i="1"/>
  <c r="P701" i="1"/>
  <c r="P702" i="1"/>
  <c r="P703" i="1"/>
  <c r="P704" i="1"/>
  <c r="P705" i="1"/>
  <c r="P706" i="1"/>
  <c r="P707" i="1"/>
  <c r="P708" i="1"/>
  <c r="P709" i="1"/>
  <c r="P711" i="1"/>
  <c r="P715" i="1"/>
  <c r="P717" i="1"/>
  <c r="P718" i="1"/>
  <c r="P720" i="1"/>
  <c r="P721" i="1"/>
  <c r="P722" i="1"/>
  <c r="P723" i="1"/>
  <c r="P724" i="1"/>
  <c r="P725" i="1"/>
  <c r="P726" i="1"/>
  <c r="P727" i="1"/>
  <c r="P728" i="1"/>
  <c r="P729" i="1"/>
  <c r="P731" i="1"/>
  <c r="P735" i="1"/>
  <c r="P737" i="1"/>
  <c r="P738" i="1"/>
  <c r="P739" i="1"/>
  <c r="P740" i="1"/>
  <c r="P741" i="1"/>
  <c r="P742" i="1"/>
  <c r="P743" i="1"/>
  <c r="P744" i="1"/>
  <c r="P745" i="1"/>
  <c r="P746" i="1"/>
  <c r="P747" i="1"/>
  <c r="P748" i="1"/>
  <c r="P749" i="1"/>
  <c r="P751" i="1"/>
  <c r="P755" i="1"/>
  <c r="P757" i="1"/>
  <c r="P758" i="1"/>
  <c r="P760" i="1"/>
  <c r="P761" i="1"/>
  <c r="P762" i="1"/>
  <c r="P763" i="1"/>
  <c r="P764" i="1"/>
  <c r="P765" i="1"/>
  <c r="P766" i="1"/>
  <c r="P767" i="1"/>
  <c r="P768" i="1"/>
  <c r="P769" i="1"/>
  <c r="P771" i="1"/>
  <c r="P775" i="1"/>
  <c r="P777" i="1"/>
  <c r="P778" i="1"/>
  <c r="P780" i="1"/>
  <c r="P781" i="1"/>
  <c r="P782" i="1"/>
  <c r="P783" i="1"/>
  <c r="P784" i="1"/>
  <c r="P785" i="1"/>
  <c r="P786" i="1"/>
  <c r="P787" i="1"/>
  <c r="P788" i="1"/>
  <c r="P789" i="1"/>
  <c r="P791" i="1"/>
  <c r="P795" i="1"/>
  <c r="P797" i="1"/>
  <c r="P798" i="1"/>
  <c r="P800" i="1"/>
  <c r="P801" i="1"/>
  <c r="P802" i="1"/>
  <c r="P804" i="1"/>
  <c r="P805" i="1"/>
  <c r="P806" i="1"/>
  <c r="P807" i="1"/>
  <c r="P808" i="1"/>
  <c r="P809" i="1"/>
  <c r="P811" i="1"/>
  <c r="P815" i="1"/>
  <c r="P817" i="1"/>
  <c r="P818" i="1"/>
  <c r="P819" i="1"/>
  <c r="P820" i="1"/>
  <c r="P821" i="1"/>
  <c r="P822" i="1"/>
  <c r="P823" i="1"/>
  <c r="P824" i="1"/>
  <c r="P825" i="1"/>
  <c r="P826" i="1"/>
  <c r="P827" i="1"/>
  <c r="P828" i="1"/>
  <c r="P829" i="1"/>
  <c r="P831" i="1"/>
  <c r="P835" i="1"/>
  <c r="P837" i="1"/>
  <c r="P838" i="1"/>
  <c r="P840" i="1"/>
  <c r="P841" i="1"/>
  <c r="P842" i="1"/>
  <c r="P843" i="1"/>
  <c r="P844" i="1"/>
  <c r="P845" i="1"/>
  <c r="P846" i="1"/>
  <c r="P847" i="1"/>
  <c r="P848" i="1"/>
  <c r="P849" i="1"/>
  <c r="P851" i="1"/>
  <c r="P855" i="1"/>
  <c r="P857" i="1"/>
  <c r="P858" i="1"/>
  <c r="P860" i="1"/>
  <c r="P861" i="1"/>
  <c r="P862" i="1"/>
  <c r="P863" i="1"/>
  <c r="P864" i="1"/>
  <c r="P865" i="1"/>
  <c r="P866" i="1"/>
  <c r="P867" i="1"/>
  <c r="P868" i="1"/>
  <c r="P869" i="1"/>
  <c r="P871" i="1"/>
  <c r="P875" i="1"/>
  <c r="P877" i="1"/>
  <c r="P878" i="1"/>
  <c r="P880" i="1"/>
  <c r="P881" i="1"/>
  <c r="P882" i="1"/>
  <c r="P884" i="1"/>
  <c r="P885" i="1"/>
  <c r="P886" i="1"/>
  <c r="P887" i="1"/>
  <c r="P888" i="1"/>
  <c r="P889" i="1"/>
  <c r="P891" i="1"/>
  <c r="P895" i="1"/>
  <c r="P897" i="1"/>
  <c r="P898" i="1"/>
  <c r="P899" i="1"/>
  <c r="P900" i="1"/>
  <c r="P901" i="1"/>
  <c r="P902" i="1"/>
  <c r="P903" i="1"/>
  <c r="P904" i="1"/>
  <c r="P905" i="1"/>
  <c r="P906" i="1"/>
  <c r="P907" i="1"/>
  <c r="P908" i="1"/>
  <c r="P909" i="1"/>
  <c r="P911" i="1"/>
  <c r="P915" i="1"/>
  <c r="P917" i="1"/>
  <c r="P918" i="1"/>
  <c r="P920" i="1"/>
  <c r="P921" i="1"/>
  <c r="P922" i="1"/>
  <c r="P923" i="1"/>
  <c r="P924" i="1"/>
  <c r="P925" i="1"/>
  <c r="P926" i="1"/>
  <c r="P927" i="1"/>
  <c r="P928" i="1"/>
  <c r="P929" i="1"/>
  <c r="P931" i="1"/>
  <c r="P935" i="1"/>
  <c r="P937" i="1"/>
  <c r="P938" i="1"/>
  <c r="P940" i="1"/>
  <c r="P941" i="1"/>
  <c r="P942" i="1"/>
  <c r="P943" i="1"/>
  <c r="P944" i="1"/>
  <c r="P945" i="1"/>
  <c r="P946" i="1"/>
  <c r="P947" i="1"/>
  <c r="P948" i="1"/>
  <c r="P949" i="1"/>
  <c r="P951" i="1"/>
  <c r="P955" i="1"/>
  <c r="P957" i="1"/>
  <c r="P960" i="1"/>
  <c r="P961" i="1"/>
  <c r="P962" i="1"/>
  <c r="P963" i="1"/>
  <c r="P964" i="1"/>
  <c r="P965" i="1"/>
  <c r="P966" i="1"/>
  <c r="P967" i="1"/>
  <c r="P968" i="1"/>
  <c r="P969" i="1"/>
  <c r="P971" i="1"/>
  <c r="P975" i="1"/>
  <c r="P977" i="1"/>
  <c r="P979" i="1"/>
  <c r="P980" i="1"/>
  <c r="P981" i="1"/>
  <c r="P982" i="1"/>
  <c r="P983" i="1"/>
  <c r="P984" i="1"/>
  <c r="P985" i="1"/>
  <c r="P986" i="1"/>
  <c r="P987" i="1"/>
  <c r="P988" i="1"/>
  <c r="P989" i="1"/>
  <c r="P991" i="1"/>
  <c r="P995" i="1"/>
  <c r="P997" i="1"/>
  <c r="P1000" i="1"/>
  <c r="P1001" i="1"/>
  <c r="P1002" i="1"/>
  <c r="P1003" i="1"/>
  <c r="P1004" i="1"/>
  <c r="P1005" i="1"/>
  <c r="P1006" i="1"/>
  <c r="P1007" i="1"/>
  <c r="P1008" i="1"/>
  <c r="P1009" i="1"/>
  <c r="P1011" i="1"/>
  <c r="P1015" i="1"/>
  <c r="P1017" i="1"/>
  <c r="P1020" i="1"/>
  <c r="P1021" i="1"/>
  <c r="P1022" i="1"/>
  <c r="P1023" i="1"/>
  <c r="P1024" i="1"/>
  <c r="P1025" i="1"/>
  <c r="P1026" i="1"/>
  <c r="P1027" i="1"/>
  <c r="P1028" i="1"/>
  <c r="P1029" i="1"/>
  <c r="P1031" i="1"/>
  <c r="P1035" i="1"/>
  <c r="P1037" i="1"/>
  <c r="P1039" i="1"/>
  <c r="P1040" i="1"/>
  <c r="P1041" i="1"/>
  <c r="P1042" i="1"/>
  <c r="P1043" i="1"/>
  <c r="P1044" i="1"/>
  <c r="P1045" i="1"/>
  <c r="P1046" i="1"/>
  <c r="P1047" i="1"/>
  <c r="P1048" i="1"/>
  <c r="P1049" i="1"/>
  <c r="P1051" i="1"/>
  <c r="P1055" i="1"/>
  <c r="P1057" i="1"/>
  <c r="P1060" i="1"/>
  <c r="P1061" i="1"/>
  <c r="P1062" i="1"/>
  <c r="P1063" i="1"/>
  <c r="P1064" i="1"/>
  <c r="P1065" i="1"/>
  <c r="P1066" i="1"/>
  <c r="P1067" i="1"/>
  <c r="P1068" i="1"/>
  <c r="P1069" i="1"/>
  <c r="P1071" i="1"/>
  <c r="P1075" i="1"/>
  <c r="P1077" i="1"/>
  <c r="P1080" i="1"/>
  <c r="P1081" i="1"/>
  <c r="P1082" i="1"/>
  <c r="P1083" i="1"/>
  <c r="P1084" i="1"/>
  <c r="P1085" i="1"/>
  <c r="P1086" i="1"/>
  <c r="P1087" i="1"/>
  <c r="P1088" i="1"/>
  <c r="P1089" i="1"/>
  <c r="P1091" i="1"/>
  <c r="P1095" i="1"/>
  <c r="P1097" i="1"/>
  <c r="P1100" i="1"/>
  <c r="P1101" i="1"/>
  <c r="P1102" i="1"/>
  <c r="P1103" i="1"/>
  <c r="P1104" i="1"/>
  <c r="P1105" i="1"/>
  <c r="P1106" i="1"/>
  <c r="P1107" i="1"/>
  <c r="P1108" i="1"/>
  <c r="P1109" i="1"/>
  <c r="P1111" i="1"/>
  <c r="P1115" i="1"/>
  <c r="P2" i="1"/>
  <c r="J3" i="1"/>
  <c r="J4" i="1"/>
  <c r="M4" i="1" s="1"/>
  <c r="J5" i="1"/>
  <c r="M5" i="1" s="1"/>
  <c r="J6" i="1"/>
  <c r="M6" i="1" s="1"/>
  <c r="J7" i="1"/>
  <c r="M7" i="1" s="1"/>
  <c r="J8" i="1"/>
  <c r="M8" i="1" s="1"/>
  <c r="J9" i="1"/>
  <c r="M9" i="1" s="1"/>
  <c r="J10" i="1"/>
  <c r="J11" i="1"/>
  <c r="M11" i="1" s="1"/>
  <c r="J12" i="1"/>
  <c r="M12" i="1" s="1"/>
  <c r="J13" i="1"/>
  <c r="M13" i="1" s="1"/>
  <c r="J14" i="1"/>
  <c r="M14" i="1" s="1"/>
  <c r="J15" i="1"/>
  <c r="M15" i="1" s="1"/>
  <c r="J16" i="1"/>
  <c r="M16" i="1" s="1"/>
  <c r="J17" i="1"/>
  <c r="M17" i="1" s="1"/>
  <c r="J18" i="1"/>
  <c r="M18" i="1" s="1"/>
  <c r="J19" i="1"/>
  <c r="M19" i="1" s="1"/>
  <c r="J20" i="1"/>
  <c r="J21" i="1"/>
  <c r="J22" i="1"/>
  <c r="J23" i="1"/>
  <c r="J24" i="1"/>
  <c r="J25" i="1"/>
  <c r="J26" i="1"/>
  <c r="M26" i="1" s="1"/>
  <c r="J27" i="1"/>
  <c r="M27" i="1" s="1"/>
  <c r="J28" i="1"/>
  <c r="J29" i="1"/>
  <c r="M29" i="1" s="1"/>
  <c r="J30" i="1"/>
  <c r="M30" i="1" s="1"/>
  <c r="J31" i="1"/>
  <c r="M31" i="1" s="1"/>
  <c r="J32" i="1"/>
  <c r="M32" i="1" s="1"/>
  <c r="J33" i="1"/>
  <c r="M33" i="1" s="1"/>
  <c r="J34" i="1"/>
  <c r="M34" i="1" s="1"/>
  <c r="J35" i="1"/>
  <c r="M35" i="1" s="1"/>
  <c r="J36" i="1"/>
  <c r="M36" i="1" s="1"/>
  <c r="J37" i="1"/>
  <c r="M37" i="1" s="1"/>
  <c r="J38" i="1"/>
  <c r="M38" i="1" s="1"/>
  <c r="J39" i="1"/>
  <c r="M39" i="1" s="1"/>
  <c r="J40" i="1"/>
  <c r="M40" i="1" s="1"/>
  <c r="J41" i="1"/>
  <c r="M41" i="1" s="1"/>
  <c r="J42" i="1"/>
  <c r="J43" i="1"/>
  <c r="J44" i="1"/>
  <c r="M44" i="1" s="1"/>
  <c r="J45" i="1"/>
  <c r="M45" i="1" s="1"/>
  <c r="J46" i="1"/>
  <c r="M46" i="1" s="1"/>
  <c r="J47" i="1"/>
  <c r="M47" i="1" s="1"/>
  <c r="J48" i="1"/>
  <c r="J49" i="1"/>
  <c r="J50" i="1"/>
  <c r="J51" i="1"/>
  <c r="M51" i="1" s="1"/>
  <c r="J52" i="1"/>
  <c r="M52" i="1" s="1"/>
  <c r="J53" i="1"/>
  <c r="J54" i="1"/>
  <c r="M54" i="1" s="1"/>
  <c r="J55" i="1"/>
  <c r="M55" i="1" s="1"/>
  <c r="J56" i="1"/>
  <c r="M56" i="1" s="1"/>
  <c r="J57" i="1"/>
  <c r="M57" i="1" s="1"/>
  <c r="J58" i="1"/>
  <c r="M58" i="1" s="1"/>
  <c r="J59" i="1"/>
  <c r="M59" i="1" s="1"/>
  <c r="J60" i="1"/>
  <c r="J61" i="1"/>
  <c r="J62" i="1"/>
  <c r="M62" i="1" s="1"/>
  <c r="J63" i="1"/>
  <c r="J64" i="1"/>
  <c r="M64" i="1" s="1"/>
  <c r="J65" i="1"/>
  <c r="M65" i="1" s="1"/>
  <c r="J66" i="1"/>
  <c r="M66" i="1" s="1"/>
  <c r="J67" i="1"/>
  <c r="M67" i="1" s="1"/>
  <c r="J68" i="1"/>
  <c r="M68" i="1" s="1"/>
  <c r="J69" i="1"/>
  <c r="M69" i="1" s="1"/>
  <c r="J70" i="1"/>
  <c r="M70" i="1" s="1"/>
  <c r="J71" i="1"/>
  <c r="M71" i="1" s="1"/>
  <c r="J72" i="1"/>
  <c r="M72" i="1" s="1"/>
  <c r="J73" i="1"/>
  <c r="J74" i="1"/>
  <c r="M74" i="1" s="1"/>
  <c r="J75" i="1"/>
  <c r="M75" i="1" s="1"/>
  <c r="J76" i="1"/>
  <c r="M76" i="1" s="1"/>
  <c r="J77" i="1"/>
  <c r="M77" i="1" s="1"/>
  <c r="J78" i="1"/>
  <c r="M78" i="1" s="1"/>
  <c r="J79" i="1"/>
  <c r="M79" i="1" s="1"/>
  <c r="J80" i="1"/>
  <c r="J81" i="1"/>
  <c r="M81" i="1" s="1"/>
  <c r="J82" i="1"/>
  <c r="J83" i="1"/>
  <c r="J84" i="1"/>
  <c r="M84" i="1" s="1"/>
  <c r="J85" i="1"/>
  <c r="J86" i="1"/>
  <c r="J87" i="1"/>
  <c r="M87" i="1" s="1"/>
  <c r="J88" i="1"/>
  <c r="J89" i="1"/>
  <c r="J90" i="1"/>
  <c r="M90" i="1" s="1"/>
  <c r="J91" i="1"/>
  <c r="M91" i="1" s="1"/>
  <c r="J92" i="1"/>
  <c r="M92" i="1" s="1"/>
  <c r="J93" i="1"/>
  <c r="J94" i="1"/>
  <c r="M94" i="1" s="1"/>
  <c r="J95" i="1"/>
  <c r="M95" i="1" s="1"/>
  <c r="J96" i="1"/>
  <c r="M96" i="1" s="1"/>
  <c r="J97" i="1"/>
  <c r="M97" i="1" s="1"/>
  <c r="J98" i="1"/>
  <c r="M98" i="1" s="1"/>
  <c r="J99" i="1"/>
  <c r="M99" i="1" s="1"/>
  <c r="J100" i="1"/>
  <c r="J101" i="1"/>
  <c r="M101" i="1" s="1"/>
  <c r="J102" i="1"/>
  <c r="M102" i="1" s="1"/>
  <c r="J103" i="1"/>
  <c r="J104" i="1"/>
  <c r="M104" i="1" s="1"/>
  <c r="J105" i="1"/>
  <c r="J106" i="1"/>
  <c r="M106" i="1" s="1"/>
  <c r="J107" i="1"/>
  <c r="M107" i="1" s="1"/>
  <c r="J108" i="1"/>
  <c r="M108" i="1" s="1"/>
  <c r="J109" i="1"/>
  <c r="J110" i="1"/>
  <c r="M110" i="1" s="1"/>
  <c r="J111" i="1"/>
  <c r="M111" i="1" s="1"/>
  <c r="J112" i="1"/>
  <c r="J113" i="1"/>
  <c r="M113" i="1" s="1"/>
  <c r="J114" i="1"/>
  <c r="M114" i="1" s="1"/>
  <c r="J115" i="1"/>
  <c r="M115" i="1" s="1"/>
  <c r="J116" i="1"/>
  <c r="M116" i="1" s="1"/>
  <c r="J117" i="1"/>
  <c r="J118" i="1"/>
  <c r="J119" i="1"/>
  <c r="J120" i="1"/>
  <c r="J121" i="1"/>
  <c r="J122" i="1"/>
  <c r="M122" i="1" s="1"/>
  <c r="J123" i="1"/>
  <c r="J124" i="1"/>
  <c r="M124" i="1" s="1"/>
  <c r="J125" i="1"/>
  <c r="J126" i="1"/>
  <c r="M126" i="1" s="1"/>
  <c r="J127" i="1"/>
  <c r="M127" i="1" s="1"/>
  <c r="J128" i="1"/>
  <c r="M128" i="1" s="1"/>
  <c r="J129" i="1"/>
  <c r="J130" i="1"/>
  <c r="M130" i="1" s="1"/>
  <c r="J131" i="1"/>
  <c r="M131" i="1" s="1"/>
  <c r="J132" i="1"/>
  <c r="J133" i="1"/>
  <c r="M133" i="1" s="1"/>
  <c r="J134" i="1"/>
  <c r="M134" i="1" s="1"/>
  <c r="J135" i="1"/>
  <c r="M135" i="1" s="1"/>
  <c r="J136" i="1"/>
  <c r="M136" i="1" s="1"/>
  <c r="J137" i="1"/>
  <c r="M137" i="1" s="1"/>
  <c r="J138" i="1"/>
  <c r="M138" i="1" s="1"/>
  <c r="J139" i="1"/>
  <c r="J140" i="1"/>
  <c r="J141" i="1"/>
  <c r="J142" i="1"/>
  <c r="M142" i="1" s="1"/>
  <c r="J143" i="1"/>
  <c r="M143" i="1" s="1"/>
  <c r="J144" i="1"/>
  <c r="M144" i="1" s="1"/>
  <c r="J145" i="1"/>
  <c r="M145" i="1" s="1"/>
  <c r="J146" i="1"/>
  <c r="M146" i="1" s="1"/>
  <c r="J147" i="1"/>
  <c r="M147" i="1" s="1"/>
  <c r="J148" i="1"/>
  <c r="M148" i="1" s="1"/>
  <c r="J149" i="1"/>
  <c r="J150" i="1"/>
  <c r="M150" i="1" s="1"/>
  <c r="J151" i="1"/>
  <c r="M151" i="1" s="1"/>
  <c r="J152" i="1"/>
  <c r="M152" i="1" s="1"/>
  <c r="J153" i="1"/>
  <c r="M153" i="1" s="1"/>
  <c r="J154" i="1"/>
  <c r="M154" i="1" s="1"/>
  <c r="J155" i="1"/>
  <c r="M155" i="1" s="1"/>
  <c r="J156" i="1"/>
  <c r="M156" i="1" s="1"/>
  <c r="J157" i="1"/>
  <c r="M157" i="1" s="1"/>
  <c r="J158" i="1"/>
  <c r="M158" i="1" s="1"/>
  <c r="J159" i="1"/>
  <c r="J160" i="1"/>
  <c r="J161" i="1"/>
  <c r="J162" i="1"/>
  <c r="J163" i="1"/>
  <c r="J164" i="1"/>
  <c r="M164" i="1" s="1"/>
  <c r="J165" i="1"/>
  <c r="J166" i="1"/>
  <c r="J167" i="1"/>
  <c r="M167" i="1" s="1"/>
  <c r="J168" i="1"/>
  <c r="M168" i="1" s="1"/>
  <c r="J169" i="1"/>
  <c r="J170" i="1"/>
  <c r="M170" i="1" s="1"/>
  <c r="J171" i="1"/>
  <c r="M171" i="1" s="1"/>
  <c r="J172" i="1"/>
  <c r="M172" i="1" s="1"/>
  <c r="J173" i="1"/>
  <c r="M173" i="1" s="1"/>
  <c r="J174" i="1"/>
  <c r="M174" i="1" s="1"/>
  <c r="J175" i="1"/>
  <c r="M175" i="1" s="1"/>
  <c r="J176" i="1"/>
  <c r="M176" i="1" s="1"/>
  <c r="J177" i="1"/>
  <c r="M177" i="1" s="1"/>
  <c r="J178" i="1"/>
  <c r="M178" i="1" s="1"/>
  <c r="J179" i="1"/>
  <c r="J180" i="1"/>
  <c r="M180" i="1" s="1"/>
  <c r="J181" i="1"/>
  <c r="M181" i="1" s="1"/>
  <c r="J182" i="1"/>
  <c r="M182" i="1" s="1"/>
  <c r="J183" i="1"/>
  <c r="J184" i="1"/>
  <c r="M184" i="1" s="1"/>
  <c r="J185" i="1"/>
  <c r="J186" i="1"/>
  <c r="M186" i="1" s="1"/>
  <c r="J187" i="1"/>
  <c r="M187" i="1" s="1"/>
  <c r="J188" i="1"/>
  <c r="M188" i="1" s="1"/>
  <c r="J189" i="1"/>
  <c r="J190" i="1"/>
  <c r="M190" i="1" s="1"/>
  <c r="J191" i="1"/>
  <c r="M191" i="1" s="1"/>
  <c r="J192" i="1"/>
  <c r="J193" i="1"/>
  <c r="M193" i="1" s="1"/>
  <c r="J194" i="1"/>
  <c r="M194" i="1" s="1"/>
  <c r="J195" i="1"/>
  <c r="M195" i="1" s="1"/>
  <c r="J196" i="1"/>
  <c r="M196" i="1" s="1"/>
  <c r="J197" i="1"/>
  <c r="J198" i="1"/>
  <c r="J199" i="1"/>
  <c r="J200" i="1"/>
  <c r="J201" i="1"/>
  <c r="J202" i="1"/>
  <c r="J203" i="1"/>
  <c r="J204" i="1"/>
  <c r="M204" i="1" s="1"/>
  <c r="J205" i="1"/>
  <c r="J206" i="1"/>
  <c r="M206" i="1" s="1"/>
  <c r="J207" i="1"/>
  <c r="M207" i="1" s="1"/>
  <c r="J208" i="1"/>
  <c r="J209" i="1"/>
  <c r="M209" i="1" s="1"/>
  <c r="J210" i="1"/>
  <c r="M210" i="1" s="1"/>
  <c r="J211" i="1"/>
  <c r="M211" i="1" s="1"/>
  <c r="J212" i="1"/>
  <c r="M212" i="1" s="1"/>
  <c r="J213" i="1"/>
  <c r="M213" i="1" s="1"/>
  <c r="J214" i="1"/>
  <c r="M214" i="1" s="1"/>
  <c r="J215" i="1"/>
  <c r="M215" i="1" s="1"/>
  <c r="J216" i="1"/>
  <c r="M216" i="1" s="1"/>
  <c r="J217" i="1"/>
  <c r="M217" i="1" s="1"/>
  <c r="J218" i="1"/>
  <c r="M218" i="1" s="1"/>
  <c r="J219" i="1"/>
  <c r="J220" i="1"/>
  <c r="M220" i="1" s="1"/>
  <c r="J221" i="1"/>
  <c r="M221" i="1" s="1"/>
  <c r="J222" i="1"/>
  <c r="M222" i="1" s="1"/>
  <c r="J223" i="1"/>
  <c r="J224" i="1"/>
  <c r="M224" i="1" s="1"/>
  <c r="J225" i="1"/>
  <c r="M225" i="1" s="1"/>
  <c r="J226" i="1"/>
  <c r="J227" i="1"/>
  <c r="M227" i="1" s="1"/>
  <c r="J228" i="1"/>
  <c r="J229" i="1"/>
  <c r="J230" i="1"/>
  <c r="M230" i="1" s="1"/>
  <c r="J231" i="1"/>
  <c r="M231" i="1" s="1"/>
  <c r="J232" i="1"/>
  <c r="J233" i="1"/>
  <c r="M233" i="1" s="1"/>
  <c r="J234" i="1"/>
  <c r="M234" i="1" s="1"/>
  <c r="J235" i="1"/>
  <c r="M235" i="1" s="1"/>
  <c r="J236" i="1"/>
  <c r="M236" i="1" s="1"/>
  <c r="J237" i="1"/>
  <c r="M237" i="1" s="1"/>
  <c r="J238" i="1"/>
  <c r="M238" i="1" s="1"/>
  <c r="J239" i="1"/>
  <c r="J240" i="1"/>
  <c r="J241" i="1"/>
  <c r="J242" i="1"/>
  <c r="M242" i="1" s="1"/>
  <c r="J243" i="1"/>
  <c r="J244" i="1"/>
  <c r="M244" i="1" s="1"/>
  <c r="J245" i="1"/>
  <c r="M245" i="1" s="1"/>
  <c r="J246" i="1"/>
  <c r="M246" i="1" s="1"/>
  <c r="J247" i="1"/>
  <c r="M247" i="1" s="1"/>
  <c r="J248" i="1"/>
  <c r="M248" i="1" s="1"/>
  <c r="J249" i="1"/>
  <c r="M249" i="1" s="1"/>
  <c r="J250" i="1"/>
  <c r="M250" i="1" s="1"/>
  <c r="J251" i="1"/>
  <c r="M251" i="1" s="1"/>
  <c r="J252" i="1"/>
  <c r="J253" i="1"/>
  <c r="M253" i="1" s="1"/>
  <c r="J254" i="1"/>
  <c r="M254" i="1" s="1"/>
  <c r="J255" i="1"/>
  <c r="M255" i="1" s="1"/>
  <c r="J256" i="1"/>
  <c r="M256" i="1" s="1"/>
  <c r="J257" i="1"/>
  <c r="M257" i="1" s="1"/>
  <c r="J258" i="1"/>
  <c r="M258" i="1" s="1"/>
  <c r="J259" i="1"/>
  <c r="J260" i="1"/>
  <c r="J261" i="1"/>
  <c r="M261" i="1" s="1"/>
  <c r="J262" i="1"/>
  <c r="J263" i="1"/>
  <c r="J264" i="1"/>
  <c r="M264" i="1" s="1"/>
  <c r="J265" i="1"/>
  <c r="J266" i="1"/>
  <c r="M266" i="1" s="1"/>
  <c r="J267" i="1"/>
  <c r="M267" i="1" s="1"/>
  <c r="J268" i="1"/>
  <c r="J269" i="1"/>
  <c r="J270" i="1"/>
  <c r="M270" i="1" s="1"/>
  <c r="J271" i="1"/>
  <c r="M271" i="1" s="1"/>
  <c r="J272" i="1"/>
  <c r="J273" i="1"/>
  <c r="M273" i="1" s="1"/>
  <c r="J274" i="1"/>
  <c r="M274" i="1" s="1"/>
  <c r="J275" i="1"/>
  <c r="M275" i="1" s="1"/>
  <c r="J276" i="1"/>
  <c r="M276" i="1" s="1"/>
  <c r="J277" i="1"/>
  <c r="M277" i="1" s="1"/>
  <c r="J278" i="1"/>
  <c r="M278" i="1" s="1"/>
  <c r="J279" i="1"/>
  <c r="J280" i="1"/>
  <c r="J281" i="1"/>
  <c r="M281" i="1" s="1"/>
  <c r="J282" i="1"/>
  <c r="M282" i="1" s="1"/>
  <c r="J283" i="1"/>
  <c r="J284" i="1"/>
  <c r="M284" i="1" s="1"/>
  <c r="J285" i="1"/>
  <c r="M285" i="1" s="1"/>
  <c r="J286" i="1"/>
  <c r="M286" i="1" s="1"/>
  <c r="J287" i="1"/>
  <c r="M287" i="1" s="1"/>
  <c r="J288" i="1"/>
  <c r="M288" i="1" s="1"/>
  <c r="J289" i="1"/>
  <c r="M289" i="1" s="1"/>
  <c r="J290" i="1"/>
  <c r="M290" i="1" s="1"/>
  <c r="J291" i="1"/>
  <c r="M291" i="1" s="1"/>
  <c r="J292" i="1"/>
  <c r="J293" i="1"/>
  <c r="M293" i="1" s="1"/>
  <c r="J294" i="1"/>
  <c r="M294" i="1" s="1"/>
  <c r="J295" i="1"/>
  <c r="M295" i="1" s="1"/>
  <c r="J296" i="1"/>
  <c r="M296" i="1" s="1"/>
  <c r="J297" i="1"/>
  <c r="M297" i="1" s="1"/>
  <c r="J298" i="1"/>
  <c r="M298" i="1" s="1"/>
  <c r="J299" i="1"/>
  <c r="J300" i="1"/>
  <c r="J301" i="1"/>
  <c r="J302" i="1"/>
  <c r="J303" i="1"/>
  <c r="J304" i="1"/>
  <c r="M304" i="1" s="1"/>
  <c r="J305" i="1"/>
  <c r="J306" i="1"/>
  <c r="M306" i="1" s="1"/>
  <c r="J307" i="1"/>
  <c r="M307" i="1" s="1"/>
  <c r="J308" i="1"/>
  <c r="J309" i="1"/>
  <c r="M309" i="1" s="1"/>
  <c r="J310" i="1"/>
  <c r="M310" i="1" s="1"/>
  <c r="J311" i="1"/>
  <c r="M311" i="1" s="1"/>
  <c r="J312" i="1"/>
  <c r="M312" i="1" s="1"/>
  <c r="J313" i="1"/>
  <c r="M313" i="1" s="1"/>
  <c r="J314" i="1"/>
  <c r="M314" i="1" s="1"/>
  <c r="J315" i="1"/>
  <c r="M315" i="1" s="1"/>
  <c r="J316" i="1"/>
  <c r="M316" i="1" s="1"/>
  <c r="J317" i="1"/>
  <c r="M317" i="1" s="1"/>
  <c r="J318" i="1"/>
  <c r="M318" i="1" s="1"/>
  <c r="J319" i="1"/>
  <c r="M319" i="1" s="1"/>
  <c r="J320" i="1"/>
  <c r="M320" i="1" s="1"/>
  <c r="J321" i="1"/>
  <c r="M321" i="1" s="1"/>
  <c r="J322" i="1"/>
  <c r="M322" i="1" s="1"/>
  <c r="J323" i="1"/>
  <c r="J324" i="1"/>
  <c r="M324" i="1" s="1"/>
  <c r="J325" i="1"/>
  <c r="J326" i="1"/>
  <c r="M326" i="1" s="1"/>
  <c r="J327" i="1"/>
  <c r="M327" i="1" s="1"/>
  <c r="J328" i="1"/>
  <c r="M328" i="1" s="1"/>
  <c r="J329" i="1"/>
  <c r="J330" i="1"/>
  <c r="M330" i="1" s="1"/>
  <c r="J331" i="1"/>
  <c r="M331" i="1" s="1"/>
  <c r="J332" i="1"/>
  <c r="M332" i="1" s="1"/>
  <c r="J333" i="1"/>
  <c r="M333" i="1" s="1"/>
  <c r="J334" i="1"/>
  <c r="M334" i="1" s="1"/>
  <c r="J335" i="1"/>
  <c r="M335" i="1" s="1"/>
  <c r="J336" i="1"/>
  <c r="M336" i="1" s="1"/>
  <c r="J337" i="1"/>
  <c r="M337" i="1" s="1"/>
  <c r="J338" i="1"/>
  <c r="M338" i="1" s="1"/>
  <c r="J339" i="1"/>
  <c r="M339" i="1" s="1"/>
  <c r="J340" i="1"/>
  <c r="J341" i="1"/>
  <c r="J342" i="1"/>
  <c r="J343" i="1"/>
  <c r="J344" i="1"/>
  <c r="M344" i="1" s="1"/>
  <c r="J345" i="1"/>
  <c r="M345" i="1" s="1"/>
  <c r="J346" i="1"/>
  <c r="M346" i="1" s="1"/>
  <c r="J347" i="1"/>
  <c r="M347" i="1" s="1"/>
  <c r="J348" i="1"/>
  <c r="M348" i="1" s="1"/>
  <c r="J349" i="1"/>
  <c r="M349" i="1" s="1"/>
  <c r="J350" i="1"/>
  <c r="M350" i="1" s="1"/>
  <c r="J351" i="1"/>
  <c r="M351" i="1" s="1"/>
  <c r="J352" i="1"/>
  <c r="M352" i="1" s="1"/>
  <c r="J353" i="1"/>
  <c r="M353" i="1" s="1"/>
  <c r="J354" i="1"/>
  <c r="M354" i="1" s="1"/>
  <c r="J355" i="1"/>
  <c r="M355" i="1" s="1"/>
  <c r="J356" i="1"/>
  <c r="M356" i="1" s="1"/>
  <c r="J357" i="1"/>
  <c r="M357" i="1" s="1"/>
  <c r="J358" i="1"/>
  <c r="M358" i="1" s="1"/>
  <c r="J359" i="1"/>
  <c r="M359" i="1" s="1"/>
  <c r="J360" i="1"/>
  <c r="M360" i="1" s="1"/>
  <c r="J361" i="1"/>
  <c r="M361" i="1" s="1"/>
  <c r="J362" i="1"/>
  <c r="M362" i="1" s="1"/>
  <c r="J363" i="1"/>
  <c r="J364" i="1"/>
  <c r="M364" i="1" s="1"/>
  <c r="J365" i="1"/>
  <c r="J366" i="1"/>
  <c r="M366" i="1" s="1"/>
  <c r="J367" i="1"/>
  <c r="M367" i="1" s="1"/>
  <c r="J368" i="1"/>
  <c r="M368" i="1" s="1"/>
  <c r="J369" i="1"/>
  <c r="J370" i="1"/>
  <c r="J371" i="1"/>
  <c r="M371" i="1" s="1"/>
  <c r="J372" i="1"/>
  <c r="M372" i="1" s="1"/>
  <c r="J373" i="1"/>
  <c r="M373" i="1" s="1"/>
  <c r="J374" i="1"/>
  <c r="M374" i="1" s="1"/>
  <c r="J375" i="1"/>
  <c r="M375" i="1" s="1"/>
  <c r="J376" i="1"/>
  <c r="M376" i="1" s="1"/>
  <c r="J377" i="1"/>
  <c r="M377" i="1" s="1"/>
  <c r="J378" i="1"/>
  <c r="M378" i="1" s="1"/>
  <c r="J379" i="1"/>
  <c r="M379" i="1" s="1"/>
  <c r="J380" i="1"/>
  <c r="M380" i="1" s="1"/>
  <c r="J381" i="1"/>
  <c r="M381" i="1" s="1"/>
  <c r="J382" i="1"/>
  <c r="J383" i="1"/>
  <c r="J384" i="1"/>
  <c r="M384" i="1" s="1"/>
  <c r="J385" i="1"/>
  <c r="M385" i="1" s="1"/>
  <c r="J386" i="1"/>
  <c r="M386" i="1" s="1"/>
  <c r="J387" i="1"/>
  <c r="M387" i="1" s="1"/>
  <c r="J388" i="1"/>
  <c r="M388" i="1" s="1"/>
  <c r="J389" i="1"/>
  <c r="M389" i="1" s="1"/>
  <c r="J390" i="1"/>
  <c r="M390" i="1" s="1"/>
  <c r="J391" i="1"/>
  <c r="M391" i="1" s="1"/>
  <c r="J392" i="1"/>
  <c r="M392" i="1" s="1"/>
  <c r="J393" i="1"/>
  <c r="M393" i="1" s="1"/>
  <c r="J394" i="1"/>
  <c r="M394" i="1" s="1"/>
  <c r="J395" i="1"/>
  <c r="M395" i="1" s="1"/>
  <c r="J396" i="1"/>
  <c r="M396" i="1" s="1"/>
  <c r="J397" i="1"/>
  <c r="M397" i="1" s="1"/>
  <c r="J398" i="1"/>
  <c r="M398" i="1" s="1"/>
  <c r="J399" i="1"/>
  <c r="M399" i="1" s="1"/>
  <c r="J400" i="1"/>
  <c r="M400" i="1" s="1"/>
  <c r="J401" i="1"/>
  <c r="M401" i="1" s="1"/>
  <c r="J402" i="1"/>
  <c r="M402" i="1" s="1"/>
  <c r="J403" i="1"/>
  <c r="J404" i="1"/>
  <c r="M404" i="1" s="1"/>
  <c r="J405" i="1"/>
  <c r="M405" i="1" s="1"/>
  <c r="J406" i="1"/>
  <c r="J407" i="1"/>
  <c r="M407" i="1" s="1"/>
  <c r="J408" i="1"/>
  <c r="J409" i="1"/>
  <c r="J410" i="1"/>
  <c r="J411" i="1"/>
  <c r="M411" i="1" s="1"/>
  <c r="J412" i="1"/>
  <c r="J413" i="1"/>
  <c r="J414" i="1"/>
  <c r="M414" i="1" s="1"/>
  <c r="J415" i="1"/>
  <c r="M415" i="1" s="1"/>
  <c r="J416" i="1"/>
  <c r="M416" i="1" s="1"/>
  <c r="J417" i="1"/>
  <c r="M417" i="1" s="1"/>
  <c r="J418" i="1"/>
  <c r="M418" i="1" s="1"/>
  <c r="J419" i="1"/>
  <c r="M419" i="1" s="1"/>
  <c r="J420" i="1"/>
  <c r="M420" i="1" s="1"/>
  <c r="J421" i="1"/>
  <c r="M421" i="1" s="1"/>
  <c r="J422" i="1"/>
  <c r="M422" i="1" s="1"/>
  <c r="J423" i="1"/>
  <c r="J424" i="1"/>
  <c r="M424" i="1" s="1"/>
  <c r="J425" i="1"/>
  <c r="M425" i="1" s="1"/>
  <c r="J426" i="1"/>
  <c r="M426" i="1" s="1"/>
  <c r="J427" i="1"/>
  <c r="M427" i="1" s="1"/>
  <c r="J428" i="1"/>
  <c r="M428" i="1" s="1"/>
  <c r="J429" i="1"/>
  <c r="M429" i="1" s="1"/>
  <c r="J430" i="1"/>
  <c r="M430" i="1" s="1"/>
  <c r="J431" i="1"/>
  <c r="M431" i="1" s="1"/>
  <c r="J432" i="1"/>
  <c r="J433" i="1"/>
  <c r="M433" i="1" s="1"/>
  <c r="J434" i="1"/>
  <c r="M434" i="1" s="1"/>
  <c r="J435" i="1"/>
  <c r="M435" i="1" s="1"/>
  <c r="J436" i="1"/>
  <c r="M436" i="1" s="1"/>
  <c r="J437" i="1"/>
  <c r="M437" i="1" s="1"/>
  <c r="J438" i="1"/>
  <c r="M438" i="1" s="1"/>
  <c r="J439" i="1"/>
  <c r="M439" i="1" s="1"/>
  <c r="J440" i="1"/>
  <c r="M440" i="1" s="1"/>
  <c r="J441" i="1"/>
  <c r="M441" i="1" s="1"/>
  <c r="J442" i="1"/>
  <c r="J443" i="1"/>
  <c r="J444" i="1"/>
  <c r="M444" i="1" s="1"/>
  <c r="J445" i="1"/>
  <c r="J446" i="1"/>
  <c r="M446" i="1" s="1"/>
  <c r="J447" i="1"/>
  <c r="M447" i="1" s="1"/>
  <c r="J448" i="1"/>
  <c r="J449" i="1"/>
  <c r="J450" i="1"/>
  <c r="M450" i="1" s="1"/>
  <c r="J451" i="1"/>
  <c r="M451" i="1" s="1"/>
  <c r="J452" i="1"/>
  <c r="J453" i="1"/>
  <c r="M453" i="1" s="1"/>
  <c r="J454" i="1"/>
  <c r="M454" i="1" s="1"/>
  <c r="J455" i="1"/>
  <c r="M455" i="1" s="1"/>
  <c r="J456" i="1"/>
  <c r="M456" i="1" s="1"/>
  <c r="J457" i="1"/>
  <c r="M457" i="1" s="1"/>
  <c r="J458" i="1"/>
  <c r="M458" i="1" s="1"/>
  <c r="J459" i="1"/>
  <c r="M459" i="1" s="1"/>
  <c r="J460" i="1"/>
  <c r="M460" i="1" s="1"/>
  <c r="J461" i="1"/>
  <c r="M461" i="1" s="1"/>
  <c r="J462" i="1"/>
  <c r="M462" i="1" s="1"/>
  <c r="J463" i="1"/>
  <c r="M463" i="1" s="1"/>
  <c r="J464" i="1"/>
  <c r="M464" i="1" s="1"/>
  <c r="J465" i="1"/>
  <c r="J466" i="1"/>
  <c r="M466" i="1" s="1"/>
  <c r="J467" i="1"/>
  <c r="M467" i="1" s="1"/>
  <c r="J468" i="1"/>
  <c r="J469" i="1"/>
  <c r="J470" i="1"/>
  <c r="J471" i="1"/>
  <c r="M471" i="1" s="1"/>
  <c r="J472" i="1"/>
  <c r="J473" i="1"/>
  <c r="J474" i="1"/>
  <c r="M474" i="1" s="1"/>
  <c r="J475" i="1"/>
  <c r="M475" i="1" s="1"/>
  <c r="J476" i="1"/>
  <c r="M476" i="1" s="1"/>
  <c r="J477" i="1"/>
  <c r="M477" i="1" s="1"/>
  <c r="J478" i="1"/>
  <c r="M478" i="1" s="1"/>
  <c r="J479" i="1"/>
  <c r="M479" i="1" s="1"/>
  <c r="J480" i="1"/>
  <c r="J481" i="1"/>
  <c r="M481" i="1" s="1"/>
  <c r="J482" i="1"/>
  <c r="M482" i="1" s="1"/>
  <c r="J483" i="1"/>
  <c r="J484" i="1"/>
  <c r="M484" i="1" s="1"/>
  <c r="J485" i="1"/>
  <c r="M485" i="1" s="1"/>
  <c r="J486" i="1"/>
  <c r="M486" i="1" s="1"/>
  <c r="J487" i="1"/>
  <c r="M487" i="1" s="1"/>
  <c r="J488" i="1"/>
  <c r="M488" i="1" s="1"/>
  <c r="J489" i="1"/>
  <c r="M489" i="1" s="1"/>
  <c r="J490" i="1"/>
  <c r="M490" i="1" s="1"/>
  <c r="J491" i="1"/>
  <c r="M491" i="1" s="1"/>
  <c r="J492" i="1"/>
  <c r="M492" i="1" s="1"/>
  <c r="J493" i="1"/>
  <c r="J494" i="1"/>
  <c r="M494" i="1" s="1"/>
  <c r="J495" i="1"/>
  <c r="M495" i="1" s="1"/>
  <c r="J496" i="1"/>
  <c r="M496" i="1" s="1"/>
  <c r="J497" i="1"/>
  <c r="M497" i="1" s="1"/>
  <c r="J498" i="1"/>
  <c r="M498" i="1" s="1"/>
  <c r="J499" i="1"/>
  <c r="M499" i="1" s="1"/>
  <c r="J500" i="1"/>
  <c r="J501" i="1"/>
  <c r="J502" i="1"/>
  <c r="J503" i="1"/>
  <c r="J504" i="1"/>
  <c r="J505" i="1"/>
  <c r="J506" i="1"/>
  <c r="M506" i="1" s="1"/>
  <c r="J507" i="1"/>
  <c r="M507" i="1" s="1"/>
  <c r="J508" i="1"/>
  <c r="J509" i="1"/>
  <c r="M509" i="1" s="1"/>
  <c r="J510" i="1"/>
  <c r="M510" i="1" s="1"/>
  <c r="J511" i="1"/>
  <c r="M511" i="1" s="1"/>
  <c r="J512" i="1"/>
  <c r="M512" i="1" s="1"/>
  <c r="J513" i="1"/>
  <c r="M513" i="1" s="1"/>
  <c r="J514" i="1"/>
  <c r="M514" i="1" s="1"/>
  <c r="J515" i="1"/>
  <c r="M515" i="1" s="1"/>
  <c r="J516" i="1"/>
  <c r="M516" i="1" s="1"/>
  <c r="J517" i="1"/>
  <c r="M517" i="1" s="1"/>
  <c r="J518" i="1"/>
  <c r="M518" i="1" s="1"/>
  <c r="J519" i="1"/>
  <c r="M519" i="1" s="1"/>
  <c r="J520" i="1"/>
  <c r="J521" i="1"/>
  <c r="M521" i="1" s="1"/>
  <c r="J522" i="1"/>
  <c r="M522" i="1" s="1"/>
  <c r="J523" i="1"/>
  <c r="J524" i="1"/>
  <c r="M524" i="1" s="1"/>
  <c r="J525" i="1"/>
  <c r="J526" i="1"/>
  <c r="M526" i="1" s="1"/>
  <c r="J527" i="1"/>
  <c r="M527" i="1" s="1"/>
  <c r="J528" i="1"/>
  <c r="M528" i="1" s="1"/>
  <c r="J529" i="1"/>
  <c r="J530" i="1"/>
  <c r="M530" i="1" s="1"/>
  <c r="J531" i="1"/>
  <c r="M531" i="1" s="1"/>
  <c r="J532" i="1"/>
  <c r="J533" i="1"/>
  <c r="J534" i="1"/>
  <c r="M534" i="1" s="1"/>
  <c r="J535" i="1"/>
  <c r="M535" i="1" s="1"/>
  <c r="J536" i="1"/>
  <c r="M536" i="1" s="1"/>
  <c r="J537" i="1"/>
  <c r="M537" i="1" s="1"/>
  <c r="J538" i="1"/>
  <c r="M538" i="1" s="1"/>
  <c r="J539" i="1"/>
  <c r="M539" i="1" s="1"/>
  <c r="J540" i="1"/>
  <c r="M540" i="1" s="1"/>
  <c r="J541" i="1"/>
  <c r="M541" i="1" s="1"/>
  <c r="J542" i="1"/>
  <c r="M542" i="1" s="1"/>
  <c r="J543" i="1"/>
  <c r="M543" i="1" s="1"/>
  <c r="J544" i="1"/>
  <c r="M544" i="1" s="1"/>
  <c r="J545" i="1"/>
  <c r="J546" i="1"/>
  <c r="M546" i="1" s="1"/>
  <c r="J547" i="1"/>
  <c r="M547" i="1" s="1"/>
  <c r="J548" i="1"/>
  <c r="J549" i="1"/>
  <c r="J550" i="1"/>
  <c r="J551" i="1"/>
  <c r="J552" i="1"/>
  <c r="J553" i="1"/>
  <c r="J554" i="1"/>
  <c r="J555" i="1"/>
  <c r="M555" i="1" s="1"/>
  <c r="J556" i="1"/>
  <c r="M556" i="1" s="1"/>
  <c r="J557" i="1"/>
  <c r="M557" i="1" s="1"/>
  <c r="J558" i="1"/>
  <c r="M558" i="1" s="1"/>
  <c r="J559" i="1"/>
  <c r="M559" i="1" s="1"/>
  <c r="J560" i="1"/>
  <c r="J561" i="1"/>
  <c r="M561" i="1" s="1"/>
  <c r="J562" i="1"/>
  <c r="M562" i="1" s="1"/>
  <c r="J563" i="1"/>
  <c r="J564" i="1"/>
  <c r="M564" i="1" s="1"/>
  <c r="J565" i="1"/>
  <c r="M565" i="1" s="1"/>
  <c r="J566" i="1"/>
  <c r="M566" i="1" s="1"/>
  <c r="J567" i="1"/>
  <c r="M567" i="1" s="1"/>
  <c r="J568" i="1"/>
  <c r="M568" i="1" s="1"/>
  <c r="J569" i="1"/>
  <c r="M569" i="1" s="1"/>
  <c r="J570" i="1"/>
  <c r="M570" i="1" s="1"/>
  <c r="J571" i="1"/>
  <c r="M571" i="1" s="1"/>
  <c r="J572" i="1"/>
  <c r="J573" i="1"/>
  <c r="M573" i="1" s="1"/>
  <c r="J574" i="1"/>
  <c r="M574" i="1" s="1"/>
  <c r="J575" i="1"/>
  <c r="M575" i="1" s="1"/>
  <c r="J576" i="1"/>
  <c r="M576" i="1" s="1"/>
  <c r="J577" i="1"/>
  <c r="M577" i="1" s="1"/>
  <c r="J578" i="1"/>
  <c r="M578" i="1" s="1"/>
  <c r="J579" i="1"/>
  <c r="M579" i="1" s="1"/>
  <c r="J580" i="1"/>
  <c r="J581" i="1"/>
  <c r="J582" i="1"/>
  <c r="J583" i="1"/>
  <c r="J584" i="1"/>
  <c r="M584" i="1" s="1"/>
  <c r="J585" i="1"/>
  <c r="J586" i="1"/>
  <c r="M586" i="1" s="1"/>
  <c r="J587" i="1"/>
  <c r="M587" i="1" s="1"/>
  <c r="J588" i="1"/>
  <c r="M588" i="1" s="1"/>
  <c r="J589" i="1"/>
  <c r="J590" i="1"/>
  <c r="M590" i="1" s="1"/>
  <c r="J591" i="1"/>
  <c r="M591" i="1" s="1"/>
  <c r="J592" i="1"/>
  <c r="M592" i="1" s="1"/>
  <c r="J593" i="1"/>
  <c r="M593" i="1" s="1"/>
  <c r="J594" i="1"/>
  <c r="M594" i="1" s="1"/>
  <c r="J595" i="1"/>
  <c r="M595" i="1" s="1"/>
  <c r="J596" i="1"/>
  <c r="M596" i="1" s="1"/>
  <c r="J597" i="1"/>
  <c r="M597" i="1" s="1"/>
  <c r="J598" i="1"/>
  <c r="M598" i="1" s="1"/>
  <c r="J599" i="1"/>
  <c r="M599" i="1" s="1"/>
  <c r="J600" i="1"/>
  <c r="M600" i="1" s="1"/>
  <c r="J601" i="1"/>
  <c r="M601" i="1" s="1"/>
  <c r="J602" i="1"/>
  <c r="M602" i="1" s="1"/>
  <c r="J603" i="1"/>
  <c r="J604" i="1"/>
  <c r="M604" i="1" s="1"/>
  <c r="J605" i="1"/>
  <c r="M605" i="1" s="1"/>
  <c r="J606" i="1"/>
  <c r="M606" i="1" s="1"/>
  <c r="J607" i="1"/>
  <c r="M607" i="1" s="1"/>
  <c r="J608" i="1"/>
  <c r="J609" i="1"/>
  <c r="J610" i="1"/>
  <c r="J611" i="1"/>
  <c r="J612" i="1"/>
  <c r="J613" i="1"/>
  <c r="J614" i="1"/>
  <c r="J615" i="1"/>
  <c r="J616" i="1"/>
  <c r="M616" i="1" s="1"/>
  <c r="J617" i="1"/>
  <c r="M617" i="1" s="1"/>
  <c r="J618" i="1"/>
  <c r="M618" i="1" s="1"/>
  <c r="J619" i="1"/>
  <c r="M619" i="1" s="1"/>
  <c r="J620" i="1"/>
  <c r="M620" i="1" s="1"/>
  <c r="J621" i="1"/>
  <c r="M621" i="1" s="1"/>
  <c r="J622" i="1"/>
  <c r="M622" i="1" s="1"/>
  <c r="J623" i="1"/>
  <c r="J624" i="1"/>
  <c r="M624" i="1" s="1"/>
  <c r="J625" i="1"/>
  <c r="M625" i="1" s="1"/>
  <c r="J626" i="1"/>
  <c r="M626" i="1" s="1"/>
  <c r="J627" i="1"/>
  <c r="M627" i="1" s="1"/>
  <c r="J628" i="1"/>
  <c r="M628" i="1" s="1"/>
  <c r="J629" i="1"/>
  <c r="M629" i="1" s="1"/>
  <c r="J630" i="1"/>
  <c r="M630" i="1" s="1"/>
  <c r="J631" i="1"/>
  <c r="M631" i="1" s="1"/>
  <c r="J632" i="1"/>
  <c r="J633" i="1"/>
  <c r="J634" i="1"/>
  <c r="M634" i="1" s="1"/>
  <c r="J635" i="1"/>
  <c r="J636" i="1"/>
  <c r="M636" i="1" s="1"/>
  <c r="J637" i="1"/>
  <c r="M637" i="1" s="1"/>
  <c r="J638" i="1"/>
  <c r="M638" i="1" s="1"/>
  <c r="J639" i="1"/>
  <c r="M639" i="1" s="1"/>
  <c r="J640" i="1"/>
  <c r="M640" i="1" s="1"/>
  <c r="J641" i="1"/>
  <c r="M641" i="1" s="1"/>
  <c r="J642" i="1"/>
  <c r="J643" i="1"/>
  <c r="J644" i="1"/>
  <c r="M644" i="1" s="1"/>
  <c r="J645" i="1"/>
  <c r="M645" i="1" s="1"/>
  <c r="J646" i="1"/>
  <c r="M646" i="1" s="1"/>
  <c r="J647" i="1"/>
  <c r="M647" i="1" s="1"/>
  <c r="J648" i="1"/>
  <c r="J649" i="1"/>
  <c r="J650" i="1"/>
  <c r="J651" i="1"/>
  <c r="J652" i="1"/>
  <c r="J653" i="1"/>
  <c r="J654" i="1"/>
  <c r="J655" i="1"/>
  <c r="J656" i="1"/>
  <c r="M656" i="1" s="1"/>
  <c r="J657" i="1"/>
  <c r="M657" i="1" s="1"/>
  <c r="J658" i="1"/>
  <c r="M658" i="1" s="1"/>
  <c r="J659" i="1"/>
  <c r="M659" i="1" s="1"/>
  <c r="J660" i="1"/>
  <c r="M660" i="1" s="1"/>
  <c r="J661" i="1"/>
  <c r="M661" i="1" s="1"/>
  <c r="J662" i="1"/>
  <c r="M662" i="1" s="1"/>
  <c r="J663" i="1"/>
  <c r="M663" i="1" s="1"/>
  <c r="J664" i="1"/>
  <c r="M664" i="1" s="1"/>
  <c r="J665" i="1"/>
  <c r="M665" i="1" s="1"/>
  <c r="J666" i="1"/>
  <c r="M666" i="1" s="1"/>
  <c r="J667" i="1"/>
  <c r="M667" i="1" s="1"/>
  <c r="J668" i="1"/>
  <c r="M668" i="1" s="1"/>
  <c r="J669" i="1"/>
  <c r="J670" i="1"/>
  <c r="M670" i="1" s="1"/>
  <c r="J671" i="1"/>
  <c r="M671" i="1" s="1"/>
  <c r="J672" i="1"/>
  <c r="J673" i="1"/>
  <c r="J674" i="1"/>
  <c r="J675" i="1"/>
  <c r="J676" i="1"/>
  <c r="M676" i="1" s="1"/>
  <c r="J677" i="1"/>
  <c r="M677" i="1" s="1"/>
  <c r="J678" i="1"/>
  <c r="M678" i="1" s="1"/>
  <c r="J679" i="1"/>
  <c r="M679" i="1" s="1"/>
  <c r="J680" i="1"/>
  <c r="M680" i="1" s="1"/>
  <c r="J681" i="1"/>
  <c r="M681" i="1" s="1"/>
  <c r="J682" i="1"/>
  <c r="J683" i="1"/>
  <c r="J684" i="1"/>
  <c r="M684" i="1" s="1"/>
  <c r="J685" i="1"/>
  <c r="M685" i="1" s="1"/>
  <c r="J686" i="1"/>
  <c r="M686" i="1" s="1"/>
  <c r="J687" i="1"/>
  <c r="M687" i="1" s="1"/>
  <c r="J688" i="1"/>
  <c r="M688" i="1" s="1"/>
  <c r="J689" i="1"/>
  <c r="M689" i="1" s="1"/>
  <c r="J690" i="1"/>
  <c r="J691" i="1"/>
  <c r="M691" i="1" s="1"/>
  <c r="J692" i="1"/>
  <c r="M692" i="1" s="1"/>
  <c r="J693" i="1"/>
  <c r="M693" i="1" s="1"/>
  <c r="J694" i="1"/>
  <c r="M694" i="1" s="1"/>
  <c r="J695" i="1"/>
  <c r="J696" i="1"/>
  <c r="M696" i="1" s="1"/>
  <c r="J697" i="1"/>
  <c r="M697" i="1" s="1"/>
  <c r="J698" i="1"/>
  <c r="M698" i="1" s="1"/>
  <c r="J699" i="1"/>
  <c r="M699" i="1" s="1"/>
  <c r="J700" i="1"/>
  <c r="M700" i="1" s="1"/>
  <c r="J701" i="1"/>
  <c r="M701" i="1" s="1"/>
  <c r="J702" i="1"/>
  <c r="M702" i="1" s="1"/>
  <c r="J703" i="1"/>
  <c r="J704" i="1"/>
  <c r="M704" i="1" s="1"/>
  <c r="J705" i="1"/>
  <c r="M705" i="1" s="1"/>
  <c r="J706" i="1"/>
  <c r="M706" i="1" s="1"/>
  <c r="J707" i="1"/>
  <c r="M707" i="1" s="1"/>
  <c r="J708" i="1"/>
  <c r="J709" i="1"/>
  <c r="J710" i="1"/>
  <c r="J711" i="1"/>
  <c r="J712" i="1"/>
  <c r="J713" i="1"/>
  <c r="J714" i="1"/>
  <c r="J715" i="1"/>
  <c r="J716" i="1"/>
  <c r="M716" i="1" s="1"/>
  <c r="J717" i="1"/>
  <c r="M717" i="1" s="1"/>
  <c r="J718" i="1"/>
  <c r="M718" i="1" s="1"/>
  <c r="J719" i="1"/>
  <c r="M719" i="1" s="1"/>
  <c r="J720" i="1"/>
  <c r="M720" i="1" s="1"/>
  <c r="J721" i="1"/>
  <c r="M721" i="1" s="1"/>
  <c r="J722" i="1"/>
  <c r="M722" i="1" s="1"/>
  <c r="J723" i="1"/>
  <c r="J724" i="1"/>
  <c r="M724" i="1" s="1"/>
  <c r="J725" i="1"/>
  <c r="M725" i="1" s="1"/>
  <c r="J726" i="1"/>
  <c r="M726" i="1" s="1"/>
  <c r="J727" i="1"/>
  <c r="M727" i="1" s="1"/>
  <c r="J728" i="1"/>
  <c r="M728" i="1" s="1"/>
  <c r="J729" i="1"/>
  <c r="M729" i="1" s="1"/>
  <c r="J730" i="1"/>
  <c r="M730" i="1" s="1"/>
  <c r="J731" i="1"/>
  <c r="M731" i="1" s="1"/>
  <c r="J732" i="1"/>
  <c r="J733" i="1"/>
  <c r="J734" i="1"/>
  <c r="M734" i="1" s="1"/>
  <c r="J735" i="1"/>
  <c r="J736" i="1"/>
  <c r="M736" i="1" s="1"/>
  <c r="J737" i="1"/>
  <c r="M737" i="1" s="1"/>
  <c r="J738" i="1"/>
  <c r="M738" i="1" s="1"/>
  <c r="J739" i="1"/>
  <c r="M739" i="1" s="1"/>
  <c r="J740" i="1"/>
  <c r="M740" i="1" s="1"/>
  <c r="J741" i="1"/>
  <c r="M741" i="1" s="1"/>
  <c r="J742" i="1"/>
  <c r="J743" i="1"/>
  <c r="J744" i="1"/>
  <c r="M744" i="1" s="1"/>
  <c r="J745" i="1"/>
  <c r="M745" i="1" s="1"/>
  <c r="J746" i="1"/>
  <c r="M746" i="1" s="1"/>
  <c r="J747" i="1"/>
  <c r="J748" i="1"/>
  <c r="J749" i="1"/>
  <c r="J750" i="1"/>
  <c r="J751" i="1"/>
  <c r="J752" i="1"/>
  <c r="J753" i="1"/>
  <c r="J754" i="1"/>
  <c r="M754" i="1" s="1"/>
  <c r="J755" i="1"/>
  <c r="J756" i="1"/>
  <c r="M756" i="1" s="1"/>
  <c r="J757" i="1"/>
  <c r="M757" i="1" s="1"/>
  <c r="J758" i="1"/>
  <c r="M758" i="1" s="1"/>
  <c r="J759" i="1"/>
  <c r="M759" i="1" s="1"/>
  <c r="J760" i="1"/>
  <c r="M760" i="1" s="1"/>
  <c r="J761" i="1"/>
  <c r="M761" i="1" s="1"/>
  <c r="J762" i="1"/>
  <c r="J763" i="1"/>
  <c r="J764" i="1"/>
  <c r="M764" i="1" s="1"/>
  <c r="J765" i="1"/>
  <c r="M765" i="1" s="1"/>
  <c r="J766" i="1"/>
  <c r="M766" i="1" s="1"/>
  <c r="J767" i="1"/>
  <c r="M767" i="1" s="1"/>
  <c r="J768" i="1"/>
  <c r="M768" i="1" s="1"/>
  <c r="J769" i="1"/>
  <c r="J770" i="1"/>
  <c r="M770" i="1" s="1"/>
  <c r="J771" i="1"/>
  <c r="M771" i="1" s="1"/>
  <c r="J772" i="1"/>
  <c r="M772" i="1" s="1"/>
  <c r="J773" i="1"/>
  <c r="M773" i="1" s="1"/>
  <c r="J774" i="1"/>
  <c r="M774" i="1" s="1"/>
  <c r="J775" i="1"/>
  <c r="J776" i="1"/>
  <c r="M776" i="1" s="1"/>
  <c r="J777" i="1"/>
  <c r="M777" i="1" s="1"/>
  <c r="J778" i="1"/>
  <c r="M778" i="1" s="1"/>
  <c r="J779" i="1"/>
  <c r="M779" i="1" s="1"/>
  <c r="J780" i="1"/>
  <c r="M780" i="1" s="1"/>
  <c r="J781" i="1"/>
  <c r="M781" i="1" s="1"/>
  <c r="J782" i="1"/>
  <c r="J783" i="1"/>
  <c r="J784" i="1"/>
  <c r="M784" i="1" s="1"/>
  <c r="J785" i="1"/>
  <c r="M785" i="1" s="1"/>
  <c r="J786" i="1"/>
  <c r="M786" i="1" s="1"/>
  <c r="J787" i="1"/>
  <c r="M787" i="1" s="1"/>
  <c r="J788" i="1"/>
  <c r="M788" i="1" s="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M816" i="1" s="1"/>
  <c r="J817" i="1"/>
  <c r="M817" i="1" s="1"/>
  <c r="J818" i="1"/>
  <c r="M818" i="1" s="1"/>
  <c r="J819" i="1"/>
  <c r="M819" i="1" s="1"/>
  <c r="J820" i="1"/>
  <c r="M820" i="1" s="1"/>
  <c r="J821" i="1"/>
  <c r="M821" i="1" s="1"/>
  <c r="J822" i="1"/>
  <c r="M822" i="1" s="1"/>
  <c r="J823" i="1"/>
  <c r="J824" i="1"/>
  <c r="M824" i="1" s="1"/>
  <c r="J825" i="1"/>
  <c r="M825" i="1" s="1"/>
  <c r="J826" i="1"/>
  <c r="M826" i="1" s="1"/>
  <c r="J827" i="1"/>
  <c r="M827" i="1" s="1"/>
  <c r="J828" i="1"/>
  <c r="M828" i="1" s="1"/>
  <c r="J829" i="1"/>
  <c r="M829" i="1" s="1"/>
  <c r="J830" i="1"/>
  <c r="M830" i="1" s="1"/>
  <c r="J831" i="1"/>
  <c r="M831" i="1" s="1"/>
  <c r="J832" i="1"/>
  <c r="J833" i="1"/>
  <c r="J834" i="1"/>
  <c r="M834" i="1" s="1"/>
  <c r="J835" i="1"/>
  <c r="J836" i="1"/>
  <c r="J837" i="1"/>
  <c r="M837" i="1" s="1"/>
  <c r="J838" i="1"/>
  <c r="M838" i="1" s="1"/>
  <c r="J839" i="1"/>
  <c r="M839" i="1" s="1"/>
  <c r="J840" i="1"/>
  <c r="M840" i="1" s="1"/>
  <c r="J841" i="1"/>
  <c r="M841" i="1" s="1"/>
  <c r="J842" i="1"/>
  <c r="J843" i="1"/>
  <c r="J844" i="1"/>
  <c r="M844" i="1" s="1"/>
  <c r="J845" i="1"/>
  <c r="M845" i="1" s="1"/>
  <c r="J846" i="1"/>
  <c r="M846" i="1" s="1"/>
  <c r="J847" i="1"/>
  <c r="M847" i="1" s="1"/>
  <c r="J848" i="1"/>
  <c r="J849" i="1"/>
  <c r="J850" i="1"/>
  <c r="M850" i="1" s="1"/>
  <c r="J851" i="1"/>
  <c r="M851" i="1" s="1"/>
  <c r="J852" i="1"/>
  <c r="J853" i="1"/>
  <c r="M853" i="1" s="1"/>
  <c r="J854" i="1"/>
  <c r="M854" i="1" s="1"/>
  <c r="J855" i="1"/>
  <c r="J856" i="1"/>
  <c r="J857" i="1"/>
  <c r="M857" i="1" s="1"/>
  <c r="J858" i="1"/>
  <c r="M858" i="1" s="1"/>
  <c r="J859" i="1"/>
  <c r="M859" i="1" s="1"/>
  <c r="J860" i="1"/>
  <c r="M860" i="1" s="1"/>
  <c r="J861" i="1"/>
  <c r="M861" i="1" s="1"/>
  <c r="J862" i="1"/>
  <c r="M862" i="1" s="1"/>
  <c r="J863" i="1"/>
  <c r="J864" i="1"/>
  <c r="M864" i="1" s="1"/>
  <c r="J865" i="1"/>
  <c r="M865" i="1" s="1"/>
  <c r="J866" i="1"/>
  <c r="M866" i="1" s="1"/>
  <c r="J867" i="1"/>
  <c r="M867" i="1" s="1"/>
  <c r="J868" i="1"/>
  <c r="M868" i="1" s="1"/>
  <c r="J869" i="1"/>
  <c r="J870" i="1"/>
  <c r="M870" i="1" s="1"/>
  <c r="J871" i="1"/>
  <c r="J872" i="1"/>
  <c r="J873" i="1"/>
  <c r="J874" i="1"/>
  <c r="M874" i="1" s="1"/>
  <c r="J875" i="1"/>
  <c r="J876" i="1"/>
  <c r="J877" i="1"/>
  <c r="J878" i="1"/>
  <c r="M878" i="1" s="1"/>
  <c r="J879" i="1"/>
  <c r="M879" i="1" s="1"/>
  <c r="J880" i="1"/>
  <c r="M880" i="1" s="1"/>
  <c r="J881" i="1"/>
  <c r="M881" i="1" s="1"/>
  <c r="J882" i="1"/>
  <c r="M882" i="1" s="1"/>
  <c r="J883" i="1"/>
  <c r="J884" i="1"/>
  <c r="M884" i="1" s="1"/>
  <c r="J885" i="1"/>
  <c r="M885" i="1" s="1"/>
  <c r="J886" i="1"/>
  <c r="M886" i="1" s="1"/>
  <c r="J887" i="1"/>
  <c r="M887" i="1" s="1"/>
  <c r="J888" i="1"/>
  <c r="M888" i="1" s="1"/>
  <c r="J889" i="1"/>
  <c r="M889" i="1" s="1"/>
  <c r="J890" i="1"/>
  <c r="M890" i="1" s="1"/>
  <c r="J891" i="1"/>
  <c r="M891" i="1" s="1"/>
  <c r="J892" i="1"/>
  <c r="J893" i="1"/>
  <c r="M893" i="1" s="1"/>
  <c r="J894" i="1"/>
  <c r="M894" i="1" s="1"/>
  <c r="J895" i="1"/>
  <c r="J896" i="1"/>
  <c r="J897" i="1"/>
  <c r="J898" i="1"/>
  <c r="M898" i="1" s="1"/>
  <c r="J899" i="1"/>
  <c r="M899" i="1" s="1"/>
  <c r="J900" i="1"/>
  <c r="J901" i="1"/>
  <c r="M901" i="1" s="1"/>
  <c r="J902" i="1"/>
  <c r="J903" i="1"/>
  <c r="J904" i="1"/>
  <c r="M904" i="1" s="1"/>
  <c r="J905" i="1"/>
  <c r="M905" i="1" s="1"/>
  <c r="J906" i="1"/>
  <c r="M906" i="1" s="1"/>
  <c r="J907" i="1"/>
  <c r="M907" i="1" s="1"/>
  <c r="J908" i="1"/>
  <c r="M908" i="1" s="1"/>
  <c r="J909" i="1"/>
  <c r="M909" i="1" s="1"/>
  <c r="J910" i="1"/>
  <c r="M910" i="1" s="1"/>
  <c r="J911" i="1"/>
  <c r="M911" i="1" s="1"/>
  <c r="J912" i="1"/>
  <c r="M912" i="1" s="1"/>
  <c r="J913" i="1"/>
  <c r="J914" i="1"/>
  <c r="M914" i="1" s="1"/>
  <c r="J915" i="1"/>
  <c r="J916" i="1"/>
  <c r="J917" i="1"/>
  <c r="J918" i="1"/>
  <c r="J919" i="1"/>
  <c r="J920" i="1"/>
  <c r="J921" i="1"/>
  <c r="J922" i="1"/>
  <c r="J923" i="1"/>
  <c r="J924" i="1"/>
  <c r="M924" i="1" s="1"/>
  <c r="J925" i="1"/>
  <c r="M925" i="1" s="1"/>
  <c r="J926" i="1"/>
  <c r="M926" i="1" s="1"/>
  <c r="J927" i="1"/>
  <c r="M927" i="1" s="1"/>
  <c r="J928" i="1"/>
  <c r="M928" i="1" s="1"/>
  <c r="J929" i="1"/>
  <c r="M929" i="1" s="1"/>
  <c r="J930" i="1"/>
  <c r="M930" i="1" s="1"/>
  <c r="J931" i="1"/>
  <c r="M931" i="1" s="1"/>
  <c r="J932" i="1"/>
  <c r="M932" i="1" s="1"/>
  <c r="J933" i="1"/>
  <c r="J934" i="1"/>
  <c r="M934" i="1" s="1"/>
  <c r="J935" i="1"/>
  <c r="J936" i="1"/>
  <c r="J937" i="1"/>
  <c r="J938" i="1"/>
  <c r="J939" i="1"/>
  <c r="J940" i="1"/>
  <c r="J941" i="1"/>
  <c r="J942" i="1"/>
  <c r="J943" i="1"/>
  <c r="J944" i="1"/>
  <c r="M944" i="1" s="1"/>
  <c r="J945" i="1"/>
  <c r="M945" i="1" s="1"/>
  <c r="J946" i="1"/>
  <c r="M946" i="1" s="1"/>
  <c r="J947" i="1"/>
  <c r="M947" i="1" s="1"/>
  <c r="J948" i="1"/>
  <c r="M948" i="1" s="1"/>
  <c r="J949" i="1"/>
  <c r="M949" i="1" s="1"/>
  <c r="J950" i="1"/>
  <c r="M950" i="1" s="1"/>
  <c r="J951" i="1"/>
  <c r="M951" i="1" s="1"/>
  <c r="J952" i="1"/>
  <c r="M952" i="1" s="1"/>
  <c r="J953" i="1"/>
  <c r="J954" i="1"/>
  <c r="M954" i="1" s="1"/>
  <c r="J955" i="1"/>
  <c r="J956" i="1"/>
  <c r="J957" i="1"/>
  <c r="J958" i="1"/>
  <c r="J959" i="1"/>
  <c r="J960" i="1"/>
  <c r="J961" i="1"/>
  <c r="J962" i="1"/>
  <c r="J963" i="1"/>
  <c r="J964" i="1"/>
  <c r="M964" i="1" s="1"/>
  <c r="J965" i="1"/>
  <c r="M965" i="1" s="1"/>
  <c r="J966" i="1"/>
  <c r="M966" i="1" s="1"/>
  <c r="J967" i="1"/>
  <c r="M967" i="1" s="1"/>
  <c r="J968" i="1"/>
  <c r="M968" i="1" s="1"/>
  <c r="J969" i="1"/>
  <c r="M969" i="1" s="1"/>
  <c r="J970" i="1"/>
  <c r="M970" i="1" s="1"/>
  <c r="J971" i="1"/>
  <c r="M971" i="1" s="1"/>
  <c r="J972" i="1"/>
  <c r="M972" i="1" s="1"/>
  <c r="J973" i="1"/>
  <c r="J974" i="1"/>
  <c r="M974" i="1" s="1"/>
  <c r="J975" i="1"/>
  <c r="J976" i="1"/>
  <c r="J977" i="1"/>
  <c r="J978" i="1"/>
  <c r="J979" i="1"/>
  <c r="J980" i="1"/>
  <c r="J981" i="1"/>
  <c r="J982" i="1"/>
  <c r="J983" i="1"/>
  <c r="J984" i="1"/>
  <c r="J985" i="1"/>
  <c r="M985" i="1" s="1"/>
  <c r="J986" i="1"/>
  <c r="M986" i="1" s="1"/>
  <c r="J987" i="1"/>
  <c r="M987" i="1" s="1"/>
  <c r="J988" i="1"/>
  <c r="M988" i="1" s="1"/>
  <c r="J989" i="1"/>
  <c r="M989" i="1" s="1"/>
  <c r="J990" i="1"/>
  <c r="M990" i="1" s="1"/>
  <c r="J991" i="1"/>
  <c r="M991" i="1" s="1"/>
  <c r="J992" i="1"/>
  <c r="M992" i="1" s="1"/>
  <c r="J993" i="1"/>
  <c r="J994" i="1"/>
  <c r="M994" i="1" s="1"/>
  <c r="J995" i="1"/>
  <c r="J996" i="1"/>
  <c r="J997" i="1"/>
  <c r="J998" i="1"/>
  <c r="J999" i="1"/>
  <c r="J1000" i="1"/>
  <c r="J1001" i="1"/>
  <c r="J1002" i="1"/>
  <c r="J1003" i="1"/>
  <c r="J1004" i="1"/>
  <c r="M1004" i="1" s="1"/>
  <c r="J1005" i="1"/>
  <c r="M1005" i="1" s="1"/>
  <c r="J1006" i="1"/>
  <c r="M1006" i="1" s="1"/>
  <c r="J1007" i="1"/>
  <c r="M1007" i="1" s="1"/>
  <c r="J1008" i="1"/>
  <c r="M1008" i="1" s="1"/>
  <c r="J1009" i="1"/>
  <c r="M1009" i="1" s="1"/>
  <c r="J1010" i="1"/>
  <c r="M1010" i="1" s="1"/>
  <c r="J1011" i="1"/>
  <c r="M1011" i="1" s="1"/>
  <c r="J1012" i="1"/>
  <c r="M1012" i="1" s="1"/>
  <c r="J1013" i="1"/>
  <c r="J1014" i="1"/>
  <c r="M1014" i="1" s="1"/>
  <c r="J1015" i="1"/>
  <c r="J1016" i="1"/>
  <c r="J1017" i="1"/>
  <c r="J1018" i="1"/>
  <c r="J1019" i="1"/>
  <c r="J1020" i="1"/>
  <c r="J1021" i="1"/>
  <c r="J1022" i="1"/>
  <c r="J1023" i="1"/>
  <c r="J1024" i="1"/>
  <c r="M1024" i="1" s="1"/>
  <c r="J1025" i="1"/>
  <c r="M1025" i="1" s="1"/>
  <c r="J1026" i="1"/>
  <c r="M1026" i="1" s="1"/>
  <c r="J1027" i="1"/>
  <c r="M1027" i="1" s="1"/>
  <c r="J1028" i="1"/>
  <c r="M1028" i="1" s="1"/>
  <c r="J1029" i="1"/>
  <c r="M1029" i="1" s="1"/>
  <c r="J1030" i="1"/>
  <c r="M1030" i="1" s="1"/>
  <c r="J1031" i="1"/>
  <c r="M1031" i="1" s="1"/>
  <c r="J1032" i="1"/>
  <c r="M1032" i="1" s="1"/>
  <c r="J1033" i="1"/>
  <c r="J1034" i="1"/>
  <c r="M1034" i="1" s="1"/>
  <c r="J1035" i="1"/>
  <c r="J1036" i="1"/>
  <c r="J1037" i="1"/>
  <c r="J1038" i="1"/>
  <c r="J1039" i="1"/>
  <c r="J1040" i="1"/>
  <c r="J1041" i="1"/>
  <c r="J1042" i="1"/>
  <c r="J1043" i="1"/>
  <c r="J1044" i="1"/>
  <c r="M1044" i="1" s="1"/>
  <c r="J1045" i="1"/>
  <c r="M1045" i="1" s="1"/>
  <c r="J1046" i="1"/>
  <c r="M1046" i="1" s="1"/>
  <c r="J1047" i="1"/>
  <c r="M1047" i="1" s="1"/>
  <c r="J1048" i="1"/>
  <c r="M1048" i="1" s="1"/>
  <c r="J1049" i="1"/>
  <c r="M1049" i="1" s="1"/>
  <c r="J1050" i="1"/>
  <c r="M1050" i="1" s="1"/>
  <c r="J1051" i="1"/>
  <c r="M1051" i="1" s="1"/>
  <c r="J1052" i="1"/>
  <c r="M1052" i="1" s="1"/>
  <c r="J1053" i="1"/>
  <c r="J1054" i="1"/>
  <c r="M1054" i="1" s="1"/>
  <c r="J1055" i="1"/>
  <c r="J1056" i="1"/>
  <c r="J1057" i="1"/>
  <c r="J1058" i="1"/>
  <c r="J1059" i="1"/>
  <c r="J1060" i="1"/>
  <c r="J1061" i="1"/>
  <c r="J1062" i="1"/>
  <c r="J1063" i="1"/>
  <c r="J1064" i="1"/>
  <c r="M1064" i="1" s="1"/>
  <c r="J1065" i="1"/>
  <c r="M1065" i="1" s="1"/>
  <c r="J1066" i="1"/>
  <c r="M1066" i="1" s="1"/>
  <c r="J1067" i="1"/>
  <c r="M1067" i="1" s="1"/>
  <c r="J1068" i="1"/>
  <c r="M1068" i="1" s="1"/>
  <c r="J1069" i="1"/>
  <c r="M1069" i="1" s="1"/>
  <c r="J1070" i="1"/>
  <c r="M1070" i="1" s="1"/>
  <c r="J1071" i="1"/>
  <c r="M1071" i="1" s="1"/>
  <c r="J1072" i="1"/>
  <c r="M1072" i="1" s="1"/>
  <c r="J1073" i="1"/>
  <c r="J1074" i="1"/>
  <c r="M1074" i="1" s="1"/>
  <c r="J1075" i="1"/>
  <c r="J1076" i="1"/>
  <c r="J1077" i="1"/>
  <c r="J1078" i="1"/>
  <c r="J1079" i="1"/>
  <c r="J1080" i="1"/>
  <c r="J1081" i="1"/>
  <c r="J1082" i="1"/>
  <c r="J1083" i="1"/>
  <c r="J1084" i="1"/>
  <c r="J1085" i="1"/>
  <c r="M1085" i="1" s="1"/>
  <c r="J1086" i="1"/>
  <c r="M1086" i="1" s="1"/>
  <c r="J1087" i="1"/>
  <c r="M1087" i="1" s="1"/>
  <c r="J1088" i="1"/>
  <c r="M1088" i="1" s="1"/>
  <c r="J1089" i="1"/>
  <c r="M1089" i="1" s="1"/>
  <c r="J1090" i="1"/>
  <c r="M1090" i="1" s="1"/>
  <c r="J1091" i="1"/>
  <c r="M1091" i="1" s="1"/>
  <c r="J1092" i="1"/>
  <c r="M1092" i="1" s="1"/>
  <c r="J1093" i="1"/>
  <c r="J1094" i="1"/>
  <c r="M1094" i="1" s="1"/>
  <c r="J1095" i="1"/>
  <c r="J1096" i="1"/>
  <c r="J1097" i="1"/>
  <c r="J1098" i="1"/>
  <c r="J1099" i="1"/>
  <c r="J1100" i="1"/>
  <c r="J1101" i="1"/>
  <c r="J1102" i="1"/>
  <c r="J1103" i="1"/>
  <c r="J1104" i="1"/>
  <c r="M1104" i="1" s="1"/>
  <c r="J1105" i="1"/>
  <c r="M1105" i="1" s="1"/>
  <c r="J1106" i="1"/>
  <c r="M1106" i="1" s="1"/>
  <c r="J1107" i="1"/>
  <c r="M1107" i="1" s="1"/>
  <c r="J1108" i="1"/>
  <c r="M1108" i="1" s="1"/>
  <c r="J1109" i="1"/>
  <c r="M1109" i="1" s="1"/>
  <c r="J1110" i="1"/>
  <c r="M1110" i="1" s="1"/>
  <c r="J1111" i="1"/>
  <c r="M1111" i="1" s="1"/>
  <c r="J1112" i="1"/>
  <c r="M1112" i="1" s="1"/>
  <c r="J1113" i="1"/>
  <c r="J1114" i="1"/>
  <c r="M1114" i="1" s="1"/>
  <c r="J1115" i="1"/>
  <c r="J1116" i="1"/>
  <c r="J2" i="1"/>
  <c r="M3" i="1"/>
  <c r="M10" i="1"/>
  <c r="M20" i="1"/>
  <c r="M21" i="1"/>
  <c r="M22" i="1"/>
  <c r="M23" i="1"/>
  <c r="M24" i="1"/>
  <c r="M25" i="1"/>
  <c r="M28" i="1"/>
  <c r="M42" i="1"/>
  <c r="M43" i="1"/>
  <c r="M48" i="1"/>
  <c r="M49" i="1"/>
  <c r="M50" i="1"/>
  <c r="M53" i="1"/>
  <c r="M60" i="1"/>
  <c r="M61" i="1"/>
  <c r="M63" i="1"/>
  <c r="M73" i="1"/>
  <c r="M80" i="1"/>
  <c r="M82" i="1"/>
  <c r="M83" i="1"/>
  <c r="M85" i="1"/>
  <c r="M86" i="1"/>
  <c r="M88" i="1"/>
  <c r="M89" i="1"/>
  <c r="M93" i="1"/>
  <c r="M100" i="1"/>
  <c r="M103" i="1"/>
  <c r="M112" i="1"/>
  <c r="M123" i="1"/>
  <c r="M125" i="1"/>
  <c r="M129" i="1"/>
  <c r="M132" i="1"/>
  <c r="M139" i="1"/>
  <c r="M140" i="1"/>
  <c r="M141" i="1"/>
  <c r="M149" i="1"/>
  <c r="M159" i="1"/>
  <c r="M160" i="1"/>
  <c r="M161" i="1"/>
  <c r="M162" i="1"/>
  <c r="M163" i="1"/>
  <c r="M165" i="1"/>
  <c r="M166" i="1"/>
  <c r="M169" i="1"/>
  <c r="M179" i="1"/>
  <c r="M183" i="1"/>
  <c r="M185" i="1"/>
  <c r="M189" i="1"/>
  <c r="M192" i="1"/>
  <c r="M202" i="1"/>
  <c r="M203" i="1"/>
  <c r="M205" i="1"/>
  <c r="M208" i="1"/>
  <c r="M219" i="1"/>
  <c r="M223" i="1"/>
  <c r="M226" i="1"/>
  <c r="M228" i="1"/>
  <c r="M229" i="1"/>
  <c r="M232" i="1"/>
  <c r="M239" i="1"/>
  <c r="M240" i="1"/>
  <c r="M241" i="1"/>
  <c r="M243" i="1"/>
  <c r="M252" i="1"/>
  <c r="M259" i="1"/>
  <c r="M260" i="1"/>
  <c r="M262" i="1"/>
  <c r="M263" i="1"/>
  <c r="M265" i="1"/>
  <c r="M268" i="1"/>
  <c r="M269" i="1"/>
  <c r="M272" i="1"/>
  <c r="M279" i="1"/>
  <c r="M280" i="1"/>
  <c r="M283" i="1"/>
  <c r="M292" i="1"/>
  <c r="M299" i="1"/>
  <c r="M300" i="1"/>
  <c r="M301" i="1"/>
  <c r="M302" i="1"/>
  <c r="M303" i="1"/>
  <c r="M305" i="1"/>
  <c r="M308" i="1"/>
  <c r="M323" i="1"/>
  <c r="M325" i="1"/>
  <c r="M329" i="1"/>
  <c r="M340" i="1"/>
  <c r="M341" i="1"/>
  <c r="M342" i="1"/>
  <c r="M343" i="1"/>
  <c r="M363" i="1"/>
  <c r="M365" i="1"/>
  <c r="M369" i="1"/>
  <c r="M370" i="1"/>
  <c r="M382" i="1"/>
  <c r="M383" i="1"/>
  <c r="M403" i="1"/>
  <c r="M406" i="1"/>
  <c r="M408" i="1"/>
  <c r="M409" i="1"/>
  <c r="M410" i="1"/>
  <c r="M412" i="1"/>
  <c r="M413" i="1"/>
  <c r="M423" i="1"/>
  <c r="M432" i="1"/>
  <c r="M442" i="1"/>
  <c r="M443" i="1"/>
  <c r="M445" i="1"/>
  <c r="M448" i="1"/>
  <c r="M449" i="1"/>
  <c r="M452" i="1"/>
  <c r="M465" i="1"/>
  <c r="M468" i="1"/>
  <c r="M469" i="1"/>
  <c r="M470" i="1"/>
  <c r="M472" i="1"/>
  <c r="M473" i="1"/>
  <c r="M480" i="1"/>
  <c r="M483" i="1"/>
  <c r="M493" i="1"/>
  <c r="M500" i="1"/>
  <c r="M501" i="1"/>
  <c r="M502" i="1"/>
  <c r="M503" i="1"/>
  <c r="M504" i="1"/>
  <c r="M505" i="1"/>
  <c r="M508" i="1"/>
  <c r="M520" i="1"/>
  <c r="M523" i="1"/>
  <c r="M525" i="1"/>
  <c r="M529" i="1"/>
  <c r="M532" i="1"/>
  <c r="M533" i="1"/>
  <c r="M545" i="1"/>
  <c r="M548" i="1"/>
  <c r="M549" i="1"/>
  <c r="M550" i="1"/>
  <c r="M551" i="1"/>
  <c r="M552" i="1"/>
  <c r="M553" i="1"/>
  <c r="M554" i="1"/>
  <c r="M560" i="1"/>
  <c r="M563" i="1"/>
  <c r="M572" i="1"/>
  <c r="M580" i="1"/>
  <c r="M581" i="1"/>
  <c r="M582" i="1"/>
  <c r="M583" i="1"/>
  <c r="M585" i="1"/>
  <c r="M589" i="1"/>
  <c r="M603" i="1"/>
  <c r="M608" i="1"/>
  <c r="M609" i="1"/>
  <c r="M610" i="1"/>
  <c r="M611" i="1"/>
  <c r="M612" i="1"/>
  <c r="M613" i="1"/>
  <c r="M614" i="1"/>
  <c r="M615" i="1"/>
  <c r="M623" i="1"/>
  <c r="M632" i="1"/>
  <c r="M633" i="1"/>
  <c r="M635" i="1"/>
  <c r="M642" i="1"/>
  <c r="M643" i="1"/>
  <c r="M648" i="1"/>
  <c r="M649" i="1"/>
  <c r="M650" i="1"/>
  <c r="M651" i="1"/>
  <c r="M652" i="1"/>
  <c r="M653" i="1"/>
  <c r="M654" i="1"/>
  <c r="M655" i="1"/>
  <c r="M669" i="1"/>
  <c r="M672" i="1"/>
  <c r="M673" i="1"/>
  <c r="M674" i="1"/>
  <c r="M675" i="1"/>
  <c r="M682" i="1"/>
  <c r="M683" i="1"/>
  <c r="M690" i="1"/>
  <c r="M695" i="1"/>
  <c r="M703" i="1"/>
  <c r="M708" i="1"/>
  <c r="M709" i="1"/>
  <c r="M710" i="1"/>
  <c r="M711" i="1"/>
  <c r="M712" i="1"/>
  <c r="M713" i="1"/>
  <c r="M714" i="1"/>
  <c r="M715" i="1"/>
  <c r="M723" i="1"/>
  <c r="M732" i="1"/>
  <c r="M733" i="1"/>
  <c r="M735" i="1"/>
  <c r="M742" i="1"/>
  <c r="M743" i="1"/>
  <c r="M755" i="1"/>
  <c r="M762" i="1"/>
  <c r="M763" i="1"/>
  <c r="M769" i="1"/>
  <c r="M775" i="1"/>
  <c r="M782" i="1"/>
  <c r="M783" i="1"/>
  <c r="M789" i="1"/>
  <c r="M790" i="1"/>
  <c r="M811" i="1"/>
  <c r="M812" i="1"/>
  <c r="M813" i="1"/>
  <c r="M814" i="1"/>
  <c r="M815" i="1"/>
  <c r="M823" i="1"/>
  <c r="M832" i="1"/>
  <c r="M833" i="1"/>
  <c r="M835" i="1"/>
  <c r="M836" i="1"/>
  <c r="M842" i="1"/>
  <c r="M843" i="1"/>
  <c r="M848" i="1"/>
  <c r="M849" i="1"/>
  <c r="M852" i="1"/>
  <c r="M855" i="1"/>
  <c r="M856" i="1"/>
  <c r="M863" i="1"/>
  <c r="M869" i="1"/>
  <c r="M871" i="1"/>
  <c r="M872" i="1"/>
  <c r="M873" i="1"/>
  <c r="M875" i="1"/>
  <c r="M876" i="1"/>
  <c r="M877" i="1"/>
  <c r="M883" i="1"/>
  <c r="M892" i="1"/>
  <c r="M895" i="1"/>
  <c r="M896" i="1"/>
  <c r="M897" i="1"/>
  <c r="M900" i="1"/>
  <c r="M902" i="1"/>
  <c r="M903" i="1"/>
  <c r="M913" i="1"/>
  <c r="M915" i="1"/>
  <c r="M916" i="1"/>
  <c r="M917" i="1"/>
  <c r="M918" i="1"/>
  <c r="M919" i="1"/>
  <c r="M920" i="1"/>
  <c r="M921" i="1"/>
  <c r="M922" i="1"/>
  <c r="M923" i="1"/>
  <c r="M933" i="1"/>
  <c r="M935" i="1"/>
  <c r="M936" i="1"/>
  <c r="M937" i="1"/>
  <c r="M938" i="1"/>
  <c r="M939" i="1"/>
  <c r="M940" i="1"/>
  <c r="M941" i="1"/>
  <c r="M942" i="1"/>
  <c r="M943" i="1"/>
  <c r="M953" i="1"/>
  <c r="M955" i="1"/>
  <c r="M956" i="1"/>
  <c r="M957" i="1"/>
  <c r="M958" i="1"/>
  <c r="M959" i="1"/>
  <c r="M960" i="1"/>
  <c r="M961" i="1"/>
  <c r="M962" i="1"/>
  <c r="M963" i="1"/>
  <c r="M973" i="1"/>
  <c r="M975" i="1"/>
  <c r="M976" i="1"/>
  <c r="M977" i="1"/>
  <c r="M978" i="1"/>
  <c r="M979" i="1"/>
  <c r="M980" i="1"/>
  <c r="M981" i="1"/>
  <c r="M982" i="1"/>
  <c r="M983" i="1"/>
  <c r="M984" i="1"/>
  <c r="M993" i="1"/>
  <c r="M995" i="1"/>
  <c r="M996" i="1"/>
  <c r="M997" i="1"/>
  <c r="M998" i="1"/>
  <c r="M999" i="1"/>
  <c r="M1000" i="1"/>
  <c r="M1001" i="1"/>
  <c r="M1002" i="1"/>
  <c r="M1003" i="1"/>
  <c r="M1013" i="1"/>
  <c r="M1015" i="1"/>
  <c r="M1016" i="1"/>
  <c r="M1017" i="1"/>
  <c r="M1018" i="1"/>
  <c r="M1019" i="1"/>
  <c r="M1020" i="1"/>
  <c r="M1021" i="1"/>
  <c r="M1022" i="1"/>
  <c r="M1023" i="1"/>
  <c r="M1033" i="1"/>
  <c r="M1035" i="1"/>
  <c r="M1036" i="1"/>
  <c r="M1037" i="1"/>
  <c r="M1038" i="1"/>
  <c r="M1039" i="1"/>
  <c r="M1040" i="1"/>
  <c r="M1041" i="1"/>
  <c r="M1042" i="1"/>
  <c r="M1043" i="1"/>
  <c r="M1053" i="1"/>
  <c r="M1055" i="1"/>
  <c r="M1056" i="1"/>
  <c r="M1057" i="1"/>
  <c r="M1058" i="1"/>
  <c r="M1059" i="1"/>
  <c r="M1060" i="1"/>
  <c r="M1061" i="1"/>
  <c r="M1062" i="1"/>
  <c r="M1063" i="1"/>
  <c r="M1073" i="1"/>
  <c r="M1075" i="1"/>
  <c r="M1076" i="1"/>
  <c r="M1077" i="1"/>
  <c r="M1078" i="1"/>
  <c r="M1079" i="1"/>
  <c r="M1080" i="1"/>
  <c r="M1081" i="1"/>
  <c r="M1082" i="1"/>
  <c r="M1083" i="1"/>
  <c r="M1084" i="1"/>
  <c r="M1093" i="1"/>
  <c r="M1095" i="1"/>
  <c r="M1096" i="1"/>
  <c r="M1097" i="1"/>
  <c r="M1098" i="1"/>
  <c r="M1099" i="1"/>
  <c r="M1100" i="1"/>
  <c r="M1101" i="1"/>
  <c r="M1102" i="1"/>
  <c r="M1103" i="1"/>
  <c r="M1113" i="1"/>
  <c r="M1115" i="1"/>
  <c r="M1116" i="1"/>
  <c r="M2" i="1"/>
</calcChain>
</file>

<file path=xl/sharedStrings.xml><?xml version="1.0" encoding="utf-8"?>
<sst xmlns="http://schemas.openxmlformats.org/spreadsheetml/2006/main" count="22881" uniqueCount="3134">
  <si>
    <t>pasta</t>
  </si>
  <si>
    <t>volume</t>
  </si>
  <si>
    <t>imagem</t>
  </si>
  <si>
    <t>purl-hiperligação</t>
  </si>
  <si>
    <t>imagens_texto</t>
  </si>
  <si>
    <t>imagens</t>
  </si>
  <si>
    <t>notas Regina</t>
  </si>
  <si>
    <t>url_página</t>
  </si>
  <si>
    <t>https://purl.pt/43428</t>
  </si>
  <si>
    <t>https://permalinkbnd.bnportugal.gov.pt/viewer/272369/?offset=#page=1&amp;viewer=picture&amp;o=info&amp;n=0&amp;q=</t>
  </si>
  <si>
    <t>https://purl.pt/43747</t>
  </si>
  <si>
    <t>10 [site], 11, 103 [site pelicano direita], 107, 142, 107, 142, 145, 185, 235, 270 [site assassinato de Inês], 273, 306, 309 [site ninfas], 342, 345, 374, 377, 410, 413, 447, 499, 526 [site apontamento]  [pintura de Camões por Columbano, portada, fac-símile do frontispício da 1.ª Ed. de Os Lusíadas, ilustrações da obra]</t>
  </si>
  <si>
    <t>10, 11, 103, 145, 235, 270, 273, 306, 309, 342, 345, 374, 377, 410, 413, 447, 499</t>
  </si>
  <si>
    <t>https://permalinkbnd.bnportugal.gov.pt/viewer/274089/?offset=#page=499&amp;viewer=picture&amp;o=info&amp;n=0&amp;q=</t>
  </si>
  <si>
    <t>https://purl.pt/43233</t>
  </si>
  <si>
    <t>5 [site], 10 [site], 11 [site], 43, 46 [Vasco da Gama], 47, 100, 101, 160, 161, 163, 235, 237, 289, 291 [site Adamastor], 293, 343 [site apontamento livros e pena], 345, 347, 397, 443, 445, 495 [site Mercúrio, caduceu e navegador], 545 [site máquina do mundo], 547, 625, 627, 644 [monge com livro] [portadas, retrato de Camões, fotogravuras em cada Canto]</t>
  </si>
  <si>
    <t>5, 10, 11, 43, 46 , 47, 101, 160, 161, 163, 235, 237, 291, 293, 343, 345, 347, 397, 443, 445, 495 , 545, 547, 627, 644</t>
  </si>
  <si>
    <t>https://permalinkbnd.bnportugal.gov.pt/viewer/271573/?offset=#page=644&amp;viewer=picture&amp;o=info&amp;n=0&amp;q=</t>
  </si>
  <si>
    <t>https://purl.pt/43745</t>
  </si>
  <si>
    <t>8 [site retrato de Camões]</t>
  </si>
  <si>
    <t>https://permalinkbnd.bnportugal.gov.pt/viewer/274087/?offset=#page=8&amp;viewer=picture&amp;o=info&amp;n=0&amp;q=</t>
  </si>
  <si>
    <t>https://purl.pt/43724</t>
  </si>
  <si>
    <t>https://permalinkbnd.bnportugal.gov.pt/viewer/281141/?offset=#page=11&amp;viewer=picture&amp;o=info&amp;n=0&amp;q=</t>
  </si>
  <si>
    <t>https://purl.pt/43659</t>
  </si>
  <si>
    <t>1 [Inês de Castro, Vasco da Gama, Catarina de Ataíde e retrato de Camões]</t>
  </si>
  <si>
    <t>https://permalinkbnd.bnportugal.gov.pt/viewer/273118/?offset=#page=1&amp;viewer=picture&amp;o=info&amp;n=0&amp;q=</t>
  </si>
  <si>
    <t>https://purl.pt/42920</t>
  </si>
  <si>
    <t>5 [1.º]</t>
  </si>
  <si>
    <t>https://permalinkbnd.bnportugal.gov.pt/viewer/270037/?offset=#page=5&amp;viewer=picture&amp;o=info&amp;n=0&amp;q=</t>
  </si>
  <si>
    <t>https://purl.pt/42835</t>
  </si>
  <si>
    <t>7 [site], 19, 23 [frisos site, esta obra contém mais apontamentos e frisos belíssimos]</t>
  </si>
  <si>
    <t>https://permalinkbnd.bnportugal.gov.pt/viewer/270109/?offset=#page=7&amp;viewer=picture&amp;o=info&amp;n=0&amp;q=</t>
  </si>
  <si>
    <t>https://permalinkbnd.bnportugal.gov.pt/viewer/270109/?offset=#page=19&amp;viewer=picture&amp;o=info&amp;n=0&amp;q=</t>
  </si>
  <si>
    <t>https://permalinkbnd.bnportugal.gov.pt/viewer/270109/?offset=#page=23&amp;viewer=picture&amp;o=info&amp;n=0&amp;q=</t>
  </si>
  <si>
    <t>https://purl.pt/43815</t>
  </si>
  <si>
    <t>11 [caravela com Vasco da Gama]</t>
  </si>
  <si>
    <t>https://permalinkbnd.bnportugal.gov.pt/viewer/273316/?offset=#page=11&amp;viewer=picture&amp;o=info&amp;n=0&amp;q=</t>
  </si>
  <si>
    <t>https://purl.pt/43227</t>
  </si>
  <si>
    <t>https://permalinkbnd.bnportugal.gov.pt/viewer/271559/?offset=#page=3&amp;viewer=picture&amp;o=info&amp;n=0&amp;q=</t>
  </si>
  <si>
    <t>https://purl.pt/43816</t>
  </si>
  <si>
    <t>6 [site, retrato do Poeta laureado]</t>
  </si>
  <si>
    <t>https://permalinkbnd.bnportugal.gov.pt/viewer/274171/?offset=#page=6&amp;viewer=picture&amp;o=info&amp;n=0&amp;q=</t>
  </si>
  <si>
    <t>https://purl.pt/43819</t>
  </si>
  <si>
    <t>14 [site, imagem da medalha/gravura comemorativa do monumento erigido à memória do Poeta]</t>
  </si>
  <si>
    <t>https://permalinkbnd.bnportugal.gov.pt/viewer/274229/?offset=#page=14&amp;viewer=picture&amp;o=info&amp;n=0&amp;q=</t>
  </si>
  <si>
    <t>https://purl.pt/43823</t>
  </si>
  <si>
    <t>7 [site], 13 [site, itinerário do cortejo triunfal], 15 [site préstito cívico e triunfal]</t>
  </si>
  <si>
    <t xml:space="preserve">7, 13, 15 </t>
  </si>
  <si>
    <t>https://permalinkbnd.bnportugal.gov.pt/viewer/274235/?offset=#page=7&amp;viewer=picture&amp;o=info&amp;n=0&amp;q=</t>
  </si>
  <si>
    <t>https://permalinkbnd.bnportugal.gov.pt/viewer/274235/?offset=#page=13&amp;viewer=picture&amp;o=info&amp;n=0&amp;q=</t>
  </si>
  <si>
    <t>https://permalinkbnd.bnportugal.gov.pt/viewer/274235/?offset=#page=15&amp;viewer=picture&amp;o=info&amp;n=0&amp;q=</t>
  </si>
  <si>
    <t>https://purl.pt/43818</t>
  </si>
  <si>
    <t>https://permalinkbnd.bnportugal.gov.pt/viewer/1880/?offset=#page=9&amp;viewer=picture&amp;o=info&amp;n=0&amp;q=</t>
  </si>
  <si>
    <t>https://purl.pt/43873</t>
  </si>
  <si>
    <t>10 [fotografia do autor], 11 [portada], 15</t>
  </si>
  <si>
    <t>https://permalinkbnd.bnportugal.gov.pt/viewer/273149/?offset=#page=15&amp;viewer=picture&amp;o=info&amp;n=0&amp;q=</t>
  </si>
  <si>
    <t>https://purl.pt/43866</t>
  </si>
  <si>
    <t>https://permalinkbnd.bnportugal.gov.pt/viewer/274256/?offset=#page=1&amp;viewer=picture&amp;o=info&amp;n=0&amp;q=</t>
  </si>
  <si>
    <t>https://purl.pt/43871</t>
  </si>
  <si>
    <t>https://permalinkbnd.bnportugal.gov.pt/viewer/273122/?offset=#page=1&amp;viewer=picture&amp;o=info&amp;n=0&amp;q=</t>
  </si>
  <si>
    <t>https://purl.pt/43661</t>
  </si>
  <si>
    <t>https://permalinkbnd.bnportugal.gov.pt/viewer/273124/?offset=#page=1&amp;viewer=picture&amp;o=info&amp;n=0&amp;q=</t>
  </si>
  <si>
    <t>https://purl.pt/6115</t>
  </si>
  <si>
    <t>https://permalinkbnd.bnportugal.gov.pt/viewer/36059/?offset=#page=1&amp;viewer=picture&amp;o=info&amp;n=0&amp;q=</t>
  </si>
  <si>
    <t>https://purl.pt/43874</t>
  </si>
  <si>
    <t>11, 13 [apontamento sobre o Centenário de Camões, site?]</t>
  </si>
  <si>
    <t>pag. assumida 11</t>
  </si>
  <si>
    <t>https://permalinkbnd.bnportugal.gov.pt/viewer/273150/?offset=#page=11&amp;viewer=picture&amp;o=info&amp;n=0&amp;q=</t>
  </si>
  <si>
    <t>https://purl.pt/43426</t>
  </si>
  <si>
    <t>6, 106 [retrato de Camões, padrão levantado por Vasco da Gama]</t>
  </si>
  <si>
    <t>https://permalinkbnd.bnportugal.gov.pt/viewer/272368/?offset=#page=6&amp;viewer=picture&amp;o=info&amp;n=0&amp;q=</t>
  </si>
  <si>
    <t>https://purl.pt/43741</t>
  </si>
  <si>
    <t>7, 388 [apontamento site]</t>
  </si>
  <si>
    <t>pag. assumida 7</t>
  </si>
  <si>
    <t>https://permalinkbnd.bnportugal.gov.pt/viewer/274090/?offset=#page=7&amp;viewer=picture&amp;o=info&amp;n=0&amp;q=</t>
  </si>
  <si>
    <t>https://purl.pt/43811</t>
  </si>
  <si>
    <t>14 [vinheta site]</t>
  </si>
  <si>
    <t>pag. assumida 14</t>
  </si>
  <si>
    <t>https://permalinkbnd.bnportugal.gov.pt/viewer/274172/?offset=#page=14&amp;viewer=picture&amp;o=info&amp;n=0&amp;q=</t>
  </si>
  <si>
    <t>https://purl.pt/43931</t>
  </si>
  <si>
    <t>11 [portada]</t>
  </si>
  <si>
    <t>https://permalinkbnd.bnportugal.gov.pt/viewer/273148/?offset=#page=11&amp;viewer=picture&amp;o=info&amp;n=0&amp;q=</t>
  </si>
  <si>
    <t>https://purl.pt/43825</t>
  </si>
  <si>
    <t>pag. assumida 9</t>
  </si>
  <si>
    <t>https://permalinkbnd.bnportugal.gov.pt/viewer/274230/?offset=#page=9&amp;viewer=picture&amp;o=info&amp;n=0&amp;q=</t>
  </si>
  <si>
    <t>https://purl.pt/43875</t>
  </si>
  <si>
    <t>9 [retrato de Camões]</t>
  </si>
  <si>
    <t>https://permalinkbnd.bnportugal.gov.pt/viewer/1576/?offset=#page=9&amp;viewer=picture&amp;o=info&amp;n=0&amp;q=</t>
  </si>
  <si>
    <t>https://purl.pt/43662</t>
  </si>
  <si>
    <t>1, 3 [site] [portada, retrato Camões]</t>
  </si>
  <si>
    <t>https://permalinkbnd.bnportugal.gov.pt/viewer/273125/?offset=#page=3&amp;viewer=picture&amp;o=info&amp;n=0&amp;q=</t>
  </si>
  <si>
    <t>https://purl.pt/43862</t>
  </si>
  <si>
    <t>https://permalinkbnd.bnportugal.gov.pt/viewer/3/?offset=#page=1&amp;viewer=picture&amp;o=info&amp;n=0&amp;q=</t>
  </si>
  <si>
    <t>https://purl.pt/43865</t>
  </si>
  <si>
    <t>https://permalinkbnd.bnportugal.gov.pt/viewer/274260/?offset=#page=1&amp;viewer=picture&amp;o=info&amp;n=0&amp;q=</t>
  </si>
  <si>
    <t>https://purl.pt/43891</t>
  </si>
  <si>
    <t>16 [site], 22</t>
  </si>
  <si>
    <t>16, 22</t>
  </si>
  <si>
    <t>https://permalinkbnd.bnportugal.gov.pt/viewer/274280/?offset=#page=16&amp;viewer=picture&amp;o=info&amp;n=0&amp;q=</t>
  </si>
  <si>
    <t>https://permalinkbnd.bnportugal.gov.pt/viewer/274280/?offset=#page=22&amp;viewer=picture&amp;o=info&amp;n=0&amp;q=</t>
  </si>
  <si>
    <t>https://purl.pt/43923</t>
  </si>
  <si>
    <t>https://permalinkbnd.bnportugal.gov.pt/viewer/273560/?offset=#page=9&amp;viewer=picture&amp;o=info&amp;n=0&amp;q=</t>
  </si>
  <si>
    <t>https://purl.pt/43827</t>
  </si>
  <si>
    <t>https://permalinkbnd.bnportugal.gov.pt/viewer/273347/?offset=#page=7&amp;viewer=picture&amp;o=info&amp;n=0&amp;q=</t>
  </si>
  <si>
    <t>https://purl.pt/43914</t>
  </si>
  <si>
    <t>3, 21, 69</t>
  </si>
  <si>
    <t>21, 69</t>
  </si>
  <si>
    <t>https://permalinkbnd.bnportugal.gov.pt/viewer/274348/?offset=#page=21&amp;viewer=picture&amp;o=info&amp;n=0&amp;q=</t>
  </si>
  <si>
    <t>https://permalinkbnd.bnportugal.gov.pt/viewer/274348/?offset=#page=69&amp;viewer=picture&amp;o=info&amp;n=0&amp;q=</t>
  </si>
  <si>
    <t>https://purl.pt/43911</t>
  </si>
  <si>
    <t>6 [site]</t>
  </si>
  <si>
    <t>https://permalinkbnd.bnportugal.gov.pt/viewer/274346/?offset=#page=6&amp;viewer=picture&amp;o=info&amp;n=0&amp;q=</t>
  </si>
  <si>
    <t>https://purl.pt/43786</t>
  </si>
  <si>
    <t>pag. assumida 1</t>
  </si>
  <si>
    <t>https://permalinkbnd.bnportugal.gov.pt/viewer/273798/?offset=#page=1&amp;viewer=picture&amp;o=info&amp;n=0&amp;q=</t>
  </si>
  <si>
    <t>https://purl.pt/43588</t>
  </si>
  <si>
    <t>https://permalinkbnd.bnportugal.gov.pt/viewer/272882/?offset=#page=1&amp;viewer=picture&amp;o=info&amp;n=0&amp;q=</t>
  </si>
  <si>
    <t>https://purl.pt/43429</t>
  </si>
  <si>
    <t>https://permalinkbnd.bnportugal.gov.pt/viewer/1880/?offset=#page=11&amp;viewer=picture&amp;o=info&amp;n=0&amp;q=</t>
  </si>
  <si>
    <t>https://purl.pt/11841</t>
  </si>
  <si>
    <t>1 site</t>
  </si>
  <si>
    <t>https://permalinkbnd.bnportugal.gov.pt/viewer/35644/?offset=#page=1&amp;viewer=picture&amp;o=info&amp;n=0&amp;q=</t>
  </si>
  <si>
    <t>https://purl.pt/43792</t>
  </si>
  <si>
    <t>https://purl.pt/43793</t>
  </si>
  <si>
    <t>https://permalinkbnd.bnportugal.gov.pt/viewer/273923/?offset=#page=3&amp;viewer=picture&amp;o=info&amp;n=0&amp;q=</t>
  </si>
  <si>
    <t>https://purl.pt/42934</t>
  </si>
  <si>
    <t>8, 62 [1.º: retrato de Camões e visita do Rei de Melinde a V. da Gama] 8 [2.º: Vasco da Gama em Calecute]</t>
  </si>
  <si>
    <t>8, 62, 8</t>
  </si>
  <si>
    <t>https://permalinkbnd.bnportugal.gov.pt/viewer/270331/?offset=#page=8&amp;viewer=picture&amp;o=info&amp;n=0&amp;q=</t>
  </si>
  <si>
    <t>https://permalinkbnd.bnportugal.gov.pt/viewer/270331/?offset=#page=62&amp;viewer=picture&amp;o=info&amp;n=0&amp;q=</t>
  </si>
  <si>
    <t>https://purl.pt/42943</t>
  </si>
  <si>
    <t>10, 13 [1.º: retrato de Camões, portada, 426 apontamento caravela; 3.º: 154, apontamento site]</t>
  </si>
  <si>
    <t>https://permalinkbnd.bnportugal.gov.pt/viewer/270345/?offset=#page=10&amp;viewer=picture&amp;o=info&amp;n=0&amp;q=</t>
  </si>
  <si>
    <t>https://purl.pt/43921</t>
  </si>
  <si>
    <t>10, 11 [7, 15 e 37 apontamentos site]</t>
  </si>
  <si>
    <t>imagem pouco vísivel</t>
  </si>
  <si>
    <t>https://permalinkbnd.bnportugal.gov.pt/viewer/273525/?offset=#page=10&amp;viewer=picture&amp;o=info&amp;n=0&amp;q=</t>
  </si>
  <si>
    <t>https://purl.pt/42928</t>
  </si>
  <si>
    <t>5, 11 [1.º: imagem, portada], 5 [2.º retrato de Camões], 12 [3.º: partida de V. da Gama para a Índia], 12 [4.º: O espírito do Cabo surge à frota de V. da Gama], 11 [7.º: portada], 12 [8.º: Ilha dos Amores]</t>
  </si>
  <si>
    <t>11, 5, 12, 12, 11, 12</t>
  </si>
  <si>
    <t>https://permalinkbnd.bnportugal.gov.pt/viewer/270116/?offset=#page=11&amp;viewer=picture&amp;o=info&amp;n=0&amp;q=</t>
  </si>
  <si>
    <t>https://permalinkbnd.bnportugal.gov.pt/viewer/270116/?offset=#page=5&amp;viewer=picture&amp;o=info&amp;n=0&amp;q=</t>
  </si>
  <si>
    <t>sem imagem</t>
  </si>
  <si>
    <t>https://permalinkbnd.bnportugal.gov.pt/viewer/270116/?offset=#page=12&amp;viewer=picture&amp;o=info&amp;n=0&amp;q=</t>
  </si>
  <si>
    <t>https://purl.pt/43836</t>
  </si>
  <si>
    <t>pag. assumida 3</t>
  </si>
  <si>
    <t>https://permalinkbnd.bnportugal.gov.pt/viewer/274117/?offset=#page=3&amp;viewer=picture&amp;o=info&amp;n=0&amp;q=</t>
  </si>
  <si>
    <t>https://purl.pt/43854</t>
  </si>
  <si>
    <t>pag. assumida 5</t>
  </si>
  <si>
    <t>https://permalinkbnd.bnportugal.gov.pt/viewer/274153/?offset=#page=5&amp;viewer=picture&amp;o=info&amp;n=0&amp;q=</t>
  </si>
  <si>
    <t>https://purl.pt/43413</t>
  </si>
  <si>
    <t>https://permalinkbnd.bnportugal.gov.pt/viewer/272371/?offset=#page=13&amp;viewer=picture&amp;o=info&amp;n=0&amp;q=</t>
  </si>
  <si>
    <t>https://purl.pt/43856</t>
  </si>
  <si>
    <t>https://permalinkbnd.bnportugal.gov.pt/viewer/273182/?offset=#page=7&amp;viewer=picture&amp;o=info&amp;n=0&amp;q=</t>
  </si>
  <si>
    <t>https://purl.pt/43768</t>
  </si>
  <si>
    <t>https://permalinkbnd.bnportugal.gov.pt/viewer/273318/?offset=#page=1&amp;viewer=picture&amp;o=info&amp;n=0&amp;q=</t>
  </si>
  <si>
    <t>https://purl.pt/43675</t>
  </si>
  <si>
    <t>https://permalinkbnd.bnportugal.gov.pt/viewer/273319/?offset=#page=1&amp;viewer=picture&amp;o=info&amp;n=0&amp;q=</t>
  </si>
  <si>
    <t>https://purl.pt/43755</t>
  </si>
  <si>
    <t>1, 7 [site]</t>
  </si>
  <si>
    <t>https://permalinkbnd.bnportugal.gov.pt/viewer/273102/?offset=#page=5&amp;viewer=picture&amp;o=info&amp;n=0&amp;q=</t>
  </si>
  <si>
    <t>https://purl.pt/42929</t>
  </si>
  <si>
    <t>1 [2.º Vol.]</t>
  </si>
  <si>
    <t>https://permalinkbnd.bnportugal.gov.pt/viewer/270341/?offset=#page=1&amp;viewer=picture&amp;o=info&amp;n=0&amp;q=</t>
  </si>
  <si>
    <t>https://purl.pt/42930</t>
  </si>
  <si>
    <t>https://permalinkbnd.bnportugal.gov.pt/viewer/270336/?offset=#page=1&amp;viewer=picture&amp;o=info&amp;n=0&amp;q=</t>
  </si>
  <si>
    <t>https://purl.pt/43673</t>
  </si>
  <si>
    <t>https://permalinkbnd.bnportugal.gov.pt/viewer/273314/?offset=#page=1&amp;viewer=picture&amp;o=info&amp;n=0&amp;q=</t>
  </si>
  <si>
    <t>https://purl.pt/43384</t>
  </si>
  <si>
    <t>1 [retrato do Poeta, antes da folha de rosto]</t>
  </si>
  <si>
    <t>pag. assumida 10</t>
  </si>
  <si>
    <t>https://permalinkbnd.bnportugal.gov.pt/viewer/281908/?offset=#page=10&amp;viewer=picture&amp;o=info&amp;n=0&amp;q=</t>
  </si>
  <si>
    <t>https://purl.pt/1066</t>
  </si>
  <si>
    <t>https://permalinkbnd.bnportugal.gov.pt/viewer/36540/?offset=#page=1&amp;viewer=picture&amp;o=info&amp;n=0&amp;q=</t>
  </si>
  <si>
    <t>https://purl.pt/27537</t>
  </si>
  <si>
    <t>1 site carta da geografia de Os Lusíadas</t>
  </si>
  <si>
    <t>https://permalinkbnd.bnportugal.gov.pt/viewer/14040/?offset=#page=1&amp;viewer=picture&amp;o=info&amp;n=0&amp;q=</t>
  </si>
  <si>
    <t>https://purl.pt/43563</t>
  </si>
  <si>
    <t>https://permalinkbnd.bnportugal.gov.pt/viewer/272734/?offset=#page=1&amp;viewer=picture&amp;o=info&amp;n=0&amp;q=</t>
  </si>
  <si>
    <t>https://purl.pt/1127</t>
  </si>
  <si>
    <t>https://permalinkbnd.bnportugal.gov.pt/viewer/36741/?offset=#page=1&amp;viewer=picture&amp;o=info&amp;n=0&amp;q=</t>
  </si>
  <si>
    <t>https://purl.pt/12554</t>
  </si>
  <si>
    <t>https://permalinkbnd.bnportugal.gov.pt/viewer/37180/?offset=#page=1&amp;viewer=picture&amp;o=info&amp;n=0&amp;q=</t>
  </si>
  <si>
    <t>https://purl.pt/12562</t>
  </si>
  <si>
    <t>https://permalinkbnd.bnportugal.gov.pt/viewer/37208/?offset=#page=1&amp;viewer=picture&amp;o=info&amp;n=0&amp;q=</t>
  </si>
  <si>
    <t>https://purl.pt/5762</t>
  </si>
  <si>
    <t>https://permalinkbnd.bnportugal.gov.pt/viewer/35147/?offset=#page=1&amp;viewer=picture&amp;o=info&amp;n=0&amp;q=</t>
  </si>
  <si>
    <t>https://purl.pt/5763</t>
  </si>
  <si>
    <t>https://permalinkbnd.bnportugal.gov.pt/viewer/1880/?offset=#page=1&amp;viewer=picture&amp;o=info&amp;n=0&amp;q=</t>
  </si>
  <si>
    <t>https://purl.pt/5756</t>
  </si>
  <si>
    <t>https://permalinkbnd.bnportugal.gov.pt/viewer/35133/?offset=#page=1&amp;viewer=picture&amp;o=info&amp;n=0&amp;q=</t>
  </si>
  <si>
    <t>https://purl.pt/5757</t>
  </si>
  <si>
    <t>https://permalinkbnd.bnportugal.gov.pt/viewer/35127/?offset=#page=1&amp;viewer=picture&amp;o=info&amp;n=0&amp;q=</t>
  </si>
  <si>
    <t>https://purl.pt/5761</t>
  </si>
  <si>
    <t>https://permalinkbnd.bnportugal.gov.pt/viewer/35137/?offset=#page=1&amp;viewer=picture&amp;o=info&amp;n=0&amp;q=</t>
  </si>
  <si>
    <t>https://purl.pt/4762</t>
  </si>
  <si>
    <t>https://permalinkbnd.bnportugal.gov.pt/viewer/37203/?offset=#page=1&amp;viewer=picture&amp;o=info&amp;n=0&amp;q=</t>
  </si>
  <si>
    <t>https://purl.pt/4760</t>
  </si>
  <si>
    <t>https://permalinkbnd.bnportugal.gov.pt/viewer/37132/?offset=#page=1&amp;viewer=picture&amp;o=info&amp;n=0&amp;q=</t>
  </si>
  <si>
    <t>https://purl.pt/5904</t>
  </si>
  <si>
    <t>https://permalinkbnd.bnportugal.gov.pt/viewer/34623/?offset=#page=1&amp;viewer=picture&amp;o=info&amp;n=0&amp;q=</t>
  </si>
  <si>
    <t>https://purl.pt/6773</t>
  </si>
  <si>
    <t>https://permalinkbnd.bnportugal.gov.pt/viewer/37092/?offset=#page=1&amp;viewer=picture&amp;o=info&amp;n=0&amp;q=</t>
  </si>
  <si>
    <t>https://purl.pt/6771</t>
  </si>
  <si>
    <t>https://permalinkbnd.bnportugal.gov.pt/viewer/37325/?offset=#page=1&amp;viewer=picture&amp;o=info&amp;n=0&amp;q=</t>
  </si>
  <si>
    <t>https://purl.pt/1227</t>
  </si>
  <si>
    <t>https://permalinkbnd.bnportugal.gov.pt/viewer/33427/?offset=#page=1&amp;viewer=picture&amp;o=info&amp;n=0&amp;q=</t>
  </si>
  <si>
    <t>https://purl.pt/6901</t>
  </si>
  <si>
    <t>https://permalinkbnd.bnportugal.gov.pt/viewer/36374/?offset=#page=1&amp;viewer=picture&amp;o=info&amp;n=0&amp;q=</t>
  </si>
  <si>
    <t>https://purl.pt/6844</t>
  </si>
  <si>
    <t>https://permalinkbnd.bnportugal.gov.pt/viewer/36554/?offset=#page=1&amp;viewer=picture&amp;o=info&amp;n=0&amp;q=</t>
  </si>
  <si>
    <t>https://purl.pt/12937</t>
  </si>
  <si>
    <t>https://permalinkbnd.bnportugal.gov.pt/viewer/37663/?offset=#page=1&amp;viewer=picture&amp;o=info&amp;n=0&amp;q=</t>
  </si>
  <si>
    <t>https://purl.pt/12929</t>
  </si>
  <si>
    <t>https://permalinkbnd.bnportugal.gov.pt/viewer/37195/?offset=#page=1&amp;viewer=picture&amp;o=info&amp;n=0&amp;q=</t>
  </si>
  <si>
    <t>https://purl.pt/12938</t>
  </si>
  <si>
    <t>https://permalinkbnd.bnportugal.gov.pt/viewer/37674/?offset=#page=1&amp;viewer=picture&amp;o=info&amp;n=0&amp;q=</t>
  </si>
  <si>
    <t>https://purl.pt/43810</t>
  </si>
  <si>
    <t>10, 18 [retratos de Camões e de Vasco da Gama]</t>
  </si>
  <si>
    <t xml:space="preserve">10, 18 </t>
  </si>
  <si>
    <t>https://permalinkbnd.bnportugal.gov.pt/viewer/274166/?offset=#page=10&amp;viewer=picture&amp;o=info&amp;n=0&amp;q=</t>
  </si>
  <si>
    <t>https://permalinkbnd.bnportugal.gov.pt/viewer/274166/?offset=#page=18&amp;viewer=picture&amp;o=info&amp;n=0&amp;q=</t>
  </si>
  <si>
    <t>https://purl.pt/42608</t>
  </si>
  <si>
    <t>7 [portada e 46 apontamento final Canto I]</t>
  </si>
  <si>
    <t>https://permalinkbnd.bnportugal.gov.pt/viewer/270042/?offset=#page=7&amp;viewer=picture&amp;o=info&amp;n=0&amp;q=</t>
  </si>
  <si>
    <t>https://purl.pt/43749</t>
  </si>
  <si>
    <t>https://permalinkbnd.bnportugal.gov.pt/viewer/273943/?offset=#page=4&amp;viewer=picture&amp;o=info&amp;n=0&amp;q=</t>
  </si>
  <si>
    <t>https://purl.pt/43772</t>
  </si>
  <si>
    <t>https://permalinkbnd.bnportugal.gov.pt/viewer/273427/?offset=#page=3&amp;viewer=picture&amp;o=info&amp;n=0&amp;q=</t>
  </si>
  <si>
    <t>https://purl.pt/43415</t>
  </si>
  <si>
    <t>6, 286, 322</t>
  </si>
  <si>
    <t>https://permalinkbnd.bnportugal.gov.pt/viewer/272372/?offset=#page=6&amp;viewer=picture&amp;o=info&amp;n=0&amp;q=</t>
  </si>
  <si>
    <t>https://purl.pt/43424</t>
  </si>
  <si>
    <t>21, 24, 25, 28, 29 [site], 32, 33, 36, 37, 40, 41</t>
  </si>
  <si>
    <t>21, 24, 25, 28, 29, 32, 33, 36, 37, 40, 41</t>
  </si>
  <si>
    <t>https://permalinkbnd.bnportugal.gov.pt/viewer/272381/?offset=#page=21&amp;viewer=picture&amp;o=info&amp;n=0&amp;q=</t>
  </si>
  <si>
    <t>https://permalinkbnd.bnportugal.gov.pt/viewer/272381/?offset=#page=24&amp;viewer=picture&amp;o=info&amp;n=0&amp;q=</t>
  </si>
  <si>
    <t>https://permalinkbnd.bnportugal.gov.pt/viewer/272381/?offset=#page=25&amp;viewer=picture&amp;o=info&amp;n=0&amp;q=</t>
  </si>
  <si>
    <t>https://permalinkbnd.bnportugal.gov.pt/viewer/272381/?offset=#page=28&amp;viewer=picture&amp;o=info&amp;n=0&amp;q=</t>
  </si>
  <si>
    <t>https://permalinkbnd.bnportugal.gov.pt/viewer/272381/?offset=#page=29&amp;viewer=picture&amp;o=info&amp;n=0&amp;q=</t>
  </si>
  <si>
    <t>https://permalinkbnd.bnportugal.gov.pt/viewer/272381/?offset=#page=32&amp;viewer=picture&amp;o=info&amp;n=0&amp;q=</t>
  </si>
  <si>
    <t>https://permalinkbnd.bnportugal.gov.pt/viewer/272381/?offset=#page=33&amp;viewer=picture&amp;o=info&amp;n=0&amp;q=</t>
  </si>
  <si>
    <t>https://permalinkbnd.bnportugal.gov.pt/viewer/272381/?offset=#page=36&amp;viewer=picture&amp;o=info&amp;n=0&amp;q=</t>
  </si>
  <si>
    <t>https://permalinkbnd.bnportugal.gov.pt/viewer/272381/?offset=#page=37&amp;viewer=picture&amp;o=info&amp;n=0&amp;q=</t>
  </si>
  <si>
    <t>https://permalinkbnd.bnportugal.gov.pt/viewer/272381/?offset=#page=40&amp;viewer=picture&amp;o=info&amp;n=0&amp;q=</t>
  </si>
  <si>
    <t>https://permalinkbnd.bnportugal.gov.pt/viewer/272381/?offset=#page=41&amp;viewer=picture&amp;o=info&amp;n=0&amp;q=</t>
  </si>
  <si>
    <t>https://purl.pt/43416</t>
  </si>
  <si>
    <t>https://permalinkbnd.bnportugal.gov.pt/viewer/280474/?offset=#page=10&amp;viewer=picture&amp;o=info&amp;n=0&amp;q=</t>
  </si>
  <si>
    <t>https://purl.pt/43407</t>
  </si>
  <si>
    <t>8, 9 [retrato do Poeta, portada]</t>
  </si>
  <si>
    <t>https://permalinkbnd.bnportugal.gov.pt/viewer/272359/?offset=#page=8&amp;viewer=picture&amp;o=info&amp;n=0&amp;q=</t>
  </si>
  <si>
    <t>https://purl.pt/43414</t>
  </si>
  <si>
    <t>6, 50, 100, 138, 166, 216 [site] [Adeus de Heitor e Andrómaca; Rinaldo e Armida; Medoro e Angélica; Adão e Eva; Rainha de Cartago; Vénus]</t>
  </si>
  <si>
    <t>https://permalinkbnd.bnportugal.gov.pt/viewer/272367/?offset=#page=216&amp;viewer=picture&amp;o=info&amp;n=0&amp;q=</t>
  </si>
  <si>
    <t>https://purl.pt/43421</t>
  </si>
  <si>
    <t>10 [site]</t>
  </si>
  <si>
    <t>https://permalinkbnd.bnportugal.gov.pt/viewer/272379/?offset=#page=10&amp;viewer=picture&amp;o=info&amp;n=0&amp;q=</t>
  </si>
  <si>
    <t>https://purl.pt/42612</t>
  </si>
  <si>
    <t>8, 11 [retrato do Poeta, portada]</t>
  </si>
  <si>
    <t>https://permalinkbnd.bnportugal.gov.pt/viewer/272383/?offset=#page=8&amp;viewer=picture&amp;o=info&amp;n=0&amp;q=</t>
  </si>
  <si>
    <t>https://purl.pt/43430</t>
  </si>
  <si>
    <t>5 [portada]</t>
  </si>
  <si>
    <t>https://permalinkbnd.bnportugal.gov.pt/viewer/272376/?offset=#page=5&amp;viewer=picture&amp;o=info&amp;n=0&amp;q=</t>
  </si>
  <si>
    <t>https://purl.pt/43423</t>
  </si>
  <si>
    <t>2 [brasão livraria]</t>
  </si>
  <si>
    <t>pag. assumida 2</t>
  </si>
  <si>
    <t>https://permalinkbnd.bnportugal.gov.pt/viewer/272380/?offset=#page=2&amp;viewer=picture&amp;o=info&amp;n=0&amp;q=</t>
  </si>
  <si>
    <t>https://purl.pt/43139</t>
  </si>
  <si>
    <t>https://permalinkbnd.bnportugal.gov.pt/viewer/272389/?offset=#page=5&amp;viewer=picture&amp;o=info&amp;n=0&amp;q=</t>
  </si>
  <si>
    <t>https://purl.pt/43379</t>
  </si>
  <si>
    <t>5 [12 apontamento site]</t>
  </si>
  <si>
    <t>https://permalinkbnd.bnportugal.gov.pt/viewer/272392/?offset=#page=5&amp;viewer=picture&amp;o=info&amp;n=0&amp;q=</t>
  </si>
  <si>
    <t>https://purl.pt/42945</t>
  </si>
  <si>
    <t> 7 [portada; 11 apontamento site]</t>
  </si>
  <si>
    <t>https://permalinkbnd.bnportugal.gov.pt/viewer/270350/?offset=#page=7&amp;viewer=picture&amp;o=info&amp;n=0&amp;q=</t>
  </si>
  <si>
    <t>https://purl.pt/43887</t>
  </si>
  <si>
    <t>13 [portada]</t>
  </si>
  <si>
    <t>pag. assumida 13</t>
  </si>
  <si>
    <t>https://permalinkbnd.bnportugal.gov.pt/viewer/274038/?offset=#page=13&amp;viewer=picture&amp;o=info&amp;n=0&amp;q=</t>
  </si>
  <si>
    <t>https://purl.pt/43383</t>
  </si>
  <si>
    <t>https://permalinkbnd.bnportugal.gov.pt/viewer/272399/?offset=#page=3&amp;viewer=picture&amp;o=info&amp;n=0&amp;q=</t>
  </si>
  <si>
    <t>https://purl.pt/43740</t>
  </si>
  <si>
    <t>8 [site]</t>
  </si>
  <si>
    <t>https://permalinkbnd.bnportugal.gov.pt/viewer/274084/?offset=#page=8&amp;viewer=picture&amp;o=info&amp;n=0&amp;q=</t>
  </si>
  <si>
    <t>https://purl.pt/43403</t>
  </si>
  <si>
    <t>8 [site], 42 [retratos de Camões e de V. da Gama]</t>
  </si>
  <si>
    <t xml:space="preserve">8, 42 </t>
  </si>
  <si>
    <t>https://permalinkbnd.bnportugal.gov.pt/viewer/272355/?offset=#page=8&amp;viewer=picture&amp;o=info&amp;n=0&amp;q=</t>
  </si>
  <si>
    <t>https://permalinkbnd.bnportugal.gov.pt/viewer/272355/?offset=#page=42&amp;viewer=picture&amp;o=info&amp;n=0&amp;q=</t>
  </si>
  <si>
    <t>https://purl.pt/42825</t>
  </si>
  <si>
    <t>10 [1.º Vol.: retrato de Camões, site], 10, 43, 174, 388 [6.º Vol.: retrato de Vasco da Gama, ilustração da obra, espécie de medalhas de Paulo da Gama, Vasco da Gama, Nicolau Coelho e Pedro  Álvares Cabral]</t>
  </si>
  <si>
    <t xml:space="preserve">10, 10, 43, 174, 388 </t>
  </si>
  <si>
    <t>https://permalinkbnd.bnportugal.gov.pt/viewer/270138/?offset=#page=10&amp;viewer=picture&amp;o=info&amp;n=0&amp;q=</t>
  </si>
  <si>
    <t>repetido do anterior</t>
  </si>
  <si>
    <t>https://permalinkbnd.bnportugal.gov.pt/viewer/270138/?offset=#page=43&amp;viewer=picture&amp;o=info&amp;n=0&amp;q=</t>
  </si>
  <si>
    <t>https://permalinkbnd.bnportugal.gov.pt/viewer/270138/?offset=#page=174&amp;viewer=picture&amp;o=info&amp;n=0&amp;q=</t>
  </si>
  <si>
    <t>https://permalinkbnd.bnportugal.gov.pt/viewer/270138/?offset=#page=388&amp;viewer=picture&amp;o=info&amp;n=0&amp;q=</t>
  </si>
  <si>
    <t>https://purl.pt/42615</t>
  </si>
  <si>
    <t>má imagem</t>
  </si>
  <si>
    <t>https://permalinkbnd.bnportugal.gov.pt/viewer/270047/?offset=#page=7&amp;viewer=picture&amp;o=info&amp;n=0&amp;q=</t>
  </si>
  <si>
    <t>https://purl.pt/43817</t>
  </si>
  <si>
    <t>8 [retrato do tradutor]</t>
  </si>
  <si>
    <t>pag. assumida 8</t>
  </si>
  <si>
    <t>https://permalinkbnd.bnportugal.gov.pt/viewer/274169/?offset=#page=8&amp;viewer=picture&amp;o=info&amp;n=0&amp;q=</t>
  </si>
  <si>
    <t>https://purl.pt/42617</t>
  </si>
  <si>
    <t>10, 54 [1.º Vol.: retrato do tradutor; mapa Índia Vasco da Gama]</t>
  </si>
  <si>
    <t>https://permalinkbnd.bnportugal.gov.pt/viewer/270089/?offset=#page=54&amp;viewer=picture&amp;o=info&amp;n=0&amp;q=</t>
  </si>
  <si>
    <t>1 vs. 9</t>
  </si>
  <si>
    <t>https://purl.pt/43868</t>
  </si>
  <si>
    <t>9 [portada]</t>
  </si>
  <si>
    <t>https://permalinkbnd.bnportugal.gov.pt/viewer/281023/?offset=#page=1 vs. 9&amp;viewer=picture&amp;o=info&amp;n=0&amp;q=</t>
  </si>
  <si>
    <t>https://purl.pt/43870</t>
  </si>
  <si>
    <t>17, 26, 29 [1.ª Ed. do Poema, pelicano esquerda, apontamentos site ?]</t>
  </si>
  <si>
    <t>imagem torta</t>
  </si>
  <si>
    <t>https://permalinkbnd.bnportugal.gov.pt/viewer/274252/?offset=#page=17&amp;viewer=picture&amp;o=info&amp;n=0&amp;q=</t>
  </si>
  <si>
    <t>https://permalinkbnd.bnportugal.gov.pt/viewer/274252/?offset=#page=26&amp;viewer=picture&amp;o=info&amp;n=0&amp;q=</t>
  </si>
  <si>
    <t>https://permalinkbnd.bnportugal.gov.pt/viewer/274252/?offset=#page=29&amp;viewer=picture&amp;o=info&amp;n=0&amp;q=</t>
  </si>
  <si>
    <t>https://purl.pt/43932</t>
  </si>
  <si>
    <t>7 [portada]</t>
  </si>
  <si>
    <t>https://permalinkbnd.bnportugal.gov.pt/viewer/273233/?offset=#page=7&amp;viewer=picture&amp;o=info&amp;n=0&amp;q=</t>
  </si>
  <si>
    <t>https://purl.pt/42915</t>
  </si>
  <si>
    <t>12 [retrato do tradutor]</t>
  </si>
  <si>
    <t>https://permalinkbnd.bnportugal.gov.pt/viewer/270086/?offset=#page=12&amp;viewer=picture&amp;o=info&amp;n=0&amp;q=</t>
  </si>
  <si>
    <t>https://purl.pt/42822</t>
  </si>
  <si>
    <t>7, 17, 79, 89, 97, 104, 105 [1.º: portada, apontamentos site]</t>
  </si>
  <si>
    <t>https://permalinkbnd.bnportugal.gov.pt/viewer/270087/?offset=#page=7&amp;viewer=picture&amp;o=info&amp;n=0&amp;q=</t>
  </si>
  <si>
    <t>https://permalinkbnd.bnportugal.gov.pt/viewer/270087/?offset=#page=17&amp;viewer=picture&amp;o=info&amp;n=0&amp;q=</t>
  </si>
  <si>
    <t>https://permalinkbnd.bnportugal.gov.pt/viewer/270087/?offset=#page=79&amp;viewer=picture&amp;o=info&amp;n=0&amp;q=</t>
  </si>
  <si>
    <t>https://permalinkbnd.bnportugal.gov.pt/viewer/270087/?offset=#page=89&amp;viewer=picture&amp;o=info&amp;n=0&amp;q=</t>
  </si>
  <si>
    <t>https://permalinkbnd.bnportugal.gov.pt/viewer/270087/?offset=#page=97&amp;viewer=picture&amp;o=info&amp;n=0&amp;q=</t>
  </si>
  <si>
    <t>https://permalinkbnd.bnportugal.gov.pt/viewer/270087/?offset=#page=104&amp;viewer=picture&amp;o=info&amp;n=0&amp;q=</t>
  </si>
  <si>
    <t>https://permalinkbnd.bnportugal.gov.pt/viewer/270087/?offset=#page=105&amp;viewer=picture&amp;o=info&amp;n=0&amp;q=</t>
  </si>
  <si>
    <t>https://purl.pt/43857</t>
  </si>
  <si>
    <t>10 [retrato do Poeta]</t>
  </si>
  <si>
    <t>https://permalinkbnd.bnportugal.gov.pt/viewer/273350/?offset=#page=10&amp;viewer=picture&amp;o=info&amp;n=0&amp;q=</t>
  </si>
  <si>
    <t>5, 11 [Vasco da Gama]</t>
  </si>
  <si>
    <t>https://purl.pt/43756</t>
  </si>
  <si>
    <t>1, 5</t>
  </si>
  <si>
    <t>https://permalinkbnd.bnportugal.gov.pt/viewer/273346/?offset=#page=1&amp;viewer=picture&amp;o=info&amp;n=0&amp;q=</t>
  </si>
  <si>
    <t>1, 6</t>
  </si>
  <si>
    <t>https://permalinkbnd.bnportugal.gov.pt/viewer/273346/?offset=#page=5&amp;viewer=picture&amp;o=info&amp;n=0&amp;q=</t>
  </si>
  <si>
    <t>https://purl.pt/43913</t>
  </si>
  <si>
    <t>https://permalinkbnd.bnportugal.gov.pt/viewer/274342/?offset=#page=7&amp;viewer=picture&amp;o=info&amp;n=0&amp;q=</t>
  </si>
  <si>
    <t>https://purl.pt/43757</t>
  </si>
  <si>
    <t>https://permalinkbnd.bnportugal.gov.pt/viewer/273439/?offset=#page=3&amp;viewer=picture&amp;o=info&amp;n=0&amp;q=</t>
  </si>
  <si>
    <t>https://purl.pt/43922</t>
  </si>
  <si>
    <t>5 [apontamento site]</t>
  </si>
  <si>
    <t>https://permalinkbnd.bnportugal.gov.pt/viewer/273527/?offset=#page=5&amp;viewer=picture&amp;o=info&amp;n=0&amp;q=</t>
  </si>
  <si>
    <t>https://purl.pt/43927</t>
  </si>
  <si>
    <t>https://permalinkbnd.bnportugal.gov.pt/viewer/273731/?offset=#page=11&amp;viewer=picture&amp;o=info&amp;n=0&amp;q=</t>
  </si>
  <si>
    <t>https://purl.pt/43752</t>
  </si>
  <si>
    <t>3 [portada]</t>
  </si>
  <si>
    <t>https://permalinkbnd.bnportugal.gov.pt/viewer/272628/?offset=#page=3&amp;viewer=picture&amp;o=info&amp;n=0&amp;q=</t>
  </si>
  <si>
    <t>https://purl.pt/42601</t>
  </si>
  <si>
    <t>https://permalinkbnd.bnportugal.gov.pt/viewer/281130/?offset=#page=1&amp;viewer=picture&amp;o=info&amp;n=0&amp;q=</t>
  </si>
  <si>
    <t>https://purl.pt/43876</t>
  </si>
  <si>
    <t>1 ou 3 [portada]</t>
  </si>
  <si>
    <t>https://permalinkbnd.bnportugal.gov.pt/viewer/273183/?offset=#page=&amp;viewer=picture&amp;o=info&amp;n=0&amp;q=</t>
  </si>
  <si>
    <t>https://purl.pt/43557</t>
  </si>
  <si>
    <t>https://permalinkbnd.bnportugal.gov.pt/viewer/272728/?offset=#page=1&amp;viewer=picture&amp;o=info&amp;n=0&amp;q=</t>
  </si>
  <si>
    <t>https://purl.pt/43561</t>
  </si>
  <si>
    <t>https://permalinkbnd.bnportugal.gov.pt/viewer/272733/?offset=#page=1&amp;viewer=picture&amp;o=info&amp;n=0&amp;q=</t>
  </si>
  <si>
    <t>https://purl.pt/12259</t>
  </si>
  <si>
    <t>https://permalinkbnd.bnportugal.gov.pt/viewer/33718/?offset=#page=1&amp;viewer=picture&amp;o=info&amp;n=0&amp;q=</t>
  </si>
  <si>
    <t>https://purl.pt/12253</t>
  </si>
  <si>
    <t>https://permalinkbnd.bnportugal.gov.pt/viewer/33721/?offset=#page=1&amp;viewer=picture&amp;o=info&amp;n=0&amp;q=</t>
  </si>
  <si>
    <t>https://purl.pt/27596</t>
  </si>
  <si>
    <t>https://permalinkbnd.bnportugal.gov.pt/viewer/36775/?offset=#page=1&amp;viewer=picture&amp;o=info&amp;n=0&amp;q=</t>
  </si>
  <si>
    <t>https://purl.pt/43841</t>
  </si>
  <si>
    <t>https://permalinkbnd.bnportugal.gov.pt/viewer/274123/?offset=#page=3&amp;viewer=picture&amp;o=info&amp;n=0&amp;q=</t>
  </si>
  <si>
    <t>https://purl.pt/43556</t>
  </si>
  <si>
    <t>https://permalinkbnd.bnportugal.gov.pt/viewer/272738/?offset=#page=1&amp;viewer=picture&amp;o=info&amp;n=0&amp;q=</t>
  </si>
  <si>
    <t>https://purl.pt/43744</t>
  </si>
  <si>
    <t>cf. separadores, Imagens 126 e 217site.</t>
  </si>
  <si>
    <t>https://permalinkbnd.bnportugal.gov.pt/viewer/274092/?offset=#page=126&amp;viewer=picture&amp;o=info&amp;n=0&amp;q=</t>
  </si>
  <si>
    <t>https://permalinkbnd.bnportugal.gov.pt/viewer/274092/?offset=#page=217&amp;viewer=picture&amp;o=info&amp;n=0&amp;q=</t>
  </si>
  <si>
    <t>https://purl.pt/43436</t>
  </si>
  <si>
    <t>https://permalinkbnd.bnportugal.gov.pt/viewer/272390/?offset=#page=9&amp;viewer=picture&amp;o=info&amp;n=0&amp;q=</t>
  </si>
  <si>
    <t>https://purl.pt/42613</t>
  </si>
  <si>
    <t>1, 13, 35</t>
  </si>
  <si>
    <t>https://permalinkbnd.bnportugal.gov.pt/viewer/280467/?offset=#page=1&amp;viewer=picture&amp;o=info&amp;n=0&amp;q=</t>
  </si>
  <si>
    <t>https://permalinkbnd.bnportugal.gov.pt/viewer/280467/?offset=#page=13&amp;viewer=picture&amp;o=info&amp;n=0&amp;q=</t>
  </si>
  <si>
    <t>https://permalinkbnd.bnportugal.gov.pt/viewer/280467/?offset=#page=35&amp;viewer=picture&amp;o=info&amp;n=0&amp;q=</t>
  </si>
  <si>
    <t>https://purl.pt/6233</t>
  </si>
  <si>
    <t>https://permalinkbnd.bnportugal.gov.pt/viewer/36160/?offset=#page=1&amp;viewer=picture&amp;o=info&amp;n=0&amp;q=</t>
  </si>
  <si>
    <t>https://purl.pt/43574</t>
  </si>
  <si>
    <t>https://permalinkbnd.bnportugal.gov.pt/viewer/272788/?offset=#page=1&amp;viewer=picture&amp;o=info&amp;n=0&amp;q=</t>
  </si>
  <si>
    <t>https://purl.pt/31492</t>
  </si>
  <si>
    <t>https://permalinkbnd.bnportugal.gov.pt/viewer/88185/?offset=#page=1&amp;viewer=picture&amp;o=info&amp;n=0&amp;q=</t>
  </si>
  <si>
    <t>https://purl.pt/43578</t>
  </si>
  <si>
    <t>https://permalinkbnd.bnportugal.gov.pt/viewer/272785/?offset=#page=1&amp;viewer=picture&amp;o=info&amp;n=0&amp;q=</t>
  </si>
  <si>
    <t>https://purl.pt/13721</t>
  </si>
  <si>
    <t>https://permalinkbnd.bnportugal.gov.pt/viewer/38463/?offset=#page=1&amp;viewer=picture&amp;o=info&amp;n=0&amp;q=</t>
  </si>
  <si>
    <t>https://purl.pt/13722</t>
  </si>
  <si>
    <t>https://permalinkbnd.bnportugal.gov.pt/viewer/38591/?offset=#page=1&amp;viewer=picture&amp;o=info&amp;n=0&amp;q=</t>
  </si>
  <si>
    <t>https://purl.pt/13740</t>
  </si>
  <si>
    <t>https://permalinkbnd.bnportugal.gov.pt/viewer/1843/?offset=#page=1&amp;viewer=picture&amp;o=info&amp;n=0&amp;q=</t>
  </si>
  <si>
    <t>https://purl.pt/13738</t>
  </si>
  <si>
    <t>https://permalinkbnd.bnportugal.gov.pt/viewer/37955/?offset=#page=1&amp;viewer=picture&amp;o=info&amp;n=0&amp;q=</t>
  </si>
  <si>
    <t>https://purl.pt/13739</t>
  </si>
  <si>
    <t>https://permalinkbnd.bnportugal.gov.pt/viewer/38270/?offset=#page=1&amp;viewer=picture&amp;o=info&amp;n=0&amp;q=</t>
  </si>
  <si>
    <t>https://purl.pt/15135</t>
  </si>
  <si>
    <t>https://permalinkbnd.bnportugal.gov.pt/viewer/39315/?offset=#page=1&amp;viewer=picture&amp;o=info&amp;n=0&amp;q=</t>
  </si>
  <si>
    <t>https://purl.pt/43564</t>
  </si>
  <si>
    <t>https://permalinkbnd.bnportugal.gov.pt/viewer/272735/?offset=#page=1&amp;viewer=picture&amp;o=info&amp;n=0&amp;q=</t>
  </si>
  <si>
    <t>https://purl.pt/43566</t>
  </si>
  <si>
    <t>https://permalinkbnd.bnportugal.gov.pt/viewer/272737/?offset=#page=1&amp;viewer=picture&amp;o=info&amp;n=0&amp;q=</t>
  </si>
  <si>
    <t>https://purl.pt/43555</t>
  </si>
  <si>
    <t>https://permalinkbnd.bnportugal.gov.pt/viewer/272727/?offset=#page=1&amp;viewer=picture&amp;o=info&amp;n=0&amp;q=</t>
  </si>
  <si>
    <t>https://purl.pt/43565</t>
  </si>
  <si>
    <t>https://permalinkbnd.bnportugal.gov.pt/viewer/272736/?offset=#page=1&amp;viewer=picture&amp;o=info&amp;n=0&amp;q=</t>
  </si>
  <si>
    <t>https://purl.pt/32817</t>
  </si>
  <si>
    <t>1 [capa], 3 [retrato Camões e soneto]</t>
  </si>
  <si>
    <t xml:space="preserve">1, 3 </t>
  </si>
  <si>
    <t>https://permalinkbnd.bnportugal.gov.pt/viewer/16732/?offset=#page=1&amp;viewer=picture&amp;o=info&amp;n=0&amp;q=</t>
  </si>
  <si>
    <t>https://permalinkbnd.bnportugal.gov.pt/viewer/16732/?offset=#page=3&amp;viewer=picture&amp;o=info&amp;n=0&amp;q=</t>
  </si>
  <si>
    <t>https://purl.pt/42660</t>
  </si>
  <si>
    <t>https://permalinkbnd.bnportugal.gov.pt/viewer/268841/?offset=#page=1&amp;viewer=picture&amp;o=info&amp;n=0&amp;q=</t>
  </si>
  <si>
    <t>https://purl.pt/25720</t>
  </si>
  <si>
    <t>https://permalinkbnd.bnportugal.gov.pt/viewer/33216/?offset=#page=1&amp;viewer=picture&amp;o=info&amp;n=0&amp;q=</t>
  </si>
  <si>
    <t>https://purl.pt/43560</t>
  </si>
  <si>
    <t>https://permalinkbnd.bnportugal.gov.pt/viewer/272731/?offset=#page=1&amp;viewer=picture&amp;o=info&amp;n=0&amp;q=</t>
  </si>
  <si>
    <t>https://purl.pt/43562</t>
  </si>
  <si>
    <t>https://permalinkbnd.bnportugal.gov.pt/viewer/272732/?offset=#page=1&amp;viewer=picture&amp;o=info&amp;n=0&amp;q=</t>
  </si>
  <si>
    <t>https://purl.pt/43558</t>
  </si>
  <si>
    <t>https://permalinkbnd.bnportugal.gov.pt/viewer/272729/?offset=#page=1&amp;viewer=picture&amp;o=info&amp;n=0&amp;q=</t>
  </si>
  <si>
    <t>https://purl.pt/42921</t>
  </si>
  <si>
    <t>1, 8 [site], 10, 12 [site], 52, 53 [site, portada da Ed. princeps], 86, 87 [site, imagem de Camões], 88, 166, 167 [site, deuses], 168, 241 [site, morte de Inês], 329 [site, sonho de D. Manuel], 330, 389 [site, Adamastor], 390, 449, 450 [site, intercessão de Vénus], 505, 506, 559, 560, 615 [site, Vénus], 616 [site, ninfas], 670 [site, ninfas a coroar os navegantes], 671, 672, 792, 793, 794, 795 [site Camões e Jau], 796, 797, 798, 799, 800, 804.</t>
  </si>
  <si>
    <t>1, 8, 10, 12, 52, 53, 86, 87, 88, 166, 167, 168, 241, 329, 330, 389, 390, 449, 450, 505, 506, 559, 560, 615, 616, 670, 671, 672, 792, 793, 794, 795, 796, 797, 798, 799, 800, 804</t>
  </si>
  <si>
    <t>https://permalinkbnd.bnportugal.gov.pt/viewer/272786/?offset=#page=1&amp;viewer=picture&amp;o=info&amp;n=0&amp;q=</t>
  </si>
  <si>
    <t>https://permalinkbnd.bnportugal.gov.pt/viewer/272786/?offset=#page=8&amp;viewer=picture&amp;o=info&amp;n=0&amp;q=</t>
  </si>
  <si>
    <t>https://permalinkbnd.bnportugal.gov.pt/viewer/272786/?offset=#page=10&amp;viewer=picture&amp;o=info&amp;n=0&amp;q=</t>
  </si>
  <si>
    <t>https://permalinkbnd.bnportugal.gov.pt/viewer/272786/?offset=#page=12&amp;viewer=picture&amp;o=info&amp;n=0&amp;q=</t>
  </si>
  <si>
    <t>https://permalinkbnd.bnportugal.gov.pt/viewer/272786/?offset=#page=52&amp;viewer=picture&amp;o=info&amp;n=0&amp;q=</t>
  </si>
  <si>
    <t>https://permalinkbnd.bnportugal.gov.pt/viewer/272786/?offset=#page=53&amp;viewer=picture&amp;o=info&amp;n=0&amp;q=</t>
  </si>
  <si>
    <t>https://permalinkbnd.bnportugal.gov.pt/viewer/272786/?offset=#page=86&amp;viewer=picture&amp;o=info&amp;n=0&amp;q=</t>
  </si>
  <si>
    <t>https://permalinkbnd.bnportugal.gov.pt/viewer/272786/?offset=#page=87&amp;viewer=picture&amp;o=info&amp;n=0&amp;q=</t>
  </si>
  <si>
    <t>https://permalinkbnd.bnportugal.gov.pt/viewer/272786/?offset=#page=88&amp;viewer=picture&amp;o=info&amp;n=0&amp;q=</t>
  </si>
  <si>
    <t>https://permalinkbnd.bnportugal.gov.pt/viewer/272786/?offset=#page=166&amp;viewer=picture&amp;o=info&amp;n=0&amp;q=</t>
  </si>
  <si>
    <t>https://permalinkbnd.bnportugal.gov.pt/viewer/272786/?offset=#page=167&amp;viewer=picture&amp;o=info&amp;n=0&amp;q=</t>
  </si>
  <si>
    <t>https://permalinkbnd.bnportugal.gov.pt/viewer/272786/?offset=#page=168&amp;viewer=picture&amp;o=info&amp;n=0&amp;q=</t>
  </si>
  <si>
    <t>https://permalinkbnd.bnportugal.gov.pt/viewer/272786/?offset=#page=241&amp;viewer=picture&amp;o=info&amp;n=0&amp;q=</t>
  </si>
  <si>
    <t>https://permalinkbnd.bnportugal.gov.pt/viewer/272786/?offset=#page=329&amp;viewer=picture&amp;o=info&amp;n=0&amp;q=</t>
  </si>
  <si>
    <t>https://permalinkbnd.bnportugal.gov.pt/viewer/272786/?offset=#page=330&amp;viewer=picture&amp;o=info&amp;n=0&amp;q=</t>
  </si>
  <si>
    <t>https://permalinkbnd.bnportugal.gov.pt/viewer/272786/?offset=#page=389&amp;viewer=picture&amp;o=info&amp;n=0&amp;q=</t>
  </si>
  <si>
    <t>https://permalinkbnd.bnportugal.gov.pt/viewer/272786/?offset=#page=390&amp;viewer=picture&amp;o=info&amp;n=0&amp;q=</t>
  </si>
  <si>
    <t>https://permalinkbnd.bnportugal.gov.pt/viewer/272786/?offset=#page=449&amp;viewer=picture&amp;o=info&amp;n=0&amp;q=</t>
  </si>
  <si>
    <t>https://permalinkbnd.bnportugal.gov.pt/viewer/272786/?offset=#page=450&amp;viewer=picture&amp;o=info&amp;n=0&amp;q=</t>
  </si>
  <si>
    <t>https://permalinkbnd.bnportugal.gov.pt/viewer/272786/?offset=#page=505&amp;viewer=picture&amp;o=info&amp;n=0&amp;q=</t>
  </si>
  <si>
    <t>https://permalinkbnd.bnportugal.gov.pt/viewer/272786/?offset=#page=506&amp;viewer=picture&amp;o=info&amp;n=0&amp;q=</t>
  </si>
  <si>
    <t>https://permalinkbnd.bnportugal.gov.pt/viewer/272786/?offset=#page=559&amp;viewer=picture&amp;o=info&amp;n=0&amp;q=</t>
  </si>
  <si>
    <t>https://permalinkbnd.bnportugal.gov.pt/viewer/272786/?offset=#page=560&amp;viewer=picture&amp;o=info&amp;n=0&amp;q=</t>
  </si>
  <si>
    <t>https://permalinkbnd.bnportugal.gov.pt/viewer/272786/?offset=#page=615&amp;viewer=picture&amp;o=info&amp;n=0&amp;q=</t>
  </si>
  <si>
    <t>https://permalinkbnd.bnportugal.gov.pt/viewer/272786/?offset=#page=616&amp;viewer=picture&amp;o=info&amp;n=0&amp;q=</t>
  </si>
  <si>
    <t>https://permalinkbnd.bnportugal.gov.pt/viewer/272786/?offset=#page=670&amp;viewer=picture&amp;o=info&amp;n=0&amp;q=</t>
  </si>
  <si>
    <t>https://permalinkbnd.bnportugal.gov.pt/viewer/272786/?offset=#page=671&amp;viewer=picture&amp;o=info&amp;n=0&amp;q=</t>
  </si>
  <si>
    <t>https://permalinkbnd.bnportugal.gov.pt/viewer/272786/?offset=#page=672&amp;viewer=picture&amp;o=info&amp;n=0&amp;q=</t>
  </si>
  <si>
    <t>https://permalinkbnd.bnportugal.gov.pt/viewer/272786/?offset=#page=792&amp;viewer=picture&amp;o=info&amp;n=0&amp;q=</t>
  </si>
  <si>
    <t>https://permalinkbnd.bnportugal.gov.pt/viewer/272786/?offset=#page=793&amp;viewer=picture&amp;o=info&amp;n=0&amp;q=</t>
  </si>
  <si>
    <t>https://permalinkbnd.bnportugal.gov.pt/viewer/272786/?offset=#page=794&amp;viewer=picture&amp;o=info&amp;n=0&amp;q=</t>
  </si>
  <si>
    <t>https://permalinkbnd.bnportugal.gov.pt/viewer/272786/?offset=#page=795&amp;viewer=picture&amp;o=info&amp;n=0&amp;q=</t>
  </si>
  <si>
    <t>https://permalinkbnd.bnportugal.gov.pt/viewer/272786/?offset=#page=796&amp;viewer=picture&amp;o=info&amp;n=0&amp;q=</t>
  </si>
  <si>
    <t>https://permalinkbnd.bnportugal.gov.pt/viewer/272786/?offset=#page=797&amp;viewer=picture&amp;o=info&amp;n=0&amp;q=</t>
  </si>
  <si>
    <t>https://permalinkbnd.bnportugal.gov.pt/viewer/272786/?offset=#page=798&amp;viewer=picture&amp;o=info&amp;n=0&amp;q=</t>
  </si>
  <si>
    <t>https://permalinkbnd.bnportugal.gov.pt/viewer/272786/?offset=#page=799&amp;viewer=picture&amp;o=info&amp;n=0&amp;q=</t>
  </si>
  <si>
    <t>https://permalinkbnd.bnportugal.gov.pt/viewer/272786/?offset=#page=800&amp;viewer=picture&amp;o=info&amp;n=0&amp;q=</t>
  </si>
  <si>
    <t>https://permalinkbnd.bnportugal.gov.pt/viewer/272786/?offset=#page=804&amp;viewer=picture&amp;o=info&amp;n=0&amp;q=</t>
  </si>
  <si>
    <t>https://purl.pt/43559</t>
  </si>
  <si>
    <t>https://permalinkbnd.bnportugal.gov.pt/viewer/272730/?offset=#page=1&amp;viewer=picture&amp;o=info&amp;n=0&amp;q=</t>
  </si>
  <si>
    <t>https://purl.pt/38119</t>
  </si>
  <si>
    <t>https://permalinkbnd.bnportugal.gov.pt/viewer/67153/?offset=#page=3&amp;viewer=picture&amp;o=info&amp;n=0&amp;q=</t>
  </si>
  <si>
    <t>https://purl.pt/43576</t>
  </si>
  <si>
    <t>https://permalinkbnd.bnportugal.gov.pt/viewer/272792/?offset=#page=1&amp;viewer=picture&amp;o=info&amp;n=0&amp;q=</t>
  </si>
  <si>
    <t>https://purl.pt/43584</t>
  </si>
  <si>
    <t>https://permalinkbnd.bnportugal.gov.pt/viewer/272811/?offset=#page=1&amp;viewer=picture&amp;o=info&amp;n=0&amp;q=</t>
  </si>
  <si>
    <t>https://purl.pt/43585</t>
  </si>
  <si>
    <t>https://permalinkbnd.bnportugal.gov.pt/viewer/272812/?offset=#page=1&amp;viewer=picture&amp;o=info&amp;n=0&amp;q=</t>
  </si>
  <si>
    <t>https://purl.pt/43591</t>
  </si>
  <si>
    <t xml:space="preserve">7, 9 [desenho de figuras geométricas] </t>
  </si>
  <si>
    <t>7, 9</t>
  </si>
  <si>
    <t>https://permalinkbnd.bnportugal.gov.pt/viewer/281142/?offset=#page=7&amp;viewer=picture&amp;o=info&amp;n=0&amp;q=</t>
  </si>
  <si>
    <t>https://permalinkbnd.bnportugal.gov.pt/viewer/281142/?offset=#page=9&amp;viewer=picture&amp;o=info&amp;n=0&amp;q=</t>
  </si>
  <si>
    <t>https://purl.pt/44278</t>
  </si>
  <si>
    <t>https://permalinkbnd.bnportugal.gov.pt/viewer/276786/?offset=#page=1&amp;viewer=picture&amp;o=info&amp;n=0&amp;q=</t>
  </si>
  <si>
    <t>https://purl.pt/43997</t>
  </si>
  <si>
    <t>https://permalinkbnd.bnportugal.gov.pt/viewer/274457/?offset=#page=1&amp;viewer=picture&amp;o=info&amp;n=0&amp;q=</t>
  </si>
  <si>
    <t>https://purl.pt/43998</t>
  </si>
  <si>
    <t>https://permalinkbnd.bnportugal.gov.pt/viewer/274458/?offset=#page=7&amp;viewer=picture&amp;o=info&amp;n=0&amp;q=</t>
  </si>
  <si>
    <t>https://purl.pt/43999</t>
  </si>
  <si>
    <t>https://permalinkbnd.bnportugal.gov.pt/viewer/274459/?offset=#page=3&amp;viewer=picture&amp;o=info&amp;n=0&amp;q=</t>
  </si>
  <si>
    <t>https://purl.pt/43980</t>
  </si>
  <si>
    <t>https://permalinkbnd.bnportugal.gov.pt/viewer/274957/?offset=#page=5&amp;viewer=picture&amp;o=info&amp;n=0&amp;q=</t>
  </si>
  <si>
    <t>https://purl.pt/44000</t>
  </si>
  <si>
    <t>[11, portada, 17 [site], 37, 68, 69 [site] frisos, 71 [site], 73 [site], 75, 85 e 102 e 122 [exemplos frisos e apontamentos site, que atravessam todas as pp. desta edição maravilhosa] 103, 105, 135 [site], 137, 175, 17, 205 [site], 207, 233, 235, 261, 263, 287, 289, 315 [site], 317, 343, 345, 392 [apontamento grotesco], 394 desenhos e iluminuras para cada Canto]</t>
  </si>
  <si>
    <t>69, 71, 73, 102, 122, 103, 135, 175, 205, 233, 261, 287, 315, 343</t>
  </si>
  <si>
    <t>https://permalinkbnd.bnportugal.gov.pt/viewer/272626/?offset=#page=69&amp;viewer=picture&amp;o=info&amp;n=0&amp;q=</t>
  </si>
  <si>
    <t>https://permalinkbnd.bnportugal.gov.pt/viewer/272626/?offset=#page=71&amp;viewer=picture&amp;o=info&amp;n=0&amp;q=</t>
  </si>
  <si>
    <t>https://permalinkbnd.bnportugal.gov.pt/viewer/272626/?offset=#page=73&amp;viewer=picture&amp;o=info&amp;n=0&amp;q=</t>
  </si>
  <si>
    <t>https://permalinkbnd.bnportugal.gov.pt/viewer/272626/?offset=#page=102&amp;viewer=picture&amp;o=info&amp;n=0&amp;q=</t>
  </si>
  <si>
    <t>https://permalinkbnd.bnportugal.gov.pt/viewer/272626/?offset=#page=122&amp;viewer=picture&amp;o=info&amp;n=0&amp;q=</t>
  </si>
  <si>
    <t>volume 2 inexistente, opção pelo volume 1</t>
  </si>
  <si>
    <t>https://permalinkbnd.bnportugal.gov.pt/viewer/272626/?offset=#page=103&amp;viewer=picture&amp;o=info&amp;n=0&amp;q=</t>
  </si>
  <si>
    <t>https://permalinkbnd.bnportugal.gov.pt/viewer/272626/?offset=#page=135&amp;viewer=picture&amp;o=info&amp;n=0&amp;q=</t>
  </si>
  <si>
    <t>https://permalinkbnd.bnportugal.gov.pt/viewer/272626/?offset=#page=175&amp;viewer=picture&amp;o=info&amp;n=0&amp;q=</t>
  </si>
  <si>
    <t>https://permalinkbnd.bnportugal.gov.pt/viewer/272626/?offset=#page=205&amp;viewer=picture&amp;o=info&amp;n=0&amp;q=</t>
  </si>
  <si>
    <t>https://permalinkbnd.bnportugal.gov.pt/viewer/272626/?offset=#page=233&amp;viewer=picture&amp;o=info&amp;n=0&amp;q=</t>
  </si>
  <si>
    <t>https://permalinkbnd.bnportugal.gov.pt/viewer/272626/?offset=#page=261&amp;viewer=picture&amp;o=info&amp;n=0&amp;q=</t>
  </si>
  <si>
    <t>https://permalinkbnd.bnportugal.gov.pt/viewer/272626/?offset=#page=287&amp;viewer=picture&amp;o=info&amp;n=0&amp;q=</t>
  </si>
  <si>
    <t>https://permalinkbnd.bnportugal.gov.pt/viewer/272626/?offset=#page=315&amp;viewer=picture&amp;o=info&amp;n=0&amp;q=</t>
  </si>
  <si>
    <t>https://permalinkbnd.bnportugal.gov.pt/viewer/272626/?offset=#page=343&amp;viewer=picture&amp;o=info&amp;n=0&amp;q=</t>
  </si>
  <si>
    <t>https://purl.pt/44973</t>
  </si>
  <si>
    <t>23, 63, 105, 157, 197, 268, 309, 375</t>
  </si>
  <si>
    <t>https://permalinkbnd.bnportugal.gov.pt/viewer/279168/?offset=#page=23&amp;viewer=picture&amp;o=info&amp;n=0&amp;q=</t>
  </si>
  <si>
    <t>https://permalinkbnd.bnportugal.gov.pt/viewer/279168/?offset=#page=63&amp;viewer=picture&amp;o=info&amp;n=0&amp;q=</t>
  </si>
  <si>
    <t>https://permalinkbnd.bnportugal.gov.pt/viewer/279168/?offset=#page=105&amp;viewer=picture&amp;o=info&amp;n=0&amp;q=</t>
  </si>
  <si>
    <t>https://permalinkbnd.bnportugal.gov.pt/viewer/279168/?offset=#page=157&amp;viewer=picture&amp;o=info&amp;n=0&amp;q=</t>
  </si>
  <si>
    <t>https://permalinkbnd.bnportugal.gov.pt/viewer/279168/?offset=#page=197&amp;viewer=picture&amp;o=info&amp;n=0&amp;q=</t>
  </si>
  <si>
    <t>https://permalinkbnd.bnportugal.gov.pt/viewer/279168/?offset=#page=268&amp;viewer=picture&amp;o=info&amp;n=0&amp;q=</t>
  </si>
  <si>
    <t>https://permalinkbnd.bnportugal.gov.pt/viewer/279168/?offset=#page=309&amp;viewer=picture&amp;o=info&amp;n=0&amp;q=</t>
  </si>
  <si>
    <t>https://permalinkbnd.bnportugal.gov.pt/viewer/279168/?offset=#page=375&amp;viewer=picture&amp;o=info&amp;n=0&amp;q=</t>
  </si>
  <si>
    <t>https://purl.pt/44001</t>
  </si>
  <si>
    <t>10, 11, 49, 268, 302 [apontamentos site]</t>
  </si>
  <si>
    <t>10, 11</t>
  </si>
  <si>
    <t>https://permalinkbnd.bnportugal.gov.pt/viewer/273511/?offset=#page=10&amp;viewer=picture&amp;o=info&amp;n=0&amp;q=</t>
  </si>
  <si>
    <t>https://permalinkbnd.bnportugal.gov.pt/viewer/273511/?offset=#page=11&amp;viewer=picture&amp;o=info&amp;n=0&amp;q=</t>
  </si>
  <si>
    <t>https://purl.pt/43971</t>
  </si>
  <si>
    <t>https://permalinkbnd.bnportugal.gov.pt/viewer/274951/?offset=#page=5&amp;viewer=picture&amp;o=info&amp;n=0&amp;q=</t>
  </si>
  <si>
    <t>https://purl.pt/44002</t>
  </si>
  <si>
    <t>96, 97, 100, 101 [portadas das primeiras edições de Os Lusíadas]</t>
  </si>
  <si>
    <t>https://permalinkbnd.bnportugal.gov.pt/viewer/273524/?offset=#page=96&amp;viewer=picture&amp;o=info&amp;n=0&amp;q=</t>
  </si>
  <si>
    <t>https://permalinkbnd.bnportugal.gov.pt/viewer/273524/?offset=#page=97&amp;viewer=picture&amp;o=info&amp;n=0&amp;q=</t>
  </si>
  <si>
    <t>https://permalinkbnd.bnportugal.gov.pt/viewer/273524/?offset=#page=100&amp;viewer=picture&amp;o=info&amp;n=0&amp;q=</t>
  </si>
  <si>
    <t>https://permalinkbnd.bnportugal.gov.pt/viewer/273524/?offset=#page=101&amp;viewer=picture&amp;o=info&amp;n=0&amp;q=</t>
  </si>
  <si>
    <t>https://purl.pt/44062</t>
  </si>
  <si>
    <t>8, 9  [caravela com Adamastor, portada]</t>
  </si>
  <si>
    <t>https://permalinkbnd.bnportugal.gov.pt/viewer/275168/?offset=#page=8&amp;viewer=picture&amp;o=info&amp;n=0&amp;q=</t>
  </si>
  <si>
    <t>https://purl.pt/44065</t>
  </si>
  <si>
    <t>https://permalinkbnd.bnportugal.gov.pt/viewer/275163/?offset=#page=7&amp;viewer=picture&amp;o=info&amp;n=0&amp;q=</t>
  </si>
  <si>
    <t>https://purl.pt/44063</t>
  </si>
  <si>
    <t>7 [apontamento Tricentenário]</t>
  </si>
  <si>
    <t>https://permalinkbnd.bnportugal.gov.pt/viewer/275167/?offset=#page=7&amp;viewer=picture&amp;o=info&amp;n=0&amp;q=</t>
  </si>
  <si>
    <t>https://purl.pt/44344</t>
  </si>
  <si>
    <t>281 [figuras históricas: Henrique de Portugual] 33, 38, 46, 54, 58, 66, 76, 79, 84 [portadas edição do Poema, Rimas e Comédia], 100, 121, 125, 129, 137, 151, 157, 159 site, 226, 294, 325, 468, 500 [estampas e retratos, gravuras do Poeta], 255 [ensaio sobre ep. Inês de Castro, portada], 159 [imagem Camões], 151 [ilustrações], 72, 91, 192-193 [cópia manuscrita de um excerto do Canto I]</t>
  </si>
  <si>
    <t>100, 121, 125, 129, 137, 151, 157, 159, 192, 193, 226, 281, 294, 325, 468, 500</t>
  </si>
  <si>
    <t>https://permalinkbnd.bnportugal.gov.pt/viewer/280465/?offset=#page=100&amp;viewer=picture&amp;o=info&amp;n=0&amp;q=</t>
  </si>
  <si>
    <t>https://permalinkbnd.bnportugal.gov.pt/viewer/280465/?offset=#page=121&amp;viewer=picture&amp;o=info&amp;n=0&amp;q=</t>
  </si>
  <si>
    <t>https://permalinkbnd.bnportugal.gov.pt/viewer/280465/?offset=#page=125&amp;viewer=picture&amp;o=info&amp;n=0&amp;q=</t>
  </si>
  <si>
    <t>https://permalinkbnd.bnportugal.gov.pt/viewer/280465/?offset=#page=129&amp;viewer=picture&amp;o=info&amp;n=0&amp;q=</t>
  </si>
  <si>
    <t>https://permalinkbnd.bnportugal.gov.pt/viewer/280465/?offset=#page=137&amp;viewer=picture&amp;o=info&amp;n=0&amp;q=</t>
  </si>
  <si>
    <t>https://permalinkbnd.bnportugal.gov.pt/viewer/280465/?offset=#page=151&amp;viewer=picture&amp;o=info&amp;n=0&amp;q=</t>
  </si>
  <si>
    <t>https://permalinkbnd.bnportugal.gov.pt/viewer/280465/?offset=#page=157&amp;viewer=picture&amp;o=info&amp;n=0&amp;q=</t>
  </si>
  <si>
    <t>https://permalinkbnd.bnportugal.gov.pt/viewer/280465/?offset=#page=159&amp;viewer=picture&amp;o=info&amp;n=0&amp;q=</t>
  </si>
  <si>
    <t>https://permalinkbnd.bnportugal.gov.pt/viewer/280465/?offset=#page=192&amp;viewer=picture&amp;o=info&amp;n=0&amp;q=</t>
  </si>
  <si>
    <t>https://permalinkbnd.bnportugal.gov.pt/viewer/280465/?offset=#page=193&amp;viewer=picture&amp;o=info&amp;n=0&amp;q=</t>
  </si>
  <si>
    <t>https://permalinkbnd.bnportugal.gov.pt/viewer/280465/?offset=#page=226&amp;viewer=picture&amp;o=info&amp;n=0&amp;q=</t>
  </si>
  <si>
    <t>https://permalinkbnd.bnportugal.gov.pt/viewer/280465/?offset=#page=281&amp;viewer=picture&amp;o=info&amp;n=0&amp;q=</t>
  </si>
  <si>
    <t>https://permalinkbnd.bnportugal.gov.pt/viewer/280465/?offset=#page=294&amp;viewer=picture&amp;o=info&amp;n=0&amp;q=</t>
  </si>
  <si>
    <t>https://permalinkbnd.bnportugal.gov.pt/viewer/280465/?offset=#page=325&amp;viewer=picture&amp;o=info&amp;n=0&amp;q=</t>
  </si>
  <si>
    <t>https://permalinkbnd.bnportugal.gov.pt/viewer/280465/?offset=#page=468&amp;viewer=picture&amp;o=info&amp;n=0&amp;q=</t>
  </si>
  <si>
    <t>https://permalinkbnd.bnportugal.gov.pt/viewer/280465/?offset=#page=500&amp;viewer=picture&amp;o=info&amp;n=0&amp;q=</t>
  </si>
  <si>
    <t>https://purl.pt/44061</t>
  </si>
  <si>
    <t>https://permalinkbnd.bnportugal.gov.pt/viewer/275169/?offset=#page=5&amp;viewer=picture&amp;o=info&amp;n=0&amp;q=</t>
  </si>
  <si>
    <t>https://purl.pt/44064</t>
  </si>
  <si>
    <t>https://permalinkbnd.bnportugal.gov.pt/viewer/275164/?offset=#page=5&amp;viewer=picture&amp;o=info&amp;n=0&amp;q=</t>
  </si>
  <si>
    <t>https://purl.pt/44095</t>
  </si>
  <si>
    <t>4  [imagem do monumento a Camões pelo estatuário Victor Bastos]</t>
  </si>
  <si>
    <t>https://permalinkbnd.bnportugal.gov.pt/viewer/275364/?offset=#page=4&amp;viewer=picture&amp;o=info&amp;n=0&amp;q=</t>
  </si>
  <si>
    <t>https://purl.pt/45009</t>
  </si>
  <si>
    <t>https://permalinkbnd.bnportugal.gov.pt/viewer/279243/?offset=#page=6&amp;viewer=picture&amp;o=info&amp;n=0&amp;q=</t>
  </si>
  <si>
    <t>https://purl.pt/44993</t>
  </si>
  <si>
    <t>6 [imagem de Inês de Castro]</t>
  </si>
  <si>
    <t>https://permalinkbnd.bnportugal.gov.pt/viewer/279232/?offset=#page=6&amp;viewer=picture&amp;o=info&amp;n=0&amp;q=</t>
  </si>
  <si>
    <t>https://purl.pt/44155</t>
  </si>
  <si>
    <t>1 [portada]</t>
  </si>
  <si>
    <t>https://permalinkbnd.bnportugal.gov.pt/viewer/276120/?offset=#page=1&amp;viewer=picture&amp;o=info&amp;n=0&amp;q=</t>
  </si>
  <si>
    <t>https://purl.pt/45036</t>
  </si>
  <si>
    <t>https://permalinkbnd.bnportugal.gov.pt/viewer/279340/?offset=#page=10&amp;viewer=picture&amp;o=info&amp;n=0&amp;q=</t>
  </si>
  <si>
    <t>https://purl.pt/44185</t>
  </si>
  <si>
    <t>8 [site, retrato de Camões]</t>
  </si>
  <si>
    <t>https://permalinkbnd.bnportugal.gov.pt/viewer/276130/?offset=#page=8&amp;viewer=picture&amp;o=info&amp;n=0&amp;q=</t>
  </si>
  <si>
    <t>https://purl.pt/44190</t>
  </si>
  <si>
    <t>16, 9, 475  [Retrato de Camões, portada, apontamento grotesco]</t>
  </si>
  <si>
    <t>9, 16</t>
  </si>
  <si>
    <t>https://permalinkbnd.bnportugal.gov.pt/viewer/273100/?offset=#page=9&amp;viewer=picture&amp;o=info&amp;n=0&amp;q=</t>
  </si>
  <si>
    <t>https://permalinkbnd.bnportugal.gov.pt/viewer/273100/?offset=#page=16&amp;viewer=picture&amp;o=info&amp;n=0&amp;q=</t>
  </si>
  <si>
    <t>https://purl.pt/44005</t>
  </si>
  <si>
    <t>7 [site], 12 [site], 13, 25, 43, 48 [retrato Vasco da Gama], 49, 102, 103, 162, 163, 165, 237, 239, 291, 293 [site], 295, 345, 347, 349, 399, 401, 445, 447, 497 [site], 499, 547 [site], 549, 627, 629, 646</t>
  </si>
  <si>
    <t>7, 12, 25, 48, 103, 163, 237, 239, 293, 347, 349, 399, 401, 445, 447, 497, 499, 547, 549</t>
  </si>
  <si>
    <t>https://permalinkbnd.bnportugal.gov.pt/viewer/273782/?offset=#page=7&amp;viewer=picture&amp;o=info&amp;n=0&amp;q=</t>
  </si>
  <si>
    <t>https://permalinkbnd.bnportugal.gov.pt/viewer/273782/?offset=#page=12&amp;viewer=picture&amp;o=info&amp;n=0&amp;q=</t>
  </si>
  <si>
    <t>https://permalinkbnd.bnportugal.gov.pt/viewer/273782/?offset=#page=25&amp;viewer=picture&amp;o=info&amp;n=0&amp;q=</t>
  </si>
  <si>
    <t>https://permalinkbnd.bnportugal.gov.pt/viewer/273782/?offset=#page=48&amp;viewer=picture&amp;o=info&amp;n=0&amp;q=</t>
  </si>
  <si>
    <t>https://permalinkbnd.bnportugal.gov.pt/viewer/273782/?offset=#page=103&amp;viewer=picture&amp;o=info&amp;n=0&amp;q=</t>
  </si>
  <si>
    <t>https://permalinkbnd.bnportugal.gov.pt/viewer/273782/?offset=#page=163&amp;viewer=picture&amp;o=info&amp;n=0&amp;q=</t>
  </si>
  <si>
    <t>https://permalinkbnd.bnportugal.gov.pt/viewer/273782/?offset=#page=237&amp;viewer=picture&amp;o=info&amp;n=0&amp;q=</t>
  </si>
  <si>
    <t>https://permalinkbnd.bnportugal.gov.pt/viewer/273782/?offset=#page=239&amp;viewer=picture&amp;o=info&amp;n=0&amp;q=</t>
  </si>
  <si>
    <t>https://permalinkbnd.bnportugal.gov.pt/viewer/273782/?offset=#page=293&amp;viewer=picture&amp;o=info&amp;n=0&amp;q=</t>
  </si>
  <si>
    <t>https://permalinkbnd.bnportugal.gov.pt/viewer/273782/?offset=#page=347&amp;viewer=picture&amp;o=info&amp;n=0&amp;q=</t>
  </si>
  <si>
    <t>https://permalinkbnd.bnportugal.gov.pt/viewer/273782/?offset=#page=349&amp;viewer=picture&amp;o=info&amp;n=0&amp;q=</t>
  </si>
  <si>
    <t>https://permalinkbnd.bnportugal.gov.pt/viewer/273782/?offset=#page=399&amp;viewer=picture&amp;o=info&amp;n=0&amp;q=</t>
  </si>
  <si>
    <t>https://permalinkbnd.bnportugal.gov.pt/viewer/273782/?offset=#page=401&amp;viewer=picture&amp;o=info&amp;n=0&amp;q=</t>
  </si>
  <si>
    <t>https://permalinkbnd.bnportugal.gov.pt/viewer/273782/?offset=#page=445&amp;viewer=picture&amp;o=info&amp;n=0&amp;q=</t>
  </si>
  <si>
    <t>https://permalinkbnd.bnportugal.gov.pt/viewer/273782/?offset=#page=447&amp;viewer=picture&amp;o=info&amp;n=0&amp;q=</t>
  </si>
  <si>
    <t>https://permalinkbnd.bnportugal.gov.pt/viewer/273782/?offset=#page=497&amp;viewer=picture&amp;o=info&amp;n=0&amp;q=</t>
  </si>
  <si>
    <t>https://permalinkbnd.bnportugal.gov.pt/viewer/273782/?offset=#page=499&amp;viewer=picture&amp;o=info&amp;n=0&amp;q=</t>
  </si>
  <si>
    <t>https://permalinkbnd.bnportugal.gov.pt/viewer/273782/?offset=#page=547&amp;viewer=picture&amp;o=info&amp;n=0&amp;q=</t>
  </si>
  <si>
    <t>https://permalinkbnd.bnportugal.gov.pt/viewer/273782/?offset=#page=549&amp;viewer=picture&amp;o=info&amp;n=0&amp;q=</t>
  </si>
  <si>
    <t>https://purl.pt/43957</t>
  </si>
  <si>
    <t>65 [site], 67 [site iluminura Camões], 70 [apontamento site], 71, 73, 74 [friso site exemplo, pois são todos diferentes e muito bonitos], 100, 101, 133, 173, 203 [site, Canto V, Adamastor], 231, 259, 285, 313 [site], 333 [friso site exemplo], 341, 390 [apontamento grotesco]</t>
  </si>
  <si>
    <t>67, 71, 101, 133, 173, 203, 231, 259, 285, 313, 341</t>
  </si>
  <si>
    <t>https://permalinkbnd.bnportugal.gov.pt/viewer/272627/?offset=#page=67&amp;viewer=picture&amp;o=info&amp;n=0&amp;q=</t>
  </si>
  <si>
    <t>https://permalinkbnd.bnportugal.gov.pt/viewer/272627/?offset=#page=71&amp;viewer=picture&amp;o=info&amp;n=0&amp;q=</t>
  </si>
  <si>
    <t>https://permalinkbnd.bnportugal.gov.pt/viewer/272627/?offset=#page=101&amp;viewer=picture&amp;o=info&amp;n=0&amp;q=</t>
  </si>
  <si>
    <t>https://permalinkbnd.bnportugal.gov.pt/viewer/272627/?offset=#page=133&amp;viewer=picture&amp;o=info&amp;n=0&amp;q=</t>
  </si>
  <si>
    <t>https://permalinkbnd.bnportugal.gov.pt/viewer/272627/?offset=#page=173&amp;viewer=picture&amp;o=info&amp;n=0&amp;q=</t>
  </si>
  <si>
    <t>https://permalinkbnd.bnportugal.gov.pt/viewer/272627/?offset=#page=203&amp;viewer=picture&amp;o=info&amp;n=0&amp;q=</t>
  </si>
  <si>
    <t>https://permalinkbnd.bnportugal.gov.pt/viewer/272627/?offset=#page=231&amp;viewer=picture&amp;o=info&amp;n=0&amp;q=</t>
  </si>
  <si>
    <t>https://permalinkbnd.bnportugal.gov.pt/viewer/272627/?offset=#page=259&amp;viewer=picture&amp;o=info&amp;n=0&amp;q=</t>
  </si>
  <si>
    <t>https://permalinkbnd.bnportugal.gov.pt/viewer/272627/?offset=#page=285&amp;viewer=picture&amp;o=info&amp;n=0&amp;q=</t>
  </si>
  <si>
    <t>https://permalinkbnd.bnportugal.gov.pt/viewer/272627/?offset=#page=313&amp;viewer=picture&amp;o=info&amp;n=0&amp;q=</t>
  </si>
  <si>
    <t>https://permalinkbnd.bnportugal.gov.pt/viewer/272627/?offset=#page=341&amp;viewer=picture&amp;o=info&amp;n=0&amp;q=</t>
  </si>
  <si>
    <t>https://purl.pt/44314</t>
  </si>
  <si>
    <t>8 [site], 9, 63,  101 [site], 143, 195, 233 [site], 269 [site], 305, 337, 373, 409 [retrato de Camões laureado e desenhos a ilustrar o início de cada canto]</t>
  </si>
  <si>
    <t xml:space="preserve">8, 63,  101, 143, 195, 233, 269, 305, 337, 373, 409 </t>
  </si>
  <si>
    <t>https://permalinkbnd.bnportugal.gov.pt/viewer/277151/?offset=#page=8&amp;viewer=picture&amp;o=info&amp;n=0&amp;q=</t>
  </si>
  <si>
    <t>https://permalinkbnd.bnportugal.gov.pt/viewer/277151/?offset=#page=63&amp;viewer=picture&amp;o=info&amp;n=0&amp;q=</t>
  </si>
  <si>
    <t>https://permalinkbnd.bnportugal.gov.pt/viewer/277151/?offset=#page=101&amp;viewer=picture&amp;o=info&amp;n=0&amp;q=</t>
  </si>
  <si>
    <t>https://permalinkbnd.bnportugal.gov.pt/viewer/277151/?offset=#page=143&amp;viewer=picture&amp;o=info&amp;n=0&amp;q=</t>
  </si>
  <si>
    <t>https://permalinkbnd.bnportugal.gov.pt/viewer/277151/?offset=#page=195&amp;viewer=picture&amp;o=info&amp;n=0&amp;q=</t>
  </si>
  <si>
    <t>https://permalinkbnd.bnportugal.gov.pt/viewer/277151/?offset=#page=233&amp;viewer=picture&amp;o=info&amp;n=0&amp;q=</t>
  </si>
  <si>
    <t>https://permalinkbnd.bnportugal.gov.pt/viewer/277151/?offset=#page=269&amp;viewer=picture&amp;o=info&amp;n=0&amp;q=</t>
  </si>
  <si>
    <t>https://permalinkbnd.bnportugal.gov.pt/viewer/277151/?offset=#page=305&amp;viewer=picture&amp;o=info&amp;n=0&amp;q=</t>
  </si>
  <si>
    <t>https://permalinkbnd.bnportugal.gov.pt/viewer/277151/?offset=#page=337&amp;viewer=picture&amp;o=info&amp;n=0&amp;q=</t>
  </si>
  <si>
    <t>https://permalinkbnd.bnportugal.gov.pt/viewer/277151/?offset=#page=373&amp;viewer=picture&amp;o=info&amp;n=0&amp;q=</t>
  </si>
  <si>
    <t>https://permalinkbnd.bnportugal.gov.pt/viewer/277151/?offset=#page=409&amp;viewer=picture&amp;o=info&amp;n=0&amp;q=</t>
  </si>
  <si>
    <t>https://purl.pt/44308</t>
  </si>
  <si>
    <t>12 [retrato do Poeta], 110 [A morte de Inês de Castro], 146 [portada das Rimas], 178 [Imagem de Jacob],  207 [ilustrador José Maria], 273 [estátua sepulcral de Inês de Castro], 287 [Imagem do Duque de Palmela], 352, 355 [imagem da casa de Faria de Sousa e retrato do autor], 438 [imagem de Camilo]</t>
  </si>
  <si>
    <t xml:space="preserve">12, 110, 273, </t>
  </si>
  <si>
    <t>https://permalinkbnd.bnportugal.gov.pt/viewer/277145/?offset=#page=12&amp;viewer=picture&amp;o=info&amp;n=0&amp;q=</t>
  </si>
  <si>
    <t>https://permalinkbnd.bnportugal.gov.pt/viewer/277145/?offset=#page=110&amp;viewer=picture&amp;o=info&amp;n=0&amp;q=</t>
  </si>
  <si>
    <t>https://permalinkbnd.bnportugal.gov.pt/viewer/277145/?offset=#page=273&amp;viewer=picture&amp;o=info&amp;n=0&amp;q=</t>
  </si>
  <si>
    <t>https://purl.pt/44007</t>
  </si>
  <si>
    <t>23, 102 [planisfério], 135, 138, 143, 146, 194, 198</t>
  </si>
  <si>
    <t>23, 102, 198</t>
  </si>
  <si>
    <t>https://permalinkbnd.bnportugal.gov.pt/viewer/273814/?offset=#page=23&amp;viewer=picture&amp;o=info&amp;n=0&amp;q=</t>
  </si>
  <si>
    <t>https://permalinkbnd.bnportugal.gov.pt/viewer/273814/?offset=#page=102&amp;viewer=picture&amp;o=info&amp;n=0&amp;q=</t>
  </si>
  <si>
    <t>https://permalinkbnd.bnportugal.gov.pt/viewer/273814/?offset=#page=198&amp;viewer=picture&amp;o=info&amp;n=0&amp;q=</t>
  </si>
  <si>
    <t>https://purl.pt/44315</t>
  </si>
  <si>
    <t>8 [site], 9, 59, 97, 139, 191, 229, 265, 301, 333, 369 [site], 405 [retrato de Camões laureado, portada, desenhos a ilustrar o início de cada Canto]</t>
  </si>
  <si>
    <t xml:space="preserve">8, 59, 97, 139, 191, 229, 265, 301, 333, 369, 405 </t>
  </si>
  <si>
    <t>https://permalinkbnd.bnportugal.gov.pt/viewer/277150/?offset=#page=8&amp;viewer=picture&amp;o=info&amp;n=0&amp;q=</t>
  </si>
  <si>
    <t>https://permalinkbnd.bnportugal.gov.pt/viewer/277150/?offset=#page=59&amp;viewer=picture&amp;o=info&amp;n=0&amp;q=</t>
  </si>
  <si>
    <t>https://permalinkbnd.bnportugal.gov.pt/viewer/277150/?offset=#page=97&amp;viewer=picture&amp;o=info&amp;n=0&amp;q=</t>
  </si>
  <si>
    <t>https://permalinkbnd.bnportugal.gov.pt/viewer/277150/?offset=#page=139&amp;viewer=picture&amp;o=info&amp;n=0&amp;q=</t>
  </si>
  <si>
    <t>https://permalinkbnd.bnportugal.gov.pt/viewer/277150/?offset=#page=191&amp;viewer=picture&amp;o=info&amp;n=0&amp;q=</t>
  </si>
  <si>
    <t>https://permalinkbnd.bnportugal.gov.pt/viewer/277150/?offset=#page=229&amp;viewer=picture&amp;o=info&amp;n=0&amp;q=</t>
  </si>
  <si>
    <t>https://permalinkbnd.bnportugal.gov.pt/viewer/277150/?offset=#page=265&amp;viewer=picture&amp;o=info&amp;n=0&amp;q=</t>
  </si>
  <si>
    <t>https://permalinkbnd.bnportugal.gov.pt/viewer/277150/?offset=#page=301&amp;viewer=picture&amp;o=info&amp;n=0&amp;q=</t>
  </si>
  <si>
    <t>https://permalinkbnd.bnportugal.gov.pt/viewer/277150/?offset=#page=333&amp;viewer=picture&amp;o=info&amp;n=0&amp;q=</t>
  </si>
  <si>
    <t>https://permalinkbnd.bnportugal.gov.pt/viewer/277150/?offset=#page=369&amp;viewer=picture&amp;o=info&amp;n=0&amp;q=</t>
  </si>
  <si>
    <t>https://permalinkbnd.bnportugal.gov.pt/viewer/277150/?offset=#page=405&amp;viewer=picture&amp;o=info&amp;n=0&amp;q=</t>
  </si>
  <si>
    <t>https://purl.pt/44312</t>
  </si>
  <si>
    <t>6 [site retrato de Camões laureado com Os Lusíadas.</t>
  </si>
  <si>
    <t>https://permalinkbnd.bnportugal.gov.pt/viewer/281138/?offset=#page=6&amp;viewer=picture&amp;o=info&amp;n=0&amp;q=</t>
  </si>
  <si>
    <t>https://purl.pt/45043</t>
  </si>
  <si>
    <t>https://permalinkbnd.bnportugal.gov.pt/viewer/1892/?offset=#page=11&amp;viewer=picture&amp;o=info&amp;n=0&amp;q=</t>
  </si>
  <si>
    <t>https://purl.pt/44309</t>
  </si>
  <si>
    <t>6 [retrato de Camões laureado]</t>
  </si>
  <si>
    <t>https://permalinkbnd.bnportugal.gov.pt/viewer/277143/?offset=#page=6&amp;viewer=picture&amp;o=info&amp;n=0&amp;q=</t>
  </si>
  <si>
    <t>https://purl.pt/44311</t>
  </si>
  <si>
    <t>6, 250, 282, 318 [retrato de Camões; desenhos a ilustrar o final dos Cantos VI a VIII: dama com caduceu a ver partir as caravelas; anjo a tocar cítara/harpa]</t>
  </si>
  <si>
    <t>6, 282, 318</t>
  </si>
  <si>
    <t>https://permalinkbnd.bnportugal.gov.pt/viewer/277149/?offset=#page=6&amp;viewer=picture&amp;o=info&amp;n=0&amp;q=</t>
  </si>
  <si>
    <t>https://permalinkbnd.bnportugal.gov.pt/viewer/277149/?offset=#page=282&amp;viewer=picture&amp;o=info&amp;n=0&amp;q=</t>
  </si>
  <si>
    <t>https://permalinkbnd.bnportugal.gov.pt/viewer/277149/?offset=#page=318&amp;viewer=picture&amp;o=info&amp;n=0&amp;q=</t>
  </si>
  <si>
    <t>https://purl.pt/43961</t>
  </si>
  <si>
    <t>63 [padrão], 101 [ilustração Canto II], 159 (ilustração Inês de Castro, site), 201 [ilustração Adamastor], 307 [ilustração ilha dos Amores]</t>
  </si>
  <si>
    <t>101, 159, 201, 307</t>
  </si>
  <si>
    <t>https://permalinkbnd.bnportugal.gov.pt/viewer/272672/?offset=#page=101&amp;viewer=picture&amp;o=info&amp;n=0&amp;q=</t>
  </si>
  <si>
    <t>https://permalinkbnd.bnportugal.gov.pt/viewer/272672/?offset=#page=159&amp;viewer=picture&amp;o=info&amp;n=0&amp;q=</t>
  </si>
  <si>
    <t>https://permalinkbnd.bnportugal.gov.pt/viewer/272672/?offset=#page=201&amp;viewer=picture&amp;o=info&amp;n=0&amp;q=</t>
  </si>
  <si>
    <t>https://permalinkbnd.bnportugal.gov.pt/viewer/272672/?offset=#page=307&amp;viewer=picture&amp;o=info&amp;n=0&amp;q=</t>
  </si>
  <si>
    <t>https://purl.pt/44009</t>
  </si>
  <si>
    <t>5, 63 [exemplar tipográfico, site], 65 [sonetos site], 203, 291 [retrato do Poeta, com epígrafe, site], 397 [retrato do Poeta, site]</t>
  </si>
  <si>
    <t>5, 63, 65, 203, 291, 397</t>
  </si>
  <si>
    <t>https://permalinkbnd.bnportugal.gov.pt/viewer/272668/?offset=#page=5&amp;viewer=picture&amp;o=info&amp;n=0&amp;q=</t>
  </si>
  <si>
    <t>https://permalinkbnd.bnportugal.gov.pt/viewer/272668/?offset=#page=63&amp;viewer=picture&amp;o=info&amp;n=0&amp;q=</t>
  </si>
  <si>
    <t>https://permalinkbnd.bnportugal.gov.pt/viewer/272668/?offset=#page=65&amp;viewer=picture&amp;o=info&amp;n=0&amp;q=</t>
  </si>
  <si>
    <t>https://permalinkbnd.bnportugal.gov.pt/viewer/272668/?offset=#page=203&amp;viewer=picture&amp;o=info&amp;n=0&amp;q=</t>
  </si>
  <si>
    <t>https://permalinkbnd.bnportugal.gov.pt/viewer/272668/?offset=#page=291&amp;viewer=picture&amp;o=info&amp;n=0&amp;q=</t>
  </si>
  <si>
    <t>https://permalinkbnd.bnportugal.gov.pt/viewer/272668/?offset=#page=397&amp;viewer=picture&amp;o=info&amp;n=0&amp;q=</t>
  </si>
  <si>
    <t>https://purl.pt/44313</t>
  </si>
  <si>
    <t>10, 398, 434  [retratos Camões laureado e desenhos no final dos Cantos VII e VIII; dama com caduceu e anjo, iguais a ref. acima ]</t>
  </si>
  <si>
    <t>https://permalinkbnd.bnportugal.gov.pt/viewer/277147/?offset=#page=10&amp;viewer=picture&amp;o=info&amp;n=0&amp;q=</t>
  </si>
  <si>
    <t>https://purl.pt/44277</t>
  </si>
  <si>
    <t>11 [site], 180 [retratos de Camões e Vasco da Gama]</t>
  </si>
  <si>
    <t>11, 180</t>
  </si>
  <si>
    <t>https://permalinkbnd.bnportugal.gov.pt/viewer/276783/?offset=#page=11&amp;viewer=picture&amp;o=info&amp;n=0&amp;q=</t>
  </si>
  <si>
    <t>https://permalinkbnd.bnportugal.gov.pt/viewer/276783/?offset=#page=180&amp;viewer=picture&amp;o=info&amp;n=0&amp;q=</t>
  </si>
  <si>
    <t>https://purl.pt/44285</t>
  </si>
  <si>
    <t>5, 6 [portada com retrato esfumado, retrato de Camões, 53, 133, 185, 363 frisos site]</t>
  </si>
  <si>
    <t>5, 6</t>
  </si>
  <si>
    <t>https://permalinkbnd.bnportugal.gov.pt/viewer/276790/?offset=#page=5&amp;viewer=picture&amp;o=info&amp;n=0&amp;q=</t>
  </si>
  <si>
    <t>https://permalinkbnd.bnportugal.gov.pt/viewer/276790/?offset=#page=6&amp;viewer=picture&amp;o=info&amp;n=0&amp;q=</t>
  </si>
  <si>
    <t>https://purl.pt/44282</t>
  </si>
  <si>
    <t>4,  162 [retratos de Camões e Vasco da Gama]</t>
  </si>
  <si>
    <t xml:space="preserve">4,  162 </t>
  </si>
  <si>
    <t>https://permalinkbnd.bnportugal.gov.pt/viewer/276785/?offset=#page=4&amp;viewer=picture&amp;o=info&amp;n=0&amp;q=</t>
  </si>
  <si>
    <t>https://permalinkbnd.bnportugal.gov.pt/viewer/276785/?offset=#page=162&amp;viewer=picture&amp;o=info&amp;n=0&amp;q=</t>
  </si>
  <si>
    <t>https://purl.pt/44284</t>
  </si>
  <si>
    <t>6, 106 [Camões laureado e estampa do padrão levantado por Vasco da Gama em Melinde].</t>
  </si>
  <si>
    <t>https://permalinkbnd.bnportugal.gov.pt/viewer/276792/?offset=#page=6&amp;viewer=picture&amp;o=info&amp;n=0&amp;q=</t>
  </si>
  <si>
    <t>https://purl.pt/45110</t>
  </si>
  <si>
    <t>10 [site, Adamastor]</t>
  </si>
  <si>
    <t>https://permalinkbnd.bnportugal.gov.pt/viewer/279509/?offset=#page=10&amp;viewer=picture&amp;o=info&amp;n=0&amp;q=</t>
  </si>
  <si>
    <t>https://purl.pt/45100</t>
  </si>
  <si>
    <t>https://permalinkbnd.bnportugal.gov.pt/viewer/279502/?offset=#page=10&amp;viewer=picture&amp;o=info&amp;n=0&amp;q=</t>
  </si>
  <si>
    <t>https://purl.pt/45115</t>
  </si>
  <si>
    <t>11, 21</t>
  </si>
  <si>
    <t>https://permalinkbnd.bnportugal.gov.pt/viewer/279513/?offset=#page=11&amp;viewer=picture&amp;o=info&amp;n=0&amp;q=</t>
  </si>
  <si>
    <t>https://permalinkbnd.bnportugal.gov.pt/viewer/279513/?offset=#page=21&amp;viewer=picture&amp;o=info&amp;n=0&amp;q=</t>
  </si>
  <si>
    <t>https://purl.pt/45107</t>
  </si>
  <si>
    <t>https://permalinkbnd.bnportugal.gov.pt/viewer/279512/?offset=#page=7&amp;viewer=picture&amp;o=info&amp;n=0&amp;q=</t>
  </si>
  <si>
    <t>https://purl.pt/44283</t>
  </si>
  <si>
    <t>10 [estampa Camões laureado, perfil site]</t>
  </si>
  <si>
    <t>https://permalinkbnd.bnportugal.gov.pt/viewer/276787/?offset=#page=10&amp;viewer=picture&amp;o=info&amp;n=0&amp;q=</t>
  </si>
  <si>
    <t>https://purl.pt/43985</t>
  </si>
  <si>
    <t>1 [imagem de um Poeta, com uma fala de Camões extraída do drama]</t>
  </si>
  <si>
    <t>https://permalinkbnd.bnportugal.gov.pt/viewer/275409/?offset=#page=1&amp;viewer=picture&amp;o=info&amp;n=0&amp;q=</t>
  </si>
  <si>
    <t>https://purl.pt/44029</t>
  </si>
  <si>
    <t>14, 74, 89, 103 [mapa rota Gama], 210 [porta da cidade em Goa], 221 [igreja das Relíquias Vidigueira], 232 [relicário legado pelo padre André Coutinho], 241 [jazigo dos Gamas], 256 [túmulo V. da Gama]</t>
  </si>
  <si>
    <t>14, 74, 89, 103</t>
  </si>
  <si>
    <t>https://permalinkbnd.bnportugal.gov.pt/viewer/273746/?offset=#page=14&amp;viewer=picture&amp;o=info&amp;n=0&amp;q=</t>
  </si>
  <si>
    <t>https://permalinkbnd.bnportugal.gov.pt/viewer/273746/?offset=#page=74&amp;viewer=picture&amp;o=info&amp;n=0&amp;q=</t>
  </si>
  <si>
    <t>https://permalinkbnd.bnportugal.gov.pt/viewer/273746/?offset=#page=89&amp;viewer=picture&amp;o=info&amp;n=0&amp;q=</t>
  </si>
  <si>
    <t>https://permalinkbnd.bnportugal.gov.pt/viewer/273746/?offset=#page=103&amp;viewer=picture&amp;o=info&amp;n=0&amp;q=</t>
  </si>
  <si>
    <t>https://purl.pt/43981</t>
  </si>
  <si>
    <t>10, 13 [apontamento máscara de teatro com louros e pena]</t>
  </si>
  <si>
    <t>https://permalinkbnd.bnportugal.gov.pt/viewer/275415/?offset=#page=10&amp;viewer=picture&amp;o=info&amp;n=0&amp;q=</t>
  </si>
  <si>
    <t>https://purl.pt/44317</t>
  </si>
  <si>
    <t>https://permalinkbnd.bnportugal.gov.pt/viewer/277335/?offset=#page=5&amp;viewer=picture&amp;o=info&amp;n=0&amp;q=</t>
  </si>
  <si>
    <t>https://purl.pt/44110</t>
  </si>
  <si>
    <t>8 [Camões com Os Lusíadas, site]</t>
  </si>
  <si>
    <t>https://permalinkbnd.bnportugal.gov.pt/viewer/273811/?offset=#page=8&amp;viewer=picture&amp;o=info&amp;n=0&amp;q=</t>
  </si>
  <si>
    <t>https://purl.pt/43963</t>
  </si>
  <si>
    <t>13 [site], 49, 51 [site]  [Neptuno portada (repete imag. nas várias portadas), Vasco da Gama, Camões sem estar laureado]</t>
  </si>
  <si>
    <t xml:space="preserve">49, 51 </t>
  </si>
  <si>
    <t>https://permalinkbnd.bnportugal.gov.pt/viewer/273796/?offset=#page=49&amp;viewer=picture&amp;o=info&amp;n=0&amp;q=</t>
  </si>
  <si>
    <t>https://permalinkbnd.bnportugal.gov.pt/viewer/273796/?offset=#page=51&amp;viewer=picture&amp;o=info&amp;n=0&amp;q=</t>
  </si>
  <si>
    <t>https://purl.pt/44010</t>
  </si>
  <si>
    <t>10, 13 [retrato Camões, portada, 39, 115, 206 apontamentos frisos site]</t>
  </si>
  <si>
    <t>https://permalinkbnd.bnportugal.gov.pt/viewer/273101/?offset=#page=10&amp;viewer=picture&amp;o=info&amp;n=0&amp;q=</t>
  </si>
  <si>
    <t>https://purl.pt/44331</t>
  </si>
  <si>
    <t>10, 11 [caravelas por Vittorio, portada]</t>
  </si>
  <si>
    <t>https://permalinkbnd.bnportugal.gov.pt/viewer/277366/?offset=#page=10&amp;viewer=picture&amp;o=info&amp;n=0&amp;q=</t>
  </si>
  <si>
    <t>https://purl.pt/44332</t>
  </si>
  <si>
    <t>9 [site]</t>
  </si>
  <si>
    <t>https://permalinkbnd.bnportugal.gov.pt/viewer/277369/?offset=#page=9&amp;viewer=picture&amp;o=info&amp;n=0&amp;q=</t>
  </si>
  <si>
    <t>https://purl.pt/44333</t>
  </si>
  <si>
    <t>5, 15 [portada de Os Lusíadas, pelicano direita]</t>
  </si>
  <si>
    <t>https://permalinkbnd.bnportugal.gov.pt/viewer/277364/?offset=#page=15&amp;viewer=picture&amp;o=info&amp;n=0&amp;q=</t>
  </si>
  <si>
    <t>https://purl.pt/44365</t>
  </si>
  <si>
    <t>8, 77</t>
  </si>
  <si>
    <t>https://permalinkbnd.bnportugal.gov.pt/viewer/277455/?offset=#page=8&amp;viewer=picture&amp;o=info&amp;n=0&amp;q=</t>
  </si>
  <si>
    <t>https://permalinkbnd.bnportugal.gov.pt/viewer/277455/?offset=#page=77&amp;viewer=picture&amp;o=info&amp;n=0&amp;q=</t>
  </si>
  <si>
    <t>https://purl.pt/44012</t>
  </si>
  <si>
    <t>9, 23 [site imagem/desenho de Camões], 79, 139, 141, 213, 215, 269 [site], 271 [ilustrações Cantos], [11, 21 apontamentos site]</t>
  </si>
  <si>
    <t xml:space="preserve">23, 79, 139, 141, 213, 215, 269, 271 </t>
  </si>
  <si>
    <t>https://permalinkbnd.bnportugal.gov.pt/viewer/273117/?offset=#page=23&amp;viewer=picture&amp;o=info&amp;n=0&amp;q=</t>
  </si>
  <si>
    <t>https://permalinkbnd.bnportugal.gov.pt/viewer/273117/?offset=#page=79&amp;viewer=picture&amp;o=info&amp;n=0&amp;q=</t>
  </si>
  <si>
    <t>https://permalinkbnd.bnportugal.gov.pt/viewer/273117/?offset=#page=139&amp;viewer=picture&amp;o=info&amp;n=0&amp;q=</t>
  </si>
  <si>
    <t>https://permalinkbnd.bnportugal.gov.pt/viewer/273117/?offset=#page=141&amp;viewer=picture&amp;o=info&amp;n=0&amp;q=</t>
  </si>
  <si>
    <t>https://permalinkbnd.bnportugal.gov.pt/viewer/273117/?offset=#page=213&amp;viewer=picture&amp;o=info&amp;n=0&amp;q=</t>
  </si>
  <si>
    <t>https://permalinkbnd.bnportugal.gov.pt/viewer/273117/?offset=#page=215&amp;viewer=picture&amp;o=info&amp;n=0&amp;q=</t>
  </si>
  <si>
    <t>https://permalinkbnd.bnportugal.gov.pt/viewer/273117/?offset=#page=269&amp;viewer=picture&amp;o=info&amp;n=0&amp;q=</t>
  </si>
  <si>
    <t>https://permalinkbnd.bnportugal.gov.pt/viewer/273117/?offset=#page=271&amp;viewer=picture&amp;o=info&amp;n=0&amp;q=</t>
  </si>
  <si>
    <t>https://purl.pt/44138</t>
  </si>
  <si>
    <t>10 [retrato de Camões na gruta com Jau site, 345 apontamento site]</t>
  </si>
  <si>
    <t>https://permalinkbnd.bnportugal.gov.pt/viewer/273120/?offset=#page=10&amp;viewer=picture&amp;o=info&amp;n=0&amp;q=</t>
  </si>
  <si>
    <t>https://purl.pt/44350</t>
  </si>
  <si>
    <t>2 [portada da colecção],7</t>
  </si>
  <si>
    <t>https://permalinkbnd.bnportugal.gov.pt/viewer/277449/?offset=#page=7&amp;viewer=picture&amp;o=info&amp;n=0&amp;q=</t>
  </si>
  <si>
    <t>https://purl.pt/44354</t>
  </si>
  <si>
    <t>45, 47, 49 [torre de Belém], 77, 105, 131, 227, 473, 493 [mapa por mares nunca dantes navegados, que inclui rota, site]</t>
  </si>
  <si>
    <t>45, 47, 77, 105, 131, 227, 473, 493</t>
  </si>
  <si>
    <t>https://permalinkbnd.bnportugal.gov.pt/viewer/277452/?offset=#page=45&amp;viewer=picture&amp;o=info&amp;n=0&amp;q=</t>
  </si>
  <si>
    <t>https://permalinkbnd.bnportugal.gov.pt/viewer/277452/?offset=#page=47&amp;viewer=picture&amp;o=info&amp;n=0&amp;q=</t>
  </si>
  <si>
    <t>https://permalinkbnd.bnportugal.gov.pt/viewer/277452/?offset=#page=77&amp;viewer=picture&amp;o=info&amp;n=0&amp;q=</t>
  </si>
  <si>
    <t>https://permalinkbnd.bnportugal.gov.pt/viewer/277452/?offset=#page=105&amp;viewer=picture&amp;o=info&amp;n=0&amp;q=</t>
  </si>
  <si>
    <t>https://permalinkbnd.bnportugal.gov.pt/viewer/277452/?offset=#page=131&amp;viewer=picture&amp;o=info&amp;n=0&amp;q=</t>
  </si>
  <si>
    <t>https://permalinkbnd.bnportugal.gov.pt/viewer/277452/?offset=#page=227&amp;viewer=picture&amp;o=info&amp;n=0&amp;q=</t>
  </si>
  <si>
    <t>https://permalinkbnd.bnportugal.gov.pt/viewer/277452/?offset=#page=473&amp;viewer=picture&amp;o=info&amp;n=0&amp;q=</t>
  </si>
  <si>
    <t>https://permalinkbnd.bnportugal.gov.pt/viewer/277452/?offset=#page=493&amp;viewer=picture&amp;o=info&amp;n=0&amp;q=</t>
  </si>
  <si>
    <t>https://purl.pt/44379</t>
  </si>
  <si>
    <t>https://permalinkbnd.bnportugal.gov.pt/viewer/277482/?offset=#page=10&amp;viewer=picture&amp;o=info&amp;n=0&amp;q=</t>
  </si>
  <si>
    <t>https://purl.pt/44369</t>
  </si>
  <si>
    <t>https://permalinkbnd.bnportugal.gov.pt/viewer/277488/?offset=#page=12&amp;viewer=picture&amp;o=info&amp;n=0&amp;q=</t>
  </si>
  <si>
    <t>https://purl.pt/44013</t>
  </si>
  <si>
    <t>9, 27, 404 [portada, frontispício da 1.ª edição, pelicano esquerda, frontispício da 2.ª edição]</t>
  </si>
  <si>
    <t>https://permalinkbnd.bnportugal.gov.pt/viewer/272638/?offset=#page=9&amp;viewer=picture&amp;o=info&amp;n=0&amp;q=</t>
  </si>
  <si>
    <t>https://permalinkbnd.bnportugal.gov.pt/viewer/272638/?offset=#page=27&amp;viewer=picture&amp;o=info&amp;n=0&amp;q=</t>
  </si>
  <si>
    <t>https://permalinkbnd.bnportugal.gov.pt/viewer/272638/?offset=#page=404&amp;viewer=picture&amp;o=info&amp;n=0&amp;q=</t>
  </si>
  <si>
    <t>https://purl.pt/44217</t>
  </si>
  <si>
    <t>https://permalinkbnd.bnportugal.gov.pt/viewer/273872/?offset=#page=1&amp;viewer=picture&amp;o=info&amp;n=0&amp;q=</t>
  </si>
  <si>
    <t>https://purl.pt/44401</t>
  </si>
  <si>
    <t>8, 40 [Vasco da Gama]</t>
  </si>
  <si>
    <t>https://permalinkbnd.bnportugal.gov.pt/viewer/277739/?offset=#page=8&amp;viewer=picture&amp;o=info&amp;n=0&amp;q=</t>
  </si>
  <si>
    <t>https://purl.pt/44033</t>
  </si>
  <si>
    <t>https://permalinkbnd.bnportugal.gov.pt/viewer/273879/?offset=#page=12&amp;viewer=picture&amp;o=info&amp;n=0&amp;q=</t>
  </si>
  <si>
    <t>https://purl.pt/44111</t>
  </si>
  <si>
    <t>[31, 35, 39, 40, 41, 52, 58, 92, 115, 139, 155 apontamentos frisos site]</t>
  </si>
  <si>
    <t>https://permalinkbnd.bnportugal.gov.pt/viewer/273869/?offset=#page=31&amp;viewer=picture&amp;o=info&amp;n=0&amp;q=</t>
  </si>
  <si>
    <t>https://permalinkbnd.bnportugal.gov.pt/viewer/273869/?offset=#page=35&amp;viewer=picture&amp;o=info&amp;n=0&amp;q=</t>
  </si>
  <si>
    <t>https://permalinkbnd.bnportugal.gov.pt/viewer/273869/?offset=#page=39&amp;viewer=picture&amp;o=info&amp;n=0&amp;q=</t>
  </si>
  <si>
    <t>https://permalinkbnd.bnportugal.gov.pt/viewer/273869/?offset=#page=40&amp;viewer=picture&amp;o=info&amp;n=0&amp;q=</t>
  </si>
  <si>
    <t>https://permalinkbnd.bnportugal.gov.pt/viewer/273869/?offset=#page=41&amp;viewer=picture&amp;o=info&amp;n=0&amp;q=</t>
  </si>
  <si>
    <t>https://permalinkbnd.bnportugal.gov.pt/viewer/273869/?offset=#page=52&amp;viewer=picture&amp;o=info&amp;n=0&amp;q=</t>
  </si>
  <si>
    <t>https://permalinkbnd.bnportugal.gov.pt/viewer/273869/?offset=#page=58&amp;viewer=picture&amp;o=info&amp;n=0&amp;q=</t>
  </si>
  <si>
    <t>https://permalinkbnd.bnportugal.gov.pt/viewer/273869/?offset=#page=92&amp;viewer=picture&amp;o=info&amp;n=0&amp;q=</t>
  </si>
  <si>
    <t>https://permalinkbnd.bnportugal.gov.pt/viewer/273869/?offset=#page=115&amp;viewer=picture&amp;o=info&amp;n=0&amp;q=</t>
  </si>
  <si>
    <t>https://permalinkbnd.bnportugal.gov.pt/viewer/273869/?offset=#page=139&amp;viewer=picture&amp;o=info&amp;n=0&amp;q=</t>
  </si>
  <si>
    <t>https://permalinkbnd.bnportugal.gov.pt/viewer/273869/?offset=#page=155&amp;viewer=picture&amp;o=info&amp;n=0&amp;q=</t>
  </si>
  <si>
    <t>https://purl.pt/44395</t>
  </si>
  <si>
    <t>7 [site]</t>
  </si>
  <si>
    <t>https://permalinkbnd.bnportugal.gov.pt/viewer/277738/?offset=#page=7&amp;viewer=picture&amp;o=info&amp;n=0&amp;q=</t>
  </si>
  <si>
    <t>https://purl.pt/44114</t>
  </si>
  <si>
    <t>10 [retrato do Poeta], 271 [rota Gama]</t>
  </si>
  <si>
    <t>10, 271</t>
  </si>
  <si>
    <t>https://permalinkbnd.bnportugal.gov.pt/viewer/273912/?offset=#page=10&amp;viewer=picture&amp;o=info&amp;n=0&amp;q=</t>
  </si>
  <si>
    <t>https://permalinkbnd.bnportugal.gov.pt/viewer/273912/?offset=#page=271&amp;viewer=picture&amp;o=info&amp;n=0&amp;q=</t>
  </si>
  <si>
    <t>https://purl.pt/43958</t>
  </si>
  <si>
    <t>12, 13, 173, 363, 391 [retrato do Poeta "Iluminura de Goa", site, portada, infanta D. Maria, nau S. Bento, mapa com epígrafe do Poeta site: a vida/por o mundo em pedaços repartida]</t>
  </si>
  <si>
    <t>12, 173, 363, 391</t>
  </si>
  <si>
    <t>https://permalinkbnd.bnportugal.gov.pt/viewer/272639/?offset=#page=12&amp;viewer=picture&amp;o=info&amp;n=0&amp;q=</t>
  </si>
  <si>
    <t>https://permalinkbnd.bnportugal.gov.pt/viewer/272639/?offset=#page=173&amp;viewer=picture&amp;o=info&amp;n=0&amp;q=</t>
  </si>
  <si>
    <t>https://permalinkbnd.bnportugal.gov.pt/viewer/272639/?offset=#page=363&amp;viewer=picture&amp;o=info&amp;n=0&amp;q=</t>
  </si>
  <si>
    <t>https://permalinkbnd.bnportugal.gov.pt/viewer/272639/?offset=#page=391&amp;viewer=picture&amp;o=info&amp;n=0&amp;q=</t>
  </si>
  <si>
    <t>https://purl.pt/44449</t>
  </si>
  <si>
    <t>https://permalinkbnd.bnportugal.gov.pt/viewer/277836/?offset=#page=1&amp;viewer=picture&amp;o=info&amp;n=0&amp;q=</t>
  </si>
  <si>
    <t>https://purl.pt/44451</t>
  </si>
  <si>
    <t>https://permalinkbnd.bnportugal.gov.pt/viewer/277820/?offset=#page=10&amp;viewer=picture&amp;o=info&amp;n=0&amp;q=</t>
  </si>
  <si>
    <t>https://purl.pt/44459</t>
  </si>
  <si>
    <t>8, 118 [imagem da estátua]</t>
  </si>
  <si>
    <t>8, 118</t>
  </si>
  <si>
    <t>https://permalinkbnd.bnportugal.gov.pt/viewer/277966/?offset=#page=8&amp;viewer=picture&amp;o=info&amp;n=0&amp;q=</t>
  </si>
  <si>
    <t>https://permalinkbnd.bnportugal.gov.pt/viewer/277966/?offset=#page=118&amp;viewer=picture&amp;o=info&amp;n=0&amp;q=</t>
  </si>
  <si>
    <t>https://purl.pt/44490</t>
  </si>
  <si>
    <t>24 [a varanda de Natércia, com epígrafe do Poeta]</t>
  </si>
  <si>
    <t>https://permalinkbnd.bnportugal.gov.pt/viewer/278039/?offset=#page=24&amp;viewer=picture&amp;o=info&amp;n=0&amp;q=</t>
  </si>
  <si>
    <t>https://purl.pt/44489</t>
  </si>
  <si>
    <t>8, 303 [casa da família de Camões?]</t>
  </si>
  <si>
    <t>8, 303</t>
  </si>
  <si>
    <t>https://permalinkbnd.bnportugal.gov.pt/viewer/278038/?offset=#page=8&amp;viewer=picture&amp;o=info&amp;n=0&amp;q=</t>
  </si>
  <si>
    <t>https://permalinkbnd.bnportugal.gov.pt/viewer/278038/?offset=#page=303&amp;viewer=picture&amp;o=info&amp;n=0&amp;q=</t>
  </si>
  <si>
    <t>https://purl.pt/44488</t>
  </si>
  <si>
    <t>68 [Brasão do marquês em biografia de Gama na edição dos Lusíadas]</t>
  </si>
  <si>
    <t>https://permalinkbnd.bnportugal.gov.pt/viewer/278031/?offset=#page=68&amp;viewer=picture&amp;o=info&amp;n=0&amp;q=</t>
  </si>
  <si>
    <t>https://purl.pt/44475</t>
  </si>
  <si>
    <t>1 ["armas de Camões"]</t>
  </si>
  <si>
    <t>https://permalinkbnd.bnportugal.gov.pt/viewer/278032/?offset=#page=1&amp;viewer=picture&amp;o=info&amp;n=0&amp;q=</t>
  </si>
  <si>
    <t>https://purl.pt/44521</t>
  </si>
  <si>
    <t xml:space="preserve">136, 138,  Planta da Igreja do Mosteiro das Freiras de Santana; planta da pedra da sepultura; alçado de parede, Im. 140;  a mesma Igreja, Im. 142; planta da Biblioteca de Lisboa, Im. 144. </t>
  </si>
  <si>
    <t>136, 138, 140, 142, 144</t>
  </si>
  <si>
    <t>https://permalinkbnd.bnportugal.gov.pt/viewer/278097/?offset=#page=136&amp;viewer=picture&amp;o=info&amp;n=0&amp;q=</t>
  </si>
  <si>
    <t>https://permalinkbnd.bnportugal.gov.pt/viewer/278097/?offset=#page=138&amp;viewer=picture&amp;o=info&amp;n=0&amp;q=</t>
  </si>
  <si>
    <t>https://permalinkbnd.bnportugal.gov.pt/viewer/278097/?offset=#page=140&amp;viewer=picture&amp;o=info&amp;n=0&amp;q=</t>
  </si>
  <si>
    <t>https://permalinkbnd.bnportugal.gov.pt/viewer/278097/?offset=#page=142&amp;viewer=picture&amp;o=info&amp;n=0&amp;q=</t>
  </si>
  <si>
    <t>https://permalinkbnd.bnportugal.gov.pt/viewer/278097/?offset=#page=144&amp;viewer=picture&amp;o=info&amp;n=0&amp;q=</t>
  </si>
  <si>
    <t>https://purl.pt/44525</t>
  </si>
  <si>
    <t>8 ["Os portugueses"]</t>
  </si>
  <si>
    <t>https://permalinkbnd.bnportugal.gov.pt/viewer/278099/?offset=#page=8&amp;viewer=picture&amp;o=info&amp;n=0&amp;q=</t>
  </si>
  <si>
    <t>https://purl.pt/44558</t>
  </si>
  <si>
    <t>5, 39 [Vasco da Gama], 71 [Afonso de Albuquerque], 151 [Camões]</t>
  </si>
  <si>
    <t>5, 39, 71, 151</t>
  </si>
  <si>
    <t>https://permalinkbnd.bnportugal.gov.pt/viewer/1897/?offset=#page=5&amp;viewer=picture&amp;o=info&amp;n=0&amp;q=</t>
  </si>
  <si>
    <t>https://permalinkbnd.bnportugal.gov.pt/viewer/1897/?offset=#page=39&amp;viewer=picture&amp;o=info&amp;n=0&amp;q=</t>
  </si>
  <si>
    <t>https://permalinkbnd.bnportugal.gov.pt/viewer/1897/?offset=#page=71&amp;viewer=picture&amp;o=info&amp;n=0&amp;q=</t>
  </si>
  <si>
    <t>https://permalinkbnd.bnportugal.gov.pt/viewer/1897/?offset=#page=151&amp;viewer=picture&amp;o=info&amp;n=0&amp;q=</t>
  </si>
  <si>
    <t>https://purl.pt/44551</t>
  </si>
  <si>
    <t>9, 10, 11, 12, 13, 14, 15, 16, 17, 18, 19, 20, 21, 22, 23, 24, 25, 26, 27, 28, 39, 30, 31, 32,  33, 34, 35, 36, 37, [mapa, caravela, Vasco da Gama, plano de uma nau; Gama; caravelas; batéis; lápide e monograma de Gama; montante de Gama; monumento a Gama; Mosteiro de Belém século XVI, várias caravelas e embarcações distintas]</t>
  </si>
  <si>
    <t>9, 11, 37</t>
  </si>
  <si>
    <t>https://permalinkbnd.bnportugal.gov.pt/viewer/278157/?offset=#page=9&amp;viewer=picture&amp;o=info&amp;n=0&amp;q=</t>
  </si>
  <si>
    <t>https://permalinkbnd.bnportugal.gov.pt/viewer/278157/?offset=#page=11&amp;viewer=picture&amp;o=info&amp;n=0&amp;q=</t>
  </si>
  <si>
    <t>https://permalinkbnd.bnportugal.gov.pt/viewer/278157/?offset=#page=37&amp;viewer=picture&amp;o=info&amp;n=0&amp;q=</t>
  </si>
  <si>
    <t>https://purl.pt/44562</t>
  </si>
  <si>
    <t>13, 15 [retratos Vasco da Gama]</t>
  </si>
  <si>
    <t>https://permalinkbnd.bnportugal.gov.pt/viewer/278166/?offset=#page=13&amp;viewer=picture&amp;o=info&amp;n=0&amp;q=</t>
  </si>
  <si>
    <t>https://permalinkbnd.bnportugal.gov.pt/viewer/278166/?offset=#page=15&amp;viewer=picture&amp;o=info&amp;n=0&amp;q=</t>
  </si>
  <si>
    <t>https://purl.pt/44585</t>
  </si>
  <si>
    <t>6 [retrato do Poeta]</t>
  </si>
  <si>
    <t>https://permalinkbnd.bnportugal.gov.pt/viewer/278323/?offset=#page=6&amp;viewer=picture&amp;o=info&amp;n=0&amp;q=</t>
  </si>
  <si>
    <t>https://purl.pt/44594</t>
  </si>
  <si>
    <t>7 [retrato do Poeta]</t>
  </si>
  <si>
    <t>https://permalinkbnd.bnportugal.gov.pt/viewer/278325/?offset=#page=7&amp;viewer=picture&amp;o=info&amp;n=0&amp;q=</t>
  </si>
  <si>
    <t>https://purl.pt/44588</t>
  </si>
  <si>
    <t>https://permalinkbnd.bnportugal.gov.pt/viewer/278334/?offset=#page=12&amp;viewer=picture&amp;o=info&amp;n=0&amp;q=</t>
  </si>
  <si>
    <t>https://purl.pt/44164</t>
  </si>
  <si>
    <t>https://permalinkbnd.bnportugal.gov.pt/viewer/273607/?offset=#page=12&amp;viewer=picture&amp;o=info&amp;n=0&amp;q=</t>
  </si>
  <si>
    <t>https://purl.pt/44192</t>
  </si>
  <si>
    <t>7 [20, 34, 48, 85, 90 apontamentos frisos site]</t>
  </si>
  <si>
    <t>https://permalinkbnd.bnportugal.gov.pt/viewer/273178/?offset=#page=7&amp;viewer=picture&amp;o=info&amp;n=0&amp;q=</t>
  </si>
  <si>
    <t>8 [20, 34, 48, 85, 90 apontamentos frisos site]</t>
  </si>
  <si>
    <t>https://permalinkbnd.bnportugal.gov.pt/viewer/273178/?offset=#page=20&amp;viewer=picture&amp;o=info&amp;n=0&amp;q=</t>
  </si>
  <si>
    <t>9 [20, 34, 48, 85, 90 apontamentos frisos site]</t>
  </si>
  <si>
    <t>https://permalinkbnd.bnportugal.gov.pt/viewer/273178/?offset=#page=34&amp;viewer=picture&amp;o=info&amp;n=0&amp;q=</t>
  </si>
  <si>
    <t>10 [20, 34, 48, 85, 90 apontamentos frisos site]</t>
  </si>
  <si>
    <t>https://permalinkbnd.bnportugal.gov.pt/viewer/273178/?offset=#page=48&amp;viewer=picture&amp;o=info&amp;n=0&amp;q=</t>
  </si>
  <si>
    <t>11 [20, 34, 48, 85, 90 apontamentos frisos site]</t>
  </si>
  <si>
    <t>https://permalinkbnd.bnportugal.gov.pt/viewer/273178/?offset=#page=85&amp;viewer=picture&amp;o=info&amp;n=0&amp;q=</t>
  </si>
  <si>
    <t>12 [20, 34, 48, 85, 90 apontamentos frisos site]</t>
  </si>
  <si>
    <t>https://permalinkbnd.bnportugal.gov.pt/viewer/273178/?offset=#page=90&amp;viewer=picture&amp;o=info&amp;n=0&amp;q=</t>
  </si>
  <si>
    <t>https://purl.pt/44139</t>
  </si>
  <si>
    <t>https://permalinkbnd.bnportugal.gov.pt/viewer/273317/?offset=#page=1&amp;viewer=picture&amp;o=info&amp;n=0&amp;q=</t>
  </si>
  <si>
    <t xml:space="preserve">35 "A gruta de Camões", com estátua do Poeta;  3, 5, monumento a V. da Gama, 13, 19, 27, 31, 35, 39, 41, 45, 49, 53, 60  [portada comemorações; Gravuras: Projecto do monumento a Vasco da Gama; Praia Grande; Real Senado, Avenida Vasco da Gama, Sé, Gruta de Camões, Convento de S. Paulo, Farol da Guia, Pagode da Barra, Porta do Cerco, Porto interior, frisos e desenhos  de página: 56, 57]. </t>
  </si>
  <si>
    <t>sem link</t>
  </si>
  <si>
    <t>https://permalinkbnd.bnportugal.gov.pt/viewer/1/?offset=#page=35&amp;viewer=picture&amp;o=info&amp;n=0&amp;q=</t>
  </si>
  <si>
    <t>https://purl.pt/44016</t>
  </si>
  <si>
    <t>10 [site], 11, 103, 107, 142, 145, 185, 235, 270 [site], 273, 306, 309, 342, 345, 374, 377, 410, 413, 447, 499 [Reprod. Pintura de Columbano de Camões; fac-símile da portada da 1.ª ed. de Os Lusíadas; morte de D. Inês de Castro, entre outras, desenhos/ilustrações de abertura de Cantos]</t>
  </si>
  <si>
    <t xml:space="preserve">10, 103, 107, 145, 185, 235, 270, 273, 306, 309, 342, 345, 374, 377, 410, 413, 447, 499 </t>
  </si>
  <si>
    <t>https://permalinkbnd.bnportugal.gov.pt/viewer/273944/?offset=#page=10&amp;viewer=picture&amp;o=info&amp;n=0&amp;q=</t>
  </si>
  <si>
    <t>https://permalinkbnd.bnportugal.gov.pt/viewer/273944/?offset=#page=103&amp;viewer=picture&amp;o=info&amp;n=0&amp;q=</t>
  </si>
  <si>
    <t>https://permalinkbnd.bnportugal.gov.pt/viewer/273944/?offset=#page=107&amp;viewer=picture&amp;o=info&amp;n=0&amp;q=</t>
  </si>
  <si>
    <t>https://permalinkbnd.bnportugal.gov.pt/viewer/273944/?offset=#page=145&amp;viewer=picture&amp;o=info&amp;n=0&amp;q=</t>
  </si>
  <si>
    <t>https://permalinkbnd.bnportugal.gov.pt/viewer/273944/?offset=#page=185&amp;viewer=picture&amp;o=info&amp;n=0&amp;q=</t>
  </si>
  <si>
    <t>https://permalinkbnd.bnportugal.gov.pt/viewer/273944/?offset=#page=235&amp;viewer=picture&amp;o=info&amp;n=0&amp;q=</t>
  </si>
  <si>
    <t>https://permalinkbnd.bnportugal.gov.pt/viewer/273944/?offset=#page=270&amp;viewer=picture&amp;o=info&amp;n=0&amp;q=</t>
  </si>
  <si>
    <t>https://permalinkbnd.bnportugal.gov.pt/viewer/273944/?offset=#page=273&amp;viewer=picture&amp;o=info&amp;n=0&amp;q=</t>
  </si>
  <si>
    <t>https://permalinkbnd.bnportugal.gov.pt/viewer/273944/?offset=#page=306&amp;viewer=picture&amp;o=info&amp;n=0&amp;q=</t>
  </si>
  <si>
    <t>https://permalinkbnd.bnportugal.gov.pt/viewer/273944/?offset=#page=309&amp;viewer=picture&amp;o=info&amp;n=0&amp;q=</t>
  </si>
  <si>
    <t>https://permalinkbnd.bnportugal.gov.pt/viewer/273944/?offset=#page=342&amp;viewer=picture&amp;o=info&amp;n=0&amp;q=</t>
  </si>
  <si>
    <t>https://permalinkbnd.bnportugal.gov.pt/viewer/273944/?offset=#page=345&amp;viewer=picture&amp;o=info&amp;n=0&amp;q=</t>
  </si>
  <si>
    <t>https://permalinkbnd.bnportugal.gov.pt/viewer/273944/?offset=#page=374&amp;viewer=picture&amp;o=info&amp;n=0&amp;q=</t>
  </si>
  <si>
    <t>https://permalinkbnd.bnportugal.gov.pt/viewer/273944/?offset=#page=377&amp;viewer=picture&amp;o=info&amp;n=0&amp;q=</t>
  </si>
  <si>
    <t>https://permalinkbnd.bnportugal.gov.pt/viewer/273944/?offset=#page=410&amp;viewer=picture&amp;o=info&amp;n=0&amp;q=</t>
  </si>
  <si>
    <t>https://permalinkbnd.bnportugal.gov.pt/viewer/273944/?offset=#page=413&amp;viewer=picture&amp;o=info&amp;n=0&amp;q=</t>
  </si>
  <si>
    <t>https://permalinkbnd.bnportugal.gov.pt/viewer/273944/?offset=#page=447&amp;viewer=picture&amp;o=info&amp;n=0&amp;q=</t>
  </si>
  <si>
    <t>https://permalinkbnd.bnportugal.gov.pt/viewer/273944/?offset=#page=499&amp;viewer=picture&amp;o=info&amp;n=0&amp;q=</t>
  </si>
  <si>
    <t>https://purl.pt/23629</t>
  </si>
  <si>
    <t>https://permalinkbnd.bnportugal.gov.pt/viewer/14663/?offset=#page=7&amp;viewer=picture&amp;o=info&amp;n=0&amp;q=</t>
  </si>
  <si>
    <t>https://purl.pt/39844</t>
  </si>
  <si>
    <t>5, 11, 13 (site), 15, 17, 19, 21, 23, 25, 27, 29, 31, 33, 35, 37, 39, 41, 43, 45, 47, 49, 51</t>
  </si>
  <si>
    <t>5, 11, 13, 15, 17, 19, 21, 23, 25, 27, 29, 31, 33, 35, 37, 39, 41, 43, 45, 47, 49, 51</t>
  </si>
  <si>
    <t>https://permalinkbnd.bnportugal.gov.pt/viewer/255848/?offset=#page=5&amp;viewer=picture&amp;o=info&amp;n=0&amp;q=</t>
  </si>
  <si>
    <t>https://permalinkbnd.bnportugal.gov.pt/viewer/255848/?offset=#page=11&amp;viewer=picture&amp;o=info&amp;n=0&amp;q=</t>
  </si>
  <si>
    <t>https://permalinkbnd.bnportugal.gov.pt/viewer/255848/?offset=#page=13&amp;viewer=picture&amp;o=info&amp;n=0&amp;q=</t>
  </si>
  <si>
    <t>https://permalinkbnd.bnportugal.gov.pt/viewer/255848/?offset=#page=15&amp;viewer=picture&amp;o=info&amp;n=0&amp;q=</t>
  </si>
  <si>
    <t>https://permalinkbnd.bnportugal.gov.pt/viewer/255848/?offset=#page=17&amp;viewer=picture&amp;o=info&amp;n=0&amp;q=</t>
  </si>
  <si>
    <t>https://permalinkbnd.bnportugal.gov.pt/viewer/255848/?offset=#page=19&amp;viewer=picture&amp;o=info&amp;n=0&amp;q=</t>
  </si>
  <si>
    <t>https://permalinkbnd.bnportugal.gov.pt/viewer/255848/?offset=#page=21&amp;viewer=picture&amp;o=info&amp;n=0&amp;q=</t>
  </si>
  <si>
    <t>https://permalinkbnd.bnportugal.gov.pt/viewer/255848/?offset=#page=23&amp;viewer=picture&amp;o=info&amp;n=0&amp;q=</t>
  </si>
  <si>
    <t>https://permalinkbnd.bnportugal.gov.pt/viewer/255848/?offset=#page=25&amp;viewer=picture&amp;o=info&amp;n=0&amp;q=</t>
  </si>
  <si>
    <t>https://permalinkbnd.bnportugal.gov.pt/viewer/255848/?offset=#page=27&amp;viewer=picture&amp;o=info&amp;n=0&amp;q=</t>
  </si>
  <si>
    <t>https://permalinkbnd.bnportugal.gov.pt/viewer/255848/?offset=#page=29&amp;viewer=picture&amp;o=info&amp;n=0&amp;q=</t>
  </si>
  <si>
    <t>https://permalinkbnd.bnportugal.gov.pt/viewer/255848/?offset=#page=31&amp;viewer=picture&amp;o=info&amp;n=0&amp;q=</t>
  </si>
  <si>
    <t>https://permalinkbnd.bnportugal.gov.pt/viewer/255848/?offset=#page=33&amp;viewer=picture&amp;o=info&amp;n=0&amp;q=</t>
  </si>
  <si>
    <t>https://permalinkbnd.bnportugal.gov.pt/viewer/255848/?offset=#page=35&amp;viewer=picture&amp;o=info&amp;n=0&amp;q=</t>
  </si>
  <si>
    <t>https://permalinkbnd.bnportugal.gov.pt/viewer/255848/?offset=#page=37&amp;viewer=picture&amp;o=info&amp;n=0&amp;q=</t>
  </si>
  <si>
    <t>https://permalinkbnd.bnportugal.gov.pt/viewer/255848/?offset=#page=39&amp;viewer=picture&amp;o=info&amp;n=0&amp;q=</t>
  </si>
  <si>
    <t>https://permalinkbnd.bnportugal.gov.pt/viewer/255848/?offset=#page=41&amp;viewer=picture&amp;o=info&amp;n=0&amp;q=</t>
  </si>
  <si>
    <t>https://permalinkbnd.bnportugal.gov.pt/viewer/255848/?offset=#page=43&amp;viewer=picture&amp;o=info&amp;n=0&amp;q=</t>
  </si>
  <si>
    <t>https://permalinkbnd.bnportugal.gov.pt/viewer/255848/?offset=#page=45&amp;viewer=picture&amp;o=info&amp;n=0&amp;q=</t>
  </si>
  <si>
    <t>https://permalinkbnd.bnportugal.gov.pt/viewer/255848/?offset=#page=47&amp;viewer=picture&amp;o=info&amp;n=0&amp;q=</t>
  </si>
  <si>
    <t>https://permalinkbnd.bnportugal.gov.pt/viewer/255848/?offset=#page=49&amp;viewer=picture&amp;o=info&amp;n=0&amp;q=</t>
  </si>
  <si>
    <t>https://permalinkbnd.bnportugal.gov.pt/viewer/255848/?offset=#page=51&amp;viewer=picture&amp;o=info&amp;n=0&amp;q=</t>
  </si>
  <si>
    <t>https://purl.pt/44015</t>
  </si>
  <si>
    <t xml:space="preserve">1 [apontamento site] 54, 366 [Visita do Rei de Melinde a Vasco da Gama; barco de Vasco da Gama em Calecute, site] </t>
  </si>
  <si>
    <t>54, 366</t>
  </si>
  <si>
    <t>https://permalinkbnd.bnportugal.gov.pt/viewer/274463/?offset=#page=54&amp;viewer=picture&amp;o=info&amp;n=0&amp;q=</t>
  </si>
  <si>
    <t>https://permalinkbnd.bnportugal.gov.pt/viewer/274463/?offset=#page=366&amp;viewer=picture&amp;o=info&amp;n=0&amp;q=</t>
  </si>
  <si>
    <t>https://purl.pt/37882</t>
  </si>
  <si>
    <t>7 site, 21 site, 48, 100, 129 site, 152, 191, 209, 264, 297</t>
  </si>
  <si>
    <t>7, 21, 48, 100, 129, 152, 191, 209, 264, 297</t>
  </si>
  <si>
    <t>https://permalinkbnd.bnportugal.gov.pt/viewer/14629/?offset=#page=7&amp;viewer=picture&amp;o=info&amp;n=0&amp;q=</t>
  </si>
  <si>
    <t>https://permalinkbnd.bnportugal.gov.pt/viewer/14629/?offset=#page=21&amp;viewer=picture&amp;o=info&amp;n=0&amp;q=</t>
  </si>
  <si>
    <t>https://permalinkbnd.bnportugal.gov.pt/viewer/14629/?offset=#page=48&amp;viewer=picture&amp;o=info&amp;n=0&amp;q=</t>
  </si>
  <si>
    <t>https://permalinkbnd.bnportugal.gov.pt/viewer/14629/?offset=#page=100&amp;viewer=picture&amp;o=info&amp;n=0&amp;q=</t>
  </si>
  <si>
    <t>https://permalinkbnd.bnportugal.gov.pt/viewer/14629/?offset=#page=129&amp;viewer=picture&amp;o=info&amp;n=0&amp;q=</t>
  </si>
  <si>
    <t>https://permalinkbnd.bnportugal.gov.pt/viewer/14629/?offset=#page=152&amp;viewer=picture&amp;o=info&amp;n=0&amp;q=</t>
  </si>
  <si>
    <t>https://permalinkbnd.bnportugal.gov.pt/viewer/14629/?offset=#page=191&amp;viewer=picture&amp;o=info&amp;n=0&amp;q=</t>
  </si>
  <si>
    <t>https://permalinkbnd.bnportugal.gov.pt/viewer/14629/?offset=#page=209&amp;viewer=picture&amp;o=info&amp;n=0&amp;q=</t>
  </si>
  <si>
    <t>https://permalinkbnd.bnportugal.gov.pt/viewer/14629/?offset=#page=264&amp;viewer=picture&amp;o=info&amp;n=0&amp;q=</t>
  </si>
  <si>
    <t>https://permalinkbnd.bnportugal.gov.pt/viewer/14629/?offset=#page=297&amp;viewer=picture&amp;o=info&amp;n=0&amp;q=</t>
  </si>
  <si>
    <t>https://purl.pt/23636</t>
  </si>
  <si>
    <t>10, 86, 168, 266 [T. 1], 12, 102 (site), 202, 282 [T.2], 12 (site), 98, 176</t>
  </si>
  <si>
    <t>10, 86, 168, 266, 12, 102, 202, 282, 12, 98, 176</t>
  </si>
  <si>
    <t>https://permalinkbnd.bnportugal.gov.pt/viewer/14639/?offset=#page=10&amp;viewer=picture&amp;o=info&amp;n=0&amp;q=</t>
  </si>
  <si>
    <t>https://permalinkbnd.bnportugal.gov.pt/viewer/14639/?offset=#page=86&amp;viewer=picture&amp;o=info&amp;n=0&amp;q=</t>
  </si>
  <si>
    <t>https://permalinkbnd.bnportugal.gov.pt/viewer/14639/?offset=#page=168&amp;viewer=picture&amp;o=info&amp;n=0&amp;q=</t>
  </si>
  <si>
    <t>https://permalinkbnd.bnportugal.gov.pt/viewer/14639/?offset=#page=266&amp;viewer=picture&amp;o=info&amp;n=0&amp;q=</t>
  </si>
  <si>
    <t>https://permalinkbnd.bnportugal.gov.pt/viewer/14639/?offset=#page=12&amp;viewer=picture&amp;o=info&amp;n=0&amp;q=</t>
  </si>
  <si>
    <t>https://permalinkbnd.bnportugal.gov.pt/viewer/14639/?offset=#page=102&amp;viewer=picture&amp;o=info&amp;n=0&amp;q=</t>
  </si>
  <si>
    <t>https://permalinkbnd.bnportugal.gov.pt/viewer/14639/?offset=#page=202&amp;viewer=picture&amp;o=info&amp;n=0&amp;q=</t>
  </si>
  <si>
    <t>https://permalinkbnd.bnportugal.gov.pt/viewer/14639/?offset=#page=282&amp;viewer=picture&amp;o=info&amp;n=0&amp;q=</t>
  </si>
  <si>
    <t>TRABALHO REALIZADO ENTREGUE AO MIGUEL 27 FEV. 2026</t>
  </si>
  <si>
    <t>https://permalinkbnd.bnportugal.gov.pt/viewer/14639/?offset=#page=98&amp;viewer=picture&amp;o=info&amp;n=0&amp;q=</t>
  </si>
  <si>
    <t>https://permalinkbnd.bnportugal.gov.pt/viewer/14639/?offset=#page=176&amp;viewer=picture&amp;o=info&amp;n=0&amp;q=</t>
  </si>
  <si>
    <t>https://purl.pt/23649</t>
  </si>
  <si>
    <t>9, 37, 75, 115, 171, 211, 259, 293, 325, 365, 401</t>
  </si>
  <si>
    <t>https://permalinkbnd.bnportugal.gov.pt/viewer/14621/?offset=#page=9&amp;viewer=picture&amp;o=info&amp;n=0&amp;q=</t>
  </si>
  <si>
    <t>https://permalinkbnd.bnportugal.gov.pt/viewer/14621/?offset=#page=37&amp;viewer=picture&amp;o=info&amp;n=0&amp;q=</t>
  </si>
  <si>
    <t>https://permalinkbnd.bnportugal.gov.pt/viewer/14621/?offset=#page=75&amp;viewer=picture&amp;o=info&amp;n=0&amp;q=</t>
  </si>
  <si>
    <t>https://permalinkbnd.bnportugal.gov.pt/viewer/14621/?offset=#page=115&amp;viewer=picture&amp;o=info&amp;n=0&amp;q=</t>
  </si>
  <si>
    <t>https://permalinkbnd.bnportugal.gov.pt/viewer/14621/?offset=#page=171&amp;viewer=picture&amp;o=info&amp;n=0&amp;q=</t>
  </si>
  <si>
    <t>https://permalinkbnd.bnportugal.gov.pt/viewer/14621/?offset=#page=211&amp;viewer=picture&amp;o=info&amp;n=0&amp;q=</t>
  </si>
  <si>
    <t>https://permalinkbnd.bnportugal.gov.pt/viewer/14621/?offset=#page=259&amp;viewer=picture&amp;o=info&amp;n=0&amp;q=</t>
  </si>
  <si>
    <t>https://permalinkbnd.bnportugal.gov.pt/viewer/14621/?offset=#page=293&amp;viewer=picture&amp;o=info&amp;n=0&amp;q=</t>
  </si>
  <si>
    <t>https://permalinkbnd.bnportugal.gov.pt/viewer/14621/?offset=#page=325&amp;viewer=picture&amp;o=info&amp;n=0&amp;q=</t>
  </si>
  <si>
    <t>https://permalinkbnd.bnportugal.gov.pt/viewer/14621/?offset=#page=365&amp;viewer=picture&amp;o=info&amp;n=0&amp;q=</t>
  </si>
  <si>
    <t>https://permalinkbnd.bnportugal.gov.pt/viewer/14621/?offset=#page=401&amp;viewer=picture&amp;o=info&amp;n=0&amp;q=</t>
  </si>
  <si>
    <t>https://purl.pt/19852</t>
  </si>
  <si>
    <t>https://permalinkbnd.bnportugal.gov.pt/viewer/14573/?offset=#page=10&amp;viewer=picture&amp;o=info&amp;n=0&amp;q=</t>
  </si>
  <si>
    <t>https://purl.pt/14997</t>
  </si>
  <si>
    <t>https://permalinkbnd.bnportugal.gov.pt/viewer/14605/?offset=#page=19&amp;viewer=picture&amp;o=info&amp;n=0&amp;q=</t>
  </si>
  <si>
    <t>https://purl.pt/1</t>
  </si>
  <si>
    <t>https://permalinkbnd.bnportugal.gov.pt/viewer/14632/?offset=#page=7&amp;viewer=picture&amp;o=info&amp;n=0&amp;q=</t>
  </si>
  <si>
    <t>https://purl.pt/17473</t>
  </si>
  <si>
    <t>23, 45</t>
  </si>
  <si>
    <t>https://permalinkbnd.bnportugal.gov.pt/viewer/14680/?offset=#page=23&amp;viewer=picture&amp;o=info&amp;n=0&amp;q=</t>
  </si>
  <si>
    <t>https://permalinkbnd.bnportugal.gov.pt/viewer/14680/?offset=#page=45&amp;viewer=picture&amp;o=info&amp;n=0&amp;q=</t>
  </si>
  <si>
    <t>https://purl.pt/14689</t>
  </si>
  <si>
    <t>https://permalinkbnd.bnportugal.gov.pt/viewer/14556/?offset=#page=9&amp;viewer=picture&amp;o=info&amp;n=0&amp;q=</t>
  </si>
  <si>
    <t>https://purl.pt/14773</t>
  </si>
  <si>
    <t>https://permalinkbnd.bnportugal.gov.pt/viewer/14578/?offset=#page=5&amp;viewer=picture&amp;o=info&amp;n=0&amp;q=</t>
  </si>
  <si>
    <t>https://purl.pt/14880</t>
  </si>
  <si>
    <t>https://permalinkbnd.bnportugal.gov.pt/viewer/14576/?offset=#page=9&amp;viewer=picture&amp;o=info&amp;n=0&amp;q=</t>
  </si>
  <si>
    <t>https://purl.pt/14111</t>
  </si>
  <si>
    <t>3 [portada caravela], 8 [retrato do Poeta] , 12 [brasão]</t>
  </si>
  <si>
    <t>3, 8, 12</t>
  </si>
  <si>
    <t>https://permalinkbnd.bnportugal.gov.pt/viewer/14592/?offset=#page=3&amp;viewer=picture&amp;o=info&amp;n=0&amp;q=</t>
  </si>
  <si>
    <t>https://permalinkbnd.bnportugal.gov.pt/viewer/14592/?offset=#page=8&amp;viewer=picture&amp;o=info&amp;n=0&amp;q=</t>
  </si>
  <si>
    <t>https://permalinkbnd.bnportugal.gov.pt/viewer/14592/?offset=#page=12&amp;viewer=picture&amp;o=info&amp;n=0&amp;q=</t>
  </si>
  <si>
    <t>https://purl.pt/37844</t>
  </si>
  <si>
    <t>10 [Inês de Castro], 11 [Sonho de D. Manuel]</t>
  </si>
  <si>
    <t>https://permalinkbnd.bnportugal.gov.pt/viewer/14566/?offset=#page=10&amp;viewer=picture&amp;o=info&amp;n=0&amp;q=</t>
  </si>
  <si>
    <t>https://permalinkbnd.bnportugal.gov.pt/viewer/14566/?offset=#page=11&amp;viewer=picture&amp;o=info&amp;n=0&amp;q=</t>
  </si>
  <si>
    <t>https://purl.pt/44017</t>
  </si>
  <si>
    <t>6, 12 [retrato do Poeta laureado, Inês de Castro]</t>
  </si>
  <si>
    <t xml:space="preserve">6, 12 </t>
  </si>
  <si>
    <t>https://permalinkbnd.bnportugal.gov.pt/viewer/274466/?offset=#page=6&amp;viewer=picture&amp;o=info&amp;n=0&amp;q=</t>
  </si>
  <si>
    <t>https://permalinkbnd.bnportugal.gov.pt/viewer/274466/?offset=#page=12&amp;viewer=picture&amp;o=info&amp;n=0&amp;q=</t>
  </si>
  <si>
    <t>https://purl.pt/44632</t>
  </si>
  <si>
    <t>1 [retrato do Poeta]</t>
  </si>
  <si>
    <t>https://permalinkbnd.bnportugal.gov.pt/viewer/278408/?offset=#page=1&amp;viewer=picture&amp;o=info&amp;n=0&amp;q=</t>
  </si>
  <si>
    <t>https://purl.pt/23676</t>
  </si>
  <si>
    <t>1.º vol: 29 [retrato de Camões e Manuel de Faria], 100, 216, 297 [Vasco da Gama], 308, 347, 348, 349 [brasões], 424, 530; 2.º Vol: 7, 10, 76, 114, 194, 274, 418, 454, 463, 465, 466, 468, 472, 473, 474, 476, 480 [figuras históricas], 514, 520 [mapa], 521 [mapa]</t>
  </si>
  <si>
    <t>29, 100, 216, 297, 308, 424, 530, 7, 10, 76, 114, 194, 274, 418, 454, 463, 465, 466, 468, 472, 473, 474, 476, 480, 514, 520, 521</t>
  </si>
  <si>
    <t>https://permalinkbnd.bnportugal.gov.pt/viewer/14624/?offset=#page=29&amp;viewer=picture&amp;o=info&amp;n=0&amp;q=</t>
  </si>
  <si>
    <t>https://permalinkbnd.bnportugal.gov.pt/viewer/14624/?offset=#page=100&amp;viewer=picture&amp;o=info&amp;n=0&amp;q=</t>
  </si>
  <si>
    <t>https://permalinkbnd.bnportugal.gov.pt/viewer/14624/?offset=#page=216&amp;viewer=picture&amp;o=info&amp;n=0&amp;q=</t>
  </si>
  <si>
    <t>https://permalinkbnd.bnportugal.gov.pt/viewer/14624/?offset=#page=297&amp;viewer=picture&amp;o=info&amp;n=0&amp;q=</t>
  </si>
  <si>
    <t>https://permalinkbnd.bnportugal.gov.pt/viewer/14624/?offset=#page=308&amp;viewer=picture&amp;o=info&amp;n=0&amp;q=</t>
  </si>
  <si>
    <t>https://permalinkbnd.bnportugal.gov.pt/viewer/14624/?offset=#page=424&amp;viewer=picture&amp;o=info&amp;n=0&amp;q=</t>
  </si>
  <si>
    <t>https://permalinkbnd.bnportugal.gov.pt/viewer/14624/?offset=#page=530&amp;viewer=picture&amp;o=info&amp;n=0&amp;q=</t>
  </si>
  <si>
    <t>https://permalinkbnd.bnportugal.gov.pt/viewer/14624/?offset=#page=7&amp;viewer=picture&amp;o=info&amp;n=0&amp;q=</t>
  </si>
  <si>
    <t>https://permalinkbnd.bnportugal.gov.pt/viewer/14624/?offset=#page=10&amp;viewer=picture&amp;o=info&amp;n=0&amp;q=</t>
  </si>
  <si>
    <t>https://permalinkbnd.bnportugal.gov.pt/viewer/14624/?offset=#page=76&amp;viewer=picture&amp;o=info&amp;n=0&amp;q=</t>
  </si>
  <si>
    <t>https://permalinkbnd.bnportugal.gov.pt/viewer/14624/?offset=#page=114&amp;viewer=picture&amp;o=info&amp;n=0&amp;q=</t>
  </si>
  <si>
    <t>https://permalinkbnd.bnportugal.gov.pt/viewer/14624/?offset=#page=194&amp;viewer=picture&amp;o=info&amp;n=0&amp;q=</t>
  </si>
  <si>
    <t>https://permalinkbnd.bnportugal.gov.pt/viewer/14624/?offset=#page=274&amp;viewer=picture&amp;o=info&amp;n=0&amp;q=</t>
  </si>
  <si>
    <t>https://permalinkbnd.bnportugal.gov.pt/viewer/14624/?offset=#page=418&amp;viewer=picture&amp;o=info&amp;n=0&amp;q=</t>
  </si>
  <si>
    <t>https://permalinkbnd.bnportugal.gov.pt/viewer/14624/?offset=#page=454&amp;viewer=picture&amp;o=info&amp;n=0&amp;q=</t>
  </si>
  <si>
    <t>https://permalinkbnd.bnportugal.gov.pt/viewer/14624/?offset=#page=463&amp;viewer=picture&amp;o=info&amp;n=0&amp;q=</t>
  </si>
  <si>
    <t>https://permalinkbnd.bnportugal.gov.pt/viewer/14624/?offset=#page=465&amp;viewer=picture&amp;o=info&amp;n=0&amp;q=</t>
  </si>
  <si>
    <t>https://permalinkbnd.bnportugal.gov.pt/viewer/14624/?offset=#page=466&amp;viewer=picture&amp;o=info&amp;n=0&amp;q=</t>
  </si>
  <si>
    <t>https://permalinkbnd.bnportugal.gov.pt/viewer/14624/?offset=#page=468&amp;viewer=picture&amp;o=info&amp;n=0&amp;q=</t>
  </si>
  <si>
    <t>https://permalinkbnd.bnportugal.gov.pt/viewer/14624/?offset=#page=472&amp;viewer=picture&amp;o=info&amp;n=0&amp;q=</t>
  </si>
  <si>
    <t>https://permalinkbnd.bnportugal.gov.pt/viewer/14624/?offset=#page=473&amp;viewer=picture&amp;o=info&amp;n=0&amp;q=</t>
  </si>
  <si>
    <t>https://permalinkbnd.bnportugal.gov.pt/viewer/14624/?offset=#page=474&amp;viewer=picture&amp;o=info&amp;n=0&amp;q=</t>
  </si>
  <si>
    <t>https://permalinkbnd.bnportugal.gov.pt/viewer/14624/?offset=#page=476&amp;viewer=picture&amp;o=info&amp;n=0&amp;q=</t>
  </si>
  <si>
    <t>https://permalinkbnd.bnportugal.gov.pt/viewer/14624/?offset=#page=480&amp;viewer=picture&amp;o=info&amp;n=0&amp;q=</t>
  </si>
  <si>
    <t>https://permalinkbnd.bnportugal.gov.pt/viewer/14624/?offset=#page=514&amp;viewer=picture&amp;o=info&amp;n=0&amp;q=</t>
  </si>
  <si>
    <t>https://permalinkbnd.bnportugal.gov.pt/viewer/14624/?offset=#page=520&amp;viewer=picture&amp;o=info&amp;n=0&amp;q=</t>
  </si>
  <si>
    <t>https://permalinkbnd.bnportugal.gov.pt/viewer/14624/?offset=#page=521&amp;viewer=picture&amp;o=info&amp;n=0&amp;q=</t>
  </si>
  <si>
    <t>https://purl.pt/37883</t>
  </si>
  <si>
    <t>9, 23, 33, 57, 77, 99, 125 [site], 147, 157 [site], 173, 185 [site], 223, 231, 255, 265, 289, 295, 323 [site], 331, 340 [apontamento site], 365, 385</t>
  </si>
  <si>
    <t>9, 23, 33, 57, 77, 99, 125, 147, 157, 173, 185, 223, 231, 255, 265, 289, 295, 323, 331, 365, 385</t>
  </si>
  <si>
    <t>https://permalinkbnd.bnportugal.gov.pt/viewer/14587/?offset=#page=9&amp;viewer=picture&amp;o=info&amp;n=0&amp;q=</t>
  </si>
  <si>
    <t>https://permalinkbnd.bnportugal.gov.pt/viewer/14587/?offset=#page=23&amp;viewer=picture&amp;o=info&amp;n=0&amp;q=</t>
  </si>
  <si>
    <t>https://permalinkbnd.bnportugal.gov.pt/viewer/14587/?offset=#page=33&amp;viewer=picture&amp;o=info&amp;n=0&amp;q=</t>
  </si>
  <si>
    <t>https://permalinkbnd.bnportugal.gov.pt/viewer/14587/?offset=#page=57&amp;viewer=picture&amp;o=info&amp;n=0&amp;q=</t>
  </si>
  <si>
    <t>https://permalinkbnd.bnportugal.gov.pt/viewer/14587/?offset=#page=77&amp;viewer=picture&amp;o=info&amp;n=0&amp;q=</t>
  </si>
  <si>
    <t>https://permalinkbnd.bnportugal.gov.pt/viewer/14587/?offset=#page=99&amp;viewer=picture&amp;o=info&amp;n=0&amp;q=</t>
  </si>
  <si>
    <t>https://permalinkbnd.bnportugal.gov.pt/viewer/14587/?offset=#page=125&amp;viewer=picture&amp;o=info&amp;n=0&amp;q=</t>
  </si>
  <si>
    <t>https://permalinkbnd.bnportugal.gov.pt/viewer/14587/?offset=#page=147&amp;viewer=picture&amp;o=info&amp;n=0&amp;q=</t>
  </si>
  <si>
    <t>https://permalinkbnd.bnportugal.gov.pt/viewer/14587/?offset=#page=157&amp;viewer=picture&amp;o=info&amp;n=0&amp;q=</t>
  </si>
  <si>
    <t>https://permalinkbnd.bnportugal.gov.pt/viewer/14587/?offset=#page=173&amp;viewer=picture&amp;o=info&amp;n=0&amp;q=</t>
  </si>
  <si>
    <t>https://permalinkbnd.bnportugal.gov.pt/viewer/14587/?offset=#page=185&amp;viewer=picture&amp;o=info&amp;n=0&amp;q=</t>
  </si>
  <si>
    <t>https://permalinkbnd.bnportugal.gov.pt/viewer/14587/?offset=#page=223&amp;viewer=picture&amp;o=info&amp;n=0&amp;q=</t>
  </si>
  <si>
    <t>https://permalinkbnd.bnportugal.gov.pt/viewer/14587/?offset=#page=231&amp;viewer=picture&amp;o=info&amp;n=0&amp;q=</t>
  </si>
  <si>
    <t>https://permalinkbnd.bnportugal.gov.pt/viewer/14587/?offset=#page=255&amp;viewer=picture&amp;o=info&amp;n=0&amp;q=</t>
  </si>
  <si>
    <t>https://permalinkbnd.bnportugal.gov.pt/viewer/14587/?offset=#page=265&amp;viewer=picture&amp;o=info&amp;n=0&amp;q=</t>
  </si>
  <si>
    <t>https://permalinkbnd.bnportugal.gov.pt/viewer/14587/?offset=#page=289&amp;viewer=picture&amp;o=info&amp;n=0&amp;q=</t>
  </si>
  <si>
    <t>https://permalinkbnd.bnportugal.gov.pt/viewer/14587/?offset=#page=295&amp;viewer=picture&amp;o=info&amp;n=0&amp;q=</t>
  </si>
  <si>
    <t>https://permalinkbnd.bnportugal.gov.pt/viewer/14587/?offset=#page=323&amp;viewer=picture&amp;o=info&amp;n=0&amp;q=</t>
  </si>
  <si>
    <t>https://permalinkbnd.bnportugal.gov.pt/viewer/14587/?offset=#page=331&amp;viewer=picture&amp;o=info&amp;n=0&amp;q=</t>
  </si>
  <si>
    <t>https://permalinkbnd.bnportugal.gov.pt/viewer/14587/?offset=#page=365&amp;viewer=picture&amp;o=info&amp;n=0&amp;q=</t>
  </si>
  <si>
    <t>https://permalinkbnd.bnportugal.gov.pt/viewer/14587/?offset=#page=385&amp;viewer=picture&amp;o=info&amp;n=0&amp;q=</t>
  </si>
  <si>
    <t>https://purl.pt/14655</t>
  </si>
  <si>
    <t>8 [retrato do Poeta], 30 [Príncipe Henrique de Portugal], 31 [Vasco da Gama]</t>
  </si>
  <si>
    <t>8, 30, 31</t>
  </si>
  <si>
    <t>https://permalinkbnd.bnportugal.gov.pt/viewer/14650/?offset=#page=8&amp;viewer=picture&amp;o=info&amp;n=0&amp;q=</t>
  </si>
  <si>
    <t>https://permalinkbnd.bnportugal.gov.pt/viewer/14650/?offset=#page=30&amp;viewer=picture&amp;o=info&amp;n=0&amp;q=</t>
  </si>
  <si>
    <t>https://permalinkbnd.bnportugal.gov.pt/viewer/14650/?offset=#page=31&amp;viewer=picture&amp;o=info&amp;n=0&amp;q=</t>
  </si>
  <si>
    <t>https://purl.pt/19853</t>
  </si>
  <si>
    <t>6 [Entrega no Olimpo[?] de Os Lusíadas: Alegoria?], 35 [mapa Vasco da Gama]</t>
  </si>
  <si>
    <t xml:space="preserve">6, 35 </t>
  </si>
  <si>
    <t>https://permalinkbnd.bnportugal.gov.pt/viewer/14604/?offset=#page=6&amp;viewer=picture&amp;o=info&amp;n=0&amp;q=</t>
  </si>
  <si>
    <t>https://permalinkbnd.bnportugal.gov.pt/viewer/14604/?offset=#page=35&amp;viewer=picture&amp;o=info&amp;n=0&amp;q=</t>
  </si>
  <si>
    <t>https://purl.pt/44665</t>
  </si>
  <si>
    <t>13 [portada do Poema], 22 [apontamento]</t>
  </si>
  <si>
    <t>https://permalinkbnd.bnportugal.gov.pt/viewer/278482/?offset=#page=13&amp;viewer=picture&amp;o=info&amp;n=0&amp;q=</t>
  </si>
  <si>
    <t>https://purl.pt/39041</t>
  </si>
  <si>
    <t>12, 21 [Rei D. Sebastião], 108 [naves portuguesas], 125 [mapa itinerário Camões site]</t>
  </si>
  <si>
    <t xml:space="preserve">12, 21, 108, 125 </t>
  </si>
  <si>
    <t>https://permalinkbnd.bnportugal.gov.pt/viewer/14622/?offset=#page=12&amp;viewer=picture&amp;o=info&amp;n=0&amp;q=</t>
  </si>
  <si>
    <t>https://permalinkbnd.bnportugal.gov.pt/viewer/14622/?offset=#page=21&amp;viewer=picture&amp;o=info&amp;n=0&amp;q=</t>
  </si>
  <si>
    <t>https://permalinkbnd.bnportugal.gov.pt/viewer/14622/?offset=#page=108&amp;viewer=picture&amp;o=info&amp;n=0&amp;q=</t>
  </si>
  <si>
    <t>https://permalinkbnd.bnportugal.gov.pt/viewer/14622/?offset=#page=125&amp;viewer=picture&amp;o=info&amp;n=0&amp;q=</t>
  </si>
  <si>
    <t>https://purl.pt/25641</t>
  </si>
  <si>
    <t>6 [retrato do Poeta], 11 [portada da tradução italiana]</t>
  </si>
  <si>
    <t>6, 11</t>
  </si>
  <si>
    <t>https://permalinkbnd.bnportugal.gov.pt/viewer/86723/?offset=#page=6&amp;viewer=picture&amp;o=info&amp;n=0&amp;q=</t>
  </si>
  <si>
    <t>https://permalinkbnd.bnportugal.gov.pt/viewer/86723/?offset=#page=11&amp;viewer=picture&amp;o=info&amp;n=0&amp;q=</t>
  </si>
  <si>
    <t>https://purl.pt/44696</t>
  </si>
  <si>
    <t>17 [portada da Obra]</t>
  </si>
  <si>
    <t>https://permalinkbnd.bnportugal.gov.pt/viewer/278583/?offset=#page=17&amp;viewer=picture&amp;o=info&amp;n=0&amp;q=</t>
  </si>
  <si>
    <t>https://purl.pt/43948</t>
  </si>
  <si>
    <t>8 [retrato do Poeta], 55 ["António contava as campanhas do seu amo"], 81 ["Trava-se uma luta... desarma-o"], 198 ["Ontem ainda era para vós um desconhecido], 307 ["Saem pela porta secreta do jardim"], 369 ["Traidor..."]</t>
  </si>
  <si>
    <t>8, 55, 81, 198, 307, 369</t>
  </si>
  <si>
    <t>https://permalinkbnd.bnportugal.gov.pt/viewer/274032/?offset=#page=8&amp;viewer=picture&amp;o=info&amp;n=0&amp;q=</t>
  </si>
  <si>
    <t>https://permalinkbnd.bnportugal.gov.pt/viewer/274032/?offset=#page=55&amp;viewer=picture&amp;o=info&amp;n=0&amp;q=</t>
  </si>
  <si>
    <t>https://permalinkbnd.bnportugal.gov.pt/viewer/274032/?offset=#page=81&amp;viewer=picture&amp;o=info&amp;n=0&amp;q=</t>
  </si>
  <si>
    <t>https://permalinkbnd.bnportugal.gov.pt/viewer/274032/?offset=#page=198&amp;viewer=picture&amp;o=info&amp;n=0&amp;q=</t>
  </si>
  <si>
    <t>https://permalinkbnd.bnportugal.gov.pt/viewer/274032/?offset=#page=307&amp;viewer=picture&amp;o=info&amp;n=0&amp;q=</t>
  </si>
  <si>
    <t>https://permalinkbnd.bnportugal.gov.pt/viewer/274032/?offset=#page=369&amp;viewer=picture&amp;o=info&amp;n=0&amp;q=</t>
  </si>
  <si>
    <t>https://purl.pt/16331</t>
  </si>
  <si>
    <t>1 [retrato do Poeta], [6, 7 sobre vegetação] 10 [Ilha dos Amores, ilustração, com epígrafe do Canto], 11 [ilustração Canto V, com epígrafe, site], 14 [ilustração Canto V, com epígrafe, site], 16 [ilustração Velho do Restelo, Canto IV, com epígrafe] 20 [A leitura de Os Lusíadas]</t>
  </si>
  <si>
    <t>1, 10, 11, 14, 16, 20</t>
  </si>
  <si>
    <t>https://permalinkbnd.bnportugal.gov.pt/viewer/6839/?offset=#page=1&amp;viewer=picture&amp;o=info&amp;n=0&amp;q=</t>
  </si>
  <si>
    <t>https://permalinkbnd.bnportugal.gov.pt/viewer/6839/?offset=#page=10&amp;viewer=picture&amp;o=info&amp;n=0&amp;q=</t>
  </si>
  <si>
    <t>https://permalinkbnd.bnportugal.gov.pt/viewer/6839/?offset=#page=11&amp;viewer=picture&amp;o=info&amp;n=0&amp;q=</t>
  </si>
  <si>
    <t>https://permalinkbnd.bnportugal.gov.pt/viewer/6839/?offset=#page=14&amp;viewer=picture&amp;o=info&amp;n=0&amp;q=</t>
  </si>
  <si>
    <t>https://permalinkbnd.bnportugal.gov.pt/viewer/6839/?offset=#page=16&amp;viewer=picture&amp;o=info&amp;n=0&amp;q=</t>
  </si>
  <si>
    <t>https://permalinkbnd.bnportugal.gov.pt/viewer/6839/?offset=#page=20&amp;viewer=picture&amp;o=info&amp;n=0&amp;q=</t>
  </si>
  <si>
    <t>https://purl.pt/6946</t>
  </si>
  <si>
    <t>https://permalinkbnd.bnportugal.gov.pt/viewer/36391/?offset=#page=1&amp;viewer=picture&amp;o=info&amp;n=0&amp;q=</t>
  </si>
  <si>
    <t>https://purl.pt/14100</t>
  </si>
  <si>
    <t>160 [apontamento]</t>
  </si>
  <si>
    <t xml:space="preserve">sem imagem </t>
  </si>
  <si>
    <t>https://permalinkbnd.bnportugal.gov.pt/viewer/14630/?offset=#page=1&amp;viewer=picture&amp;o=info&amp;n=0&amp;q=</t>
  </si>
  <si>
    <t>https://purl.pt/44728</t>
  </si>
  <si>
    <t>10 [estátua de Camões]</t>
  </si>
  <si>
    <t>https://permalinkbnd.bnportugal.gov.pt/viewer/278664/?offset=#page=10&amp;viewer=picture&amp;o=info&amp;n=0&amp;q=</t>
  </si>
  <si>
    <t>https://purl.pt/44737</t>
  </si>
  <si>
    <t>8 [retrato do Poeta]</t>
  </si>
  <si>
    <t>https://permalinkbnd.bnportugal.gov.pt/viewer/278660/?offset=#page=8&amp;viewer=picture&amp;o=info&amp;n=0&amp;q=</t>
  </si>
  <si>
    <t>https://purl.pt/44738</t>
  </si>
  <si>
    <t>https://permalinkbnd.bnportugal.gov.pt/viewer/278669/?offset=#page=6&amp;viewer=picture&amp;o=info&amp;n=0&amp;q=</t>
  </si>
  <si>
    <t>https://purl.pt/44788</t>
  </si>
  <si>
    <t>https://permalinkbnd.bnportugal.gov.pt/viewer/278783/?offset=#page=6&amp;viewer=picture&amp;o=info&amp;n=0&amp;q=</t>
  </si>
  <si>
    <t>https://purl.pt/44793</t>
  </si>
  <si>
    <t>https://permalinkbnd.bnportugal.gov.pt/viewer/278786/?offset=#page=10&amp;viewer=picture&amp;o=info&amp;n=0&amp;q=</t>
  </si>
  <si>
    <t>https://purl.pt/44792</t>
  </si>
  <si>
    <t>https://permalinkbnd.bnportugal.gov.pt/viewer/278784/?offset=#page=8&amp;viewer=picture&amp;o=info&amp;n=0&amp;q=</t>
  </si>
  <si>
    <t>https://purl.pt/44804</t>
  </si>
  <si>
    <t>https://permalinkbnd.bnportugal.gov.pt/viewer/278793/?offset=#page=6&amp;viewer=picture&amp;o=info&amp;n=0&amp;q=</t>
  </si>
  <si>
    <t>https://purl.pt/44796</t>
  </si>
  <si>
    <t>6 [retrato do Poeta], 7 [portada]</t>
  </si>
  <si>
    <t>https://permalinkbnd.bnportugal.gov.pt/viewer/278782/?offset=#page=6&amp;viewer=picture&amp;o=info&amp;n=0&amp;q=</t>
  </si>
  <si>
    <t>https://purl.pt/43959</t>
  </si>
  <si>
    <t>1, 8 [site], 9, 12, 25 [site], 27, 29 [site], 59, 71 [site], 89, 95, 127 [site], 135, 161 [site], 167, 181 [site], 197, 207, 227, 241, 253, 271, 283, 307 [site], 311, 349 [Retrato de Camões. Retrato de António José Gomes Monteiro. Portadas dos Cantos: o grafismo não altera, apenas o número do Canto. Camões salvando Os Lusíadas, C. na gruta, Venús, rei de Melinde assasínio de Inês de Castro, Velho do Restelo, Adamastor, Baco e Júpiter, Catual e V. da Gama, Samorim e V. da Gama, coroação do Poeta, D. Manuel] [15, 31 [site], 57, 61, 97, 137, 169, 199, 229, 255, 285, 313 [frisos no início de cada Canto]</t>
  </si>
  <si>
    <t>1, 8, 9, 25, 27, 29, 31, 59, 71, 89, 95, 127, 135, 161, 167, 181, 197, 207, 227, 241, 253, 271, 283, 307, 311, 349</t>
  </si>
  <si>
    <t>https://permalinkbnd.bnportugal.gov.pt/viewer/272640/?offset=#page=1&amp;viewer=picture&amp;o=info&amp;n=0&amp;q=</t>
  </si>
  <si>
    <t>https://permalinkbnd.bnportugal.gov.pt/viewer/272640/?offset=#page=8&amp;viewer=picture&amp;o=info&amp;n=0&amp;q=</t>
  </si>
  <si>
    <t>https://permalinkbnd.bnportugal.gov.pt/viewer/272640/?offset=#page=9&amp;viewer=picture&amp;o=info&amp;n=0&amp;q=</t>
  </si>
  <si>
    <t>https://permalinkbnd.bnportugal.gov.pt/viewer/272640/?offset=#page=25&amp;viewer=picture&amp;o=info&amp;n=0&amp;q=</t>
  </si>
  <si>
    <t>https://permalinkbnd.bnportugal.gov.pt/viewer/272640/?offset=#page=27&amp;viewer=picture&amp;o=info&amp;n=0&amp;q=</t>
  </si>
  <si>
    <t>https://permalinkbnd.bnportugal.gov.pt/viewer/272640/?offset=#page=29&amp;viewer=picture&amp;o=info&amp;n=0&amp;q=</t>
  </si>
  <si>
    <t>https://permalinkbnd.bnportugal.gov.pt/viewer/272640/?offset=#page=31&amp;viewer=picture&amp;o=info&amp;n=0&amp;q=</t>
  </si>
  <si>
    <t>https://permalinkbnd.bnportugal.gov.pt/viewer/272640/?offset=#page=59&amp;viewer=picture&amp;o=info&amp;n=0&amp;q=</t>
  </si>
  <si>
    <t>https://permalinkbnd.bnportugal.gov.pt/viewer/272640/?offset=#page=71&amp;viewer=picture&amp;o=info&amp;n=0&amp;q=</t>
  </si>
  <si>
    <t>https://permalinkbnd.bnportugal.gov.pt/viewer/272640/?offset=#page=89&amp;viewer=picture&amp;o=info&amp;n=0&amp;q=</t>
  </si>
  <si>
    <t>https://permalinkbnd.bnportugal.gov.pt/viewer/272640/?offset=#page=95&amp;viewer=picture&amp;o=info&amp;n=0&amp;q=</t>
  </si>
  <si>
    <t>https://permalinkbnd.bnportugal.gov.pt/viewer/272640/?offset=#page=127&amp;viewer=picture&amp;o=info&amp;n=0&amp;q=</t>
  </si>
  <si>
    <t>https://permalinkbnd.bnportugal.gov.pt/viewer/272640/?offset=#page=135&amp;viewer=picture&amp;o=info&amp;n=0&amp;q=</t>
  </si>
  <si>
    <t>https://permalinkbnd.bnportugal.gov.pt/viewer/272640/?offset=#page=161&amp;viewer=picture&amp;o=info&amp;n=0&amp;q=</t>
  </si>
  <si>
    <t>https://permalinkbnd.bnportugal.gov.pt/viewer/272640/?offset=#page=167&amp;viewer=picture&amp;o=info&amp;n=0&amp;q=</t>
  </si>
  <si>
    <t>https://permalinkbnd.bnportugal.gov.pt/viewer/272640/?offset=#page=181&amp;viewer=picture&amp;o=info&amp;n=0&amp;q=</t>
  </si>
  <si>
    <t>https://permalinkbnd.bnportugal.gov.pt/viewer/272640/?offset=#page=197&amp;viewer=picture&amp;o=info&amp;n=0&amp;q=</t>
  </si>
  <si>
    <t>https://permalinkbnd.bnportugal.gov.pt/viewer/272640/?offset=#page=207&amp;viewer=picture&amp;o=info&amp;n=0&amp;q=</t>
  </si>
  <si>
    <t>https://permalinkbnd.bnportugal.gov.pt/viewer/272640/?offset=#page=227&amp;viewer=picture&amp;o=info&amp;n=0&amp;q=</t>
  </si>
  <si>
    <t>https://permalinkbnd.bnportugal.gov.pt/viewer/272640/?offset=#page=241&amp;viewer=picture&amp;o=info&amp;n=0&amp;q=</t>
  </si>
  <si>
    <t>https://permalinkbnd.bnportugal.gov.pt/viewer/272640/?offset=#page=253&amp;viewer=picture&amp;o=info&amp;n=0&amp;q=</t>
  </si>
  <si>
    <t>https://permalinkbnd.bnportugal.gov.pt/viewer/272640/?offset=#page=271&amp;viewer=picture&amp;o=info&amp;n=0&amp;q=</t>
  </si>
  <si>
    <t>https://permalinkbnd.bnportugal.gov.pt/viewer/272640/?offset=#page=283&amp;viewer=picture&amp;o=info&amp;n=0&amp;q=</t>
  </si>
  <si>
    <t>https://permalinkbnd.bnportugal.gov.pt/viewer/272640/?offset=#page=307&amp;viewer=picture&amp;o=info&amp;n=0&amp;q=</t>
  </si>
  <si>
    <t>https://permalinkbnd.bnportugal.gov.pt/viewer/272640/?offset=#page=311&amp;viewer=picture&amp;o=info&amp;n=0&amp;q=</t>
  </si>
  <si>
    <t>https://permalinkbnd.bnportugal.gov.pt/viewer/272640/?offset=#page=349&amp;viewer=picture&amp;o=info&amp;n=0&amp;q=</t>
  </si>
  <si>
    <t>https://purl.pt/44818</t>
  </si>
  <si>
    <t>5 [ilustração capa], 7 [retrato]</t>
  </si>
  <si>
    <t>5, 7</t>
  </si>
  <si>
    <t>https://permalinkbnd.bnportugal.gov.pt/viewer/279630/?offset=#page=5&amp;viewer=picture&amp;o=info&amp;n=0&amp;q=</t>
  </si>
  <si>
    <t>https://permalinkbnd.bnportugal.gov.pt/viewer/279630/?offset=#page=7&amp;viewer=picture&amp;o=info&amp;n=0&amp;q=</t>
  </si>
  <si>
    <t>https://purl.pt/44832</t>
  </si>
  <si>
    <t>4 [retrato do Poeta], 104 [padrão]</t>
  </si>
  <si>
    <t>https://permalinkbnd.bnportugal.gov.pt/viewer/279634/?offset=#page=4&amp;viewer=picture&amp;o=info&amp;n=0&amp;q=</t>
  </si>
  <si>
    <t>https://purl.pt/44938</t>
  </si>
  <si>
    <t>1 [retrato do Poeta], 83 [repetição]</t>
  </si>
  <si>
    <t>https://permalinkbnd.bnportugal.gov.pt/viewer/279104/?offset=#page=1&amp;viewer=picture&amp;o=info&amp;n=0&amp;q=</t>
  </si>
  <si>
    <t>https://purl.pt/7452</t>
  </si>
  <si>
    <t>1 [cartaz com retrato do Poeta]</t>
  </si>
  <si>
    <t>https://permalinkbnd.bnportugal.gov.pt/viewer/20471/?offset=#page=1&amp;viewer=picture&amp;o=info&amp;n=0&amp;q=</t>
  </si>
  <si>
    <t>https://purl.pt/8384</t>
  </si>
  <si>
    <t>1 [cartaz para visita ao Mosteiro]</t>
  </si>
  <si>
    <t>https://permalinkbnd.bnportugal.gov.pt/viewer/17516/?offset=#page=1&amp;viewer=picture&amp;o=info&amp;n=0&amp;q=</t>
  </si>
  <si>
    <t>https://purl.pt/14465</t>
  </si>
  <si>
    <t>1, 5, 9 [apontamentos], 13 [retrato do Poeta, site], 30 [ilustração Canto I, Vasco da Gama e globo, site], 32 [Vénus, site], 33 [figura], 54 [ilustração Canto II], 55, 76, 78 [ilustração Canto III], 106 [Vasco da Gama], 107, 128 [Adamastor], 129 [sereia com caravela], 148 [desenho de palmeira com ave], 150 [ilustração Canto VI], 151 [Portugal], 170, 171 [ilustrações Canto VII], 188, 189 [ilustrações Canto VIII], 208, 209 [ilustrações Canto IX, Ilha dos Amores e Calecute], 228, 229 [ilustrações Canto X] 256, 257 [apontamentos].</t>
  </si>
  <si>
    <t>13, 30, 32, 54, 78, 106, 128, 129, 150, 151, 170, 171, 188, 189, 208, 209, 228, 229</t>
  </si>
  <si>
    <t>https://permalinkbnd.bnportugal.gov.pt/viewer/14594/?offset=#page=13&amp;viewer=picture&amp;o=info&amp;n=0&amp;q=</t>
  </si>
  <si>
    <t>https://permalinkbnd.bnportugal.gov.pt/viewer/14594/?offset=#page=30&amp;viewer=picture&amp;o=info&amp;n=0&amp;q=</t>
  </si>
  <si>
    <t>https://permalinkbnd.bnportugal.gov.pt/viewer/14594/?offset=#page=32&amp;viewer=picture&amp;o=info&amp;n=0&amp;q=</t>
  </si>
  <si>
    <t>https://permalinkbnd.bnportugal.gov.pt/viewer/14594/?offset=#page=54&amp;viewer=picture&amp;o=info&amp;n=0&amp;q=</t>
  </si>
  <si>
    <t>https://permalinkbnd.bnportugal.gov.pt/viewer/14594/?offset=#page=78&amp;viewer=picture&amp;o=info&amp;n=0&amp;q=</t>
  </si>
  <si>
    <t>https://permalinkbnd.bnportugal.gov.pt/viewer/14594/?offset=#page=106&amp;viewer=picture&amp;o=info&amp;n=0&amp;q=</t>
  </si>
  <si>
    <t>https://permalinkbnd.bnportugal.gov.pt/viewer/14594/?offset=#page=128&amp;viewer=picture&amp;o=info&amp;n=0&amp;q=</t>
  </si>
  <si>
    <t>https://permalinkbnd.bnportugal.gov.pt/viewer/14594/?offset=#page=129&amp;viewer=picture&amp;o=info&amp;n=0&amp;q=</t>
  </si>
  <si>
    <t>https://permalinkbnd.bnportugal.gov.pt/viewer/14594/?offset=#page=150&amp;viewer=picture&amp;o=info&amp;n=0&amp;q=</t>
  </si>
  <si>
    <t>https://permalinkbnd.bnportugal.gov.pt/viewer/14594/?offset=#page=151&amp;viewer=picture&amp;o=info&amp;n=0&amp;q=</t>
  </si>
  <si>
    <t>https://permalinkbnd.bnportugal.gov.pt/viewer/14594/?offset=#page=170&amp;viewer=picture&amp;o=info&amp;n=0&amp;q=</t>
  </si>
  <si>
    <t>https://permalinkbnd.bnportugal.gov.pt/viewer/14594/?offset=#page=171&amp;viewer=picture&amp;o=info&amp;n=0&amp;q=</t>
  </si>
  <si>
    <t>https://permalinkbnd.bnportugal.gov.pt/viewer/14594/?offset=#page=188&amp;viewer=picture&amp;o=info&amp;n=0&amp;q=</t>
  </si>
  <si>
    <t>https://permalinkbnd.bnportugal.gov.pt/viewer/14594/?offset=#page=189&amp;viewer=picture&amp;o=info&amp;n=0&amp;q=</t>
  </si>
  <si>
    <t>https://permalinkbnd.bnportugal.gov.pt/viewer/14594/?offset=#page=208&amp;viewer=picture&amp;o=info&amp;n=0&amp;q=</t>
  </si>
  <si>
    <t>https://permalinkbnd.bnportugal.gov.pt/viewer/14594/?offset=#page=209&amp;viewer=picture&amp;o=info&amp;n=0&amp;q=</t>
  </si>
  <si>
    <t>https://permalinkbnd.bnportugal.gov.pt/viewer/14594/?offset=#page=228&amp;viewer=picture&amp;o=info&amp;n=0&amp;q=</t>
  </si>
  <si>
    <t>https://permalinkbnd.bnportugal.gov.pt/viewer/14594/?offset=#page=229&amp;viewer=picture&amp;o=info&amp;n=0&amp;q=</t>
  </si>
  <si>
    <t>https://purl.pt/27836</t>
  </si>
  <si>
    <t>https://permalinkbnd.bnportugal.gov.pt/viewer/89062/?offset=#page=1&amp;viewer=picture&amp;o=info&amp;n=0&amp;q=</t>
  </si>
  <si>
    <t>https://purl.pt/43582</t>
  </si>
  <si>
    <t>4 [estátua do Poeta]</t>
  </si>
  <si>
    <t>https://permalinkbnd.bnportugal.gov.pt/viewer/272813/?offset=#page=4&amp;viewer=picture&amp;o=info&amp;n=0&amp;q=</t>
  </si>
  <si>
    <t>https://purl.pt/44933</t>
  </si>
  <si>
    <t>https://permalinkbnd.bnportugal.gov.pt/viewer/279095/?offset=#page=13&amp;viewer=picture&amp;o=info&amp;n=0&amp;q=</t>
  </si>
  <si>
    <t>https://purl.pt/44628</t>
  </si>
  <si>
    <t>15, 109, 121, 135, 145, 165 [apontamentos frisos site]</t>
  </si>
  <si>
    <t>https://permalinkbnd.bnportugal.gov.pt/viewer/278400/?offset=#page=15&amp;viewer=picture&amp;o=info&amp;n=0&amp;q=</t>
  </si>
  <si>
    <t>117 vs. 109</t>
  </si>
  <si>
    <t>pag. assumida 117</t>
  </si>
  <si>
    <t>https://permalinkbnd.bnportugal.gov.pt/viewer/278400/?offset=#page=117 vs. 109&amp;viewer=picture&amp;o=info&amp;n=0&amp;q=</t>
  </si>
  <si>
    <t>https://permalinkbnd.bnportugal.gov.pt/viewer/278400/?offset=#page=121&amp;viewer=picture&amp;o=info&amp;n=0&amp;q=</t>
  </si>
  <si>
    <t>153 vs. 135</t>
  </si>
  <si>
    <t>pag. assumida 153</t>
  </si>
  <si>
    <t>https://permalinkbnd.bnportugal.gov.pt/viewer/278400/?offset=#page=153 vs. 135&amp;viewer=picture&amp;o=info&amp;n=0&amp;q=</t>
  </si>
  <si>
    <t>https://permalinkbnd.bnportugal.gov.pt/viewer/278400/?offset=#page=145&amp;viewer=picture&amp;o=info&amp;n=0&amp;q=</t>
  </si>
  <si>
    <t>https://permalinkbnd.bnportugal.gov.pt/viewer/278400/?offset=#page=165&amp;viewer=picture&amp;o=info&amp;n=0&amp;q=</t>
  </si>
  <si>
    <t>https://purl.pt/44736</t>
  </si>
  <si>
    <t>5, 8 figuras zoológicas que parecem não pertencer à edição</t>
  </si>
  <si>
    <t>https://permalinkbnd.bnportugal.gov.pt/viewer/278662/?offset=#page=5&amp;viewer=picture&amp;o=info&amp;n=0&amp;q=</t>
  </si>
  <si>
    <t>https://permalinkbnd.bnportugal.gov.pt/viewer/278662/?offset=#page=8&amp;viewer=picture&amp;o=info&amp;n=0&amp;q=</t>
  </si>
  <si>
    <t>https://purl.pt/44671</t>
  </si>
  <si>
    <t>https://permalinkbnd.bnportugal.gov.pt/viewer/278491/?offset=#page=5&amp;viewer=picture&amp;o=info&amp;n=0&amp;q=</t>
  </si>
  <si>
    <t>https://purl.pt/44739</t>
  </si>
  <si>
    <t>4 [estátua sepulcral de Inês de Castro]</t>
  </si>
  <si>
    <t>https://permalinkbnd.bnportugal.gov.pt/viewer/278670/?offset=#page=4&amp;viewer=picture&amp;o=info&amp;n=0&amp;q=</t>
  </si>
  <si>
    <t>https://purl.pt/44834</t>
  </si>
  <si>
    <t>3 [portada], 5 apontamentos frisos, 8 [ilha de São Lázaro, Veneza], 10 tipografia do convento de S. Lázaro</t>
  </si>
  <si>
    <t>https://permalinkbnd.bnportugal.gov.pt/viewer/279637/?offset=#page=3&amp;viewer=picture&amp;o=info&amp;n=0&amp;q=</t>
  </si>
  <si>
    <t>4 [portada], 5 apontamentos frisos, 8 [ilha de São Lázaro, Veneza], 10 tipografia do convento de S. Lázaro</t>
  </si>
  <si>
    <t>https://permalinkbnd.bnportugal.gov.pt/viewer/279637/?offset=#page=5&amp;viewer=picture&amp;o=info&amp;n=0&amp;q=</t>
  </si>
  <si>
    <t>5 [portada], 5 apontamentos frisos, 8 [ilha de São Lázaro, Veneza], 10 tipografia do convento de S. Lázaro</t>
  </si>
  <si>
    <t>https://permalinkbnd.bnportugal.gov.pt/viewer/279637/?offset=#page=8&amp;viewer=picture&amp;o=info&amp;n=0&amp;q=</t>
  </si>
  <si>
    <t>6 [portada], 5 apontamentos frisos, 8 [ilha de São Lázaro, Veneza], 10 tipografia do convento de S. Lázaro</t>
  </si>
  <si>
    <t>https://permalinkbnd.bnportugal.gov.pt/viewer/279637/?offset=#page=10&amp;viewer=picture&amp;o=info&amp;n=0&amp;q=</t>
  </si>
  <si>
    <t>https://purl.pt/44583</t>
  </si>
  <si>
    <t>12 [retrato do Poeta]</t>
  </si>
  <si>
    <t>https://permalinkbnd.bnportugal.gov.pt/viewer/1880/?offset=#page=12&amp;viewer=picture&amp;o=info&amp;n=0&amp;q=</t>
  </si>
  <si>
    <t>https://purl.pt/44713</t>
  </si>
  <si>
    <t>https://permalinkbnd.bnportugal.gov.pt/viewer/278595/?offset=#page=10&amp;viewer=picture&amp;o=info&amp;n=0&amp;q=</t>
  </si>
  <si>
    <t>https://purl.pt/44712</t>
  </si>
  <si>
    <t>8 [posições de Vénus na eclíptica]</t>
  </si>
  <si>
    <t>https://permalinkbnd.bnportugal.gov.pt/viewer/278597/?offset=#page=8&amp;viewer=picture&amp;o=info&amp;n=0&amp;q=</t>
  </si>
  <si>
    <t>https://purl.pt/44726</t>
  </si>
  <si>
    <t>https://permalinkbnd.bnportugal.gov.pt/viewer/278668/?offset=#page=1&amp;viewer=picture&amp;o=info&amp;n=0&amp;q=</t>
  </si>
  <si>
    <t>https://purl.pt/44727</t>
  </si>
  <si>
    <t>5 [retrato do Poeta]</t>
  </si>
  <si>
    <t>https://permalinkbnd.bnportugal.gov.pt/viewer/278663/?offset=#page=5&amp;viewer=picture&amp;o=info&amp;n=0&amp;q=</t>
  </si>
  <si>
    <t>https://purl.pt/44799</t>
  </si>
  <si>
    <t>1 [retrato do poeta], 8 [retrato do poeta], 59 [Ilustração Canto I], 97 [Ilustração Canto II], 139 [Ilustração Canto III], 191 [Ilustração Canto IV], 229 [Ilustração Canto V], 265 [Ilustração Canto VI], 301 [Ilustração Canto VII], 333[Ilustração Canto VIII], 369 [Ilustração Canto IX], 405 [Ilustração Canto X]</t>
  </si>
  <si>
    <t>8, 59, 97, 139, 191, 229, 265, 301, 333, 369, 405</t>
  </si>
  <si>
    <t>https://permalinkbnd.bnportugal.gov.pt/viewer/278795/?offset=#page=8&amp;viewer=picture&amp;o=info&amp;n=0&amp;q=</t>
  </si>
  <si>
    <t>https://permalinkbnd.bnportugal.gov.pt/viewer/278795/?offset=#page=59&amp;viewer=picture&amp;o=info&amp;n=0&amp;q=</t>
  </si>
  <si>
    <t>https://permalinkbnd.bnportugal.gov.pt/viewer/278795/?offset=#page=97&amp;viewer=picture&amp;o=info&amp;n=0&amp;q=</t>
  </si>
  <si>
    <t>https://permalinkbnd.bnportugal.gov.pt/viewer/278795/?offset=#page=139&amp;viewer=picture&amp;o=info&amp;n=0&amp;q=</t>
  </si>
  <si>
    <t>https://permalinkbnd.bnportugal.gov.pt/viewer/278795/?offset=#page=191&amp;viewer=picture&amp;o=info&amp;n=0&amp;q=</t>
  </si>
  <si>
    <t>https://permalinkbnd.bnportugal.gov.pt/viewer/278795/?offset=#page=229&amp;viewer=picture&amp;o=info&amp;n=0&amp;q=</t>
  </si>
  <si>
    <t>https://permalinkbnd.bnportugal.gov.pt/viewer/278795/?offset=#page=265&amp;viewer=picture&amp;o=info&amp;n=0&amp;q=</t>
  </si>
  <si>
    <t>https://permalinkbnd.bnportugal.gov.pt/viewer/278795/?offset=#page=301&amp;viewer=picture&amp;o=info&amp;n=0&amp;q=</t>
  </si>
  <si>
    <t>https://permalinkbnd.bnportugal.gov.pt/viewer/278795/?offset=#page=333&amp;viewer=picture&amp;o=info&amp;n=0&amp;q=</t>
  </si>
  <si>
    <t>https://permalinkbnd.bnportugal.gov.pt/viewer/278795/?offset=#page=369&amp;viewer=picture&amp;o=info&amp;n=0&amp;q=</t>
  </si>
  <si>
    <t>https://permalinkbnd.bnportugal.gov.pt/viewer/278795/?offset=#page=405&amp;viewer=picture&amp;o=info&amp;n=0&amp;q=</t>
  </si>
  <si>
    <t>https://purl.pt/44828</t>
  </si>
  <si>
    <t>24, 22 [apontamentos]</t>
  </si>
  <si>
    <t>https://permalinkbnd.bnportugal.gov.pt/viewer/279624/?offset=#page=22&amp;viewer=picture&amp;o=info&amp;n=0&amp;q=</t>
  </si>
  <si>
    <t>https://permalinkbnd.bnportugal.gov.pt/viewer/279624/?offset=#page=24&amp;viewer=picture&amp;o=info&amp;n=0&amp;q=</t>
  </si>
  <si>
    <t>https://purl.pt/44930</t>
  </si>
  <si>
    <t>5 [retrato do Poeta], 7 [Vasco da Gama]</t>
  </si>
  <si>
    <t>https://permalinkbnd.bnportugal.gov.pt/viewer/279100/?offset=#page=5&amp;viewer=picture&amp;o=info&amp;n=0&amp;q=</t>
  </si>
  <si>
    <t>https://permalinkbnd.bnportugal.gov.pt/viewer/279100/?offset=#page=7&amp;viewer=picture&amp;o=info&amp;n=0&amp;q=</t>
  </si>
  <si>
    <t>https://purl.pt/44675</t>
  </si>
  <si>
    <t>9, 11 [a morte de Inês de Castro e friso site]</t>
  </si>
  <si>
    <t>https://permalinkbnd.bnportugal.gov.pt/viewer/278495/?offset=#page=9&amp;viewer=picture&amp;o=info&amp;n=0&amp;q=</t>
  </si>
  <si>
    <t>https://purl.pt/40198</t>
  </si>
  <si>
    <t>1 [retrato-capa do Poeta], 9 [retratos do poeta e Ilha dos Amores por Júlio Pereira], 14 [imagem fim de página], 19 [desenho de Jorge Vieira], 20 [desenho musa ou ninfa por José António Flores], 39 [desenho de Rogério Ribeiro], 42 [desenho de Cipriano Dourado], 45 [desenho de José Rodrigues, figura de um Poeta laureado pela Natureza e coroa de louros suspensa], 48 [desenho de Henrique Ruivo], 59 [desenho de José Rodrigues], 66 [pequenos retratos do Poeta em edições]</t>
  </si>
  <si>
    <t>1, 9, 14, 19, 20, 39, 42, 45, 48, 59, 66</t>
  </si>
  <si>
    <t>https://permalinkbnd.bnportugal.gov.pt/viewer/256552/?offset=#page=1&amp;viewer=picture&amp;o=info&amp;n=0&amp;q=</t>
  </si>
  <si>
    <t>https://permalinkbnd.bnportugal.gov.pt/viewer/256552/?offset=#page=9&amp;viewer=picture&amp;o=info&amp;n=0&amp;q=</t>
  </si>
  <si>
    <t>https://permalinkbnd.bnportugal.gov.pt/viewer/256552/?offset=#page=14&amp;viewer=picture&amp;o=info&amp;n=0&amp;q=</t>
  </si>
  <si>
    <t>https://permalinkbnd.bnportugal.gov.pt/viewer/256552/?offset=#page=19&amp;viewer=picture&amp;o=info&amp;n=0&amp;q=</t>
  </si>
  <si>
    <t>https://permalinkbnd.bnportugal.gov.pt/viewer/256552/?offset=#page=20&amp;viewer=picture&amp;o=info&amp;n=0&amp;q=</t>
  </si>
  <si>
    <t>https://permalinkbnd.bnportugal.gov.pt/viewer/256552/?offset=#page=39&amp;viewer=picture&amp;o=info&amp;n=0&amp;q=</t>
  </si>
  <si>
    <t>https://permalinkbnd.bnportugal.gov.pt/viewer/256552/?offset=#page=42&amp;viewer=picture&amp;o=info&amp;n=0&amp;q=</t>
  </si>
  <si>
    <t>https://permalinkbnd.bnportugal.gov.pt/viewer/256552/?offset=#page=45&amp;viewer=picture&amp;o=info&amp;n=0&amp;q=</t>
  </si>
  <si>
    <t>https://permalinkbnd.bnportugal.gov.pt/viewer/256552/?offset=#page=48&amp;viewer=picture&amp;o=info&amp;n=0&amp;q=</t>
  </si>
  <si>
    <t>https://permalinkbnd.bnportugal.gov.pt/viewer/256552/?offset=#page=59&amp;viewer=picture&amp;o=info&amp;n=0&amp;q=</t>
  </si>
  <si>
    <t>https://permalinkbnd.bnportugal.gov.pt/viewer/256552/?offset=#page=66&amp;viewer=picture&amp;o=info&amp;n=0&amp;q=</t>
  </si>
  <si>
    <t>https://purl.pt/23692</t>
  </si>
  <si>
    <t>https://permalinkbnd.bnportugal.gov.pt/viewer/14657/?offset=#page=9&amp;viewer=picture&amp;o=info&amp;n=0&amp;q=</t>
  </si>
  <si>
    <t>https://purl.pt/20913</t>
  </si>
  <si>
    <t>2 [retrato do Poeta, cópia fidelíssima]; 3 [retrato de Camões na prisão em Goa]; 4 [retrato do Poeta, Miniatura de Goa]</t>
  </si>
  <si>
    <t>2, 3, 4</t>
  </si>
  <si>
    <t>https://permalinkbnd.bnportugal.gov.pt/viewer/3/?offset=#page=2&amp;viewer=picture&amp;o=info&amp;n=0&amp;q=</t>
  </si>
  <si>
    <t>https://permalinkbnd.bnportugal.gov.pt/viewer/3/?offset=#page=3&amp;viewer=picture&amp;o=info&amp;n=0&amp;q=</t>
  </si>
  <si>
    <t>https://permalinkbnd.bnportugal.gov.pt/viewer/3/?offset=#page=4&amp;viewer=picture&amp;o=info&amp;n=0&amp;q=</t>
  </si>
  <si>
    <t>https://purl.pt/14682</t>
  </si>
  <si>
    <t>https://permalinkbnd.bnportugal.gov.pt/viewer/85826/?offset=#page=1&amp;viewer=picture&amp;o=info&amp;n=0&amp;q=</t>
  </si>
  <si>
    <t>https://purl.pt/37926</t>
  </si>
  <si>
    <t>https://permalinkbnd.bnportugal.gov.pt/viewer/14597/?offset=#page=10&amp;viewer=picture&amp;o=info&amp;n=0&amp;q=</t>
  </si>
  <si>
    <t>https://purl.pt/39791</t>
  </si>
  <si>
    <t>75 [porta de entrada da casa de 1574], 76 [ruínas da casa que "foi Tribunal"], 77 [A casa de Valdazirna: A escada antiga], 78 [A casa de Valdazirna: A parede velha]</t>
  </si>
  <si>
    <t>75, 76, 77, 78</t>
  </si>
  <si>
    <t>https://permalinkbnd.bnportugal.gov.pt/viewer/255741/?offset=#page=75&amp;viewer=picture&amp;o=info&amp;n=0&amp;q=</t>
  </si>
  <si>
    <t>https://permalinkbnd.bnportugal.gov.pt/viewer/255741/?offset=#page=76&amp;viewer=picture&amp;o=info&amp;n=0&amp;q=</t>
  </si>
  <si>
    <t>https://permalinkbnd.bnportugal.gov.pt/viewer/255741/?offset=#page=77&amp;viewer=picture&amp;o=info&amp;n=0&amp;q=</t>
  </si>
  <si>
    <t>https://permalinkbnd.bnportugal.gov.pt/viewer/255741/?offset=#page=78&amp;viewer=picture&amp;o=info&amp;n=0&amp;q=</t>
  </si>
  <si>
    <t>https://purl.pt/14104</t>
  </si>
  <si>
    <t>133, 257 [apontamentos]</t>
  </si>
  <si>
    <t>https://permalinkbnd.bnportugal.gov.pt/viewer/14651/?offset=#page=133&amp;viewer=picture&amp;o=info&amp;n=0&amp;q=</t>
  </si>
  <si>
    <t>https://permalinkbnd.bnportugal.gov.pt/viewer/14651/?offset=#page=257&amp;viewer=picture&amp;o=info&amp;n=0&amp;q=</t>
  </si>
  <si>
    <t>https://purl.pt/14197</t>
  </si>
  <si>
    <t>136 [apontamento]</t>
  </si>
  <si>
    <t>https://permalinkbnd.bnportugal.gov.pt/viewer/14666/?offset=#page=136&amp;viewer=picture&amp;o=info&amp;n=0&amp;q=</t>
  </si>
  <si>
    <t>https://purl.pt/17237</t>
  </si>
  <si>
    <t>1 [retrato do Poeta], 21 [imagem naufrágio de Camões] , 39 [estátua do Poeta], 57 [túmulo do Poeta]</t>
  </si>
  <si>
    <t>1, 21, 39, 57</t>
  </si>
  <si>
    <t>https://permalinkbnd.bnportugal.gov.pt/viewer/86824/?offset=#page=1&amp;viewer=picture&amp;o=info&amp;n=0&amp;q=</t>
  </si>
  <si>
    <t>https://permalinkbnd.bnportugal.gov.pt/viewer/86824/?offset=#page=21&amp;viewer=picture&amp;o=info&amp;n=0&amp;q=</t>
  </si>
  <si>
    <t>https://permalinkbnd.bnportugal.gov.pt/viewer/86824/?offset=#page=39&amp;viewer=picture&amp;o=info&amp;n=0&amp;q=</t>
  </si>
  <si>
    <t>https://permalinkbnd.bnportugal.gov.pt/viewer/86824/?offset=#page=57&amp;viewer=picture&amp;o=info&amp;n=0&amp;q=</t>
  </si>
  <si>
    <t>https://purl.pt/19851</t>
  </si>
  <si>
    <t>[O início da obra contem a identificação dos artistas que colaboraram na edição] 7 [Camões na gruta de Macau], 10 [retrato do Poeta], 19 [Imagem do Poeta], 72 [apontamento Pégaso], 73, 75 [Canto I], 79 [Camões na gruta de Macau], 90 [Il. Canto I], 110 [Ilustração Canto I], 117 [apontamento], 118 [mapa Canto II], 120 [Canto II], 134 [Il. Canto II], 156 [Il. Canto II], 162 [C. III], 164 [C. III], 205 [Il. C. III], 215 [C. IV], 217 [Il. C. IV], 242 [Il. C. V], 252 [Il. C. V], 257 [apontamento], 258 [C. V], 260 [C. V], 277 [Il. C. V], 291 [Il. C. V], 299 [C. VI], 301 [C. VI], 311 [Il. C. VI], 334 [Il. C. VI], 339 [apontamento], 340 [C. VII], 342 [C. VII], 357 [Il. C. VII], 371 [Il. C. Vii], 376 [apontamento], 377 [C. VIII], 379 [C. VIII], 381 [Il. C. VIII], 402 [Il. C. VIII], 417 [apontamento], 418 [C. IX], 420 [C. IX], 436 [Il. C. IX], 444 [Il. C. IX], 453 [Il. C. IX], 459 [C. X], 461 [C. X], 463 [Il. C. X], 512 [Il. C. X], 641 [apontamento]</t>
  </si>
  <si>
    <t>7, 10, 19, 75, 79, 90, 110, 118, 120, 134, 156, 162, 164, 205, 215, 217, 242, 252, 258, 260, 277, 291, 299, 301, 311, 334, 340, 342, 357, 371, 377, 379, 381, 402, 418, 420, 436, 444, 453, 459, 461, 463, 512</t>
  </si>
  <si>
    <t>https://permalinkbnd.bnportugal.gov.pt/viewer/14628/?offset=#page=7&amp;viewer=picture&amp;o=info&amp;n=0&amp;q=</t>
  </si>
  <si>
    <t>https://permalinkbnd.bnportugal.gov.pt/viewer/14628/?offset=#page=10&amp;viewer=picture&amp;o=info&amp;n=0&amp;q=</t>
  </si>
  <si>
    <t>https://permalinkbnd.bnportugal.gov.pt/viewer/14628/?offset=#page=19&amp;viewer=picture&amp;o=info&amp;n=0&amp;q=</t>
  </si>
  <si>
    <t>https://permalinkbnd.bnportugal.gov.pt/viewer/14628/?offset=#page=75&amp;viewer=picture&amp;o=info&amp;n=0&amp;q=</t>
  </si>
  <si>
    <t>https://permalinkbnd.bnportugal.gov.pt/viewer/14628/?offset=#page=79&amp;viewer=picture&amp;o=info&amp;n=0&amp;q=</t>
  </si>
  <si>
    <t>https://permalinkbnd.bnportugal.gov.pt/viewer/14628/?offset=#page=90&amp;viewer=picture&amp;o=info&amp;n=0&amp;q=</t>
  </si>
  <si>
    <t>https://permalinkbnd.bnportugal.gov.pt/viewer/14628/?offset=#page=110&amp;viewer=picture&amp;o=info&amp;n=0&amp;q=</t>
  </si>
  <si>
    <t>https://permalinkbnd.bnportugal.gov.pt/viewer/14628/?offset=#page=118&amp;viewer=picture&amp;o=info&amp;n=0&amp;q=</t>
  </si>
  <si>
    <t>https://permalinkbnd.bnportugal.gov.pt/viewer/14628/?offset=#page=120&amp;viewer=picture&amp;o=info&amp;n=0&amp;q=</t>
  </si>
  <si>
    <t>https://permalinkbnd.bnportugal.gov.pt/viewer/14628/?offset=#page=134&amp;viewer=picture&amp;o=info&amp;n=0&amp;q=</t>
  </si>
  <si>
    <t>https://permalinkbnd.bnportugal.gov.pt/viewer/14628/?offset=#page=156&amp;viewer=picture&amp;o=info&amp;n=0&amp;q=</t>
  </si>
  <si>
    <t>https://permalinkbnd.bnportugal.gov.pt/viewer/14628/?offset=#page=162&amp;viewer=picture&amp;o=info&amp;n=0&amp;q=</t>
  </si>
  <si>
    <t>https://permalinkbnd.bnportugal.gov.pt/viewer/14628/?offset=#page=164&amp;viewer=picture&amp;o=info&amp;n=0&amp;q=</t>
  </si>
  <si>
    <t>https://permalinkbnd.bnportugal.gov.pt/viewer/14628/?offset=#page=205&amp;viewer=picture&amp;o=info&amp;n=0&amp;q=</t>
  </si>
  <si>
    <t>https://permalinkbnd.bnportugal.gov.pt/viewer/14628/?offset=#page=215&amp;viewer=picture&amp;o=info&amp;n=0&amp;q=</t>
  </si>
  <si>
    <t>https://permalinkbnd.bnportugal.gov.pt/viewer/14628/?offset=#page=217&amp;viewer=picture&amp;o=info&amp;n=0&amp;q=</t>
  </si>
  <si>
    <t>https://permalinkbnd.bnportugal.gov.pt/viewer/14628/?offset=#page=242&amp;viewer=picture&amp;o=info&amp;n=0&amp;q=</t>
  </si>
  <si>
    <t>https://permalinkbnd.bnportugal.gov.pt/viewer/14628/?offset=#page=252&amp;viewer=picture&amp;o=info&amp;n=0&amp;q=</t>
  </si>
  <si>
    <t>https://permalinkbnd.bnportugal.gov.pt/viewer/14628/?offset=#page=258&amp;viewer=picture&amp;o=info&amp;n=0&amp;q=</t>
  </si>
  <si>
    <t>https://permalinkbnd.bnportugal.gov.pt/viewer/14628/?offset=#page=260&amp;viewer=picture&amp;o=info&amp;n=0&amp;q=</t>
  </si>
  <si>
    <t>https://permalinkbnd.bnportugal.gov.pt/viewer/14628/?offset=#page=277&amp;viewer=picture&amp;o=info&amp;n=0&amp;q=</t>
  </si>
  <si>
    <t>https://permalinkbnd.bnportugal.gov.pt/viewer/14628/?offset=#page=291&amp;viewer=picture&amp;o=info&amp;n=0&amp;q=</t>
  </si>
  <si>
    <t>https://permalinkbnd.bnportugal.gov.pt/viewer/14628/?offset=#page=299&amp;viewer=picture&amp;o=info&amp;n=0&amp;q=</t>
  </si>
  <si>
    <t>https://permalinkbnd.bnportugal.gov.pt/viewer/14628/?offset=#page=301&amp;viewer=picture&amp;o=info&amp;n=0&amp;q=</t>
  </si>
  <si>
    <t>https://permalinkbnd.bnportugal.gov.pt/viewer/14628/?offset=#page=311&amp;viewer=picture&amp;o=info&amp;n=0&amp;q=</t>
  </si>
  <si>
    <t>https://permalinkbnd.bnportugal.gov.pt/viewer/14628/?offset=#page=334&amp;viewer=picture&amp;o=info&amp;n=0&amp;q=</t>
  </si>
  <si>
    <t>https://permalinkbnd.bnportugal.gov.pt/viewer/14628/?offset=#page=340&amp;viewer=picture&amp;o=info&amp;n=0&amp;q=</t>
  </si>
  <si>
    <t>https://permalinkbnd.bnportugal.gov.pt/viewer/14628/?offset=#page=342&amp;viewer=picture&amp;o=info&amp;n=0&amp;q=</t>
  </si>
  <si>
    <t>https://permalinkbnd.bnportugal.gov.pt/viewer/14628/?offset=#page=357&amp;viewer=picture&amp;o=info&amp;n=0&amp;q=</t>
  </si>
  <si>
    <t>https://permalinkbnd.bnportugal.gov.pt/viewer/14628/?offset=#page=371&amp;viewer=picture&amp;o=info&amp;n=0&amp;q=</t>
  </si>
  <si>
    <t>https://permalinkbnd.bnportugal.gov.pt/viewer/14628/?offset=#page=377&amp;viewer=picture&amp;o=info&amp;n=0&amp;q=</t>
  </si>
  <si>
    <t>https://permalinkbnd.bnportugal.gov.pt/viewer/14628/?offset=#page=379&amp;viewer=picture&amp;o=info&amp;n=0&amp;q=</t>
  </si>
  <si>
    <t>https://permalinkbnd.bnportugal.gov.pt/viewer/14628/?offset=#page=381&amp;viewer=picture&amp;o=info&amp;n=0&amp;q=</t>
  </si>
  <si>
    <t>https://permalinkbnd.bnportugal.gov.pt/viewer/14628/?offset=#page=402&amp;viewer=picture&amp;o=info&amp;n=0&amp;q=</t>
  </si>
  <si>
    <t>https://permalinkbnd.bnportugal.gov.pt/viewer/14628/?offset=#page=418&amp;viewer=picture&amp;o=info&amp;n=0&amp;q=</t>
  </si>
  <si>
    <t>https://permalinkbnd.bnportugal.gov.pt/viewer/14628/?offset=#page=420&amp;viewer=picture&amp;o=info&amp;n=0&amp;q=</t>
  </si>
  <si>
    <t>https://permalinkbnd.bnportugal.gov.pt/viewer/14628/?offset=#page=436&amp;viewer=picture&amp;o=info&amp;n=0&amp;q=</t>
  </si>
  <si>
    <t>https://permalinkbnd.bnportugal.gov.pt/viewer/14628/?offset=#page=444&amp;viewer=picture&amp;o=info&amp;n=0&amp;q=</t>
  </si>
  <si>
    <t>https://permalinkbnd.bnportugal.gov.pt/viewer/14628/?offset=#page=453&amp;viewer=picture&amp;o=info&amp;n=0&amp;q=</t>
  </si>
  <si>
    <t>https://permalinkbnd.bnportugal.gov.pt/viewer/14628/?offset=#page=459&amp;viewer=picture&amp;o=info&amp;n=0&amp;q=</t>
  </si>
  <si>
    <t>https://permalinkbnd.bnportugal.gov.pt/viewer/14628/?offset=#page=461&amp;viewer=picture&amp;o=info&amp;n=0&amp;q=</t>
  </si>
  <si>
    <t>https://permalinkbnd.bnportugal.gov.pt/viewer/14628/?offset=#page=463&amp;viewer=picture&amp;o=info&amp;n=0&amp;q=</t>
  </si>
  <si>
    <t>https://permalinkbnd.bnportugal.gov.pt/viewer/14628/?offset=#page=512&amp;viewer=picture&amp;o=info&amp;n=0&amp;q=</t>
  </si>
  <si>
    <t>https://purl.pt/37881</t>
  </si>
  <si>
    <t>10 [retrato do Poeta], 69 [imagem do Poeta], 156 [Canto I: Concílio/"Conselho" dos Deuses], 196 [C. II: Visita do Rei de Melinde a Gama]; 238 [C. III: Assassínio de Inês de Castro], 290 [C. IV: Sonho d'El-Rei D. Manuel, no qual lhe aparecem os rios Indo e Ganges], 330 [C. V: Aparição do gigante Adamastor na passagem do Cabo de B. Esperança], 368 [C. VI: Vénus aplaca os Ventos e a tormenta], 406 [C. VII: Desembarque de Gama em Calecut], 440 [C. VIII: Segunda Audiência do Samorim a Gama], 478 [C. IX: Ilha de Vénus], 514 [C. X: Audiência d’El-Rei D. Manuel a Gama]</t>
  </si>
  <si>
    <t>10, 69, 156, 196, 238, 290, 330, 368, 406, 440, 478, 514</t>
  </si>
  <si>
    <t>https://permalinkbnd.bnportugal.gov.pt/viewer/14598/?offset=#page=10&amp;viewer=picture&amp;o=info&amp;n=0&amp;q=</t>
  </si>
  <si>
    <t>https://permalinkbnd.bnportugal.gov.pt/viewer/14598/?offset=#page=69&amp;viewer=picture&amp;o=info&amp;n=0&amp;q=</t>
  </si>
  <si>
    <t>https://permalinkbnd.bnportugal.gov.pt/viewer/14598/?offset=#page=156&amp;viewer=picture&amp;o=info&amp;n=0&amp;q=</t>
  </si>
  <si>
    <t>https://permalinkbnd.bnportugal.gov.pt/viewer/14598/?offset=#page=196&amp;viewer=picture&amp;o=info&amp;n=0&amp;q=</t>
  </si>
  <si>
    <t>https://permalinkbnd.bnportugal.gov.pt/viewer/14598/?offset=#page=238&amp;viewer=picture&amp;o=info&amp;n=0&amp;q=</t>
  </si>
  <si>
    <t>https://permalinkbnd.bnportugal.gov.pt/viewer/14598/?offset=#page=290&amp;viewer=picture&amp;o=info&amp;n=0&amp;q=</t>
  </si>
  <si>
    <t>https://permalinkbnd.bnportugal.gov.pt/viewer/14598/?offset=#page=330&amp;viewer=picture&amp;o=info&amp;n=0&amp;q=</t>
  </si>
  <si>
    <t>https://permalinkbnd.bnportugal.gov.pt/viewer/14598/?offset=#page=368&amp;viewer=picture&amp;o=info&amp;n=0&amp;q=</t>
  </si>
  <si>
    <t>https://permalinkbnd.bnportugal.gov.pt/viewer/14598/?offset=#page=406&amp;viewer=picture&amp;o=info&amp;n=0&amp;q=</t>
  </si>
  <si>
    <t>https://permalinkbnd.bnportugal.gov.pt/viewer/14598/?offset=#page=440&amp;viewer=picture&amp;o=info&amp;n=0&amp;q=</t>
  </si>
  <si>
    <t>https://permalinkbnd.bnportugal.gov.pt/viewer/14598/?offset=#page=478&amp;viewer=picture&amp;o=info&amp;n=0&amp;q=</t>
  </si>
  <si>
    <t>https://permalinkbnd.bnportugal.gov.pt/viewer/14598/?offset=#page=514&amp;viewer=picture&amp;o=info&amp;n=0&amp;q=</t>
  </si>
  <si>
    <t>https://purl.pt/37776</t>
  </si>
  <si>
    <t>10 [retrato do Poeta], 49 [Canto I], 83 [C. II], 119 [C. III], 161 [C. IV], 195 [C. V], 227 [C. VI], 259 [C. VII], 287 [C. VIII], 319 [C. IX], 349 [C. X]</t>
  </si>
  <si>
    <t>10, 49, 83, 119, 161, 195, 227, 259, 287, 319, 349</t>
  </si>
  <si>
    <t>https://permalinkbnd.bnportugal.gov.pt/viewer/14581/?offset=#page=10&amp;viewer=picture&amp;o=info&amp;n=0&amp;q=</t>
  </si>
  <si>
    <t>https://permalinkbnd.bnportugal.gov.pt/viewer/14581/?offset=#page=49&amp;viewer=picture&amp;o=info&amp;n=0&amp;q=</t>
  </si>
  <si>
    <t>https://permalinkbnd.bnportugal.gov.pt/viewer/14581/?offset=#page=83&amp;viewer=picture&amp;o=info&amp;n=0&amp;q=</t>
  </si>
  <si>
    <t>https://permalinkbnd.bnportugal.gov.pt/viewer/14581/?offset=#page=119&amp;viewer=picture&amp;o=info&amp;n=0&amp;q=</t>
  </si>
  <si>
    <t>https://permalinkbnd.bnportugal.gov.pt/viewer/14581/?offset=#page=161&amp;viewer=picture&amp;o=info&amp;n=0&amp;q=</t>
  </si>
  <si>
    <t>https://permalinkbnd.bnportugal.gov.pt/viewer/14581/?offset=#page=195&amp;viewer=picture&amp;o=info&amp;n=0&amp;q=</t>
  </si>
  <si>
    <t>https://permalinkbnd.bnportugal.gov.pt/viewer/14581/?offset=#page=227&amp;viewer=picture&amp;o=info&amp;n=0&amp;q=</t>
  </si>
  <si>
    <t>https://permalinkbnd.bnportugal.gov.pt/viewer/14581/?offset=#page=259&amp;viewer=picture&amp;o=info&amp;n=0&amp;q=</t>
  </si>
  <si>
    <t>https://permalinkbnd.bnportugal.gov.pt/viewer/14581/?offset=#page=287&amp;viewer=picture&amp;o=info&amp;n=0&amp;q=</t>
  </si>
  <si>
    <t>https://permalinkbnd.bnportugal.gov.pt/viewer/14581/?offset=#page=319&amp;viewer=picture&amp;o=info&amp;n=0&amp;q=</t>
  </si>
  <si>
    <t>https://permalinkbnd.bnportugal.gov.pt/viewer/14581/?offset=#page=349&amp;viewer=picture&amp;o=info&amp;n=0&amp;q=</t>
  </si>
  <si>
    <t>https://purl.pt/15053</t>
  </si>
  <si>
    <t>1 [estátua de Camões], 3 [retrato do Poeta], 7 [retrato]</t>
  </si>
  <si>
    <t>1, 3, 7</t>
  </si>
  <si>
    <t>https://permalinkbnd.bnportugal.gov.pt/viewer/86181/?offset=#page=1&amp;viewer=picture&amp;o=info&amp;n=0&amp;q=</t>
  </si>
  <si>
    <t>https://permalinkbnd.bnportugal.gov.pt/viewer/86181/?offset=#page=3&amp;viewer=picture&amp;o=info&amp;n=0&amp;q=</t>
  </si>
  <si>
    <t>https://permalinkbnd.bnportugal.gov.pt/viewer/86181/?offset=#page=7&amp;viewer=picture&amp;o=info&amp;n=0&amp;q=</t>
  </si>
  <si>
    <t>https://purl.pt/25652</t>
  </si>
  <si>
    <t>https://permalinkbnd.bnportugal.gov.pt/viewer/14678/?offset=#page=13&amp;viewer=picture&amp;o=info&amp;n=0&amp;q=</t>
  </si>
  <si>
    <t>https://purl.pt/26367</t>
  </si>
  <si>
    <t>https://permalinkbnd.bnportugal.gov.pt/viewer/86483/?offset=#page=1&amp;viewer=picture&amp;o=info&amp;n=0&amp;q=</t>
  </si>
  <si>
    <t>https://purl.pt/5416</t>
  </si>
  <si>
    <t>https://permalinkbnd.bnportugal.gov.pt/viewer/35163/?offset=#page=1&amp;viewer=picture&amp;o=info&amp;n=0&amp;q=</t>
  </si>
  <si>
    <t>https://purl.pt/21930</t>
  </si>
  <si>
    <t>5 [1.º Vol.], 2 [2.º Vol.]</t>
  </si>
  <si>
    <t>https://permalinkbnd.bnportugal.gov.pt/viewer/14644/?offset=#page=5&amp;viewer=picture&amp;o=info&amp;n=0&amp;q=</t>
  </si>
  <si>
    <t>https://permalinkbnd.bnportugal.gov.pt/viewer/14644/?offset=#page=2&amp;viewer=picture&amp;o=info&amp;n=0&amp;q=</t>
  </si>
  <si>
    <t>https://purl.pt/15027</t>
  </si>
  <si>
    <t>1 [capa Tricentenário], 8 [estátua sepulcral de D. Pedro], 9 [estátua sepulcral de Inês de Castro], 39 [Pedro e Inês]</t>
  </si>
  <si>
    <t>8,9, 39</t>
  </si>
  <si>
    <t>https://permalinkbnd.bnportugal.gov.pt/viewer/14613/?offset=#page=8&amp;viewer=picture&amp;o=info&amp;n=0&amp;q=</t>
  </si>
  <si>
    <t>https://permalinkbnd.bnportugal.gov.pt/viewer/14613/?offset=#page=9&amp;viewer=picture&amp;o=info&amp;n=0&amp;q=</t>
  </si>
  <si>
    <t>https://permalinkbnd.bnportugal.gov.pt/viewer/14613/?offset=#page=39&amp;viewer=picture&amp;o=info&amp;n=0&amp;q=</t>
  </si>
  <si>
    <t>https://purl.pt/26342</t>
  </si>
  <si>
    <t>página 120, que antecede a p. 121 da biografia</t>
  </si>
  <si>
    <t>volume só tem 4 páginas</t>
  </si>
  <si>
    <t>https://permalinkbnd.bnportugal.gov.pt/viewer/7634/?offset=#page=120&amp;viewer=picture&amp;o=info&amp;n=0&amp;q=</t>
  </si>
  <si>
    <t>https://purl.pt/44208</t>
  </si>
  <si>
    <t>1 [retrato do Poeta], 2 [casa], 3 [A Apoteose dos Heróis]</t>
  </si>
  <si>
    <t>1, 2, 3</t>
  </si>
  <si>
    <t>https://permalinkbnd.bnportugal.gov.pt/viewer/1880/?offset=#page=2&amp;viewer=picture&amp;o=info&amp;n=0&amp;q=</t>
  </si>
  <si>
    <t>https://permalinkbnd.bnportugal.gov.pt/viewer/1880/?offset=#page=3&amp;viewer=picture&amp;o=info&amp;n=0&amp;q=</t>
  </si>
  <si>
    <t>https://purl.pt/43905</t>
  </si>
  <si>
    <t>1 [retrato do Poeta no topo]</t>
  </si>
  <si>
    <t>https://permalinkbnd.bnportugal.gov.pt/viewer/275033/?offset=#page=1&amp;viewer=picture&amp;o=info&amp;n=0&amp;q=</t>
  </si>
  <si>
    <t>https://purl.pt/43900</t>
  </si>
  <si>
    <t>1 [Camões e Jau na gruta de Macau]</t>
  </si>
  <si>
    <t>https://permalinkbnd.bnportugal.gov.pt/viewer/275038/?offset=#page=1&amp;viewer=picture&amp;o=info&amp;n=0&amp;q=</t>
  </si>
  <si>
    <t>https://purl.pt/44169</t>
  </si>
  <si>
    <t>https://permalinkbnd.bnportugal.gov.pt/viewer/273677/?offset=#page=1&amp;viewer=picture&amp;o=info&amp;n=0&amp;q=</t>
  </si>
  <si>
    <t>https://purl.pt/44206</t>
  </si>
  <si>
    <t>https://purl.pt/44170</t>
  </si>
  <si>
    <t>https://permalinkbnd.bnportugal.gov.pt/viewer/273687/?offset=#page=1&amp;viewer=picture&amp;o=info&amp;n=0&amp;q=</t>
  </si>
  <si>
    <t>https://purl.pt/43942</t>
  </si>
  <si>
    <t>https://permalinkbnd.bnportugal.gov.pt/viewer/273688/?offset=#page=1&amp;viewer=picture&amp;o=info&amp;n=0&amp;q=</t>
  </si>
  <si>
    <t>https://purl.pt/44323</t>
  </si>
  <si>
    <t>5 [retrato do Poeta], 7 [Imagem de Camões, versão dandy], 8 [episódios paródicos do dia 10 de Junho de 1880], 9 ["[...] Neste dia quem tem só um olho é... Camões"], 10 [Porto, Praça de Camões], 11 ["Ele morreu... para ser ditoso!!!", Jau e Camões]</t>
  </si>
  <si>
    <t>5, 7, 8, 9, 10, 11</t>
  </si>
  <si>
    <t>https://permalinkbnd.bnportugal.gov.pt/viewer/277330/?offset=#page=5&amp;viewer=picture&amp;o=info&amp;n=0&amp;q=</t>
  </si>
  <si>
    <t>https://permalinkbnd.bnportugal.gov.pt/viewer/277330/?offset=#page=7&amp;viewer=picture&amp;o=info&amp;n=0&amp;q=</t>
  </si>
  <si>
    <t>https://permalinkbnd.bnportugal.gov.pt/viewer/277330/?offset=#page=8&amp;viewer=picture&amp;o=info&amp;n=0&amp;q=</t>
  </si>
  <si>
    <t>https://permalinkbnd.bnportugal.gov.pt/viewer/277330/?offset=#page=9&amp;viewer=picture&amp;o=info&amp;n=0&amp;q=</t>
  </si>
  <si>
    <t>https://permalinkbnd.bnportugal.gov.pt/viewer/277330/?offset=#page=10&amp;viewer=picture&amp;o=info&amp;n=0&amp;q=</t>
  </si>
  <si>
    <t>https://permalinkbnd.bnportugal.gov.pt/viewer/277330/?offset=#page=11&amp;viewer=picture&amp;o=info&amp;n=0&amp;q=</t>
  </si>
  <si>
    <t>https://purl.pt/44319</t>
  </si>
  <si>
    <t>https://permalinkbnd.bnportugal.gov.pt/viewer/277332/?offset=#page=5&amp;viewer=picture&amp;o=info&amp;n=0&amp;q=</t>
  </si>
  <si>
    <t>https://purl.pt/44445</t>
  </si>
  <si>
    <t>11 [Nau S. Gabriel]</t>
  </si>
  <si>
    <t>https://permalinkbnd.bnportugal.gov.pt/viewer/277834/?offset=#page=11&amp;viewer=picture&amp;o=info&amp;n=0&amp;q=</t>
  </si>
  <si>
    <t>Sim</t>
  </si>
  <si>
    <t>https://purl.pt/44140</t>
  </si>
  <si>
    <t>O número estava errado; não é o "1" É o "160"</t>
  </si>
  <si>
    <t>https://permalinkbnd.bnportugal.gov.pt/viewer/</t>
  </si>
  <si>
    <t>/?offset=#page=</t>
  </si>
  <si>
    <t>&amp;viewer=picture&amp;o=info&amp;n=0&amp;q=</t>
  </si>
  <si>
    <t>C:\Users\mbaptista\OneDrive - Biblioteca Nacional de Portugal\Documentos\python\camoniana\imagens\capas\</t>
  </si>
  <si>
    <t>link página</t>
  </si>
  <si>
    <t>link imagem</t>
  </si>
  <si>
    <t>tem JPG</t>
  </si>
  <si>
    <t>notas Regina 2</t>
  </si>
  <si>
    <t>purl 2</t>
  </si>
  <si>
    <t>n bnd</t>
  </si>
  <si>
    <t>l1</t>
  </si>
  <si>
    <t>l2</t>
  </si>
  <si>
    <t>l3</t>
  </si>
  <si>
    <t>l4</t>
  </si>
  <si>
    <t>l5</t>
  </si>
  <si>
    <t>l6</t>
  </si>
  <si>
    <t>nada</t>
  </si>
  <si>
    <t>nada 2</t>
  </si>
  <si>
    <t>https://permalinkbnd.bnportugal.gov.pt/viewer/270116/?medianame=cam-153-a_0000_&amp;o=volume#page=5&amp;viewer=picture&amp;o=volume&amp;n=0&amp;q=</t>
  </si>
  <si>
    <t>https://permalinkbnd.bnportugal.gov.pt/viewer/270116/?medianame=cam-153-a_0000_&amp;o=volume?&amp;medianame=cam-154-a_0000_&amp;viewer=picture&amp;o=volume#page=12&amp;viewer=picture&amp;o=volume&amp;n=0&amp;q=</t>
  </si>
  <si>
    <t>https://permalinkbnd.bnportugal.gov.pt/viewer/270116/?medianame=cam-153-a_0000_&amp;o=volume?&amp;viewer=picture&amp;o=volume?&amp;medianame=cam-155-a_0000_&amp;viewer=picture&amp;o=volume#page=12&amp;viewer=picture&amp;o=volume&amp;n=0&amp;q=</t>
  </si>
  <si>
    <t>https://permalinkbnd.bnportugal.gov.pt/viewer/270116/?medianame=cam-153-a_0000_&amp;o=volume?&amp;viewer=picture&amp;o=volume?&amp;viewer=picture&amp;o=volume?&amp;viewer=picture&amp;o=volume?&amp;viewer=picture&amp;o=volume?&amp;viewer=picture&amp;o=volume?&amp;viewer=picture&amp;o=volume?&amp;viewer=picture&amp;o=volume?&amp;viewer=picture&amp;o=volume?&amp;viewer=picture&amp;o=volume?&amp;medianame=cam-159-a_0000_&amp;viewer=picture&amp;o=volume#page=12&amp;viewer=picture&amp;o=volume&amp;n=0&amp;q=</t>
  </si>
  <si>
    <t>Falta link</t>
  </si>
  <si>
    <t>https://permalinkbnd.bnportugal.gov.pt/viewer/270138/?medianame=cam-17-v_0000_&amp;o=volume#page=10&amp;viewer=picture&amp;o=volume&amp;n=0&amp;q=</t>
  </si>
  <si>
    <t>https://permalinkbnd.bnportugal.gov.pt/viewer/270138/?medianame=cam-17-v_0000_&amp;o=volume?&amp;medianame=cam-22-v_0000_&amp;viewer=picture&amp;o=volume#page=174&amp;viewer=picture&amp;o=volume&amp;n=0&amp;q=</t>
  </si>
  <si>
    <t>https://permalinkbnd.bnportugal.gov.pt/viewer/270138/?medianame=cam-17-v_0000_&amp;o=volume?&amp;medianame=cam-22-v_0000_&amp;viewer=picture&amp;o=volume#page=388&amp;viewer=picture&amp;o=volume&amp;n=0&amp;q=</t>
  </si>
  <si>
    <t>https://permalinkbnd.bnportugal.gov.pt/viewer/270331/?medianame=cam-409-v_0000_&amp;o=volume#page=8&amp;viewer=picture&amp;o=volume&amp;n=0&amp;q=</t>
  </si>
  <si>
    <t>https://permalinkbnd.bnportugal.gov.pt/viewer/270345/?medianame=cam-412-v_0000_&amp;o=volume#page=154&amp;viewer=picture&amp;o=volume&amp;n=0&amp;q=</t>
  </si>
  <si>
    <t>https://permalinkbnd.bnportugal.gov.pt/viewer/270138/?medianame=cam-22-v_0000_&amp;o=volume#page=10&amp;viewer=picture&amp;o=volume&amp;n=0&amp;q=</t>
  </si>
  <si>
    <t>https://permalinkbnd.bnportugal.gov.pt/viewer/270138/?medianame=cam-22-v_0000_&amp;o=volume#page=43&amp;viewer=picture&amp;o=volume&amp;n=0&amp;q=</t>
  </si>
  <si>
    <t>https://permalinkbnd.bnportugal.gov.pt/viewer/14639/?medianame=cam-210-p_0000_capa-capa_t24-C-R0150_&amp;o=volume#page=12&amp;viewer=picture&amp;o=volume&amp;n=0&amp;q=</t>
  </si>
  <si>
    <t>https://permalinkbnd.bnportugal.gov.pt/viewer/14639/?medianame=cam-210-p_0000_capa-capa_t24-C-R0150_&amp;o=volume#page=102&amp;viewer=picture&amp;o=volume&amp;n=0&amp;q=</t>
  </si>
  <si>
    <t>https://permalinkbnd.bnportugal.gov.pt/viewer/14639/?medianame=cam-210-p_0000_capa-capa_t24-C-R0150_&amp;o=volume#page=202&amp;viewer=picture&amp;o=volume&amp;n=0&amp;q=</t>
  </si>
  <si>
    <t>https://permalinkbnd.bnportugal.gov.pt/viewer/14639/?medianame=cam-210-p_0000_capa-capa_t24-C-R0150_&amp;o=volume#page=282&amp;viewer=picture&amp;o=volume&amp;n=0&amp;q=</t>
  </si>
  <si>
    <t>https://permalinkbnd.bnportugal.gov.pt/viewer/14639/?medianame=cam-210-p_0000_capa-capa_t24-C-R0150_&amp;o=volume?&amp;medianame=cam-211-p_0000_capa-capa_t24-C-R0150_&amp;viewer=picture&amp;o=volume#page=12&amp;viewer=picture&amp;o=volume&amp;n=0&amp;q=</t>
  </si>
  <si>
    <t>https://permalinkbnd.bnportugal.gov.pt/viewer/14639/?medianame=cam-210-p_0000_capa-capa_t24-C-R0150_&amp;o=volume?&amp;medianame=cam-211-p_0000_capa-capa_t24-C-R0150_&amp;viewer=picture&amp;o=volume#page=98&amp;viewer=picture&amp;o=volume&amp;n=0&amp;q=</t>
  </si>
  <si>
    <t>https://permalinkbnd.bnportugal.gov.pt/viewer/14639/?medianame=cam-210-p_0000_capa-capa_t24-C-R0150_&amp;o=volume?&amp;medianame=cam-211-p_0000_capa-capa_t24-C-R0150_&amp;viewer=picture&amp;o=volume#page=176&amp;viewer=picture&amp;o=volume&amp;n=0&amp;q=</t>
  </si>
  <si>
    <t>https://permalinkbnd.bnportugal.gov.pt/viewer/14624/?medianame=cam-6-a_0000_1-730_t24-C-R0150_&amp;o=volume#page=7&amp;viewer=picture&amp;o=volume&amp;n=0&amp;q=</t>
  </si>
  <si>
    <t>https://permalinkbnd.bnportugal.gov.pt/viewer/14624/?medianame=cam-6-a_0000_1-730_t24-C-R0150_&amp;o=volume#page=10&amp;viewer=picture&amp;o=volume&amp;n=0&amp;q=</t>
  </si>
  <si>
    <t>https://permalinkbnd.bnportugal.gov.pt/viewer/14624/?medianame=cam-6-a_0000_1-730_t24-C-R0150_&amp;o=volume#page=76&amp;viewer=picture&amp;o=volume&amp;n=0&amp;q=</t>
  </si>
  <si>
    <t>https://permalinkbnd.bnportugal.gov.pt/viewer/14624/?medianame=cam-6-a_0000_1-730_t24-C-R0150_&amp;o=volume#page=114&amp;viewer=picture&amp;o=volume&amp;n=0&amp;q=</t>
  </si>
  <si>
    <t>https://permalinkbnd.bnportugal.gov.pt/viewer/14624/?medianame=cam-6-a_0000_1-730_t24-C-R0150_&amp;o=volume#page=194&amp;viewer=picture&amp;o=volume&amp;n=0&amp;q=</t>
  </si>
  <si>
    <t>https://permalinkbnd.bnportugal.gov.pt/viewer/14624/?medianame=cam-6-a_0000_1-730_t24-C-R0150_&amp;o=volume#page=274&amp;viewer=picture&amp;o=volume&amp;n=0&amp;q=</t>
  </si>
  <si>
    <t>https://permalinkbnd.bnportugal.gov.pt/viewer/14624/?medianame=cam-6-a_0000_1-730_t24-C-R0150_&amp;o=volume#page=418&amp;viewer=picture&amp;o=volume&amp;n=0&amp;q=</t>
  </si>
  <si>
    <t>https://permalinkbnd.bnportugal.gov.pt/viewer/14624/?medianame=cam-6-a_0000_1-730_t24-C-R0150_&amp;o=volume#page=454&amp;viewer=picture&amp;o=volume&amp;n=0&amp;q=</t>
  </si>
  <si>
    <t>https://permalinkbnd.bnportugal.gov.pt/viewer/14624/?medianame=cam-6-a_0000_1-730_t24-C-R0150_&amp;o=volume#page=463&amp;viewer=picture&amp;o=volume&amp;n=0&amp;q=</t>
  </si>
  <si>
    <t>https://permalinkbnd.bnportugal.gov.pt/viewer/14624/?medianame=cam-6-a_0000_1-730_t24-C-R0150_&amp;o=volume#page=465&amp;viewer=picture&amp;o=volume&amp;n=0&amp;q=</t>
  </si>
  <si>
    <t>https://permalinkbnd.bnportugal.gov.pt/viewer/14624/?medianame=cam-6-a_0000_1-730_t24-C-R0150_&amp;o=volume#page=466&amp;viewer=picture&amp;o=volume&amp;n=0&amp;q=</t>
  </si>
  <si>
    <t>https://permalinkbnd.bnportugal.gov.pt/viewer/14624/?medianame=cam-6-a_0000_1-730_t24-C-R0150_&amp;o=volume#page=468&amp;viewer=picture&amp;o=volume&amp;n=0&amp;q=</t>
  </si>
  <si>
    <t>https://permalinkbnd.bnportugal.gov.pt/viewer/14624/?medianame=cam-6-a_0000_1-730_t24-C-R0150_&amp;o=volume#page=472&amp;viewer=picture&amp;o=volume&amp;n=0&amp;q=</t>
  </si>
  <si>
    <t>https://permalinkbnd.bnportugal.gov.pt/viewer/14624/?medianame=cam-6-a_0000_1-730_t24-C-R0150_&amp;o=volume#page=474&amp;viewer=picture&amp;o=volume&amp;n=0&amp;q=</t>
  </si>
  <si>
    <t>https://permalinkbnd.bnportugal.gov.pt/viewer/14624/?medianame=cam-6-a_0000_1-730_t24-C-R0150_&amp;o=volume#page=476&amp;viewer=picture&amp;o=volume&amp;n=0&amp;q=</t>
  </si>
  <si>
    <t>https://permalinkbnd.bnportugal.gov.pt/viewer/14624/?medianame=cam-6-a_0000_1-730_t24-C-R0150_&amp;o=volume#page=480&amp;viewer=picture&amp;o=volume&amp;n=0&amp;q=</t>
  </si>
  <si>
    <t>https://permalinkbnd.bnportugal.gov.pt/viewer/14624/?medianame=cam-6-a_0000_1-730_t24-C-R0150_&amp;o=volume#page=514&amp;viewer=picture&amp;o=volume&amp;n=0&amp;q=</t>
  </si>
  <si>
    <t>https://permalinkbnd.bnportugal.gov.pt/viewer/14624/?medianame=cam-6-a_0000_1-730_t24-C-R0150_&amp;o=volume#page=520&amp;viewer=picture&amp;o=volume&amp;n=0&amp;q=</t>
  </si>
  <si>
    <t>https://permalinkbnd.bnportugal.gov.pt/viewer/14624/?medianame=cam-6-a_0000_1-730_t24-C-R0150_&amp;o=volume#page=521&amp;viewer=picture&amp;o=volume&amp;n=0&amp;q=</t>
  </si>
  <si>
    <t>ncb_cópia</t>
  </si>
  <si>
    <t>Notas_rascunho_original</t>
  </si>
  <si>
    <t>Latino Coelho, Galeria de Varões Ilustres, 1880. 2 Vols [1.º dedicado a Camões; 2.º dedicado a Vasco da Gama, precursores e o tempo dos descobrimentos]. Vida paratextos/Paratextos vida; Lista cronológica camoniana da BNL. Iconografia, figuras históricas [Vasco da Gama]</t>
  </si>
  <si>
    <t xml:space="preserve">Normas para uma edição crítica de "Os Lusíadas" / Hamilton Aluízio Elia. - Edição póstuma com prefácio e revisão do prof. Sílvio Elia. - Rio de Janeiro : Real Gabinete Português de Leitura, 1981. Cópia pública não abre: direitos de autor, consultado PDF via Miguel]. Monografia premiada. Concurso de monografias no âmbito do IV Centenário da morte de Camões. </t>
  </si>
  <si>
    <t>Gomes Leal, A fome de Camões, 1880. Celebrações (1880), recepção criativa tematização.</t>
  </si>
  <si>
    <r>
      <t>Catálogo de livros, 1892. [cópia pública não abre, consultado PDF via Miguel]  e 1882, Primeira secção Publicações do Tricentenário 1880-1881e segunda secção publicações anteriores ao Tricentenário</t>
    </r>
    <r>
      <rPr>
        <sz val="11"/>
        <color rgb="FF0F9ED5"/>
        <rFont val="Aptos Narrow"/>
        <family val="2"/>
        <scheme val="minor"/>
      </rPr>
      <t>.</t>
    </r>
    <r>
      <rPr>
        <sz val="11"/>
        <color rgb="FF000000"/>
        <rFont val="Aptos Narrow"/>
        <family val="2"/>
        <scheme val="minor"/>
      </rPr>
      <t xml:space="preserve"> Celebrações (1880), catálogos.</t>
    </r>
  </si>
  <si>
    <t>As duas edições d'Os Lusíadas:  comunicação à Assembleia da Sessão solene - Dia de Camões - no RGPL, 10 de Junho de 1921,  inclui notas "O dia de Camões" [comemorações e actos públicos]  e "A opinião do Dr. José Maria Rodrigues". Celebrações (1924).</t>
  </si>
  <si>
    <r>
      <t>Inês de Castro. Cantata + Texto de Camões+ Referências a sonetos sobre Inês.</t>
    </r>
    <r>
      <rPr>
        <sz val="11"/>
        <color rgb="FF0F9ED5"/>
        <rFont val="Aptos Narrow"/>
        <family val="2"/>
        <scheme val="minor"/>
      </rPr>
      <t xml:space="preserve"> </t>
    </r>
    <r>
      <rPr>
        <sz val="11"/>
        <color rgb="FF000000"/>
        <rFont val="Aptos Narrow"/>
        <family val="2"/>
        <scheme val="minor"/>
      </rPr>
      <t>Lista.</t>
    </r>
  </si>
  <si>
    <t>Trad. Paratextos; Trad. paratextos vida; Trad. paratextos argumentos, surge uma segunda data: 1847; a partir da Im. 117 tradução de outros autores (e.g.: Im. 235, Sá de Miranda; Im. 279, Cervantes), com compêndio sobre a vida de M. Staël.</t>
  </si>
  <si>
    <t>O legendario mysterioso, 1881. [refere festejos em mil e oitocentos]. Celebrações (1880), recepção criativa, paródia e tematização.</t>
  </si>
  <si>
    <t>Mablin, Lettre à ACL, 1826</t>
  </si>
  <si>
    <t>Ignaz Fertig, Litografia, 1855</t>
  </si>
  <si>
    <r>
      <t xml:space="preserve">Substituir no registo Manoel de Faria Severim por </t>
    </r>
    <r>
      <rPr>
        <sz val="11"/>
        <color rgb="FF0C769E"/>
        <rFont val="Aptos Narrow"/>
        <family val="2"/>
        <scheme val="minor"/>
      </rPr>
      <t>Manoel Severim de Faria</t>
    </r>
    <r>
      <rPr>
        <sz val="11"/>
        <color rgb="FF000000"/>
        <rFont val="Aptos Narrow"/>
        <family val="2"/>
        <scheme val="minor"/>
      </rPr>
      <t xml:space="preserve">, nome correcto; Incluir no registo bibliográfico o nome de </t>
    </r>
    <r>
      <rPr>
        <sz val="11"/>
        <color rgb="FF0C769E"/>
        <rFont val="Aptos Narrow"/>
        <family val="2"/>
        <scheme val="minor"/>
      </rPr>
      <t xml:space="preserve">Manoel Severim de Faria (1583-1655). </t>
    </r>
    <r>
      <rPr>
        <sz val="11"/>
        <color rgb="FF4EA72E"/>
        <rFont val="Aptos Narrow"/>
        <family val="2"/>
        <scheme val="minor"/>
      </rPr>
      <t>comunicado, não rectificado</t>
    </r>
    <r>
      <rPr>
        <sz val="11"/>
        <color rgb="FF0C769E"/>
        <rFont val="Aptos Narrow"/>
        <family val="2"/>
        <scheme val="minor"/>
      </rPr>
      <t>;</t>
    </r>
    <r>
      <rPr>
        <sz val="11"/>
        <color rgb="FF000000"/>
        <rFont val="Aptos Narrow"/>
        <family val="2"/>
        <scheme val="minor"/>
      </rPr>
      <t xml:space="preserve"> Lírica [sonetos, sem comentários; canções, </t>
    </r>
    <r>
      <rPr>
        <sz val="11"/>
        <color rgb="FFE97132"/>
        <rFont val="Aptos Narrow"/>
        <family val="2"/>
        <scheme val="minor"/>
      </rPr>
      <t>com notas ou comentários?</t>
    </r>
    <r>
      <rPr>
        <sz val="11"/>
        <color rgb="FF000000"/>
        <rFont val="Aptos Narrow"/>
        <family val="2"/>
        <scheme val="minor"/>
      </rPr>
      <t>; odes; sextinas; elegias, oitavas, éclogas, motes, glosas, voltas, endechas,</t>
    </r>
    <r>
      <rPr>
        <sz val="11"/>
        <color rgb="FF0F9ED5"/>
        <rFont val="Aptos Narrow"/>
        <family val="2"/>
        <scheme val="minor"/>
      </rPr>
      <t xml:space="preserve"> </t>
    </r>
    <r>
      <rPr>
        <sz val="11"/>
        <color rgb="FF000000"/>
        <rFont val="Aptos Narrow"/>
        <family val="2"/>
        <scheme val="minor"/>
      </rPr>
      <t>tercetos entram em elegias; redondilhas (Salmo); esparsas, convite, disparates,</t>
    </r>
    <r>
      <rPr>
        <sz val="11"/>
        <color rgb="FF0F9ED5"/>
        <rFont val="Aptos Narrow"/>
        <family val="2"/>
        <scheme val="minor"/>
      </rPr>
      <t xml:space="preserve"> </t>
    </r>
    <r>
      <rPr>
        <sz val="11"/>
        <color rgb="FF000000"/>
        <rFont val="Aptos Narrow"/>
        <family val="2"/>
        <scheme val="minor"/>
      </rPr>
      <t>estâncias, trovas, vilancete pastoril, cantigas, abc; carta I] Paratextos vida; Paratextos argumentos;</t>
    </r>
    <r>
      <rPr>
        <sz val="11"/>
        <color rgb="FF0F9ED5"/>
        <rFont val="Aptos Narrow"/>
        <family val="2"/>
        <scheme val="minor"/>
      </rPr>
      <t xml:space="preserve"> </t>
    </r>
    <r>
      <rPr>
        <sz val="11"/>
        <color rgb="FF000000"/>
        <rFont val="Aptos Narrow"/>
        <family val="2"/>
        <scheme val="minor"/>
      </rPr>
      <t xml:space="preserve">Canto da criação e composição do homem, sem comentários, e Cartas a Amigo?; Carta I, Comédia: apenas Seleuco e </t>
    </r>
    <r>
      <rPr>
        <sz val="11"/>
        <color rgb="FFE97132"/>
        <rFont val="Aptos Narrow"/>
        <family val="2"/>
        <scheme val="minor"/>
      </rPr>
      <t>Dos Anfitriões parece truncada, cf. última p.: Im. 586.</t>
    </r>
  </si>
  <si>
    <r>
      <t>Obra truncada no original? Vida do Poeta no discurso apologético. Começa a meio do C.III e termina no C. 5, Fim da Parte I. Sara: A Ref. Bibl. refere 5 Vols, que não estão disponíveis digitalmente. Não está truncada, verifica-se que, de facto, existe um salto enorme ou na digitalização da obra (o que acho estranho porque o que falta é literalmente cerca de 1/3 do livro) ou até na importação no software e posterior publicação. e termina no C. 5, Fim da Parte I. A Ref. Bibl. refere 5 Vols., que não estão disponíveis digitalmente</t>
    </r>
    <r>
      <rPr>
        <sz val="11"/>
        <color rgb="FFE97132"/>
        <rFont val="Aptos Narrow"/>
        <family val="2"/>
        <scheme val="minor"/>
      </rPr>
      <t>✅.</t>
    </r>
    <r>
      <rPr>
        <sz val="11"/>
        <color rgb="FF0F9ED5"/>
        <rFont val="Aptos Narrow"/>
        <family val="2"/>
        <scheme val="minor"/>
      </rPr>
      <t xml:space="preserve"> </t>
    </r>
    <r>
      <rPr>
        <sz val="11"/>
        <color rgb="FF000000"/>
        <rFont val="Aptos Narrow"/>
        <family val="2"/>
        <scheme val="minor"/>
      </rPr>
      <t xml:space="preserve">Paratextos argumentos. </t>
    </r>
    <r>
      <rPr>
        <sz val="11"/>
        <color rgb="FFE97132"/>
        <rFont val="Aptos Narrow"/>
        <family val="2"/>
        <scheme val="minor"/>
      </rPr>
      <t>Colocar em Obras conjuntas?</t>
    </r>
  </si>
  <si>
    <r>
      <t>No mar. Partitura [suplemento ao N.º 35 do jornal A moda ilustrada], com breve explicação no final.</t>
    </r>
    <r>
      <rPr>
        <sz val="11"/>
        <color rgb="FF0F9ED5"/>
        <rFont val="Aptos Narrow"/>
        <family val="2"/>
        <scheme val="minor"/>
      </rPr>
      <t xml:space="preserve"> A inserir poesia/ recepção criativa, tematização?</t>
    </r>
  </si>
  <si>
    <t>R.F. Burton é o tradutor, mas a sua mulher, Isabel Burton, é a editora e assina o primeiro prefácio; No pref. Burton refere cap. sobre vida, mas que não se encontra inserido, por não ter conseguido escrevê-lo, talvez. Dois volumes editados em 1880 [1.º Vol: até ao Canto VI; 2.º Vol: até Canto X, inclui estrofes rejeitadas, cf. Im. 173]. Trad. Paratextos gerais e argumentos; Mulheres; Trad. Estrofes Rejeitadas; Trad. Paratextos notas.</t>
  </si>
  <si>
    <t>M.me Gautier, Les amours de C. et de Catherine d'Ataíde, 1827. 2 Vols. Tem paratextos sobre a vida, mas não é obra do Poeta.</t>
  </si>
  <si>
    <t>Os Lusíadas, 1702. Épica; Lírica [sonetos; canções; odes; sextinas; elegias; capítulo?; oitavas; éclogas; redondilhas (Salmo); sem explicitação de esparsas, cartas; labirinto, convites; motes; voltas; cantigas, disparates, glosas, trovas, endechas, Epitáfio]; Cartas I e II. No cabeçalho está grafado I Parte. Paratextos Vida e Paratextos argumentos.</t>
  </si>
  <si>
    <t>Os Lusíadas, 1749, com dois sonetos escritos por dois contemporâneos de Camões, um deles escrito a partir das rimas do Poeta centão: cf. a partir da Im. 483. Paratextos Vida e Paratextos Argumentos.</t>
  </si>
  <si>
    <r>
      <t xml:space="preserve">1759. Tomo I: </t>
    </r>
    <r>
      <rPr>
        <i/>
        <sz val="11"/>
        <color rgb="FF000000"/>
        <rFont val="Aptos Narrow"/>
        <family val="2"/>
        <scheme val="minor"/>
      </rPr>
      <t>Os Lusíadas</t>
    </r>
    <r>
      <rPr>
        <sz val="11"/>
        <color rgb="FF000000"/>
        <rFont val="Aptos Narrow"/>
        <family val="2"/>
        <scheme val="minor"/>
      </rPr>
      <t xml:space="preserve">; T. II: Lírica: Sonetos, Canções, sextinas, odes, éclogas, elegias, </t>
    </r>
    <r>
      <rPr>
        <sz val="11"/>
        <color rgb="FF0F9ED5"/>
        <rFont val="Aptos Narrow"/>
        <family val="2"/>
        <scheme val="minor"/>
      </rPr>
      <t xml:space="preserve">tradução (paráfrase?) dos versos proféticos da Sibila Eritreia, cf. Im. 370 </t>
    </r>
    <r>
      <rPr>
        <sz val="11"/>
        <color rgb="FF000000"/>
        <rFont val="Aptos Narrow"/>
        <family val="2"/>
        <scheme val="minor"/>
      </rPr>
      <t xml:space="preserve">; Petição, Capítulo, estância; mote, glosa; </t>
    </r>
    <r>
      <rPr>
        <sz val="11"/>
        <color rgb="FFE97132"/>
        <rFont val="Aptos Narrow"/>
        <family val="2"/>
        <scheme val="minor"/>
      </rPr>
      <t>T. III [no purl este volume vem a seguir ao I]</t>
    </r>
    <r>
      <rPr>
        <sz val="11"/>
        <color rgb="FF000000"/>
        <rFont val="Aptos Narrow"/>
        <family val="2"/>
        <scheme val="minor"/>
      </rPr>
      <t xml:space="preserve">:  Cont. Lírica (epístolas/oitavas, cantiga; quintilhas; Cartas/prosa; quintilhas/paráfrases do salmo </t>
    </r>
    <r>
      <rPr>
        <i/>
        <sz val="11"/>
        <color rgb="FF000000"/>
        <rFont val="Aptos Narrow"/>
        <family val="2"/>
        <scheme val="minor"/>
      </rPr>
      <t>super flumina</t>
    </r>
    <r>
      <rPr>
        <sz val="11"/>
        <color rgb="FF000000"/>
        <rFont val="Aptos Narrow"/>
        <family val="2"/>
        <scheme val="minor"/>
      </rPr>
      <t>; redondilhas; esparsas, cartas (mote, glosa, voltas); trovas; convites; vilancete pastoril; endechas; Teatro  (Comédias: R. Seleuco; Os Anfitriões), mais sonetos, elegias e oitavas extraídos da Ed. 1720. Paratextos vida, Paratextos argumentos, Canto da criação e composição do homem; Santa Úrsula (lírica outros). Iconografia figuras históricas.</t>
    </r>
  </si>
  <si>
    <r>
      <t>A Camões, 10-6-1880. Celebrações (1880), periódicos</t>
    </r>
    <r>
      <rPr>
        <sz val="11"/>
        <color rgb="FF0F9ED5"/>
        <rFont val="Aptos Narrow"/>
        <family val="2"/>
        <scheme val="minor"/>
      </rPr>
      <t xml:space="preserve"> </t>
    </r>
    <r>
      <rPr>
        <sz val="11"/>
        <color rgb="FF000000"/>
        <rFont val="Aptos Narrow"/>
        <family val="2"/>
        <scheme val="minor"/>
      </rPr>
      <t>[texto sobre versões de Camões; poemas temáticos e de homenagem; textos sobre Jau; a gruta de Camões e Camões, assinados por diferentes autores, um deles da autoria de Camilo Castelo Branco, e textos sobre as festas do tricentenário; sarau literário]</t>
    </r>
  </si>
  <si>
    <r>
      <t xml:space="preserve">1772. Tomo I: Os Lusíadas; TII: Lírica: sonetos, canções, canções/sextinas, odes, éclogas, elegias, </t>
    </r>
    <r>
      <rPr>
        <sz val="11"/>
        <color rgb="FF0F9ED5"/>
        <rFont val="Aptos Narrow"/>
        <family val="2"/>
        <scheme val="minor"/>
      </rPr>
      <t xml:space="preserve">Sibila de Eritreia; </t>
    </r>
    <r>
      <rPr>
        <sz val="11"/>
        <color rgb="FF000000"/>
        <rFont val="Aptos Narrow"/>
        <family val="2"/>
        <scheme val="minor"/>
      </rPr>
      <t>Petição, Capítulo, a.b.c. motes, estâncias, glosa; TIII: Cont. Lírica: epístolas/oitavas,</t>
    </r>
    <r>
      <rPr>
        <sz val="11"/>
        <color rgb="FF0F9ED5"/>
        <rFont val="Aptos Narrow"/>
        <family val="2"/>
        <scheme val="minor"/>
      </rPr>
      <t xml:space="preserve"> </t>
    </r>
    <r>
      <rPr>
        <sz val="11"/>
        <color rgb="FF000000"/>
        <rFont val="Aptos Narrow"/>
        <family val="2"/>
        <scheme val="minor"/>
      </rPr>
      <t xml:space="preserve">quintilhas, outras; Cartas/prosa; Quintilhas-paráfrases (salmo </t>
    </r>
    <r>
      <rPr>
        <i/>
        <sz val="11"/>
        <color rgb="FF000000"/>
        <rFont val="Aptos Narrow"/>
        <family val="2"/>
        <scheme val="minor"/>
      </rPr>
      <t>super flumina</t>
    </r>
    <r>
      <rPr>
        <sz val="11"/>
        <color rgb="FF000000"/>
        <rFont val="Aptos Narrow"/>
        <family val="2"/>
        <scheme val="minor"/>
      </rPr>
      <t>), redondilhas; esparsas, carta, mote, glosa, voltas, cantiga velha e outras, convites; trovas; vilancete pastoril; endechas; Criação e Comp. do Homem; Teatro  (Comédias: R. Seleuco; Os Anfitriões; De Filodemo).  N.B.: erros de impressão cabeçalho p. do Canto II e em algumas pp. referentes às elegias está grafado éclogas no cabeçalho. Iconografia figuras históricas e mapa. Canto da criação e composição do homem.</t>
    </r>
    <r>
      <rPr>
        <sz val="11"/>
        <color rgb="FF0F9ED5"/>
        <rFont val="Aptos Narrow"/>
        <family val="2"/>
        <scheme val="minor"/>
      </rPr>
      <t xml:space="preserve"> </t>
    </r>
    <r>
      <rPr>
        <sz val="11"/>
        <color rgb="FF000000"/>
        <rFont val="Aptos Narrow"/>
        <family val="2"/>
        <scheme val="minor"/>
      </rPr>
      <t>Paratextos vida e paratextos argumentos, Mapa Rota.</t>
    </r>
  </si>
  <si>
    <r>
      <t>1779-80. Tomo I: Os Lusíadas, estâncias omitidas e lições várias (variantes); TII: Lírica, Primeira Parte [sonetos, canções, odes, sextinas, elegias, oitavas, éclogas, oitava Úrsula] TIII: Continuação Lírica e Segunda parte [éclogas usurpadas por Bernardes, éclogas; 2.ª redondilhas, sôbolos rios (de pé quebrado e labirinto), esparsas, convites, trovas, glosa, mote, voltas, cantiga velha, outras, endechas, vilancete pastoril, a.b.c. feito em coplas, estâncias], Cartas-prosa; TIV: paratextos gerais, paratextos vida, paratextos argumentos,</t>
    </r>
    <r>
      <rPr>
        <sz val="11"/>
        <color rgb="FF0F9ED5"/>
        <rFont val="Aptos Narrow"/>
        <family val="2"/>
        <scheme val="minor"/>
      </rPr>
      <t xml:space="preserve"> </t>
    </r>
    <r>
      <rPr>
        <sz val="11"/>
        <color rgb="FF000000"/>
        <rFont val="Aptos Narrow"/>
        <family val="2"/>
        <scheme val="minor"/>
      </rPr>
      <t xml:space="preserve">paratextos teatro, Teatro  [R. Seleuco; Os Anfitriões; Filodemo], Da criação e composição do Homem, elegia, </t>
    </r>
    <r>
      <rPr>
        <sz val="11"/>
        <color rgb="FF0F9ED5"/>
        <rFont val="Aptos Narrow"/>
        <family val="2"/>
        <scheme val="minor"/>
      </rPr>
      <t xml:space="preserve">écloga Cintra, com anotações no final)], </t>
    </r>
    <r>
      <rPr>
        <sz val="11"/>
        <color rgb="FF000000"/>
        <rFont val="Aptos Narrow"/>
        <family val="2"/>
        <scheme val="minor"/>
      </rPr>
      <t>Úrsula [oitava sétima, cf. Im. 371].</t>
    </r>
  </si>
  <si>
    <r>
      <t xml:space="preserve">Segunda edição da de 1779-80. Tomo I, 1.ª parte </t>
    </r>
    <r>
      <rPr>
        <sz val="11"/>
        <color rgb="FF0F9ED5"/>
        <rFont val="Aptos Narrow"/>
        <family val="2"/>
        <scheme val="minor"/>
      </rPr>
      <t>[1782]</t>
    </r>
    <r>
      <rPr>
        <sz val="11"/>
        <color rgb="FF000000"/>
        <rFont val="Aptos Narrow"/>
        <family val="2"/>
        <scheme val="minor"/>
      </rPr>
      <t xml:space="preserve">: Os Lusíadas, 1.ª parte até ao Canto V [erro gráfico na indicação do canto II, surge I, cf. Im. 219, 237, entre outras] ; TI, 2.ª parte </t>
    </r>
    <r>
      <rPr>
        <sz val="11"/>
        <color rgb="FF0F9ED5"/>
        <rFont val="Aptos Narrow"/>
        <family val="2"/>
        <scheme val="minor"/>
      </rPr>
      <t xml:space="preserve">[1782] </t>
    </r>
    <r>
      <rPr>
        <sz val="11"/>
        <color rgb="FF000000"/>
        <rFont val="Aptos Narrow"/>
        <family val="2"/>
        <scheme val="minor"/>
      </rPr>
      <t>: Os Lusíadas , 2.ª parte, até ao Canto X, Estâncias omitidas/desprezadas e lições várias; TII</t>
    </r>
    <r>
      <rPr>
        <sz val="11"/>
        <color rgb="FF0F9ED5"/>
        <rFont val="Aptos Narrow"/>
        <family val="2"/>
        <scheme val="minor"/>
      </rPr>
      <t xml:space="preserve"> [1783] </t>
    </r>
    <r>
      <rPr>
        <sz val="11"/>
        <color rgb="FF000000"/>
        <rFont val="Aptos Narrow"/>
        <family val="2"/>
        <scheme val="minor"/>
      </rPr>
      <t xml:space="preserve">, Lírica [sonetos, canções, odes, sextinas, elegias, estâncias]: TIII </t>
    </r>
    <r>
      <rPr>
        <sz val="11"/>
        <color rgb="FF0F9ED5"/>
        <rFont val="Aptos Narrow"/>
        <family val="2"/>
        <scheme val="minor"/>
      </rPr>
      <t xml:space="preserve">[1783] </t>
    </r>
    <r>
      <rPr>
        <sz val="11"/>
        <color rgb="FF000000"/>
        <rFont val="Aptos Narrow"/>
        <family val="2"/>
        <scheme val="minor"/>
      </rPr>
      <t xml:space="preserve">Cont. Lírica [éclogas, 2.ª parte: redondilhas, sôbolos rios, (de pé quebrado e labirinto), esparsas, convites, trovas, glosa, mote, voltas, cantiga velha, vilancete, outras, endechas, a.b.c. feito em coplas, estâncias] Cartas-prosa; TIV:  </t>
    </r>
    <r>
      <rPr>
        <sz val="11"/>
        <color rgb="FF0F9ED5"/>
        <rFont val="Aptos Narrow"/>
        <family val="2"/>
        <scheme val="minor"/>
      </rPr>
      <t xml:space="preserve">[1783] </t>
    </r>
    <r>
      <rPr>
        <sz val="11"/>
        <color rgb="FF000000"/>
        <rFont val="Aptos Narrow"/>
        <family val="2"/>
        <scheme val="minor"/>
      </rPr>
      <t>Teatro  [R. Seleuco; Os Anfitriões; Filodemo]. Paratextos vida, paratextos argumentos,</t>
    </r>
    <r>
      <rPr>
        <sz val="11"/>
        <color rgb="FF0F9ED5"/>
        <rFont val="Aptos Narrow"/>
        <family val="2"/>
        <scheme val="minor"/>
      </rPr>
      <t xml:space="preserve"> </t>
    </r>
    <r>
      <rPr>
        <sz val="11"/>
        <color rgb="FF000000"/>
        <rFont val="Aptos Narrow"/>
        <family val="2"/>
        <scheme val="minor"/>
      </rPr>
      <t xml:space="preserve">Fragmentos de algumas obras de Camões, achados por Manuel de Faria e Sousa [sonetos, et al.; Obras supostas ou atribuídas (tercetos, petição, OUTROS: Da criação e composição do Homem, </t>
    </r>
    <r>
      <rPr>
        <sz val="11"/>
        <color rgb="FF0F9ED5"/>
        <rFont val="Aptos Narrow"/>
        <family val="2"/>
        <scheme val="minor"/>
      </rPr>
      <t>elegia, écloga Cintra, com anotações)].</t>
    </r>
  </si>
  <si>
    <r>
      <t>Os Lusíadas,1800. [ T1: até ao C. VI; T2: até ao X, Estâncias e lições desprezadas e omitidas].</t>
    </r>
    <r>
      <rPr>
        <sz val="11"/>
        <color rgb="FF0F9ED5"/>
        <rFont val="Aptos Narrow"/>
        <family val="2"/>
        <scheme val="minor"/>
      </rPr>
      <t xml:space="preserve"> </t>
    </r>
    <r>
      <rPr>
        <sz val="11"/>
        <color rgb="FF000000"/>
        <rFont val="Aptos Narrow"/>
        <family val="2"/>
        <scheme val="minor"/>
      </rPr>
      <t>Paratextos vida e paratextos argumentos.</t>
    </r>
  </si>
  <si>
    <t>Os Lusíadas, 1805. [ T1: dedicatória manuscrita de José P. Benedy?; até ao C. VI; T2: dedicatória manuscrita de José P. Benedy?, dizendo custo e local de aquisição da obra, até ao X, Estâncias desprezadas e omitidas e lições ]. Paratextos vida, paratextos notas e paratextos argumentos.</t>
  </si>
  <si>
    <r>
      <t>Os Lusíadas, 1810.</t>
    </r>
    <r>
      <rPr>
        <sz val="11"/>
        <color rgb="FF0F9ED5"/>
        <rFont val="Aptos Narrow"/>
        <family val="2"/>
        <scheme val="minor"/>
      </rPr>
      <t xml:space="preserve"> </t>
    </r>
    <r>
      <rPr>
        <sz val="11"/>
        <color rgb="FF000000"/>
        <rFont val="Aptos Narrow"/>
        <family val="2"/>
        <scheme val="minor"/>
      </rPr>
      <t>Paratextos vida, paratextos argumentos, paratextos notas (lições várias e breves e várias notas para a ilustração do poema).</t>
    </r>
  </si>
  <si>
    <r>
      <t>Reed. 1779-80, 1815. Tomo I: Os Lusíadas, até C.V; T. II: Os Lusíadas, até C. X; estâncias omitidas e lições várias; T. III Lírica: Sonetos, Canções, sextinas, odes, elegias, estâncias, índice dos poemas e alguns argumentos; TIV: éclogas, éclogas usurpadas por Diogo Bernardes; Cont. Lírica:</t>
    </r>
    <r>
      <rPr>
        <sz val="11"/>
        <color rgb="FF0F9ED5"/>
        <rFont val="Aptos Narrow"/>
        <family val="2"/>
        <scheme val="minor"/>
      </rPr>
      <t xml:space="preserve"> </t>
    </r>
    <r>
      <rPr>
        <sz val="11"/>
        <color rgb="FF000000"/>
        <rFont val="Aptos Narrow"/>
        <family val="2"/>
        <scheme val="minor"/>
      </rPr>
      <t xml:space="preserve">redondilhas, sôbolos rios, (de pé quebrado), esparsas, labirinto, convites, glosas, motes, trovas, voltas, cartas, cantiga velha, outros, endechas, vilancete pastoril, a.b.c. feito em coplas, estâncias, glosa, mote, volta </t>
    </r>
    <r>
      <rPr>
        <sz val="11"/>
        <color rgb="FFE97132"/>
        <rFont val="Aptos Narrow"/>
        <family val="2"/>
        <scheme val="minor"/>
      </rPr>
      <t xml:space="preserve">[faltam Img. das pp. 344-345 ou vol. está truncado]; </t>
    </r>
    <r>
      <rPr>
        <sz val="11"/>
        <color rgb="FF000000"/>
        <rFont val="Aptos Narrow"/>
        <family val="2"/>
        <scheme val="minor"/>
      </rPr>
      <t xml:space="preserve">cartas; índice das éclogas, com declaração; TV: Teatro, com paratexto inicial (Comédias: R. Seleuco; Os Anfitriões, Filodemo). Paratextos vida, paratextos argumentos, paratextos notas (lições várias aos cantos) Mapa rota, Fragmento de algumas obras, Obras supostas ou atribuídas [tercetos, petição, OUTROS: Canto da criação e composição do homem; </t>
    </r>
    <r>
      <rPr>
        <sz val="11"/>
        <color rgb="FF0F9ED5"/>
        <rFont val="Aptos Narrow"/>
        <family val="2"/>
        <scheme val="minor"/>
      </rPr>
      <t xml:space="preserve">Écloga Cintra, </t>
    </r>
    <r>
      <rPr>
        <sz val="11"/>
        <color rgb="FF000000"/>
        <rFont val="Aptos Narrow"/>
        <family val="2"/>
        <scheme val="minor"/>
      </rPr>
      <t xml:space="preserve">com anotações, Index do que vai nesta Ed.] Iconografia: Figuras históricas, mapa. </t>
    </r>
    <r>
      <rPr>
        <sz val="11"/>
        <color rgb="FF4EA72E"/>
        <rFont val="Aptos Narrow"/>
        <family val="2"/>
        <scheme val="minor"/>
      </rPr>
      <t>Sara: Confirma-se: falta a digitalização dessas duas páginas.</t>
    </r>
  </si>
  <si>
    <t>Os Lusíadas, 1818. 2 vols [1.º até ao Canto V; 2.º até ao X, mais index nomes próprios]. Paratextos vida e paratextos argumentos.</t>
  </si>
  <si>
    <r>
      <t xml:space="preserve">Os Lusíadas, 1820. 2 vols [1.º até ao Canto VI, com catálogo sobre outras obras no final, </t>
    </r>
    <r>
      <rPr>
        <sz val="11"/>
        <color rgb="FFE97132"/>
        <rFont val="Aptos Narrow"/>
        <family val="2"/>
        <scheme val="minor"/>
      </rPr>
      <t>obra truncada: faltam argumentos dos Cantos III a X e estrofes iniciais do C. I:</t>
    </r>
    <r>
      <rPr>
        <sz val="11"/>
        <color rgb="FF4EA72E"/>
        <rFont val="Aptos Narrow"/>
        <family val="2"/>
        <scheme val="minor"/>
      </rPr>
      <t xml:space="preserve"> confirma-se (Sara); </t>
    </r>
    <r>
      <rPr>
        <sz val="11"/>
        <color rgb="FF000000"/>
        <rFont val="Aptos Narrow"/>
        <family val="2"/>
        <scheme val="minor"/>
      </rPr>
      <t xml:space="preserve">2.º até ao X, mais index nomes próprios]. Paratextos vida e paratextos argumentos. </t>
    </r>
  </si>
  <si>
    <t>Os Lusíadas, 1821. 2 vols [1.º até ao Canto VI, com catálogo sobre outras obras no final; 2.º até ao X, mais index nomes próprios]. Paratextos vida e paratextos argumentos.</t>
  </si>
  <si>
    <r>
      <t>The Lusiad, 1798, Mickle. 2 vols [1.º até ao Canto III, sem argumentos; 2.º até ao X].</t>
    </r>
    <r>
      <rPr>
        <sz val="11"/>
        <color rgb="FF0F9ED5"/>
        <rFont val="Aptos Narrow"/>
        <family val="2"/>
        <scheme val="minor"/>
      </rPr>
      <t xml:space="preserve"> </t>
    </r>
    <r>
      <rPr>
        <sz val="11"/>
        <color rgb="FF000000"/>
        <rFont val="Aptos Narrow"/>
        <family val="2"/>
        <scheme val="minor"/>
      </rPr>
      <t>Trad. Paratextos gerais, Trad. Paratextos notas aos cantos e Trad. Paratextos vida.</t>
    </r>
  </si>
  <si>
    <t>Os Lusíadas, 1836. 2 Vols. [1.º até ao Canto VI; 2.º até ao X e estâncias rejeitadas/omitidas e lições várias, index]. Paratextos vida e paratextos argumentos.</t>
  </si>
  <si>
    <t>Os Lusíadas,1841. 2 Vols. [1.º até ao Canto V, sem argumentos, mas com notas finais; 2.º até ao X, com notas finais e repetição digitalizada da p. final do Canto X, conforme o original (confirmado por Sara), dicionário de nomes]. Paratextos notas.</t>
  </si>
  <si>
    <t>1852. TI: Os Lusíadas, sem argumentos; Estâncias rejeitadas, lições várias, erros, comparação edições [Im. 279-280, rasgadas?; anotações manuscritas no final ]: TII: Lírica [sonetos, éclogas, canções, odes, redondilhas, convites, motes, voltas, cantigas, trovas, outras, vilancete pastoril, glosa, endechas, sextinas, elegias, epístolas, oitavas (glosas de sonetos e outras)] TIII: Teatro [Comédias: El Rei Seleuco; Os Anfitriões; Filodemo; Cartas-prosa; A inserir OUTROS: Obras atribuídas: Da Criação e Composição do Homem; Úrsula; (petição ao Regedor, elegias, tercetos). Paratextos notas (aos cantos) e Paratextos vida, Camões, com árvore genealógica; elenca catálogos das edições de Norton (cf. a partir da Im. 13) e catálogos das trad. de Garrett.</t>
  </si>
  <si>
    <t>Os Lusíadas, 1856. TI: até ao Canto V., sem argumentos, com anotações críticas, históricas e mitológicas sobre cada Canto; TII: até ao X, com anotações críticas, históricas e mitológicas sobre cada Canto, dicionário. Paratextos notas. Inclui umas linhas sobre a vida do Poeta na advertência, inserir paratextos vida? Não será necessário.</t>
  </si>
  <si>
    <t>Os Lusíadas, 1866. TI: até ao Canto V., com anotações críticas, históricas e mitológicas sobre cada Canto; TII: até ao X, com anotações críticas, históricas e mitológicas sobre cada Canto, dicionário. Paratextos notas.  Inclui umas linhas sobre a vida do Poeta na advertência, inserir paratextos vida? Não será necessário.</t>
  </si>
  <si>
    <t>Apologia de Camões, 1840</t>
  </si>
  <si>
    <t>1873-1874. 3 Vols.  Lírica [Vol. 1 e 2.: sonetos, com variantes, canções, sextinas, odes, oitavas, elegias, éclogas, com variantes, redondilhas, esparsas, motes, voltas, glosa, nota cantos e cantigas, com variantes, endechas, vilancetes, a.b.c., trovas] &amp; Teatro [Filodemo; Anfitriões, Seleuco, fragmento de composição satírica sobre uns jogos de cana, cf. IM. 472] &amp; Cartas &amp; Épica &amp; Estâncias Omitidas [inclui argumentos apócrifos] &amp; Paratextos Lírica &amp; Paratextos Épica. Úrsula e paratextos-argumentos.</t>
  </si>
  <si>
    <t>1874.  4 Vols. Lírica [Vol. 1: sonetos, canções, sextinas, odes, oitavas, com variantes; Vol. 2: elegias, éclogas, com variantes] V. 3: Continuação Lírica: redondilhas, esparsas, motes, voltas, glosa, nota, cantos e cantigas, com variantes, endechas, vilancetes, trovas, a.b.c. &amp; Teatro [Filodemo; Anfitriões, Seleuco, fragmento de composição satírica sobre uns jogos de cana, cf. IM. 476] &amp; Cartas &amp; Vol. 4: Épica &amp; Estâncias Omitidas [inclui variantes e argumentos apócrifos] &amp; Paratextos Lírica &amp; Paratextos Épica. Úrsula e paratextos argumentos.</t>
  </si>
  <si>
    <t xml:space="preserve">Parnaso, 1880. 3 Vols. [1: Sonetos; 2: canções, com variantes; sextinas, com variantes; odes; oitavas, estância, glosa; 3: elegias; éclogas +apenso redondilhas (carta, mote e glosa), acrósticos sem explicitação de esparsas]. A inserir os restantes subgéneros; Outros [fábula de Narciso; A santa Úrsula] e Mulheres [viúva Bertrand, coleccionadora, cf. imagem 50, 1.º Vol. e Maria Margarida Peixoto Guimarães e Silva, coleccionadora, cf. Imag. 288, 3.º Vol.), lista de sonetos e outros]. </t>
  </si>
  <si>
    <t>João Crisóstomo Mackonelt, Breve resumo da vida, 1867</t>
  </si>
  <si>
    <t xml:space="preserve">Ossos de Camões, 1854, com notas e p.s a Teófilo Braga, 1880. Celebrações (1860), discussão e relatórios. </t>
  </si>
  <si>
    <t>António de Figueiredo, Homenagem a Camões,1880, poema.</t>
  </si>
  <si>
    <r>
      <t>Os Lusíadas+Rimas, 1818, Lamberto Gil. 3 Vols. [1: Os Lusíadas, até ao Canto V e notas aos cantos; 2: restantes Cantos e notas aos cantos; 3: Lírica: sonetos, éclogas, canções, odes, elegias, sextinas, estâncias, cartas (mote e glosa), redondilhas (endechas, trovas, paráfrase do salmo)]. Trad. Paratextos gerais [Épica, Lírica].</t>
    </r>
    <r>
      <rPr>
        <sz val="11"/>
        <color rgb="FF0F9ED5"/>
        <rFont val="Aptos Narrow"/>
        <family val="2"/>
        <scheme val="minor"/>
      </rPr>
      <t xml:space="preserve"> </t>
    </r>
    <r>
      <rPr>
        <sz val="11"/>
        <color rgb="FF000000"/>
        <rFont val="Aptos Narrow"/>
        <family val="2"/>
        <scheme val="minor"/>
      </rPr>
      <t xml:space="preserve">Trad. vida; Trad. Notas; Trad. argumentos; Martírio de S. Úrsula. </t>
    </r>
  </si>
  <si>
    <r>
      <t xml:space="preserve">Les Lusiades, D. Castera, 1768, sem argumentos. 3 Vols. [1: até ao C. III, com notas, índice das matérias; 2: até ao C. VII, com notas, índice das matérias; 3: até ao X, com notas, índice das matérias]. </t>
    </r>
    <r>
      <rPr>
        <sz val="11"/>
        <color rgb="FF0F9ED5"/>
        <rFont val="Aptos Narrow"/>
        <family val="2"/>
        <scheme val="minor"/>
      </rPr>
      <t xml:space="preserve"> </t>
    </r>
    <r>
      <rPr>
        <sz val="11"/>
        <color rgb="FF000000"/>
        <rFont val="Aptos Narrow"/>
        <family val="2"/>
        <scheme val="minor"/>
      </rPr>
      <t xml:space="preserve">Trad. Paratextos gerais; Paratextos vida; Trad. Paratextos notas. </t>
    </r>
  </si>
  <si>
    <r>
      <t xml:space="preserve">La Lusíade, La Harpe, 1776. 2 Vols. [1: até ao Canto V, com notas para cada C.; 2: até ao C. X, com notas para cada C., e </t>
    </r>
    <r>
      <rPr>
        <sz val="11"/>
        <color rgb="FFE97132"/>
        <rFont val="Aptos Narrow"/>
        <family val="2"/>
        <scheme val="minor"/>
      </rPr>
      <t>faltam as pp. iniciais do mesmo C. VI, cf. Vol. 2</t>
    </r>
    <r>
      <rPr>
        <sz val="11"/>
        <color rgb="FF000000"/>
        <rFont val="Aptos Narrow"/>
        <family val="2"/>
        <scheme val="minor"/>
      </rPr>
      <t xml:space="preserve">] Trad. Paratextos; Trad. Vida; Trad. Paratextos notas; Trad. Paratextos argumentos. </t>
    </r>
    <r>
      <rPr>
        <sz val="11"/>
        <color rgb="FFE97132"/>
        <rFont val="Aptos Narrow"/>
        <family val="2"/>
        <scheme val="minor"/>
      </rPr>
      <t xml:space="preserve">Sara: Confirma-se: </t>
    </r>
    <r>
      <rPr>
        <sz val="11"/>
        <color rgb="FF4EA72E"/>
        <rFont val="Aptos Narrow"/>
        <family val="2"/>
        <scheme val="minor"/>
      </rPr>
      <t>falta a digitalização dessas páginas,</t>
    </r>
    <r>
      <rPr>
        <sz val="11"/>
        <color rgb="FFE97132"/>
        <rFont val="Aptos Narrow"/>
        <family val="2"/>
        <scheme val="minor"/>
      </rPr>
      <t xml:space="preserve"> entre outras, no início da obra.</t>
    </r>
  </si>
  <si>
    <t xml:space="preserve">Les Lusiades, J.B. Millié, 1825. 2 Vols., sem argumentos  [1: até ao Canto VI, com notas para cada C. e no final sumário para cada C., mas não argumentos.; 2: até ao X, com notas, juízos de diferentes figuras e notícias sobre Camões e as obras] Mulheres [Madame  Staël] Trad. Paratextos gerais; Trad. Vida; Trad. Paratextos notas.  </t>
  </si>
  <si>
    <t>João P. Félix, A primeira viagem de VG à Índia, 1880. Os versos foram feitos a propósito da trasladação dos ossos. Celebrações (1880), Recepção criativa. Centão.</t>
  </si>
  <si>
    <t>A, Briccolani, I Lusiadi, 1826, sem argumentos. Mulheres [Maria da Gloria, princesa do Brasil, a quem é oferecida a obra] Trad. Paratextos gerais.</t>
  </si>
  <si>
    <t>Antonio Nervi, I Lusiadi, 1847. Mulheres [Madame  Staël] Trad. Paratextos gerais; Trad. Vida; Trad. Paratextos notas para cada C.; Trad. argumentos.</t>
  </si>
  <si>
    <r>
      <t>J.J. Aubertin, The Lusiads, 1884. 2 Vols. bilingue. [1.º: até ao C.V, com notas, sem argumentos, refere as estâncias, a propósito do tricentenário em Imagem 55 do 1.º volume] ; 2.º: até ao X, com notas] Trad. Paratextos gerais; Paratextos notas cantos e Iconografia:</t>
    </r>
    <r>
      <rPr>
        <sz val="11"/>
        <color rgb="FF0F9ED5"/>
        <rFont val="Aptos Narrow"/>
        <family val="2"/>
        <scheme val="minor"/>
      </rPr>
      <t xml:space="preserve"> </t>
    </r>
    <r>
      <rPr>
        <sz val="11"/>
        <color rgb="FF000000"/>
        <rFont val="Aptos Narrow"/>
        <family val="2"/>
        <scheme val="minor"/>
      </rPr>
      <t>Mapa rota.</t>
    </r>
  </si>
  <si>
    <r>
      <t>W. Storck, Sammtliche, 1880-1885. 6 Vols. [1.º: canções, endechas a Bárbara e cartas, cf. im. 30-35, com notas; 2.º: todos os poemas: sonetos, cf. im. 27-38, com notas; 3.º: todos os poemas: elegias, sextinas, odes e oitavas, cf. im. 20-22, com notas e Camões na Alemanha; 4.º: canções e idílios, cf. im. 18-19, com notas; 5.º: Lusíadas, sem argumentos, com notas para cada C., Index nomes; 6.º: Teatro [Os Anfitriões, R. Seleuco e Filodemo], com notas para cada peça e abreviaturas. Trad. Paratextos; Trad. Paratextos notas; Mulheres [dedicatórias: M. Stael; Isabel Burton; Maria Katherina, irmã, esposa do trad.?];</t>
    </r>
    <r>
      <rPr>
        <sz val="11"/>
        <color rgb="FF0F9ED5"/>
        <rFont val="Aptos Narrow"/>
        <family val="2"/>
        <scheme val="minor"/>
      </rPr>
      <t xml:space="preserve"> </t>
    </r>
    <r>
      <rPr>
        <sz val="11"/>
        <color rgb="FF000000"/>
        <rFont val="Aptos Narrow"/>
        <family val="2"/>
        <scheme val="minor"/>
      </rPr>
      <t>Celebrações, traduções.</t>
    </r>
  </si>
  <si>
    <t xml:space="preserve">W. Fonseca, Die Lusiaden, [1879], sem argumentos. Celebrações (1880), traduções; Trad. Paratextos gerais; Trad. Paratextos notas [de rodapé em cada C.; e notas históricas e mitológicas]. </t>
  </si>
  <si>
    <t xml:space="preserve">E. Quillinam, The Lusiades, I-V, 1853, sem argumentos. Trad. Paratextos gerais. Lista de edições e traduções; Trad. Paratextos notas. </t>
  </si>
  <si>
    <t>Catalogue. Collection camonienne, 1886</t>
  </si>
  <si>
    <t>Borges Figueiredo, A geografia… 1883</t>
  </si>
  <si>
    <r>
      <t>Aubertin, The Lusiads.</t>
    </r>
    <r>
      <rPr>
        <sz val="11"/>
        <color rgb="FF0F9ED5"/>
        <rFont val="Aptos Narrow"/>
        <family val="2"/>
        <scheme val="minor"/>
      </rPr>
      <t xml:space="preserve"> </t>
    </r>
    <r>
      <rPr>
        <sz val="11"/>
        <color rgb="FF000000"/>
        <rFont val="Aptos Narrow"/>
        <family val="2"/>
        <scheme val="minor"/>
      </rPr>
      <t xml:space="preserve">2 Vols. bilingue [1.º: até ao C. V, sem argumentos, mas com notas para os C.; 2.º: até ao X, com notas]. </t>
    </r>
    <r>
      <rPr>
        <sz val="11"/>
        <color rgb="FF0F9ED5"/>
        <rFont val="Aptos Narrow"/>
        <family val="2"/>
        <scheme val="minor"/>
      </rPr>
      <t xml:space="preserve"> </t>
    </r>
    <r>
      <rPr>
        <sz val="11"/>
        <color rgb="FF000000"/>
        <rFont val="Aptos Narrow"/>
        <family val="2"/>
        <scheme val="minor"/>
      </rPr>
      <t xml:space="preserve">Trad. Paratextos gerais; Trad. Paratextos notas; Iconografia: Mapa rota e figuras históricas. </t>
    </r>
  </si>
  <si>
    <r>
      <t xml:space="preserve">Apologia. Adamastor. Contra o Padre Agostinho de Macedo, 1819 </t>
    </r>
    <r>
      <rPr>
        <sz val="11"/>
        <color rgb="FF0F9ED5"/>
        <rFont val="Aptos Narrow"/>
        <family val="2"/>
        <scheme val="minor"/>
      </rPr>
      <t xml:space="preserve">&amp; </t>
    </r>
    <r>
      <rPr>
        <sz val="11"/>
        <color rgb="FF000000"/>
        <rFont val="Aptos Narrow"/>
        <family val="2"/>
        <scheme val="minor"/>
      </rPr>
      <t>Apologia. Adamastor. Contra o Padre Agostinho de Macedo, 1840. Bibliografia crítica. Polémica.</t>
    </r>
  </si>
  <si>
    <t xml:space="preserve">Endechas "Aquela cativa", patois, pp. 71-72, 1895. Recepção criativa. Tematização, pp. 74-75. Trad. Paratextos gerais. </t>
  </si>
  <si>
    <t>Castro Lopes, Appendix. Inês de Castro. Latim, 1868, pp. 59-61.</t>
  </si>
  <si>
    <t>Agostinho Macedo. Adamastor, 1811, carta a Ático. Bibliografia crítica. Polémica.</t>
  </si>
  <si>
    <t>Agostinho de Macedo, Análise analisada,1815.  Bibliografia crítica. Polémica.</t>
  </si>
  <si>
    <r>
      <t xml:space="preserve">Agostinho de Macedo, Censura das Lusíadas, 1820. 2 Vols. </t>
    </r>
    <r>
      <rPr>
        <sz val="11"/>
        <color rgb="FF0F9ED5"/>
        <rFont val="Aptos Narrow"/>
        <family val="2"/>
        <scheme val="minor"/>
      </rPr>
      <t xml:space="preserve"> </t>
    </r>
    <r>
      <rPr>
        <sz val="11"/>
        <color rgb="FF000000"/>
        <rFont val="Aptos Narrow"/>
        <family val="2"/>
        <scheme val="minor"/>
      </rPr>
      <t>Bibliografia crítica. Polémica.</t>
    </r>
  </si>
  <si>
    <r>
      <t xml:space="preserve">Felix Pereira, Os Lusíadas do século XIX, 1880, sem argumentos.  </t>
    </r>
    <r>
      <rPr>
        <sz val="11"/>
        <color rgb="FFE97132"/>
        <rFont val="Aptos Narrow"/>
        <family val="2"/>
        <scheme val="minor"/>
      </rPr>
      <t>Paratextos cortados ou truncados, cf. Im. 11.</t>
    </r>
  </si>
  <si>
    <t>José Silvestre Ribeiro, Os Lusíadas e o cosmo, 1853. Bibliografia crítica. Estudo.</t>
  </si>
  <si>
    <t>José Silvestre Ribeiro, Os Lusíadas e o cosmo, 1858, 2.ª ed. Bibliografia crítica. Estudo. Consultada obra física.</t>
  </si>
  <si>
    <t xml:space="preserve">José Roberto Menier, Les Lusiades travesties, 1883. </t>
  </si>
  <si>
    <t>A. Carvalhais, Camões, 1880. Oitava rima. Celebrações (1880), recepção criativa, tematização.</t>
  </si>
  <si>
    <t>Camilo Castelo Branco, Camões, 1880. Celebrações (1880), vida.</t>
  </si>
  <si>
    <t>Pinheiro Chagas, Celebrações, 1880</t>
  </si>
  <si>
    <r>
      <t>Ferdinand Denis, Camões et ses contemporains, 1841.</t>
    </r>
    <r>
      <rPr>
        <sz val="11"/>
        <color rgb="FF0F9ED5"/>
        <rFont val="Aptos Narrow"/>
        <family val="2"/>
        <scheme val="minor"/>
      </rPr>
      <t xml:space="preserve"> </t>
    </r>
    <r>
      <rPr>
        <sz val="11"/>
        <color rgb="FF000000"/>
        <rFont val="Aptos Narrow"/>
        <family val="2"/>
        <scheme val="minor"/>
      </rPr>
      <t>Bibliografia crítica, Estudo.</t>
    </r>
    <r>
      <rPr>
        <sz val="11"/>
        <color rgb="FFE97132"/>
        <rFont val="Aptos Narrow"/>
        <family val="2"/>
        <scheme val="minor"/>
      </rPr>
      <t xml:space="preserve"> Páginas VIII e IX digitalizadas duas vezes.</t>
    </r>
  </si>
  <si>
    <t>Mélanges. Les Lusiades. Nouvelle édition. 18??</t>
  </si>
  <si>
    <t>Jerónimo Baía, Décimas a Camões, 1883. Refere Aniversário mortuário do Poeta.</t>
  </si>
  <si>
    <r>
      <t>A. Feliciano de Castilho, Camões, 2.ª ed., 1863. 3 Vols.  [2.º Vol., com notas sobre ortografia, pontuação e afins e sobre a trasladação de Camões; no 3.º refere a morada de Camões em Lisboa, cf. Im. 198] Mulheres; e Tradução? Não, apenas traduções de Camões. [3.º Vol. sobre os Castilhos e as suas obras: referência a Francisca de Paula Possolo da Costa, poetisa, cf. Im. 96 e tradução de Os últimos momentos de Camões de Leone Fortis traduzido por Castilho, cf. Im. 163] &amp; Vida, ficção? [referência a Catarina, será a de Ataíde?]. A 2.ª edição não tem gravura.</t>
    </r>
    <r>
      <rPr>
        <sz val="11"/>
        <color rgb="FF0F9ED5"/>
        <rFont val="Aptos Narrow"/>
        <family val="2"/>
        <scheme val="minor"/>
      </rPr>
      <t xml:space="preserve"> </t>
    </r>
    <r>
      <rPr>
        <sz val="11"/>
        <color rgb="FF000000"/>
        <rFont val="Aptos Narrow"/>
        <family val="2"/>
        <scheme val="minor"/>
      </rPr>
      <t>Celebrações (1860), recepção criativa</t>
    </r>
    <r>
      <rPr>
        <sz val="11"/>
        <color rgb="FF0F9ED5"/>
        <rFont val="Aptos Narrow"/>
        <family val="2"/>
        <scheme val="minor"/>
      </rPr>
      <t xml:space="preserve"> e vida?</t>
    </r>
  </si>
  <si>
    <t>T. Braga, Histõria de Camões, 1873. 3 Vols. Celebrações (1872), vida; Lista [neologismos épica; lista de poetas no século XVI]; Figuras Femininas [lista de poetas: surgem Joana da Gama, cf. Im. 277, Leonor de Mendanha e D. Maria (Infanta), cf. Im. 278]. 2.º Vol. é dedicado à escola camoniana e aos poetas quinhentistas e o 3.º Vol. é dedicado aos poetas épicos, com um estudo sobre Os Lusíadas: cf. Bibliografia crítica, estudo</t>
  </si>
  <si>
    <r>
      <t>T. Cannizaro, Camões Petrarchista, 1893 e Joaquim Araújo,  O soneto de Tasso a Camões e Vasco da Gama (carta a António de Portugal Faria), 1898; e outros: "Le estatuo dou Poueto" de Joaquim Araújo, 1893 e Estatutos da sociedade científico-artístico-literária Luigi de Camões em Nápoles, 1902. Trad. Paratextos. Bibliografia crítica, estudo</t>
    </r>
    <r>
      <rPr>
        <sz val="11"/>
        <color rgb="FF0F9ED5"/>
        <rFont val="Aptos Narrow"/>
        <family val="2"/>
        <scheme val="minor"/>
      </rPr>
      <t xml:space="preserve"> &amp; Outros? [Estatutos]</t>
    </r>
  </si>
  <si>
    <t>Joaquim de Araújo, Camões. Poemeto+carta de Eça de Queiroz, 1887</t>
  </si>
  <si>
    <t xml:space="preserve">Camões, Poesias Lyricas selectas, 1880 [sonetos, canções, odes, elegias, éclogas, redondilhas, estâncias, voltas, mote, cantiga, endechas], datada de 1876, mas com indicação de celebração. Mulheres [Publicadas pela viscondessa de Vila Maior].  </t>
  </si>
  <si>
    <r>
      <t>Confrontação minuciosa, 1834.</t>
    </r>
    <r>
      <rPr>
        <sz val="11"/>
        <color rgb="FF0F9ED5"/>
        <rFont val="Aptos Narrow"/>
        <family val="2"/>
        <scheme val="minor"/>
      </rPr>
      <t xml:space="preserve"> </t>
    </r>
    <r>
      <rPr>
        <sz val="11"/>
        <color rgb="FF000000"/>
        <rFont val="Aptos Narrow"/>
        <family val="2"/>
        <scheme val="minor"/>
      </rPr>
      <t>Bibliografia crítica, polémica e Paratextos [notas]</t>
    </r>
  </si>
  <si>
    <t>Mickle, The Lusiads, London, 1807. 3 Vols., sem argumentos [1.º: até ao C. II, com notas; 2.º: até ao C. VI, com notas; 3.º até ao C. X, com dissertação sobre a ilha de Vénus e notas ] Trad. Paratextos gerais [aviso, intro. Hist. Índia, Dissertação sobre o Poema], Trad. Paratextos vida, Trad. Paratextos notas. Mapa rota.</t>
  </si>
  <si>
    <t>Mickle, The Lusiads, London, 1809, sem argumentos. Mapa rota.</t>
  </si>
  <si>
    <t>Teixeira Bastos, Lyra Camoneana,1880. Recepção criativa. Centão [cf. Im. 11 e ss.]. Celebrações (1880), recepção criativa, tematização e centão.</t>
  </si>
  <si>
    <t xml:space="preserve">António Moreira Cabral, Camões, 1892, poesia comemorativa ao 311.º aniversário do passamento do Poeta. Paratextos outros [notas]. Celebrações (1880), recepção criativa, tematização. </t>
  </si>
  <si>
    <r>
      <t>Obras Completas, 1843,</t>
    </r>
    <r>
      <rPr>
        <sz val="11"/>
        <color rgb="FFE97132"/>
        <rFont val="Aptos Narrow"/>
        <family val="2"/>
        <scheme val="minor"/>
      </rPr>
      <t xml:space="preserve"> cf. referência bibliográfica da lista de Excel, que aponta para 1.ª Ed., mas cf. ref. infra, n.º 86. </t>
    </r>
    <r>
      <rPr>
        <sz val="11"/>
        <color rgb="FF000000"/>
        <rFont val="Aptos Narrow"/>
        <family val="2"/>
        <scheme val="minor"/>
      </rPr>
      <t xml:space="preserve">3 Vols.[1.º: Épica, sem argumentos, mas com notas sobre os cantos no final; 2.º: Lírica: sonetos, éclogas, canções, odes, com notas no final; 3.º: redondilhas [Salmo], esparsas, convites, motes, cantigas, trovas, vilancete, endechas, sextinas, elegias, epístolas, oitavas; Teatro: Seleuco, Anfitriões, Filodemo; Cartas] </t>
    </r>
    <r>
      <rPr>
        <sz val="11"/>
        <color rgb="FF0F9ED5"/>
        <rFont val="Aptos Narrow"/>
        <family val="2"/>
        <scheme val="minor"/>
      </rPr>
      <t xml:space="preserve"> </t>
    </r>
    <r>
      <rPr>
        <sz val="11"/>
        <color rgb="FF000000"/>
        <rFont val="Aptos Narrow"/>
        <family val="2"/>
        <scheme val="minor"/>
      </rPr>
      <t>A Santa Úrsula; Paratextos vida; Paratextos notas.</t>
    </r>
  </si>
  <si>
    <r>
      <t xml:space="preserve">Obras Completas, 1834. 3 Vols. [1.º: Os Lusíadas, sem argumentos, </t>
    </r>
    <r>
      <rPr>
        <sz val="11"/>
        <color rgb="FF4EA72E"/>
        <rFont val="Aptos Narrow"/>
        <family val="2"/>
        <scheme val="minor"/>
      </rPr>
      <t>com notas truncadas: até ao C. IV, arrancadas ou sem digitalização: as pp. foram arrancadas (confirmado por Sara)</t>
    </r>
    <r>
      <rPr>
        <sz val="11"/>
        <color rgb="FF000000"/>
        <rFont val="Aptos Narrow"/>
        <family val="2"/>
        <scheme val="minor"/>
      </rPr>
      <t>; 2.º, com nota manuscrita, cf. Im. 5 e prefacção truncada: Lírica: sonetos, éclogas, canções, odes, com notas no final; 3.º: redondilhas [Salmo], esparsas, convites, motes, cantigas, trovas, vilancete, endechas, sextinas, elegias, epístolas, oitavas; Teatro: Seleuco, Anfitriões, Filodemo; Cartas]  Santa Úrsula;</t>
    </r>
    <r>
      <rPr>
        <sz val="11"/>
        <color rgb="FF0F9ED5"/>
        <rFont val="Aptos Narrow"/>
        <family val="2"/>
        <scheme val="minor"/>
      </rPr>
      <t xml:space="preserve"> </t>
    </r>
    <r>
      <rPr>
        <sz val="11"/>
        <color rgb="FF000000"/>
        <rFont val="Aptos Narrow"/>
        <family val="2"/>
        <scheme val="minor"/>
      </rPr>
      <t xml:space="preserve">Paratextos vida e paratextos notas. </t>
    </r>
  </si>
  <si>
    <t>LatimExcerptos. Viale, 1878 [Proposição; Invocação; Episódios: Inês de Castro, Gigante Adamastor, Ilha dos Amores, sem argumentos] Trad. Paratextos gerais; Trad. Paratextos notas.</t>
  </si>
  <si>
    <t>Joaquim de Araújo, Le naufrage de Camoens, 12.ª ed., 1898. [tradução do poema de Araújo para arménio por P. Arsène Lazik]</t>
  </si>
  <si>
    <r>
      <t>Os Lusíadas. Ignácio Garcês Ferreira, 1731-1732. 2 Vols. [1.º: 4 livros de aparatos preliminares; até ao C. V. com comentários; 2.º: até ao X, com comentários].</t>
    </r>
    <r>
      <rPr>
        <sz val="11"/>
        <color rgb="FF0F9ED5"/>
        <rFont val="Aptos Narrow"/>
        <family val="2"/>
        <scheme val="minor"/>
      </rPr>
      <t xml:space="preserve"> </t>
    </r>
    <r>
      <rPr>
        <sz val="11"/>
        <color rgb="FF000000"/>
        <rFont val="Aptos Narrow"/>
        <family val="2"/>
        <scheme val="minor"/>
      </rPr>
      <t>Paratextos vida; Paratextos argumentos; Paratextos notas; Iconografia: mapa rota.</t>
    </r>
  </si>
  <si>
    <r>
      <t xml:space="preserve">Os Lusíadas. Morgado de Mateus, 1819, sem argumentos. </t>
    </r>
    <r>
      <rPr>
        <sz val="11"/>
        <color rgb="FF0F9ED5"/>
        <rFont val="Aptos Narrow"/>
        <family val="2"/>
        <scheme val="minor"/>
      </rPr>
      <t xml:space="preserve"> </t>
    </r>
    <r>
      <rPr>
        <sz val="11"/>
        <color rgb="FF000000"/>
        <rFont val="Aptos Narrow"/>
        <family val="2"/>
        <scheme val="minor"/>
      </rPr>
      <t>Refere catálogos de Os Lusíadas.</t>
    </r>
    <r>
      <rPr>
        <sz val="11"/>
        <color rgb="FF0F9ED5"/>
        <rFont val="Aptos Narrow"/>
        <family val="2"/>
        <scheme val="minor"/>
      </rPr>
      <t xml:space="preserve">  </t>
    </r>
    <r>
      <rPr>
        <sz val="11"/>
        <color rgb="FF000000"/>
        <rFont val="Aptos Narrow"/>
        <family val="2"/>
        <scheme val="minor"/>
      </rPr>
      <t>Paratextos vida (inclui ainda notas de vida), Paratextos notas e lista.</t>
    </r>
  </si>
  <si>
    <r>
      <t>L'appel a la postérité: Hommage a Camoens a l'occasion du centenaire de 1880. Cópia pública não abre, consultado livro físico: poema em duas partes, com apenas 7 pp..</t>
    </r>
    <r>
      <rPr>
        <sz val="11"/>
        <color rgb="FFE97132"/>
        <rFont val="Aptos Narrow"/>
        <family val="2"/>
        <scheme val="minor"/>
      </rPr>
      <t xml:space="preserve"> Poema em pt é mais extenso (tem X cantos), mas tradução pode incidir apenas sobre um fragmento do poema de Garrett. </t>
    </r>
    <r>
      <rPr>
        <sz val="11"/>
        <color rgb="FF000000"/>
        <rFont val="Aptos Narrow"/>
        <family val="2"/>
        <scheme val="minor"/>
      </rPr>
      <t>Celebrações (1880), recepção criativa, tematização.</t>
    </r>
  </si>
  <si>
    <r>
      <t xml:space="preserve">Hipólito Raposo, Heroínas da navegação, separata da revista Brotéria [Filipa de Lencastre;  Isabel de Castro, condessa de Viana; outra Isabel de Castro; Branca Coutinho; Mécia de Monroy; Violante Gonçalves; Maria de Eça; Isabel de Avelar; Antónia Rodrigues; Bárbara Fernandes; Isabel da Veiga; Isabel Madeira; Ana Fernandes; Maria de Mascarenhas;  Beatriz de Lima; Luísa de Melo; Maria de Sequeira; Maria Leonor de Lemos e Meneses] </t>
    </r>
    <r>
      <rPr>
        <sz val="11"/>
        <color rgb="FFE97132"/>
        <rFont val="Aptos Narrow"/>
        <family val="2"/>
        <scheme val="minor"/>
      </rPr>
      <t>Apenas menciona brevemente Camões,</t>
    </r>
    <r>
      <rPr>
        <sz val="11"/>
        <color rgb="FF000000"/>
        <rFont val="Aptos Narrow"/>
        <family val="2"/>
        <scheme val="minor"/>
      </rPr>
      <t xml:space="preserve"> cf. Im. 22.1938. </t>
    </r>
  </si>
  <si>
    <t>I Lusiadi. Antonio Nervi, 1882. Trad. Paratextos vida. Trad. Paratextos notas (de rodapé em cada Canto). Trad. Paratextos argumentos.</t>
  </si>
  <si>
    <t>Os Lusíadas, Rio de Janeiro, 1880, sem argumentos.</t>
  </si>
  <si>
    <t>Os Lusíadas, 1898, obra dedicada à Comissão do Centenário e nos paratextos é referida a Celebração: Celebrações (1880); Paratextos argumentos e Iconografia figuras históricas.</t>
  </si>
  <si>
    <r>
      <t>Os Lusíadas/Los Portugueses, D. Carlos Soler y Arques, 1873. Bilingue, sem argumentos.</t>
    </r>
    <r>
      <rPr>
        <sz val="11"/>
        <color rgb="FF0F9ED5"/>
        <rFont val="Aptos Narrow"/>
        <family val="2"/>
        <scheme val="minor"/>
      </rPr>
      <t xml:space="preserve"> </t>
    </r>
    <r>
      <rPr>
        <sz val="11"/>
        <color rgb="FF000000"/>
        <rFont val="Aptos Narrow"/>
        <family val="2"/>
        <scheme val="minor"/>
      </rPr>
      <t xml:space="preserve">Trad. Paratextos; Trad. Paratextos vida; Trad. Paratextos notas. </t>
    </r>
  </si>
  <si>
    <t>Inês de Castro, 1873. [cópia digital não abre, consultado PDF via Miguel] Edição em catorze línguas, um ano depois das Celebrações (1872), mas sem referência.</t>
  </si>
  <si>
    <t>Inês de Castro, 1880, em quinze línguas, com identificação nominal de cada tradutor, sem argumentos. Inserir Trad. Paratextos.</t>
  </si>
  <si>
    <r>
      <t xml:space="preserve">Grémio Faialense, 1880. Fragmentos Épica [frag. cantos: I, II, III, IV, V, VI, IX, X] Fragmentos lírica [sonetos, epístolas "Quem pode no mundo ser tão quieto" (desconcerto do mundo), odes "Já a calma nos deixou", rimas "Um gosto, que hoje se alcança", sete anos de pastor Jacob servia]. </t>
    </r>
    <r>
      <rPr>
        <sz val="11"/>
        <color rgb="FF0F9ED5"/>
        <rFont val="Aptos Narrow"/>
        <family val="2"/>
        <scheme val="minor"/>
      </rPr>
      <t>Antologia em periódicos?</t>
    </r>
    <r>
      <rPr>
        <sz val="11"/>
        <color rgb="FF000000"/>
        <rFont val="Aptos Narrow"/>
        <family val="2"/>
        <scheme val="minor"/>
      </rPr>
      <t xml:space="preserve"> Celebrações (1880), periódicos.</t>
    </r>
  </si>
  <si>
    <t>Pérolas de Camões. 1880. Inês de Castro, Adamastor, Ilha dos Amores, sem argumentos, Soneto a Natércia [em Antologia não existe fragmento/soneto lírica?]. Iconografia, figuras históricas.</t>
  </si>
  <si>
    <t>Artigo polaco? Séc. XIX:  " Luiz de Camoens" da autoria de K. Kaszewskiego 1880, continuação do texto no CAM. 45//3 A.</t>
  </si>
  <si>
    <t>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t>
  </si>
  <si>
    <t>J. Feliciano de Castilho, Memória sobre o exemplar d'Os Lusíadas, 1880, com lista das remissões feitas pelo anotador e dos assuntos do exemplar.</t>
  </si>
  <si>
    <r>
      <t xml:space="preserve">Información, Manuel de Faria e Sousa, 1640. Paratextos, outros [salmo, advertência, licenças, Censura de Geronimo Pardo, qualificador da Inquisição; Parecer Padre Ambrósio, Parergon, tabelas, adições, a Geronimo Vilanveva, </t>
    </r>
    <r>
      <rPr>
        <sz val="11"/>
        <color rgb="FFE97132"/>
        <rFont val="Aptos Narrow"/>
        <family val="2"/>
        <scheme val="minor"/>
      </rPr>
      <t>obra incompleta ou truncada, cf. Im. 90</t>
    </r>
    <r>
      <rPr>
        <sz val="11"/>
        <color rgb="FF000000"/>
        <rFont val="Aptos Narrow"/>
        <family val="2"/>
        <scheme val="minor"/>
      </rPr>
      <t>]. Bibliografia crítica, polémica.</t>
    </r>
  </si>
  <si>
    <t>Benoliel, Sobre o episódio do Adamastor, 1898. Bibliografia crítica, estudo.</t>
  </si>
  <si>
    <t>Poema a Camões*Vida+Notas1880 [notas sobre a vida do Poeta, Im. 13]. Celebrações (1880), recepção criativa, tematização. Inclui soneto de Camões.</t>
  </si>
  <si>
    <t>Auto da cunhagem. Textos+poesias de homenagem a Camões+Retrato, 1880. A inserir Celebrações (1880), recepção criativa, tematização.</t>
  </si>
  <si>
    <t>Miguel Ribeiro de Vasconcelos, Apontamentos, 1854. Existe uma secção no final.</t>
  </si>
  <si>
    <t>Tomás Ribeiro, Surrexit, 1880. Celebrações (1880), recepção criativa, tematização.</t>
  </si>
  <si>
    <t>Programa, 1880. Iconografia, Lugares de memória.</t>
  </si>
  <si>
    <t>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t>
  </si>
  <si>
    <t>Hugo Suchardt, Camoens, 1880. Uma saudação. Celebrações (1880), recepção criativa, tematização</t>
  </si>
  <si>
    <t>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t>
  </si>
  <si>
    <r>
      <t xml:space="preserve">Centro Republicano. Açores, 1880. </t>
    </r>
    <r>
      <rPr>
        <sz val="11"/>
        <color rgb="FF0F9ED5"/>
        <rFont val="Aptos Narrow"/>
        <family val="2"/>
        <scheme val="minor"/>
      </rPr>
      <t>Fragmentos épica e canção: Recolha epigráfica?</t>
    </r>
  </si>
  <si>
    <r>
      <t xml:space="preserve">Viana a Camões, 1880.  </t>
    </r>
    <r>
      <rPr>
        <sz val="11"/>
        <color rgb="FF0F9ED5"/>
        <rFont val="Aptos Narrow"/>
        <family val="2"/>
        <scheme val="minor"/>
      </rPr>
      <t>Publicação Comemorativa: não parece periódico</t>
    </r>
    <r>
      <rPr>
        <sz val="11"/>
        <color rgb="FFE97132"/>
        <rFont val="Aptos Narrow"/>
        <family val="2"/>
        <scheme val="minor"/>
      </rPr>
      <t xml:space="preserve"> </t>
    </r>
    <r>
      <rPr>
        <sz val="11"/>
        <color rgb="FF000000"/>
        <rFont val="Aptos Narrow"/>
        <family val="2"/>
        <scheme val="minor"/>
      </rPr>
      <t>do Tricentenário do Imortal Cantor dos Lusíadas. Figuras Femininas [Zulmira E. A. de Sá, poema em homenagem ao Poeta]. Celebrações (1880), recepção criativa, tematização</t>
    </r>
  </si>
  <si>
    <t xml:space="preserve">Homenagem. S. Miguel, Açores, 1880, com duas digitalizações em cores distintas da mesma peça. Será um periódico? Não. </t>
  </si>
  <si>
    <t>Camões, 1880.  Figuras femininas [Margarida Victor e Angelina Vidal, conferencistas sobre Camões]</t>
  </si>
  <si>
    <t>Adolfo F. Loureiro, No Oriente, 1896-1897. diário de viagem com referências soltas a Camões, poucas passagens de Os Lusíadas e visita à gruta [1.º: cf. Im.: 130, 317,304, sala de Camões, 324; 2.º: 29, 34, ref. ao busto de Camões, 123, 140, 282 ]</t>
  </si>
  <si>
    <t>Fernando Jorge Fialho, 1992, com epígrafe: "Daquele cuja lira sonorosa/ será mais afamada que ditosa". Consultada cópia interna.</t>
  </si>
  <si>
    <t>Almeida Garrett, Morte di Camoens, 1898, com nota sobre a vida do Poeta.</t>
  </si>
  <si>
    <t>Episódio da Ilha de Vénus. Trd. De Cournand, 1880, sem argumento. Bilingue. Trad. Paratextos gerais e Celebrações (1880), traduções.</t>
  </si>
  <si>
    <t>A. F. Barata, Epigrafia camoniana, 1882. Inclui ainda Trad. Latina do Episódio da Ilha Vénus; Fábula de Narciso e epigrafia de vários géneros: Antologia?, com paratexto. Trad. Paratextos e Trad. notas. A inserir Recolha epigráfica.</t>
  </si>
  <si>
    <r>
      <t xml:space="preserve">Os Lusíadas. Gomes de Amorim, 1889, sem argumentos. </t>
    </r>
    <r>
      <rPr>
        <sz val="11"/>
        <color rgb="FFC11AF0"/>
        <rFont val="Aptos Narrow"/>
        <family val="2"/>
        <scheme val="minor"/>
      </rPr>
      <t>[Edição crítica e anotada; Introdução; Apêndice; Cota no registo bibliográfico  - e BND - como cam-30-v_2 mas as imagens deste segundo volume estão registadas como cam-31-v(?) (Sara)]</t>
    </r>
  </si>
  <si>
    <t>Os Lusíadas. Inocêncio Francisco da Silva, 1891. Paratextos vida e Paratextos argumentos. Iconografia outros [padrão].</t>
  </si>
  <si>
    <r>
      <t xml:space="preserve">Os Lusíadas para o povo e as crianças, 1892. Apenas o C. I, com anotações, sem argumentos. </t>
    </r>
    <r>
      <rPr>
        <sz val="11"/>
        <color rgb="FF0F9ED5"/>
        <rFont val="Aptos Narrow"/>
        <family val="2"/>
        <scheme val="minor"/>
      </rPr>
      <t xml:space="preserve"> </t>
    </r>
  </si>
  <si>
    <t xml:space="preserve">Os Lusíadas, 1898, sem argumentos. Paratextos notas [espécie de didascália]. </t>
  </si>
  <si>
    <r>
      <t>Les Lusiades, sem argumentos, François Ragon, 2.ª ed., 1850.</t>
    </r>
    <r>
      <rPr>
        <sz val="11"/>
        <color rgb="FF0F9ED5"/>
        <rFont val="Aptos Narrow"/>
        <family val="2"/>
        <scheme val="minor"/>
      </rPr>
      <t xml:space="preserve"> </t>
    </r>
    <r>
      <rPr>
        <sz val="11"/>
        <color rgb="FF000000"/>
        <rFont val="Aptos Narrow"/>
        <family val="2"/>
        <scheme val="minor"/>
      </rPr>
      <t xml:space="preserve">Trad. Paratextos gerais e Trad. Paratextos notas. </t>
    </r>
  </si>
  <si>
    <t>Les Lusiades, Fernando de Azevedo, 1870. bilingue. Trad. Paratextos gerais, Trad. Paratextos vida, Trad. Paratextos notas, Trad. paratextos argumentos.</t>
  </si>
  <si>
    <t>Les Lusiades, A. de Cool, Rio de Janeiro, 1876. Trad. Paratextos, Trad. Paratextos vida. Trad. Paratextos argumentos.</t>
  </si>
  <si>
    <t>Les Lusiades (I), Henri Courtois, 1887, sem argumentos. Bilingue. 1.º fascículo, que inclui apenas o C. I. no sétimo aniversário do Tricentenário. Trad. Paratextos gerais e Celebrações (1880), traduções.</t>
  </si>
  <si>
    <t>A ode ao Conde de Redondo, 1884. No quarto aniversário do Tricentenário.</t>
  </si>
  <si>
    <t>O primeiro canto em Inglês, James E, Hewit, 1881, sem argumentos. Recordação do Tricentenário. Trad. Paratextos gerais e Celebrações (1880), traduções.</t>
  </si>
  <si>
    <t xml:space="preserve">Sonnets choisis, 1879 . Trad. Paratextos gerais e trad. paratextos notas [em rodapé]. </t>
  </si>
  <si>
    <t xml:space="preserve">Tercetos e um soneto. Magalhães Gandavo, 1894. Tercetos entram em elegias. </t>
  </si>
  <si>
    <t>Plutarcho Portuguez+Retrato 1881. Inserir em Celebrações (1880), vida.</t>
  </si>
  <si>
    <t>Excerptos de tipos. Página Camoniana. Brinde, 1886</t>
  </si>
  <si>
    <r>
      <t>Pernambuco a Camões, 1880.</t>
    </r>
    <r>
      <rPr>
        <sz val="11"/>
        <color rgb="FF0F9ED5"/>
        <rFont val="Aptos Narrow"/>
        <family val="2"/>
        <scheme val="minor"/>
      </rPr>
      <t xml:space="preserve"> Número único: Publicação feita para comemorar o tricentenário do grande épico Português.</t>
    </r>
  </si>
  <si>
    <t>Victor Hugo celebra Camões, 1880. Celebrações (1880), nótulas</t>
  </si>
  <si>
    <t>Eduardo Vidal, A Camões, 1867. Celebrações (1860), recepção criativa, tematização.</t>
  </si>
  <si>
    <t>Homenagem a Camões, 1880</t>
  </si>
  <si>
    <t>Il Conciliatore. Recensão crítica da edição do Morgado de Mateus, 1818</t>
  </si>
  <si>
    <t>Mendes Leal, Vision. Republicana, 1880</t>
  </si>
  <si>
    <t>Rosendo Moniz, Camões entre dois mundos, 1880. Poesia recitada no Teatro D. Pedro. Celebrações (1880), recepção criativa, tematização.</t>
  </si>
  <si>
    <t xml:space="preserve">Versos extraídos d'Os Lusíadas, 1880. Colocados na frente dos camarotes no Imperial Theatro D. Pedro II em 10 de Junho de 1880. </t>
  </si>
  <si>
    <t>Programa, 1880. Figuras Femininas [recitação de uma poesia por Adelina Lopes Vieira]. A autora parece ter produção sobre Camões: cf. Revista Brazileira : homenagem a Luiz de Camões. - 10 Jun. 1880. - Rio de Janeiro : N. Midosi-Editor, 1880. - P. 65-67 em https://ccbibliotecas.azores.gov.pt/cgi-bin/koha/opac-detail.pl?biblionumber=5486</t>
  </si>
  <si>
    <t>Obras Completas, 1874. Apenas o Tomo II, que corresponde a Os Lusíadas e não ao cancioneiro de todas redondilhas, como grafado na portada Tomo II, vol. 5, com estâncias omitidas, variantes e argumentos apócrifos dos Cantos.  Insere-se à mesma em conjunto. A inserir Paratextos Argumentos.</t>
  </si>
  <si>
    <t>Apontamentos para a poligrafia camoniana, 1886, Pereira Calda (Braga)</t>
  </si>
  <si>
    <t>José do Canto, Colecção Camoniana, 1895</t>
  </si>
  <si>
    <t>Adolf Von Schack, Camões em Sinta, 1891. No 311.º aniversário da morte do Poeta: Celebrações Recepção criativa. Tematização.</t>
  </si>
  <si>
    <t>G. Menze, Camões. Studien, 1890.  Paratextos outros; não entra em nenhum período celebrativo, lista [tabela com notícias sobre as disciplinas escolares, distribuição de aulas, períodos concluídos, aulas técnicas, coros/aulas de canto?, lista de livros didácticos comprados, decretos do Departamento de Educação, crónica sobre a fundação e abertura da Escola Superior, outras notícias, colecções de materiais didácticos para diferentes disciplinas, bibliotecas, fundações e apoio estudantil, avisos aos pais e representantes, relatórios pré-escola, estatísticas]</t>
  </si>
  <si>
    <r>
      <t xml:space="preserve">Luís Palmeirim, Camões e Vasco da Gama, 1898. No ano 371.º do nascimento do Poeta. </t>
    </r>
    <r>
      <rPr>
        <sz val="11"/>
        <color rgb="FF0F9ED5"/>
        <rFont val="Aptos Narrow"/>
        <family val="2"/>
        <scheme val="minor"/>
      </rPr>
      <t>A inserir celebrações (1898), recepção criativa</t>
    </r>
  </si>
  <si>
    <t>T. Braga, Camões, a tipografia e as ciências do século, 1882 conferência.</t>
  </si>
  <si>
    <t>Excertos d'Os Lusíadas, canto II, 1889. Vénus e os Portugueses, Canto III, Inês de Castro e Batalha de Salado; C. IV: Batalha de Aljubarrota; C. V: Adamastor; C. VI: Os Doze; C. IX: Ilha dos Amores, sem argumentos.</t>
  </si>
  <si>
    <r>
      <t>Os festejos do centenário da Índia, 1898. 4.º centenário da Índia.</t>
    </r>
    <r>
      <rPr>
        <sz val="11"/>
        <color rgb="FF0F9ED5"/>
        <rFont val="Aptos Narrow"/>
        <family val="2"/>
        <scheme val="minor"/>
      </rPr>
      <t xml:space="preserve"> A inserir celebrações (1898), iconografia.</t>
    </r>
  </si>
  <si>
    <t>Los Lusiadas, D. Carlos Soler y Arques, 1873. Bilingue, sem argumentos. Trad. Paratextos; Trad. Paratextos notas; Trad. Paratextos vida. Celebrações 1872, ainda que sem referência explícita.</t>
  </si>
  <si>
    <t>Magalhães Lima, O centenário no estrangeiro, 1897 conferência.</t>
  </si>
  <si>
    <t>Sousa Viterbo, Frei Bartolomeu Ferreira, 1891. Refere polémica histórica do censor, poesia espanhola, hagiografia, novelística, moralistas, teologia e místicos, Molina e Aristóteles, entre outros tópicos],  &amp; Iconografia [16, retrato de Sousa Viterbo, 220, 232 autógrafos de Fr. Bartolomeu Ferreira] &amp; Lista [resenha cronológica das obras aprovadas por Fr. Bartolomeu Ferreira]</t>
  </si>
  <si>
    <t>Cláudio Carneiro, Dizeres do povo [partitura]</t>
  </si>
  <si>
    <t>Frondoni, Luís de Camões, 193?  Poesia de L.A. Palmeirim e música de Frondini. Música em homenagem a Camões para piano [partitura]</t>
  </si>
  <si>
    <t>D. Maria Cornélia Pacheco, Homenagem a Camões. Lamentações de Jau, 187?</t>
  </si>
  <si>
    <t xml:space="preserve">Primeiros documentos para a história da comemoração camoniana de 1880, 1887. </t>
  </si>
  <si>
    <t>Lubin David, Camões, 1887?</t>
  </si>
  <si>
    <t>Rosalindo Brito, Discurso… Estudantes 1881, 1881. Parece o Alencar!!!</t>
  </si>
  <si>
    <t>Robert Lallement, Camões, 1879. Celebrações (1880), recepção criativa.</t>
  </si>
  <si>
    <t>A Mocidade a Camões. Tributo da revista A Mocidade, 1880</t>
  </si>
  <si>
    <t>Archivo Municipal de Lisboa. Compra da casa onde viveu Luís de Camões, 1880. Mulheres [uma professora, que pede lugar nas escolas criadas em homenagem] [refere-se: 4, casa de Camões o intento de uma edição crítica em pergaminho dos Lusíadas, cf. Im. 17; sobre os festejos e eventos relacionados com o Tricentenário, cf. Im. 29, 37, 48, 66, 67, 79 e 80 (publicação de A agonia de Camões, traduzido por Alberto Pimentel e biblioteca pedagógica, cf. n.º 5), 82, 84, 87 (prémio Camões, entre outras iniciativas), 88 (actos religiosos), 91 (presença de el-Rei e criação do Bairro Camões, cf. 133, 151 também), 93 (denominação de ruas, uma dela Garrett), 94, 98 (contributo da Imprensa Nacional para a colecção Camoniana da biblioteca, referência à edição do visconde de Juromenha, entre outras), agradecimentos aos envolvidos: 100, 101, 113, pedidos: 114, 116; comida aos indigentes 117; vários: 126; Maria Antónia Martins Cunha: 127, 137, 139, exemplar dos Sonetos; 147, trasladação dos restos mortais; 150, 167, 169, 179 (edição dos Lusíadas e medalha), 186]</t>
  </si>
  <si>
    <t>Garcia Diniz, Oração fúnebre…, 1880 celebrada na Sé de Lisboa.</t>
  </si>
  <si>
    <t xml:space="preserve">Terceiro centenário de Luís de Camões, 1880 Edição especial do Jornal do Commercio no dia 10 de Junho de 1880. </t>
  </si>
  <si>
    <t>Vida do grande Luís de Camões, 1880</t>
  </si>
  <si>
    <r>
      <t xml:space="preserve">Homenagem a Camões, 1880, </t>
    </r>
    <r>
      <rPr>
        <sz val="11"/>
        <color rgb="FFE97132"/>
        <rFont val="Aptos Narrow"/>
        <family val="2"/>
        <scheme val="minor"/>
      </rPr>
      <t>sem referência explícita a Acto público.</t>
    </r>
  </si>
  <si>
    <r>
      <t xml:space="preserve">À memória de Luís de Camões, 1880. Excerto do episódio </t>
    </r>
    <r>
      <rPr>
        <i/>
        <sz val="11"/>
        <color rgb="FF000000"/>
        <rFont val="Aptos Narrow"/>
        <family val="2"/>
        <scheme val="minor"/>
      </rPr>
      <t xml:space="preserve">Os doze. </t>
    </r>
    <r>
      <rPr>
        <sz val="11"/>
        <color rgb="FF000000"/>
        <rFont val="Aptos Narrow"/>
        <family val="2"/>
        <scheme val="minor"/>
      </rPr>
      <t>In A sentinela, semanário bracarense.</t>
    </r>
    <r>
      <rPr>
        <i/>
        <sz val="11"/>
        <color rgb="FF000000"/>
        <rFont val="Aptos Narrow"/>
        <family val="2"/>
        <scheme val="minor"/>
      </rPr>
      <t xml:space="preserve"> </t>
    </r>
  </si>
  <si>
    <t>João Cardoso Júnior, Homenagem dum livre pensador a Luís de Camões, 1881. Celebrações (1880), recepção criativa.</t>
  </si>
  <si>
    <t>Vida de Luís de Camões e seu retrato (retoma o texto de 1772), 1881</t>
  </si>
  <si>
    <t>Joaquim Porto, A Luís de Camões, na festa do seu terceiro centenário, 1880. Celebrações (1880), recepção criativa, tematização</t>
  </si>
  <si>
    <t>Comemoração camoniana, 1884.</t>
  </si>
  <si>
    <t>Preliminares do tricentenário: controvérsia do Sr. Eduardo de Lemos com o Jornal do Comércio, 1884</t>
  </si>
  <si>
    <r>
      <t>Monumentos a Luís de Camões, 1860.</t>
    </r>
    <r>
      <rPr>
        <sz val="11"/>
        <color rgb="FF0F9ED5"/>
        <rFont val="Aptos Narrow"/>
        <family val="2"/>
        <scheme val="minor"/>
      </rPr>
      <t xml:space="preserve"> </t>
    </r>
    <r>
      <rPr>
        <sz val="11"/>
        <color rgb="FF000000"/>
        <rFont val="Aptos Narrow"/>
        <family val="2"/>
        <scheme val="minor"/>
      </rPr>
      <t>Celebrações (1860), periódicos.</t>
    </r>
  </si>
  <si>
    <t>Leilão da Camoniana de José Felix Alves de Minhava, 1886</t>
  </si>
  <si>
    <t>Novidades, artigo de Faria e Castro, "A descoberta da Índia", com abundantes citações camonianas, 1886</t>
  </si>
  <si>
    <t>António Ribeiro Saraiva, Soneto encomiando a língua de Camões, 1880. Celebrações (1880), recepção criativa, tematização.</t>
  </si>
  <si>
    <t>José Faria Leal, Soneto comparando Bocage e Camões, 1880. Celebrações (1880), recepção criativa, tematização.</t>
  </si>
  <si>
    <t>Fernando Alves, A sociedade portuguesa (criticando aspectos dos festejos de 1880), 1880</t>
  </si>
  <si>
    <t>Gregório Antunes Falcão, Gregoreida, 1880. Celebrações (1880), recepção criativa, paródia.</t>
  </si>
  <si>
    <t>A propósito do centenário, 1880. Defende a necessidade de criar escolas e leitores. Refere o periódico? "Luta", mas não é nenhum excerto do periódico.</t>
  </si>
  <si>
    <r>
      <t>I Lusiadi, Antonio Nervi, 1821, 2.ª ed. 2 Vols [1.º: até ao C. V, com notas; 2.º até ao C. X, com notas].</t>
    </r>
    <r>
      <rPr>
        <sz val="11"/>
        <color rgb="FF0F9ED5"/>
        <rFont val="Aptos Narrow"/>
        <family val="2"/>
        <scheme val="minor"/>
      </rPr>
      <t xml:space="preserve"> </t>
    </r>
    <r>
      <rPr>
        <sz val="11"/>
        <color rgb="FF000000"/>
        <rFont val="Aptos Narrow"/>
        <family val="2"/>
        <scheme val="minor"/>
      </rPr>
      <t>Trad. Paratextos; Trad. Paratextos vida; Trad. Paratextos notas; Trad. Paratextos argumentos; Mulheres [M. de Staël].</t>
    </r>
  </si>
  <si>
    <t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t>
  </si>
  <si>
    <t>José Andrade, Bibliografia camoniana dos Açores por ocasião do tricentenário, 1881</t>
  </si>
  <si>
    <t>A. Circourt, Lettre a M. Marxime Formont, 1881?. Carta de 1889 dirigida ao círculo camoniano, um periódico, a dar conta do envio de um precioso manuscrito intitulado "A vida de Camões", cf. nota de rodapé.</t>
  </si>
  <si>
    <t>Irme quiero - em francês.Madame Tastu, 188? Figuras Femininas [Amable Tastu, pseudónimo de Sabine Casimire Amable Voïart, poetisa]</t>
  </si>
  <si>
    <r>
      <t>Lusiaderne, Up</t>
    </r>
    <r>
      <rPr>
        <sz val="11"/>
        <color rgb="FFE97132"/>
        <rFont val="Aptos Narrow"/>
        <family val="2"/>
        <scheme val="minor"/>
      </rPr>
      <t>p</t>
    </r>
    <r>
      <rPr>
        <sz val="11"/>
        <color rgb="FF000000"/>
        <rFont val="Aptos Narrow"/>
        <family val="2"/>
        <scheme val="minor"/>
      </rPr>
      <t xml:space="preserve">sala </t>
    </r>
    <r>
      <rPr>
        <sz val="11"/>
        <color rgb="FFE97132"/>
        <rFont val="Aptos Narrow"/>
        <family val="2"/>
        <scheme val="minor"/>
      </rPr>
      <t>[Pedir rectificação de gralha no registo: Sara]</t>
    </r>
    <r>
      <rPr>
        <sz val="11"/>
        <color rgb="FF000000"/>
        <rFont val="Aptos Narrow"/>
        <family val="2"/>
        <scheme val="minor"/>
      </rPr>
      <t xml:space="preserve">, 1838. Canto I. Trad. Paratextos gerais. </t>
    </r>
  </si>
  <si>
    <t>Os Lusíadas expurgados de erros, Gomes de Amorim, 1889. 2 Vols. [1.º: até ao Canto V, com comentários, sem argumentos; 2.º: até ao Canto X, com comentários; Recepção criativa. Tematização: cf. Im. 382 e ss.; Apêndice com notas sobre a trasladação dos ossos e sepultura de Camões, inserir Paratextos vida]  Listas edições, cf. 2.º Vol. Im. 330 e 460.</t>
  </si>
  <si>
    <r>
      <t xml:space="preserve">O episódio da Ilha de Vénus+ 2 versões livres em francês, 1890. Recepção criativa em francês. Tematização. Refere em paratexto as celebrações de 1880: Celebrações (1880), recepção criativa, tematização. </t>
    </r>
    <r>
      <rPr>
        <sz val="11"/>
        <color rgb="FFE97132"/>
        <rFont val="Aptos Narrow"/>
        <family val="2"/>
        <scheme val="minor"/>
      </rPr>
      <t>Imagem 10 de Vénus parece estar esfumada.</t>
    </r>
  </si>
  <si>
    <t>Relatório da Gerência. Participação nos festejos do tricentenário, 1881</t>
  </si>
  <si>
    <t>Relatório e contas da Direcção da Associação Homeopata Lisbonense, 1881</t>
  </si>
  <si>
    <t>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t>
  </si>
  <si>
    <t>Episódio de Inês de Castro, 1887. Edição comemorativa do aniversário do falecimento do Poeta.</t>
  </si>
  <si>
    <t>J. Adamson, Sonnets, 1845, os sonetos são imitações de Camões?, cf. nota de rodapé, Im. 12.</t>
  </si>
  <si>
    <t>Meneses Feio, Discurso pronunciado em Évora, proferido em 1880 e editado em 1887.</t>
  </si>
  <si>
    <t>Raffaele Cardon, Luigi di Camoens, Trecento anni doppo la sua morte, 1881</t>
  </si>
  <si>
    <t>Adolf Stern, A primeira leitura d'Os Lusíadas. Fragmento do romance alemão, 1888</t>
  </si>
  <si>
    <t>Ivo Cruz, Canções profanas [partitura].</t>
  </si>
  <si>
    <r>
      <t xml:space="preserve">Camões, Drama lírico, Pádua, 1857. </t>
    </r>
    <r>
      <rPr>
        <sz val="11"/>
        <color rgb="FF0F9ED5"/>
        <rFont val="Aptos Narrow"/>
        <family val="2"/>
        <scheme val="minor"/>
      </rPr>
      <t>Inserir Celebrações (1860), textos ficcionais?</t>
    </r>
  </si>
  <si>
    <r>
      <t xml:space="preserve">Os Lusíadas traduzidos por fr. André Baião, 1625. </t>
    </r>
    <r>
      <rPr>
        <sz val="11"/>
        <color rgb="FFE97132"/>
        <rFont val="Aptos Narrow"/>
        <family val="2"/>
        <scheme val="minor"/>
      </rPr>
      <t xml:space="preserve">A trad. do Canto II parece não estar terminada. </t>
    </r>
    <r>
      <rPr>
        <sz val="11"/>
        <color rgb="FF000000"/>
        <rFont val="Aptos Narrow"/>
        <family val="2"/>
        <scheme val="minor"/>
      </rPr>
      <t>Trad. Paratextos gerais manuscritos; Trad. Paratextos argumentos manuscritos.</t>
    </r>
  </si>
  <si>
    <t>La mort d'Ines de Castro et Adamastor, sem argumentos. Pour servir d'essai à une tradução complète en vers de ce fameux poème, 1772. Trad. Frag. Paratextos gerais manuscritos.</t>
  </si>
  <si>
    <r>
      <t>Francisco Santa Clara, Imitação das estâncias 118 e 119 do livro III, em versos latinos, 1876. Segue o exemplo de Viale.</t>
    </r>
    <r>
      <rPr>
        <sz val="11"/>
        <color rgb="FF0F9ED5"/>
        <rFont val="Aptos Narrow"/>
        <family val="2"/>
        <scheme val="minor"/>
      </rPr>
      <t xml:space="preserve"> </t>
    </r>
    <r>
      <rPr>
        <sz val="11"/>
        <color rgb="FF000000"/>
        <rFont val="Aptos Narrow"/>
        <family val="2"/>
        <scheme val="minor"/>
      </rPr>
      <t>Trad. Frag. Paratextos e Trad. Frag. Paratextos notas.</t>
    </r>
  </si>
  <si>
    <t>Inès de Castro, Traduit en vers hébreux, 1892. Bilingue, apresentado na 10.ª sessão do Congresso Internacional de Orientalistas. Trad. Paratextos Frag. gerais; Trad. Frag. Paratextos notas; Mulheres [dedicatória do tradutor a Madame]</t>
  </si>
  <si>
    <t xml:space="preserve">Camões no seu tricentenário. Artigos de jornal, 1880-1881. 2 Vols. [1.º vol.: Recepção criativa: Almeida Garrett, Img.; Paródia, Im. 281; 2.º Vol. Recepção criativa, Tematização: 96-99; Figuras Femininas [2.º Vol.: Santa Helena Magno, poemas, cf. Im. 117; Amélia Janny, poema, cf. Im. 219] Actos públicos,  recitação de poemas, cf. 2.º Vol. cf. Im. 153. </t>
  </si>
  <si>
    <t>Dionísio Vega, As lágrimas de Camões. Sinfonia, 1856 e tocada nas representações do drama Camões de Castilho (Antonio Feliciano)na mesma cidade em 1856.</t>
  </si>
  <si>
    <r>
      <t xml:space="preserve">Valsa Azulina. Outros números do Recreio Musical. 1880. </t>
    </r>
    <r>
      <rPr>
        <sz val="11"/>
        <color rgb="FFE97132"/>
        <rFont val="Aptos Narrow"/>
        <family val="2"/>
        <scheme val="minor"/>
      </rPr>
      <t>Pedir para retirar ponto de interrogação [1880?] do purl</t>
    </r>
  </si>
  <si>
    <t>Augusto José de Carvalho, Os Lusíadas. Música para piano e canto, 1880 Canto I e X.</t>
  </si>
  <si>
    <t>Os Lusíadas. Edição popular gratuita, 1880, sem argumentos.</t>
  </si>
  <si>
    <t>O Monsanense. Jornal. 1880</t>
  </si>
  <si>
    <r>
      <t>A União, 1880  folha semanal dedicada a todos os interesses sociaes.</t>
    </r>
    <r>
      <rPr>
        <sz val="11"/>
        <color rgb="FFE97132"/>
        <rFont val="Aptos Narrow"/>
        <family val="2"/>
        <scheme val="minor"/>
      </rPr>
      <t xml:space="preserve"> Mais de três cantos inserir em Antologia, agrega-se mesmo sendo um periódico mantém-se?</t>
    </r>
  </si>
  <si>
    <t xml:space="preserve">L'Estafette, 1880 [cf. Im. 3 em Echos de partout: associação literária internacional e a colónia portuguesa de Paris celebraram ontem o tricentenário];  Figuras Femininas [recitações de Jeanne Julie Regnault ou Julia Bartet ou Mademoiselle Bartet, presenças de Mademoiselle Mendes Leal, duquesa de Palmela e a filha, condessa de S. Miguel] </t>
  </si>
  <si>
    <t>Le Globe, 1880 [cf. Im. 2, notícia sobre o tricentenário];  Figuras Femininas [recitações de Jeanne Julie Regnault ou Julia Bartet ou Mademoiselle Bartet e de Désirée Pacault, poeta que parece ter escrito uma ode em homenagem a Camões, compositora, jornalista]</t>
  </si>
  <si>
    <t xml:space="preserve">Le High Life, 1880 [cf. Im. 1, notícia sobre o tricentenário]; Figuras Femininas [recitações de Jeanne Julie Regnault ou Julia Bartet ou Mademoiselle Bartet e Désirée Pacault, poeta, compositora, jornalista; presenças de Mademoiselle Mendes Leal, Ribeiro, Elias Nunes, Drummond, Ratisbonne, de Faria, Paola Ramos, escritora espanhola] </t>
  </si>
  <si>
    <t xml:space="preserve">La Liberté, 1880. [cf. Im. 1 notícia sobre o tricentenário e cf. Im. 3 em Echos de partout]; Figuras Femininas [presenças de Mademoiselle Mendes Leal, duquesa de Palmela e a filha, condessa de S. Miguel, marquesa de Penafiel] </t>
  </si>
  <si>
    <t>Le Mémorial Diplomatique, 1880. Figuras Femininas [recitações de Jeanne Julie Regnault ou Julia Bartet ou Mademoiselle Bartet e Désirée Pacault, poeta, compositora, jornalista]</t>
  </si>
  <si>
    <t>Messager de Vienne, 1880.  [1.º: cf. Im.7  notícia sobre o tricentenário;  cf. textos sobre Camões e os Lusíadas 9-12;  2.º: Vision: Poésie Portuguese, cf. 9-10 texto de Mendes Leal traduzido] &amp; Figuras Femininas [recitações de Jeanne Julie Regnault ou Julia Bartet ou Mademoiselle Bartet e Désirée Pacault, poeta, compositora, jornalista]</t>
  </si>
  <si>
    <t xml:space="preserve">La paix, 1880. [cf. Im. 2 em Le Carnet de la Journée: Camoens à la salle Herz] &amp; Figuras Femininas [recitações de Jeanne Julie Regnault ou Julia Bartet ou Mademoiselle Bartet e Désirée Pacault, poeta, compositora, jornalista; presenças de Mademoiselle Mendes Leal, duquesa de Palmela, condessa de S. Miguel] </t>
  </si>
  <si>
    <t xml:space="preserve">Paris. Le journal, 1880 [cf. Im. 2 notícia sobre o Tricentenário]. </t>
  </si>
  <si>
    <t xml:space="preserve">La patrie, 1880. [cf. Im. 2 em La fête de Camoens] &amp; Figuras Femininas [recitação de Jeanne Julie Regnault ou Julia Bartet ou Mademoiselle Bartet; presenças de Mademoiselle Mendes Leal, duquesa de Palmela e filha, condessa de S. Miguel, marquesa de Penafiel] </t>
  </si>
  <si>
    <t xml:space="preserve">La Voltaire, 1880. [cf. Im. 1 em Échos de Paris] &amp; Figuras Femininas [recitação de Jeanne Julie Regnault ou Julia Bartet ou Mademoiselle Bartet; presenças de Mademoiselle Mendes Leal, duquesa de Palmela e filha, condessa de S. Miguel, marquesa de Penafiel] </t>
  </si>
  <si>
    <t xml:space="preserve">La Epoca, 1880 [Homenagem ao grande poeta português Luis de Camões; Camões e Cervantes] </t>
  </si>
  <si>
    <t>El mundo ilustrado, 1880</t>
  </si>
  <si>
    <t>La Lombardia,1880. Artigo de Vegezzi Roscalia, com breve menção a Camões, embora artigo surja truncado.</t>
  </si>
  <si>
    <t>Jornal Polaco, 1880 [1.º: artigo sobre Camões de K. Kaszewskiego, cf. Im.: 6-7 e 2.º: cf. Im. 11-12 do mesmo autor]</t>
  </si>
  <si>
    <t>Tygnodik, 1880 [1.º: artigo sobre Camões de Edward Grabuwski?, cf. Im.: 3-4 e 2.º: cf. Im. 2, com várias imagens alheias a Camões].</t>
  </si>
  <si>
    <t>Tygnodik, 1880  [1.º: artigos sobre Camões, cf. Im.: 3-4 e 2.º Vol.: cf. Im. 1-3 de D. n., com várias imagens alheias a Camões].</t>
  </si>
  <si>
    <t>Cruzeiro. 2. ed. Rio de Janeiro.1880 [1.º: breves artigos sobre Camões, cf. Im.: 1-3 e publicidade camoniana cf. 4; 2.º Vol.:notícia sobre o Centenário e Exposição Camonianos cf. Im. 1] &amp; Recepção criativa. Tematização [1.º Vol.: cf. Im. 2]</t>
  </si>
  <si>
    <r>
      <t>Jornal do Comércio, 1880  Figuras Femininas [Aura? de Castro, soneto, cf. Im. 2].</t>
    </r>
    <r>
      <rPr>
        <sz val="11"/>
        <color rgb="FF0F9ED5"/>
        <rFont val="Aptos Narrow"/>
        <family val="2"/>
        <scheme val="minor"/>
      </rPr>
      <t xml:space="preserve"> </t>
    </r>
    <r>
      <rPr>
        <sz val="11"/>
        <color rgb="FF000000"/>
        <rFont val="Aptos Narrow"/>
        <family val="2"/>
        <scheme val="minor"/>
      </rPr>
      <t>Recepção criativa, tematização e centão.</t>
    </r>
  </si>
  <si>
    <t xml:space="preserve">Messager du Brésil, 1880  [Les fêtes du Camões à Rio de Janeiro, cf. Im. 1; Camões e Victor Hugo, cf. 2]  </t>
  </si>
  <si>
    <t xml:space="preserve">Camões: Leitão de Barros. </t>
  </si>
  <si>
    <t>Camões: Leitão de Barros</t>
  </si>
  <si>
    <t>Vidas de portugueses ilustres, séc. XVII-XVIII. Manuscrito. [cf.a partir da Im. 59]</t>
  </si>
  <si>
    <t>Ernesto Vieira, Soneto em linguagem gallega, 1915</t>
  </si>
  <si>
    <r>
      <t>Os Lusíadas, 1819, sem argumentos.  [cópia digital não abre, página não encontrada: falei com Miguel que confirmou a não disponibilização do PDF, mas ia tentar saber o que se passava] Consultado nos Reservados: Belíssima nótula a lápis de Beatriz Cinatti Batalha Reis sobre a edição: "Foi sobre este exemplar de Camões que Garrett escreveu o seu "Camões", (no estrangeiro, talvez no Havre.) Quando voltou a Portugal deu-o a meu pai". Inclui retrato do poeta, antes da folha de rosto; Aviso ao leitor; A El rei; Advertência sobre as edições do Poema [paratextos]; Paratextos vida; Paratextos notas</t>
    </r>
    <r>
      <rPr>
        <sz val="11"/>
        <color rgb="FF0F9ED5"/>
        <rFont val="Aptos Narrow"/>
        <family val="2"/>
        <scheme val="minor"/>
      </rPr>
      <t xml:space="preserve"> </t>
    </r>
    <r>
      <rPr>
        <sz val="11"/>
        <color rgb="FF000000"/>
        <rFont val="Aptos Narrow"/>
        <family val="2"/>
        <scheme val="minor"/>
      </rPr>
      <t>breves da advertência e aos cantos ; notas da vida de Camões.</t>
    </r>
    <r>
      <rPr>
        <sz val="11"/>
        <color rgb="FF0F9ED5"/>
        <rFont val="Aptos Narrow"/>
        <family val="2"/>
        <scheme val="minor"/>
      </rPr>
      <t xml:space="preserve"> </t>
    </r>
    <r>
      <rPr>
        <sz val="11"/>
        <color rgb="FF000000"/>
        <rFont val="Aptos Narrow"/>
        <family val="2"/>
        <scheme val="minor"/>
      </rPr>
      <t>Obra sem indicação de fim: consultado no original, talvez as pp. tenham sido arrancadas.</t>
    </r>
  </si>
  <si>
    <t>Camões, litografia, 1880</t>
  </si>
  <si>
    <t>Borges Figueiredo, Carta da geografia, 1883</t>
  </si>
  <si>
    <t>Camões, 1970</t>
  </si>
  <si>
    <t>Camões, 1873</t>
  </si>
  <si>
    <t>Augustin Lemaître, Camões, 1846</t>
  </si>
  <si>
    <t>Camoens,1845</t>
  </si>
  <si>
    <r>
      <t xml:space="preserve">À memória do imortal cantor, 1880, litografia; </t>
    </r>
    <r>
      <rPr>
        <sz val="11"/>
        <color rgb="FFC11AF0"/>
        <rFont val="Aptos Narrow"/>
        <family val="2"/>
        <scheme val="minor"/>
      </rPr>
      <t>Gravura (Sara)</t>
    </r>
  </si>
  <si>
    <t>10 de Junho de 1880</t>
  </si>
  <si>
    <t>Camões na gruta de Macau, 1880</t>
  </si>
  <si>
    <r>
      <t>Monumento a Camões, 1860.</t>
    </r>
    <r>
      <rPr>
        <sz val="11"/>
        <color rgb="FF0F9ED5"/>
        <rFont val="Aptos Narrow"/>
        <family val="2"/>
        <scheme val="minor"/>
      </rPr>
      <t xml:space="preserve"> </t>
    </r>
    <r>
      <rPr>
        <sz val="11"/>
        <color rgb="FF000000"/>
        <rFont val="Aptos Narrow"/>
        <family val="2"/>
        <scheme val="minor"/>
      </rPr>
      <t>Celebrações (1860), Iconografia.</t>
    </r>
  </si>
  <si>
    <t>O tempo levando Os Lusíadas à posteridade, 1880</t>
  </si>
  <si>
    <t>João Cardini, Epítome da vida de Camões, 1810</t>
  </si>
  <si>
    <t>Ao tricentenário de Camões, 1880</t>
  </si>
  <si>
    <t>Ignaz Fertig, Camões</t>
  </si>
  <si>
    <t>No tricentenário de Camões, 1880. Iconografia, Lugares de memória.</t>
  </si>
  <si>
    <t>António Ramalho, Camões lendo Os Lusíadas a D. Sebastião, 1916</t>
  </si>
  <si>
    <t>Camões no leito de morte, 1861</t>
  </si>
  <si>
    <t xml:space="preserve">GAMEIRO, Alfredo Roque, 1864-1935. [Os Lusíadas] : [ilustração]. -[1900]. - 1 desenho : tinta-da-china e aguarela ; </t>
  </si>
  <si>
    <t xml:space="preserve">Luiz de Camões / Grossi. - [S.l. : s.n., ca. 1880] (Bologna : Stah Lito P. Barigazzi). - 1 gravura </t>
  </si>
  <si>
    <t>Vasco da Gama apresentando… 1900</t>
  </si>
  <si>
    <t>Domingos Bomtempo, Messe de Requiem, 1819</t>
  </si>
  <si>
    <t>António Fernandes Rodrigues, Camões, 1779</t>
  </si>
  <si>
    <t>F. Audibran, Camões, c. 1841</t>
  </si>
  <si>
    <t>William Skelton, Camões, 1820</t>
  </si>
  <si>
    <t xml:space="preserve">Les Lusiades, H. Garin, 1889. Em verso. Trad. Paratextos gerais; Trad. Paratextos argumentos e Iconografia: figuras históricas. </t>
  </si>
  <si>
    <t>Eduardo Sequeira, Fauna d'Os Lusíadas, 1887</t>
  </si>
  <si>
    <t>Os Lusíadas, 1609, sem argumentos.</t>
  </si>
  <si>
    <t>Rimas, 1621. As partes impressas em falta encontram-se manuscritas. Lírica Parte I: sonetos, canções, odes, sextinas, elegias, capítulo, oitavas, éclogas, terceto entra em elegias, redondilhas, voltas, trovas, esparsas, motes, glosas, capítulo, cantiga, convites, disparates, sôbolos rios que vão. Cartas I e II.</t>
  </si>
  <si>
    <r>
      <t xml:space="preserve">Vasco da Gama e o descobrimento do caminho marítimo da Índia, 1897.  </t>
    </r>
    <r>
      <rPr>
        <sz val="11"/>
        <color rgb="FFE97132"/>
        <rFont val="Aptos Narrow"/>
        <family val="2"/>
        <scheme val="minor"/>
      </rPr>
      <t>Parece faltar primeira página.</t>
    </r>
  </si>
  <si>
    <t>Camões: diferentes épocas memoráveis… leitura para todas as classes, 1880, inclui breve capítulo sobre o local onde poderá ter falecido Camões.</t>
  </si>
  <si>
    <t>Os Lusíadas, 1875. Paratextos vida e Paratextos argumentos.</t>
  </si>
  <si>
    <t xml:space="preserve">Die Lusiade, 1816, sem argumentos. Fragmento de notícia de jornal. Trad. Paratextos gerais; Trad. Paratextos vida; Trad. Paratextos notas. </t>
  </si>
  <si>
    <t>À memória de Luís de Camões, Luanda, Sociedade Propagadora de Conhecimentos Geográfico-Africanos, 1881</t>
  </si>
  <si>
    <t xml:space="preserve">Wilhem Storck, Camoens in Deutschland, 1879. </t>
  </si>
  <si>
    <t>John Adamson, Seis sonetos camonianos, 1886.  Imitações. Imagem do autor/tradutor, cf. Im. 4</t>
  </si>
  <si>
    <t>Oliveira Passos, Lira de Camões, 1897. Glosas em sonetos, com retrato do autor, cf. Im. 8.</t>
  </si>
  <si>
    <t>Notícia  biográfica de Luís de Camões, 1874</t>
  </si>
  <si>
    <r>
      <t xml:space="preserve">À memória de Luís de Camões. O Comércio de Braga, 1880, tri-semanário bracarense [estrofes do Canto VIII e fragmento de tradução/versão de </t>
    </r>
    <r>
      <rPr>
        <i/>
        <sz val="11"/>
        <color rgb="FF000000"/>
        <rFont val="Aptos Narrow"/>
        <family val="2"/>
        <scheme val="minor"/>
      </rPr>
      <t xml:space="preserve">Os Lusíadas </t>
    </r>
    <r>
      <rPr>
        <sz val="11"/>
        <color rgb="FF000000"/>
        <rFont val="Aptos Narrow"/>
        <family val="2"/>
        <scheme val="minor"/>
      </rPr>
      <t>espanhola em texto de Pereira-Caldas]</t>
    </r>
  </si>
  <si>
    <t>Os Lusíadas, 1889. Paratextos vida e Paratextos argumentos.</t>
  </si>
  <si>
    <t>Poesías selectas, Lamberto Gil, 1887. Poesia lírica: sonetos, paráfrase do salmo, éclogas, Martírio, canções, odes, elegias, sextinas, estâncias, cartas-poemas, motes, glosas, trovas, endechas, redondilhas. Trad. Ant. Paratextos gerais, Trad. Ant. Paratextos notas; Trad. Ant. Outros: Martírio de Santa Úrsula.</t>
  </si>
  <si>
    <t>La Lusiade. La Harpe, 1813. 2 Vols. [cópia digital não abre: diz página não encontrada, PDF consultado via Miguel] Trad. Paratextos gerais; Trad. paratextos vida; Trad. paratextos argumentos; Trad. Paratextos notas.</t>
  </si>
  <si>
    <t>Jerónimo Soares Barbosa, Análise d'Os Lusíadas, 1882, 2.ª ed.</t>
  </si>
  <si>
    <r>
      <t xml:space="preserve">Os Lusíadas, 1836. </t>
    </r>
    <r>
      <rPr>
        <sz val="11"/>
        <color rgb="FFE97132"/>
        <rFont val="Aptos Narrow"/>
        <family val="2"/>
        <scheme val="minor"/>
      </rPr>
      <t xml:space="preserve">[a obra digitalizada apresenta as estampas referentes a cada Canto e retrato do Poeta, mas sem </t>
    </r>
    <r>
      <rPr>
        <i/>
        <sz val="11"/>
        <color rgb="FFE97132"/>
        <rFont val="Aptos Narrow"/>
        <family val="2"/>
        <scheme val="minor"/>
      </rPr>
      <t>Os Lusíadas</t>
    </r>
    <r>
      <rPr>
        <sz val="11"/>
        <color rgb="FFE97132"/>
        <rFont val="Aptos Narrow"/>
        <family val="2"/>
        <scheme val="minor"/>
      </rPr>
      <t xml:space="preserve"> e sem os paratextos referidos na folha de rosto, cf. objecto]</t>
    </r>
  </si>
  <si>
    <r>
      <t>Os Lusíadas do século XIX: poema heroi-cómico (paródia), 1883.</t>
    </r>
    <r>
      <rPr>
        <sz val="11"/>
        <color rgb="FFE97132"/>
        <rFont val="Aptos Narrow"/>
        <family val="2"/>
        <scheme val="minor"/>
      </rPr>
      <t xml:space="preserve"> Só surge a partir do Canto VI, também truncado, assim no original?</t>
    </r>
  </si>
  <si>
    <r>
      <t>Poems from the Portuguese, 1824. By Lord Strangford. [cópia digital não abre: diz página não encontrada, PDF consultado via Miguel]. Lírica:</t>
    </r>
    <r>
      <rPr>
        <sz val="11"/>
        <color rgb="FF0F9ED5"/>
        <rFont val="Aptos Narrow"/>
        <family val="2"/>
        <scheme val="minor"/>
      </rPr>
      <t xml:space="preserve"> </t>
    </r>
    <r>
      <rPr>
        <sz val="11"/>
        <color rgb="FF000000"/>
        <rFont val="Aptos Narrow"/>
        <family val="2"/>
        <scheme val="minor"/>
      </rPr>
      <t>canções, madrigais, cançonetas, rondeau, estâncias, fragmento de elegia, sonetos (V.N.? Serão de outro autor ou versões?)] ; Épica [Canto VI, sem argumentos, só estrofes].</t>
    </r>
    <r>
      <rPr>
        <sz val="11"/>
        <color rgb="FF0F9ED5"/>
        <rFont val="Aptos Narrow"/>
        <family val="2"/>
        <scheme val="minor"/>
      </rPr>
      <t xml:space="preserve"> </t>
    </r>
    <r>
      <rPr>
        <sz val="11"/>
        <color rgb="FF000000"/>
        <rFont val="Aptos Narrow"/>
        <family val="2"/>
        <scheme val="minor"/>
      </rPr>
      <t>Trad. Paratextos gerais, Paratextos vida e Trad. Paratextos notas.</t>
    </r>
  </si>
  <si>
    <r>
      <t xml:space="preserve">Obras Completas, </t>
    </r>
    <r>
      <rPr>
        <sz val="11"/>
        <color rgb="FF0F9ED5"/>
        <rFont val="Aptos Narrow"/>
        <family val="2"/>
        <scheme val="minor"/>
      </rPr>
      <t>1873</t>
    </r>
    <r>
      <rPr>
        <sz val="11"/>
        <color rgb="FF000000"/>
        <rFont val="Aptos Narrow"/>
        <family val="2"/>
        <scheme val="minor"/>
      </rPr>
      <t xml:space="preserve">-1874. 4 Vols [1.º Vol. T1, vol.1, 1873, sonetos coligidos, com algumas notas de rodapé e com variantes; T2, vol.2 1874: redondilhas (inclui sôbolos rios que vão), carta-poema, convites, canções, motes e voltas, carta a D. Francisco de Aragão, com glosa supra, estâncias, endechas, cantigas, disparates, sentenças, trovas, vilancete, a.b.c. em motes, acrósticos, sextinas, odes e oitavas (Santa Úrsula oitava e estância a S. João) coligidas, com algumas notas de rodapé e com variantes; 2.º Vol., 1874:  T2, Vol. 5:  redondilhas, esparsas, voltas, carta, cantigas, com variantes; T1, vol. 6: Teatro: Filodemo, Anfitriões, Seleuco, Cartas e jogos de canas; 3.º Vol.: T3, Vol. 7, 1874, Os Lusíadas (até meio do C. IV; Vol. 8, continuação Épica até C. IX; Vol. 8A, cont. C. IX até ao final, estâncias omitidas; argumentos apócrifos e variantes; </t>
    </r>
    <r>
      <rPr>
        <sz val="11"/>
        <color rgb="FFE97132"/>
        <rFont val="Aptos Narrow"/>
        <family val="2"/>
        <scheme val="minor"/>
      </rPr>
      <t xml:space="preserve">4.º Vol (devia surgir a seguir ao 1.º) </t>
    </r>
    <r>
      <rPr>
        <sz val="11"/>
        <color rgb="FF000000"/>
        <rFont val="Aptos Narrow"/>
        <family val="2"/>
        <scheme val="minor"/>
      </rPr>
      <t>1874, T1, Vol.3, elegias, com variantes; T1, Vol. 4, 1874, éclogas, com variantes] . Paratextos notas. Paratextos argumentos [apócrifos]. Outros: santa Úrsula.</t>
    </r>
  </si>
  <si>
    <t>Poésies, 1828. Tradução de Lord Strangford passada para francês. Lírica: canções, odes, madrigais, estâncias, fragmento de elegia. Fragmento do Canto VI. Trad. Antologia Paratextos, Trad. Ant. Paratextos vida, Trad. Ant. Paratextos notas.</t>
  </si>
  <si>
    <t>Classical descriptions of love. Versão livre, em ordem refeita, dos episódios da Ilha Namorada e de Inês de Castro, 1809. Trad. do original francês de M. P. Grandmaison.  Trad. Paratextos gerais.</t>
  </si>
  <si>
    <t xml:space="preserve">O sacrifício de Camões, 1885 poemeto do Visconde de Castilho (Antonio Feliciano) ; com um preambulo do professor bracarense Pereira-Caldas. </t>
  </si>
  <si>
    <t>Xavier de Paiva, Camões em África. Cena dramática em verso, 1880. Celebrações (1880), recepção criativa, tematização.</t>
  </si>
  <si>
    <r>
      <t>José Leite de Vasconcelos, Críticas bibliográficas, 1883. [cópia digital não abre: diz página não encontrada,  PDF consultado via Miguel]</t>
    </r>
    <r>
      <rPr>
        <sz val="11"/>
        <color rgb="FF0F9ED5"/>
        <rFont val="Aptos Narrow"/>
        <family val="2"/>
        <scheme val="minor"/>
      </rPr>
      <t xml:space="preserve"> Bibliografia crítica, recensão? </t>
    </r>
    <r>
      <rPr>
        <sz val="11"/>
        <color rgb="FF000000"/>
        <rFont val="Aptos Narrow"/>
        <family val="2"/>
        <scheme val="minor"/>
      </rPr>
      <t>sobre um opúsculo de António Vieira Lopes sobre o episódio do Adamastor, cf. Im. 7-11.</t>
    </r>
  </si>
  <si>
    <t>As duas primeiras estrofes d'Os Lusíadas, 1885. [cópia digital não abre: diz página não encontrada, PDF consultado via Miguel]. Trad. Paratextos gerais? [tiragem]</t>
  </si>
  <si>
    <t>The Lusiad. Mitchell, 1854, sem argumentos. Trad. Paratextos, Trad. Paratextos vida, Trad. Paratextos notas.</t>
  </si>
  <si>
    <t>Poems from the Portuguese, 1803. By Lord Strangford. Retrato+ Lírica (canção, madrigais, estâncias, fragmento elegia, sonetos) +parte do episódio dos Doze de Inglaterra. Trad. Paratextos vida e Trad. Paratextos notas, apenas à lírica.</t>
  </si>
  <si>
    <r>
      <t>I Lusiadi, Antonio Nervi, 1828.</t>
    </r>
    <r>
      <rPr>
        <sz val="11"/>
        <color rgb="FF0F9ED5"/>
        <rFont val="Aptos Narrow"/>
        <family val="2"/>
        <scheme val="minor"/>
      </rPr>
      <t xml:space="preserve"> </t>
    </r>
    <r>
      <rPr>
        <sz val="11"/>
        <color rgb="FF000000"/>
        <rFont val="Aptos Narrow"/>
        <family val="2"/>
        <scheme val="minor"/>
      </rPr>
      <t>Trad. Paratextos gerais, Trad. Paratextos vida; Trad. Paratextos argumentos; Trad. Paratextos notas; Mulheres [bio por M. Staël].</t>
    </r>
  </si>
  <si>
    <t>I Lusiadi, Antonio Nervi, 1830. 2 Vols: [1.º até ao Canto V; 2.º até ao final, com algumas variantes]. Trad. Paratextos gerais, Trad. Paratextos vida; Trad. Paratextos argumentos; Mulheres [bio por M. Staël].</t>
  </si>
  <si>
    <t>Os Lusíadas, 1843. Paratextos argumentos.</t>
  </si>
  <si>
    <t>Os Lusíadas, 1870. Paratextos vida [Camões histórico] e Paratextos argumentos.</t>
  </si>
  <si>
    <t>História de Inês de Castro, contendo o episódio d'Os Lusíadas, 1885</t>
  </si>
  <si>
    <t xml:space="preserve">Ariosto Machado, A lira de Camões, 1883. Glosas em sonetos </t>
  </si>
  <si>
    <t>Un soneto de Camões. Lamberto Gil, 1884  [cópia digital não abre: diz página não encontrada, PDF consultado via Miguel]. Trad. Paratextos gerais.</t>
  </si>
  <si>
    <t>Camões e o amor. Versos. No 304.o aniversário da morte do poeta, 1884. Celebrações (1880), recepção.</t>
  </si>
  <si>
    <t>Eduardo Maia, A jantareida, jantar de estudantes de Medicina, 1893</t>
  </si>
  <si>
    <t>Edgard Quinet, Camões e o Oriente, 1884</t>
  </si>
  <si>
    <t>A Therry, Camões, 1884. Excerto de um Abrégé de Literatura.</t>
  </si>
  <si>
    <t>Manuel de Vale de Moura, Paródia do canto I d'Os Lusíadas, 1845</t>
  </si>
  <si>
    <t>Alma minha gentil, 1883, com tradução em alemão da autoria de Storck. Refere o terceiro aniversário do Tricentenário. Celebrações (1880), traduções.</t>
  </si>
  <si>
    <t>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t>
  </si>
  <si>
    <t>António Ribeiro dos Santos, Sonetos a D. Inês de Castro, 1784</t>
  </si>
  <si>
    <t>José Agostinho de Macedo, Carta de Manuel Mendes Fogaça, 1812</t>
  </si>
  <si>
    <t>João Estêvão de Azevedo, Homenagem a Luís de Camões, 1880</t>
  </si>
  <si>
    <r>
      <t>Quatro chistosas cantigas do fado ao poeta Luís de Camões, 1880.</t>
    </r>
    <r>
      <rPr>
        <sz val="11"/>
        <color rgb="FF0F9ED5"/>
        <rFont val="Aptos Narrow"/>
        <family val="2"/>
        <scheme val="minor"/>
      </rPr>
      <t xml:space="preserve"> </t>
    </r>
    <r>
      <rPr>
        <sz val="11"/>
        <color rgb="FF000000"/>
        <rFont val="Aptos Narrow"/>
        <family val="2"/>
        <scheme val="minor"/>
      </rPr>
      <t>Celebrações (1880), recepção criativa, paródia</t>
    </r>
  </si>
  <si>
    <t>Os Lusíadas, segundo a edição do Morgado de Mateus, 1836, sem argumentos. Paratextos vida e Paratextos notas.</t>
  </si>
  <si>
    <t>Os Lusíadas, 1846, sem argumentos. Paratextos vida; Paratextos notas; Iconografia figuras históricas.</t>
  </si>
  <si>
    <r>
      <t xml:space="preserve">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t>
    </r>
    <r>
      <rPr>
        <sz val="11"/>
        <color rgb="FF0F9ED5"/>
        <rFont val="Aptos Narrow"/>
        <family val="2"/>
        <scheme val="minor"/>
      </rPr>
      <t xml:space="preserve">2.º Vol. com partes manuscritas iniciais, </t>
    </r>
    <r>
      <rPr>
        <sz val="11"/>
        <color rgb="FF000000"/>
        <rFont val="Aptos Narrow"/>
        <family val="2"/>
        <scheme val="minor"/>
      </rPr>
      <t xml:space="preserve"> Paratextos notas lírica</t>
    </r>
    <r>
      <rPr>
        <sz val="11"/>
        <color rgb="FF0F9ED5"/>
        <rFont val="Aptos Narrow"/>
        <family val="2"/>
        <scheme val="minor"/>
      </rPr>
      <t xml:space="preserve"> </t>
    </r>
    <r>
      <rPr>
        <sz val="11"/>
        <color rgb="FF000000"/>
        <rFont val="Aptos Narrow"/>
        <family val="2"/>
        <scheme val="minor"/>
      </rPr>
      <t xml:space="preserve">e épica; Lírica: 2.º vol.: sonetos, canções,  sextinas, oitavas, com notas, Outros: Fábula de Narciso; Martírio ou oitava a Santa Úrsula; 3.º Vol.: éclogas, elegias, Canto da Criação e Composição do Homem, com notas explicativas e peças relativas ao Canto da Criação; </t>
    </r>
    <r>
      <rPr>
        <sz val="11"/>
        <color rgb="FFE97132"/>
        <rFont val="Aptos Narrow"/>
        <family val="2"/>
        <scheme val="minor"/>
      </rPr>
      <t>4.º Vol. termina na pag. 103, estará truncado ou assim no original?</t>
    </r>
    <r>
      <rPr>
        <sz val="11"/>
        <color rgb="FF000000"/>
        <rFont val="Aptos Narrow"/>
        <family val="2"/>
        <scheme val="minor"/>
      </rPr>
      <t xml:space="preserve">: redondilhas (sôbolos rios que vão) e esparsas, cartas-poemas, labirinto, convite, voltas, mote, disparates, cantiga velha, ao desconcerto, trovas, vilancete; 5.º Vol.: traduções do Poeta </t>
    </r>
    <r>
      <rPr>
        <sz val="11"/>
        <color rgb="FF0F9ED5"/>
        <rFont val="Aptos Narrow"/>
        <family val="2"/>
        <scheme val="minor"/>
      </rPr>
      <t>(Triunfos do Amor, Castidade, Morte, Sonho do Poeta, com comentários),</t>
    </r>
    <r>
      <rPr>
        <sz val="11"/>
        <color rgb="FF000000"/>
        <rFont val="Aptos Narrow"/>
        <family val="2"/>
        <scheme val="minor"/>
      </rPr>
      <t xml:space="preserve"> 7 Cartas; </t>
    </r>
    <r>
      <rPr>
        <sz val="11"/>
        <color rgb="FF0F9ED5"/>
        <rFont val="Aptos Narrow"/>
        <family val="2"/>
        <scheme val="minor"/>
      </rPr>
      <t xml:space="preserve">Sátira do Tornéu; </t>
    </r>
    <r>
      <rPr>
        <sz val="11"/>
        <color rgb="FF000000"/>
        <rFont val="Aptos Narrow"/>
        <family val="2"/>
        <scheme val="minor"/>
      </rPr>
      <t xml:space="preserve">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t>
    </r>
    <r>
      <rPr>
        <sz val="11"/>
        <color rgb="FF0F9ED5"/>
        <rFont val="Aptos Narrow"/>
        <family val="2"/>
        <scheme val="minor"/>
      </rPr>
      <t>Apotegmas,</t>
    </r>
    <r>
      <rPr>
        <sz val="11"/>
        <color rgb="FF000000"/>
        <rFont val="Aptos Narrow"/>
        <family val="2"/>
        <scheme val="minor"/>
      </rPr>
      <t xml:space="preserve">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t>
    </r>
    <r>
      <rPr>
        <sz val="11"/>
        <color rgb="FF0F9ED5"/>
        <rFont val="Aptos Narrow"/>
        <family val="2"/>
        <scheme val="minor"/>
      </rPr>
      <t xml:space="preserve"> </t>
    </r>
    <r>
      <rPr>
        <sz val="11"/>
        <color rgb="FF000000"/>
        <rFont val="Aptos Narrow"/>
        <family val="2"/>
        <scheme val="minor"/>
      </rPr>
      <t>Celebrações (1860), edições.</t>
    </r>
  </si>
  <si>
    <t xml:space="preserve">Os Lusíadas. Edição fac-similada, 1886, sem argumentos. Só o fascículo 1 tem conteúdo [até ao C.III, E. 5], os restantes fascículos encontram-se vazios.  </t>
  </si>
  <si>
    <r>
      <t>Les Lusiades. Esquisse biographique. Fernando d'Azevedo, 1877. Bilingue.  [cópia digital não abre: página não encontrada, PDF consultado via Miguel].</t>
    </r>
    <r>
      <rPr>
        <sz val="11"/>
        <color rgb="FF0F9ED5"/>
        <rFont val="Aptos Narrow"/>
        <family val="2"/>
        <scheme val="minor"/>
      </rPr>
      <t xml:space="preserve"> </t>
    </r>
    <r>
      <rPr>
        <sz val="11"/>
        <color rgb="FF000000"/>
        <rFont val="Aptos Narrow"/>
        <family val="2"/>
        <scheme val="minor"/>
      </rPr>
      <t>Trad. Paratextos gerais; Trad. Paratextos vida; Trad. Paratextos argumentos; Trad. Paratextos notas.</t>
    </r>
  </si>
  <si>
    <t>Anuário da Sociedade Camoneana, 1880. Inclui tradução de algumas estrofes dos cantos I a X em árabe e catálogo da Camoniana de Fernando Pereira Palha, Lisboa. Bibliografia crítica, estudos; Celebrações (1880), traduções. Recepção criativa. Tematização &amp; Catálogo da Camoniana de Fernando Pereira Palha, Lisboa.</t>
  </si>
  <si>
    <t>I Lusiadi, Felice Belotti, 1862. Trad. Paratextos gerais; Trad. Paratextos vida; Trad. Paratextos notas; Trad. Paratextos argumentos. Iconografia: tradutor.</t>
  </si>
  <si>
    <r>
      <t>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t>
    </r>
    <r>
      <rPr>
        <sz val="11"/>
        <color rgb="FF0F9ED5"/>
        <rFont val="Aptos Narrow"/>
        <family val="2"/>
        <scheme val="minor"/>
      </rPr>
      <t xml:space="preserve"> </t>
    </r>
    <r>
      <rPr>
        <sz val="11"/>
        <color rgb="FF000000"/>
        <rFont val="Aptos Narrow"/>
        <family val="2"/>
        <scheme val="minor"/>
      </rPr>
      <t>e outro [tradutor]</t>
    </r>
  </si>
  <si>
    <t>Lusiaderne, 18??. Tradução sueca Canto I, sem argumento. Trad. Frag. Paratextos.</t>
  </si>
  <si>
    <r>
      <t xml:space="preserve">Manuel de Moura, Fábula de Narciso, 1886 + inclui ainda Epígrafes Camonianas, </t>
    </r>
    <r>
      <rPr>
        <sz val="11"/>
        <color rgb="FF0F9ED5"/>
        <rFont val="Aptos Narrow"/>
        <family val="2"/>
        <scheme val="minor"/>
      </rPr>
      <t xml:space="preserve">1882. </t>
    </r>
    <r>
      <rPr>
        <sz val="11"/>
        <color rgb="FF000000"/>
        <rFont val="Aptos Narrow"/>
        <family val="2"/>
        <scheme val="minor"/>
      </rPr>
      <t xml:space="preserve">Recepção criativa. Tematização &amp; Epígrafes [Obra, fragmentos outros?: Lírica (odes, sonetos, redondilhas, oitavas, elegias, éclogas; Épica e estâncias omitidas; Teatro: Filodemo) &amp; Paratextos. A inserir na referência da BN: </t>
    </r>
    <r>
      <rPr>
        <sz val="11"/>
        <color rgb="FFE97132"/>
        <rFont val="Aptos Narrow"/>
        <family val="2"/>
        <scheme val="minor"/>
      </rPr>
      <t xml:space="preserve">Manuel de Moura, </t>
    </r>
    <r>
      <rPr>
        <i/>
        <sz val="11"/>
        <color rgb="FFE97132"/>
        <rFont val="Aptos Narrow"/>
        <family val="2"/>
        <scheme val="minor"/>
      </rPr>
      <t>Epigrafia Camoniana ou Colecção de epígrafes de Camões sobre diversos assuntos</t>
    </r>
    <r>
      <rPr>
        <sz val="11"/>
        <color rgb="FFE97132"/>
        <rFont val="Aptos Narrow"/>
        <family val="2"/>
        <scheme val="minor"/>
      </rPr>
      <t xml:space="preserve">, Évora: Typ. Minerva, 1882. </t>
    </r>
    <r>
      <rPr>
        <sz val="11"/>
        <color rgb="FF000000"/>
        <rFont val="Aptos Narrow"/>
        <family val="2"/>
        <scheme val="minor"/>
      </rPr>
      <t>Recolha Epigráfica.</t>
    </r>
  </si>
  <si>
    <r>
      <t xml:space="preserve">Dois sonetos de Camões [para celebrar o Tricentenário do Poeta]. Trad. Soneto Alma minha gentil, com variantes aos tercetos, </t>
    </r>
    <r>
      <rPr>
        <sz val="11"/>
        <color rgb="FFE97132"/>
        <rFont val="Aptos Narrow"/>
        <family val="2"/>
        <scheme val="minor"/>
      </rPr>
      <t xml:space="preserve">truncada, cf. Imagem 20, não está paginada. </t>
    </r>
    <r>
      <rPr>
        <sz val="11"/>
        <color rgb="FF000000"/>
        <rFont val="Aptos Narrow"/>
        <family val="2"/>
        <scheme val="minor"/>
      </rPr>
      <t>Prospero Peragallo, onde está 1884 deve estar 1883.</t>
    </r>
    <r>
      <rPr>
        <sz val="11"/>
        <color rgb="FFE97132"/>
        <rFont val="Aptos Narrow"/>
        <family val="2"/>
        <scheme val="minor"/>
      </rPr>
      <t xml:space="preserve"> Inclui ainda</t>
    </r>
    <r>
      <rPr>
        <sz val="11"/>
        <color rgb="FF000000"/>
        <rFont val="Aptos Narrow"/>
        <family val="2"/>
        <scheme val="minor"/>
      </rPr>
      <t xml:space="preserve"> Tradução latina: </t>
    </r>
    <r>
      <rPr>
        <sz val="11"/>
        <color rgb="FFE97132"/>
        <rFont val="Aptos Narrow"/>
        <family val="2"/>
        <scheme val="minor"/>
      </rPr>
      <t xml:space="preserve">António José Viale, </t>
    </r>
    <r>
      <rPr>
        <i/>
        <sz val="11"/>
        <color rgb="FFE97132"/>
        <rFont val="Aptos Narrow"/>
        <family val="2"/>
        <scheme val="minor"/>
      </rPr>
      <t>Alguns excertos dos Lusíadas do grande Luís de Camões, com uma traslacção em versos latinos</t>
    </r>
    <r>
      <rPr>
        <sz val="11"/>
        <color rgb="FFE97132"/>
        <rFont val="Aptos Narrow"/>
        <family val="2"/>
        <scheme val="minor"/>
      </rPr>
      <t xml:space="preserve">, Lisboa, Imprensa Nacional, 1878, </t>
    </r>
    <r>
      <rPr>
        <sz val="11"/>
        <color rgb="FF000000"/>
        <rFont val="Aptos Narrow"/>
        <family val="2"/>
        <scheme val="minor"/>
      </rPr>
      <t xml:space="preserve">sem argumentos [Proposição, Episódios: Inês de Castro, Adamastor, Descrição da Ilha dos Amores]. Trad. Paratextos gerais e Trad. Paratextos notas. </t>
    </r>
  </si>
  <si>
    <t>A primeira poesia impressa de Camões. Com um estudo de T. Braga sobre a ode de Camões ao conde de Redondo, 1887. [episódio fac-símile Inês de Castro]. Bibliografia crítica, estudos.</t>
  </si>
  <si>
    <t>Esboço crítico sobre a tradução de Hyacinte Garin, 1890</t>
  </si>
  <si>
    <t>Flores da poesia portuguesa. Prospero Peragallo, 1893. Lírica. Trad. Frag. Paratextos gerais.</t>
  </si>
  <si>
    <t>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t>
  </si>
  <si>
    <r>
      <t xml:space="preserve">Poesie portoghese e sivigliane. 1899-1900. Prospero Peragallo. 2 Vols. Bilingue. [1.º: episódio Adamastor, sem argumento; Lírica: mote, sonetos, voltas e </t>
    </r>
    <r>
      <rPr>
        <sz val="11"/>
        <color rgb="FF0F9ED5"/>
        <rFont val="Aptos Narrow"/>
        <family val="2"/>
        <scheme val="minor"/>
      </rPr>
      <t>poema sobre Camões de Garrett</t>
    </r>
    <r>
      <rPr>
        <sz val="11"/>
        <color rgb="FF000000"/>
        <rFont val="Aptos Narrow"/>
        <family val="2"/>
        <scheme val="minor"/>
      </rPr>
      <t>] Trad. Paratextos gerais. Recepção criativa, Tematização.</t>
    </r>
  </si>
  <si>
    <t>Nagra Dikter. Tradução sueca. Lírica, 1899 [ sonetos, endechas a Bárbara]. [cópia digital não abre, consultei PDF cedido por Miguel]. Trad. Antologia paratextos gerais.</t>
  </si>
  <si>
    <t>Alusão Poética em Baltasar Estaço. Pereira Caldas, 1883</t>
  </si>
  <si>
    <t>O episódio do Adamastor. Estudo Crítico de Benoliel, 1898</t>
  </si>
  <si>
    <t>A epopeia das navegações portuguesas, poema por Xavier da Cunha, traduzido em várias línguas, 1898. Celebração da viagem de Gama.</t>
  </si>
  <si>
    <r>
      <t xml:space="preserve">Tradução do Conde de Cheste, canto III d'Os Lusíadas. Lida numa sessão da Real Academia Española, 1873. </t>
    </r>
    <r>
      <rPr>
        <sz val="11"/>
        <color rgb="FF0F9ED5"/>
        <rFont val="Aptos Narrow"/>
        <family val="2"/>
        <scheme val="minor"/>
      </rPr>
      <t xml:space="preserve"> </t>
    </r>
    <r>
      <rPr>
        <sz val="11"/>
        <color rgb="FF000000"/>
        <rFont val="Aptos Narrow"/>
        <family val="2"/>
        <scheme val="minor"/>
      </rPr>
      <t>Trad. Paratextos Argumentos.</t>
    </r>
  </si>
  <si>
    <t xml:space="preserve">Joaquim de Vasconcelos, Camões em Alemanha, 1880 [notícias recolhidas de um jornal efémero, cf. Im. 11] </t>
  </si>
  <si>
    <t>Richard Otto, Der portugiesische infinitiv bei Camões, 1888</t>
  </si>
  <si>
    <t>H. Tucker, The tragedies of Harold and Camões, 1835</t>
  </si>
  <si>
    <t>Sousa Viterbo, Manuel Correia de Montenegro: um corrector de Camões, 1890</t>
  </si>
  <si>
    <r>
      <t xml:space="preserve">Aires de Sá, Gonçalo Velho. Celebração da viagem, 1899-1900. 2 Vols. [1.º referência ao terceiro centenário de Camões, cf. Im. 260; 2.º Vol.: referências breves a Camões, cf. Im. 43 e Im. 70] </t>
    </r>
    <r>
      <rPr>
        <sz val="11"/>
        <color rgb="FFE97132"/>
        <rFont val="Aptos Narrow"/>
        <family val="2"/>
        <scheme val="minor"/>
      </rPr>
      <t xml:space="preserve"> </t>
    </r>
    <r>
      <rPr>
        <sz val="11"/>
        <color rgb="FF0F9ED5"/>
        <rFont val="Aptos Narrow"/>
        <family val="2"/>
        <scheme val="minor"/>
      </rPr>
      <t>A inserir Celebrações (1898), actos públicos.</t>
    </r>
  </si>
  <si>
    <r>
      <t xml:space="preserve">A festa da Índia. Poema. </t>
    </r>
    <r>
      <rPr>
        <sz val="11"/>
        <color rgb="FF0F9ED5"/>
        <rFont val="Aptos Narrow"/>
        <family val="2"/>
        <scheme val="minor"/>
      </rPr>
      <t>A inserir Celebrações (1898), recepção criativa, tematização.</t>
    </r>
  </si>
  <si>
    <t>Boletim do Centenário, 1880 Lista dos subscritores Portugal a Camões &amp; Figuras Femininas [2.º número, cf. Im. 23: Faustina de Melgar, escritora e Luisa Duran de Leon, poeta madrilena; Rosalia Castro de Murgia, poema dedicado a Camões, cf. Im. 25, Guiomar Torresão, poeta lisbonense escreve artigo Luís de Camões, escritora da Catalunha Agua de Calldaura, poema A Camões, cf.Im. 31]</t>
  </si>
  <si>
    <t>Roslino de Brito, Camões: homenagem aos antigos heróis portugueses e sobre todos ao seu divino cantor Luís de Camões, 1880. Celebrações (1880), recepção criativa, tematização e centão.</t>
  </si>
  <si>
    <t>Campos Junior, Discurso proferido no sarau que o Grémio Recreativo de Leiria…, 1880</t>
  </si>
  <si>
    <t xml:space="preserve">Os grandes festejos ao tricentenário de Camões. Teatro e música, 1880  </t>
  </si>
  <si>
    <t>Pedro Gastão Mesnier, A odisseia camoniana: romagem aos principais lugares que a estada de Camões deixou assinalados, 1880. Quarta conferência das celebrações.</t>
  </si>
  <si>
    <t>Homenagem dos poetas, 1880 Lista de poetas convidados pela comissão literária &amp; Figuras Femininas [Maria Amália Vaz de Carvalho; Amélia Janny]. Celebrações (1880), recepção criativa, tematização e centão.</t>
  </si>
  <si>
    <t>Em miscelânea: Camões: esboço biográfico, 1880. Coord. Alberto da Silva  [cópia digital não abre, página não encontrada: falei com Miguel que confirmou a não disponibilização do PDF, mas ia tentar saber o que se passava] Consultado nos reservados: esboço biográfico inclui excerto de poema de Camões "Terra da minha pátria! Abre-me o seio... Juntos morreremos... E expirou co'a pátria." Miscelânea inclui ainda: Selecta de poesias para as festas do Centenário, com lista dos poetas portugueses convidados para participar: inclui D. Amélia Janny que não respondeu; "Folheto dedicado à memória do grande luís de Camões", 1880 por Gaspar de Azevedo (texto de homenagem e poema de homenagem-tematização, vida, intitulado "Qualidade, vida e acções do Grande Poeta", transcrição de "Porém já cinco sóis eram passados...Mas cheio de elevação d'alma, e de nobreza." + oitavas ("Este rende munidas fortalezas" + "E vê do mundo todos os principais" + "De mágoas oprimido o coração"); poema "A dor de Camões" J. L. de Vasconcelos; "À memória de Luís de Camões" aos cidadãos portugueses por Augusto Pereira Forjaz de Sampaio; "Discurso pronunciado na escola do exército diante dos alunos das armas gerais, reunidos em assembelia no dia 6 de maio de 1880 em homenagem ao imortal épico" por Justo de Castro Barroso; "Discurso dedicado ao imortal cantor dos Lusíadas por ocasião da inauguração do busto na escola do exército em 9 de Junho de 1880" por J.C.B.; "Portugal e Camões", poema de Luís de Sequeira Oliva, 1880; "Luís de Camões, elogio académico lido na sala dos actos grandes da Universidade de Coimbra no dia 10 de Junho de 1880" por Luís Maria da Silva Ramos, 1881. As peças da miscelânea encontram-se classificadas na lista, pois apresentam purl.</t>
  </si>
  <si>
    <t>J. Leite de Vasconcelos, A dor de Camões, 18??</t>
  </si>
  <si>
    <t>Augusto Forjaz de Sampaio, À memória de Luís de Camões, príncipe dos nossos poetas, 1880. Dirigido aos "cidadãos portugueses".</t>
  </si>
  <si>
    <t>Justo de Castro Barroso, Discurso pronunciado na Escola do Exército…, 1880</t>
  </si>
  <si>
    <t>Justo de Castro Barroso, Discurso … busto de Camões, 1880</t>
  </si>
  <si>
    <t>Luís de Camões. Elogio académico lido na … Universidade de Coimbra, 1881</t>
  </si>
  <si>
    <t>Luís de Camões. Portugals Dichter, 1879. Celebrações (1880), recepção criativa, tematização</t>
  </si>
  <si>
    <t>Adolf Stern, A primeira leitura d'Os Lusíadas. Fragmento do romance alemão Camões, 1880.  Celebrações (1880), recepção criativa, tematização</t>
  </si>
  <si>
    <t>Alfredo Campos, A leitura d'Os Lusíadas: aquarelas. 1880. Dois sonetos. Celebrações (1880), recepção criativa, tematização.</t>
  </si>
  <si>
    <t>Jaime Seguier, A Camões, Sarau literário do Real Gabinete Português de Leitura, Rio de Janeiro, 1880. Celebrações (1880), recepção criativa, tematização</t>
  </si>
  <si>
    <t>Relatório da Comissão nomeada para examinar a nova edição d'Os Lusíadas impressa em Paris em 1817. 1818. Celebrações (1517), discussão e relatório</t>
  </si>
  <si>
    <t>Jules Saint-Georges, L'esclave du Camoens: opéra comique en un acte, 18??</t>
  </si>
  <si>
    <t>Relatório da grande Comissão promotora do festejo marítimo realizado em 13 de Junho de 1880…, Rio de Janeiro, 1881. Figuras Femininas [SS. MM. Teresa Cristina]</t>
  </si>
  <si>
    <t>J. Leite de Vasconcelos, O texto d'Os Lusíadas segundo as ideias do Fr. Gomes de Amorim, 1890</t>
  </si>
  <si>
    <t>Os Lusíadas. Canto I, oitava I, 1898.</t>
  </si>
  <si>
    <t>Joaquim Nabuco, Camões: discurso em 10 de Junho de 1880 por parte do Gabinete Portuguez de Leitura, 1880</t>
  </si>
  <si>
    <r>
      <t>Horácio de Araújo, O pranto de Camões, 1891.</t>
    </r>
    <r>
      <rPr>
        <sz val="11"/>
        <color rgb="FF0F9ED5"/>
        <rFont val="Aptos Narrow"/>
        <family val="2"/>
        <scheme val="minor"/>
      </rPr>
      <t xml:space="preserve"> </t>
    </r>
  </si>
  <si>
    <t xml:space="preserve">Roque Miranda, Portugal na Índia: epopeia do Oriente, 1898: única referência a Camões, cf. Im. 10. </t>
  </si>
  <si>
    <t>José Maria Rodrigues, Notas para uma edição comentada d'Os Lusíadas, 1920</t>
  </si>
  <si>
    <t>O brasão do apelido de Camões, 1880</t>
  </si>
  <si>
    <r>
      <t xml:space="preserve">Sete anos de pastor Jacob servia. Tradução por Lamberto Gil. 1882 </t>
    </r>
    <r>
      <rPr>
        <sz val="11"/>
        <color rgb="FFC11AF0"/>
        <rFont val="Aptos Narrow"/>
        <family val="2"/>
        <scheme val="minor"/>
      </rPr>
      <t>[Tradução em espanhol (Sara)</t>
    </r>
    <r>
      <rPr>
        <sz val="11"/>
        <color rgb="FF000000"/>
        <rFont val="Aptos Narrow"/>
        <family val="2"/>
        <scheme val="minor"/>
      </rPr>
      <t>. No aniversário 302 do falecimento de Camões.</t>
    </r>
  </si>
  <si>
    <t>Margarida Victor, Camões e as mulheres portuguesas, 1880.  Figuras Femininas [Margarida Victor, autora; M. Staël]. Conferência preliminar das celebrações.</t>
  </si>
  <si>
    <r>
      <t xml:space="preserve">Antoine de Cournand, Épisode de Inès de Castro, imité du portugais de Camões, 1890. Trad. Paratextos gerais: </t>
    </r>
    <r>
      <rPr>
        <sz val="11"/>
        <color rgb="FFE97132"/>
        <rFont val="Aptos Narrow"/>
        <family val="2"/>
        <scheme val="minor"/>
      </rPr>
      <t>surgem truncados ou em falta, pois só surge a partir da p. 4.</t>
    </r>
  </si>
  <si>
    <r>
      <t xml:space="preserve">Terceiro centenário de Camões. Rio de Janeiro, Botafogo, 1880. </t>
    </r>
    <r>
      <rPr>
        <sz val="11"/>
        <color rgb="FFE97132"/>
        <rFont val="Aptos Narrow"/>
        <family val="2"/>
        <scheme val="minor"/>
      </rPr>
      <t>Surge a figura de um Poeta laureado: Camões?</t>
    </r>
  </si>
  <si>
    <t>Retrato de Camões, 1900</t>
  </si>
  <si>
    <t>Lustrel Dulong, Derniers moments de Camões, 1845?</t>
  </si>
  <si>
    <t>Jean-Baptiste Meunier, Le Camoens, 1880?</t>
  </si>
  <si>
    <t>Francisco Métrass, Camões na gruta de Macau, litografia, 1866. Celebrações (1860), iconografia.</t>
  </si>
  <si>
    <t>Homenagem. Discursos e poesias recitados pelos alunos e alunas da Terceira Ordem do Carmo, 1880. Celebrações (1880), recepção criativa, tematização</t>
  </si>
  <si>
    <r>
      <t xml:space="preserve">Rimas, 1614 [obras com partes manuscritas, talvez uma transcrição das partes impressas em falta: sonetos, canções, odes, sextinas, elegias, terceto, capítulo, oitavas, éclogas, a inserir redondilhas, sôbolos rios, esparsas, disparates, mote, voltas, glosas, estância, carta a D. Francisca com glosa, cantiga velha] </t>
    </r>
    <r>
      <rPr>
        <sz val="11"/>
        <color rgb="FFE97132"/>
        <rFont val="Aptos Narrow"/>
        <family val="2"/>
        <scheme val="minor"/>
      </rPr>
      <t xml:space="preserve">e cartas manuscritas no final. </t>
    </r>
    <r>
      <rPr>
        <sz val="11"/>
        <color rgb="FF000000"/>
        <rFont val="Aptos Narrow"/>
        <family val="2"/>
        <scheme val="minor"/>
      </rPr>
      <t>Cf. se faltam páginas: sonetos iniciam a partir da p. 5 e não surgem as licenças.  Os sonetos iniciam-se na p. 5, talvez pp. tenham sido arrancadas (Sara).</t>
    </r>
  </si>
  <si>
    <t>Cartaz. Verol Senior, Os Lusíadas com excerto da obra: dedicado à digna Comissão dos festejos a Camões, 1880</t>
  </si>
  <si>
    <t>Relatório da Comissão, Porto, 1880</t>
  </si>
  <si>
    <t>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t>
  </si>
  <si>
    <t>Tradução latina do soneto Alma minha gentil, 1890. Trad. Paratextos lírica. No 310.º aniversário.</t>
  </si>
  <si>
    <t xml:space="preserve">Camoens. Dramma lírico in tre atti. Torino. C. 1852.  </t>
  </si>
  <si>
    <t xml:space="preserve">Leone Fortis, Le ultime ore di Camoens allo spedale di Lisbona. Scena drammatica in versi, 1854. Inclui ainda Il Maestro del Signorino : commedia in un atto / di Francesco Coletti. - Milano : Amalia Bettoni, 1870.  Celebrações (1860), recepção criativa, tematização. </t>
  </si>
  <si>
    <r>
      <t xml:space="preserve">Les Lusiades, 189?. </t>
    </r>
    <r>
      <rPr>
        <sz val="11"/>
        <color rgb="FFE97132"/>
        <rFont val="Aptos Narrow"/>
        <family val="2"/>
        <scheme val="minor"/>
      </rPr>
      <t xml:space="preserve">Não inclui </t>
    </r>
    <r>
      <rPr>
        <i/>
        <sz val="11"/>
        <color rgb="FFE97132"/>
        <rFont val="Aptos Narrow"/>
        <family val="2"/>
        <scheme val="minor"/>
      </rPr>
      <t xml:space="preserve">Os Lusíadas. </t>
    </r>
    <r>
      <rPr>
        <sz val="11"/>
        <color rgb="FF0F9ED5"/>
        <rFont val="Aptos Narrow"/>
        <family val="2"/>
        <scheme val="minor"/>
      </rPr>
      <t xml:space="preserve"> </t>
    </r>
    <r>
      <rPr>
        <sz val="11"/>
        <color rgb="FF000000"/>
        <rFont val="Aptos Narrow"/>
        <family val="2"/>
        <scheme val="minor"/>
      </rPr>
      <t>Trad. Paratextos gerais; Trad. Paratextos vida.</t>
    </r>
  </si>
  <si>
    <t>Luís de Camões: Homenagem ao príncipe dos épicos portugueses, 1880. Celebrações (1880), recepção criativa, tematização. Sem explicitação do lugar do discurso.</t>
  </si>
  <si>
    <t>Camões: a carteira do viajante. Prosa e versos, 1885. Figuras femininas: Albertina Paraíso: "A Camões". Celebrações (1880), recepção criativa, tematização e centão.</t>
  </si>
  <si>
    <r>
      <t xml:space="preserve">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t>
    </r>
    <r>
      <rPr>
        <i/>
        <sz val="11"/>
        <color rgb="FF000000"/>
        <rFont val="Aptos Narrow"/>
        <family val="2"/>
        <scheme val="minor"/>
      </rPr>
      <t>Os Lusíadas</t>
    </r>
    <r>
      <rPr>
        <sz val="11"/>
        <color rgb="FF000000"/>
        <rFont val="Aptos Narrow"/>
        <family val="2"/>
        <scheme val="minor"/>
      </rPr>
      <t xml:space="preserve">,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t>
    </r>
    <r>
      <rPr>
        <i/>
        <sz val="11"/>
        <color rgb="FF000000"/>
        <rFont val="Aptos Narrow"/>
        <family val="2"/>
        <scheme val="minor"/>
      </rPr>
      <t>Os LusÍadas</t>
    </r>
    <r>
      <rPr>
        <sz val="11"/>
        <color rgb="FF000000"/>
        <rFont val="Aptos Narrow"/>
        <family val="2"/>
        <scheme val="minor"/>
      </rPr>
      <t>,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t>
    </r>
  </si>
  <si>
    <t>Louis-Alphonse Bichebois, Grotte du Camoens, c. 1845. Iconografia, Lugares de memória.</t>
  </si>
  <si>
    <t>Francisco Pinto, O génio de Camões. Romança. 1850-1857?</t>
  </si>
  <si>
    <t>José Viana da Mota, Invocação dos Lusíadas de Luís de Camões. Coro e orquestra, 1913-1938. São Carlos, 18 de Abril de 1915.</t>
  </si>
  <si>
    <r>
      <t xml:space="preserve">José Viana da Mota, Coro para a tragédia Inês de Castro, 1914. </t>
    </r>
    <r>
      <rPr>
        <sz val="11"/>
        <color rgb="FFE97132"/>
        <rFont val="Aptos Narrow"/>
        <family val="2"/>
        <scheme val="minor"/>
      </rPr>
      <t>Para o serão de Alcobaça em 12 de Agosto 1914. Actos públicos.</t>
    </r>
  </si>
  <si>
    <r>
      <t xml:space="preserve">Óscar da Silva, Le chant du cygne. Paroles de Camões, c. 1900-1912. </t>
    </r>
    <r>
      <rPr>
        <sz val="11"/>
        <color rgb="FFE97132"/>
        <rFont val="Aptos Narrow"/>
        <family val="2"/>
        <scheme val="minor"/>
      </rPr>
      <t>Trad. manuscritos fragmentos lírica.</t>
    </r>
  </si>
  <si>
    <t>Óscar da Silva, Redondilhas de Camões, 1922. [partitura contém: andante sustenuto "Vai o bem fugindo, cresce o mal"; allegro agitato "Bem sem fundamento tem certa mudança"; Moderato com dolore: "Alegre vivia triste agora"; Adaggio tocante: "Quisera mostrar o mal que padeço"; Agitato com desprezatione: "Ah! Ventura minha como me negas".]</t>
  </si>
  <si>
    <t>Postal Ilustrado. Old Goa. Statue of poet Camões, 193?</t>
  </si>
  <si>
    <t>Postal ilustrado. Camões Grotto. 191?</t>
  </si>
  <si>
    <t>Simon Guérin, Mort de Camoens, c. 1840</t>
  </si>
  <si>
    <t>F. Gérard, Camões. Reprodução da imagem criada para a edição d Morgado de Mateus, 1817, 1900</t>
  </si>
  <si>
    <t>António da Fonseca, Exposição de 1843. Camões coroado pelo génio da nação, 1843</t>
  </si>
  <si>
    <t>C.Legrand, Luiz de Camões, 1841</t>
  </si>
  <si>
    <t>C. Legrand, Para servir-vos braço às armas feito, litografia, 1841</t>
  </si>
  <si>
    <t>Luís de Camões, 1880</t>
  </si>
  <si>
    <t>Guilherme Cossoul, Homenagem a Camões. Marcha. 1880</t>
  </si>
  <si>
    <r>
      <t>Augusto Machado, Frammenti di una cantata a Camoens, 1880.</t>
    </r>
    <r>
      <rPr>
        <sz val="11"/>
        <color rgb="FFE97132"/>
        <rFont val="Aptos Narrow"/>
        <family val="2"/>
        <scheme val="minor"/>
      </rPr>
      <t xml:space="preserve"> Fragmento em italiano, recepção criativa?</t>
    </r>
  </si>
  <si>
    <t>Augusto Machado, Camões e os Lusíadas. Ode sinfónica. 1880</t>
  </si>
  <si>
    <r>
      <t xml:space="preserve">Augusto Machado, Camões, 1880.  [Andantino; Allegretto; Allegro: árabes, cristãos; San Thiago; andantino quase allegretto; andante religioso; Cori di donne; vozes?: Tágides e Marinheiros;N.º 2: Allegro; 2.ª volta; N.º 3: Adamastor; N.º 4: A Índia; N.º 5: soneto]. </t>
    </r>
    <r>
      <rPr>
        <sz val="11"/>
        <color rgb="FFE97132"/>
        <rFont val="Aptos Narrow"/>
        <family val="2"/>
        <scheme val="minor"/>
      </rPr>
      <t>Em italiano.</t>
    </r>
  </si>
  <si>
    <t>Jean-Charles Allet, In utrunque paratus. 1728. Reprodução c. 1890</t>
  </si>
  <si>
    <t xml:space="preserve">Augusto Machado, Dongolondron y dongolondrera. Filodemo? No registo surge Anfitriões. Uma p. solta. 1900-1924.  </t>
  </si>
  <si>
    <t>Inauguration de la statue de Camoens. Bronze de Victor Bastos, 1880? Iconografia, Lugares de memória</t>
  </si>
  <si>
    <t>Cartaz. Semana Camoniana. 1524-1924.</t>
  </si>
  <si>
    <r>
      <t xml:space="preserve">I Lusiadi. Antonio Nervi, 1828. 2 Vols [1.º: até ao C. IV, com notas aos C.; 2.º: até ao X, </t>
    </r>
    <r>
      <rPr>
        <i/>
        <sz val="11"/>
        <color rgb="FF000000"/>
        <rFont val="Aptos Narrow"/>
        <family val="2"/>
        <scheme val="minor"/>
      </rPr>
      <t>idem</t>
    </r>
    <r>
      <rPr>
        <sz val="11"/>
        <color rgb="FF000000"/>
        <rFont val="Aptos Narrow"/>
        <family val="2"/>
        <scheme val="minor"/>
      </rPr>
      <t>]. Trad. Paratextos gerais; Trad. Paratextos vida; Trad. Paratextos notas; Trad. Paratextos argumentos.</t>
    </r>
  </si>
  <si>
    <t xml:space="preserve">Os netos dos varões assinalados, 1898. Imagem de Bordalo Pinheiro; texto de Tomás Ribeiro.  </t>
  </si>
  <si>
    <r>
      <t xml:space="preserve">Hermínio do Nascimento, Redondilha de Camões, 1936. </t>
    </r>
    <r>
      <rPr>
        <sz val="11"/>
        <color rgb="FFE97132"/>
        <rFont val="Aptos Narrow"/>
        <family val="2"/>
        <scheme val="minor"/>
      </rPr>
      <t>Partitura música impressa, segundo registo [fotocópia de um manuscrito? Redondilha manuscrita]</t>
    </r>
  </si>
  <si>
    <t>José Viana da Mota, Verdes são as hortas. Redondilha de Camões, 1936.  [partitura dedicada à filha Leonor]</t>
  </si>
  <si>
    <t>José Heliodoro Vargas Júnior, Súplica de amor/Alma minha gentil, 187?  [partitura]</t>
  </si>
  <si>
    <r>
      <t>Augusto Machado, Fragmenti di una cantata a Camoens. 1880. [partitura cantata, coro, marcha triunfial],</t>
    </r>
    <r>
      <rPr>
        <sz val="11"/>
        <color rgb="FFE97132"/>
        <rFont val="Aptos Narrow"/>
        <family val="2"/>
        <scheme val="minor"/>
      </rPr>
      <t xml:space="preserve"> com nota explicativa inicial.</t>
    </r>
  </si>
  <si>
    <t>Augusto Machado, Verdes são as hortas, 1916. [flauta ,oboé, clarinete, fagote, canto, viola, violino, contrabaixo]</t>
  </si>
  <si>
    <t>Augusto Machado, Perco-me por ela, 1909 [partitura]. Redondilha</t>
  </si>
  <si>
    <t>Augusto Machado, Pastoral-Percome por ela,1902 [partitura para canto e piano] Redondilha</t>
  </si>
  <si>
    <t>Carlos Braga, Fado Camões. Fado para piano, 1880. [partitura impressa]</t>
  </si>
  <si>
    <t>Cunha Viana, Versos recitados no sarau literário da Sociedade Democrática Recreativa, 1880, com duas alusões grifadas. Celebrações (1880), recepção criativa, tematização.</t>
  </si>
  <si>
    <t>Estrofe dos Lusíadas com a versão siciliana, 1885.  Trad. Paratexto nota.</t>
  </si>
  <si>
    <t>Biografia de Luís de Camões, 1867. Celebrações (1860), vida.</t>
  </si>
  <si>
    <r>
      <t>De Lusiade, 1872. Tradução neerlandesa.  Documento só apresenta paratextos gerais e um poema no final anterior a Camões.</t>
    </r>
    <r>
      <rPr>
        <sz val="11"/>
        <color rgb="FF0F9ED5"/>
        <rFont val="Aptos Narrow"/>
        <family val="2"/>
        <scheme val="minor"/>
      </rPr>
      <t xml:space="preserve">  </t>
    </r>
    <r>
      <rPr>
        <sz val="11"/>
        <color rgb="FF000000"/>
        <rFont val="Aptos Narrow"/>
        <family val="2"/>
        <scheme val="minor"/>
      </rPr>
      <t>Trad. Paratextos gerais.</t>
    </r>
  </si>
  <si>
    <t>Fragmento de uma Ode a Camões : Coro / Augusto Machado [1900-1924]</t>
  </si>
  <si>
    <t xml:space="preserve">Augusto Machado, Soneto, "Alma minha gentil". 1880. [partitura canto e piano, inclui violoncelo] </t>
  </si>
  <si>
    <t>Joaquim de Sousa, A morte de Camões, c. 1866. Lápis de grafite</t>
  </si>
  <si>
    <t>João Arroyo, Soneto Sete anos de pastor. Partitura impressa para canto e piano. 1909</t>
  </si>
  <si>
    <t>Camões. 1800-1890. Gravura</t>
  </si>
  <si>
    <t>Horace Vernet, Le Camoens appuié sur les débris du vaisseau, 1810-1890</t>
  </si>
  <si>
    <t>Camões Apolo português, 1793?</t>
  </si>
  <si>
    <r>
      <t xml:space="preserve">Os Lusíadas, Rio de Janeiro, 1958. Edição crítica de F. Silveira Bueno. A inserir Paratextos vida. Paratextos argumentos. Paratextos notas e </t>
    </r>
    <r>
      <rPr>
        <sz val="11"/>
        <color rgb="FF0F9ED5"/>
        <rFont val="Aptos Narrow"/>
        <family val="2"/>
        <scheme val="minor"/>
      </rPr>
      <t>Celebrações (1860), edições?</t>
    </r>
    <r>
      <rPr>
        <sz val="11"/>
        <color rgb="FF000000"/>
        <rFont val="Aptos Narrow"/>
        <family val="2"/>
        <scheme val="minor"/>
      </rPr>
      <t xml:space="preserve"> Iconografia Figuras históricas e outras [sistema planetário]. </t>
    </r>
  </si>
  <si>
    <t>Roque Gameiro, A leitura d'Os Lusíadas a fr. B. Ferreira. Aguarela, 1890-1916</t>
  </si>
  <si>
    <t>Vianna da Mota, Verdes são as hortas. 19?? Redondilha</t>
  </si>
  <si>
    <t>Vianna da Mota, Verdes são as hortas. 19??  Redondilha</t>
  </si>
  <si>
    <t>Manoel Marti, Souvenir de Camões. Suite de valses pour piano,1867. suite de valsa para piano dedicada à Comissão do Monumento [partitura impressa] Celebrações (1860), iconografia</t>
  </si>
  <si>
    <r>
      <t xml:space="preserve">João Arroyo, Inês de Castro: Cantata. 1880. Música cantata para vozes solo [soprano, tenores], coros, orquestra e órgão/piano [partitura manuscrita, com prelúdio sinfónico </t>
    </r>
    <r>
      <rPr>
        <sz val="11"/>
        <color rgb="FFE97132"/>
        <rFont val="Aptos Narrow"/>
        <family val="2"/>
        <scheme val="minor"/>
      </rPr>
      <t>im. 118 surge a preto</t>
    </r>
    <r>
      <rPr>
        <sz val="11"/>
        <color rgb="FF000000"/>
        <rFont val="Aptos Narrow"/>
        <family val="2"/>
        <scheme val="minor"/>
      </rPr>
      <t>]</t>
    </r>
  </si>
  <si>
    <t>Textos literários em prosa e em verso e várias cartas, compilados por Pedro Alvares Varejão] . -[Ca 1615]. - 194 f., enc. ; 27 cm. Cf. fólio 155.</t>
  </si>
  <si>
    <t>Camões e as Tágides. Quadro de Columbano. Postal ilustrado. 1903</t>
  </si>
  <si>
    <t>Camões náufrago. Ex libris da BN?</t>
  </si>
  <si>
    <t>Coleção de sonetos sérios que se não acham impressos, 1786. Fragmento manuscrito Lírica. Figuras Femininas e Recepção criativa.  [Im. 99 soneto "Alma minha" de Luís de Camões glosado em oitava rima por Gabriel Vieira de Araújo; 107, soneto mote de Camões, L. Canto V, glosa; 114 soneto "Aos movimentos do Mundo" parece resgatar o desconcertos do mundo; 119 Soneto, mote: Para quem te perdeu também a vida parece resgatar uma redondilha de Camões, 132 Soneto "Sete anos de Pastor Jacob servia" e glosa; 147, sonetos assinado por Joana Isabel Forjaz, que parece ter produção escrita sobre Camões, cf. Im. 157, 207, glosa de Camões?, 215, soneto dedicado à Isabel...225 mote de Camões "os meus alegres dias", glosa; 226 mote de Camões "Eu vivo só do mal"?, 228, 231 glosa em oitavas ao soneto que principia "Não desejo mais louvor que as virtudes?", 252 Soneto a D. Inês de Castro, anónimo, 261 soneto à D. Isabel Forjaz; 266 Soneto a el Rei Afonso IV mandando matar a inocente Castro; 272, "Oh quanto esta lembrança e dor..." soneto com mote de Camões?, 275: Soneto Ao retrato de Luís de Camões; 283: A lira roca e já destemperada, glosa de Camões, Lusíadas, C. X?, 353, Sete vezes ... o pastor, glosa de Camões, sete anos de pastor Jacob?;440, Soneto à Cecília Rosa actriz do Teatro do Bairro Alto]</t>
  </si>
  <si>
    <r>
      <t xml:space="preserve">Cancioneiro. 36v-42, </t>
    </r>
    <r>
      <rPr>
        <sz val="11"/>
        <color rgb="FF0F9ED5"/>
        <rFont val="Aptos Narrow"/>
        <family val="2"/>
        <scheme val="minor"/>
      </rPr>
      <t xml:space="preserve">redondilhas Sobre os rios cf. Im. 76 [não existe especificação em manuscritos]; </t>
    </r>
    <r>
      <rPr>
        <sz val="11"/>
        <color rgb="FF000000"/>
        <rFont val="Aptos Narrow"/>
        <family val="2"/>
        <scheme val="minor"/>
      </rPr>
      <t xml:space="preserve">107, soneto rasurado, Sete anos de pastor. Fragmentos manuscritos Lírica. </t>
    </r>
    <r>
      <rPr>
        <sz val="11"/>
        <color rgb="FF0F9ED5"/>
        <rFont val="Aptos Narrow"/>
        <family val="2"/>
        <scheme val="minor"/>
      </rPr>
      <t>Cartas? E triunfo de Santa Úrsula, glosa? [</t>
    </r>
    <r>
      <rPr>
        <sz val="11"/>
        <color rgb="FF000000"/>
        <rFont val="Aptos Narrow"/>
        <family val="2"/>
        <scheme val="minor"/>
      </rPr>
      <t xml:space="preserve">cf. Im.: 173, mote "Pois tudo tampouco dura como passado prazer" Cartas?; 232: Soneto do triunfo de Santa Úrsula; 253: mote da noite clara, do alegre momento, glosa do soneto de Camões "Eu, vendo-me tão cheio de favores...louvei a hora clara, e a noite escura"]. </t>
    </r>
  </si>
  <si>
    <t>Paródia ao de vinho, 1601</t>
  </si>
  <si>
    <t>Obras curiosas de vários autores coligidas por um curioso, 1728. Tem uma imitação de Sete anos de pastor e uma paródia "borracha" do canto I d'Os Lusíadas</t>
  </si>
  <si>
    <t>Pedro de Azevedo Tojal. O códice contém, além do Foguetário, que parodia Os Lusíadas, uma cópia da paródia "borracha"  a partir de Im. 71 até Im. 110 paródia do Canto I; Foguetário: cf. Im. 131 , 1727.</t>
  </si>
  <si>
    <t>Zamarineida+Paródia do discurso do Velho do Restelo, 157v e seg., 1774</t>
  </si>
  <si>
    <t>Flores poéticas colhidas … para lançar fora a melancolia, 1601-1700. Paródia do canto I d'Os Lusíadas+Sentimentos de D. Pedro por D. Inês,  cf. Im. 167 e ss.</t>
  </si>
  <si>
    <t>Textos em prosa e em verso. A partir da f. 131, contém a paródia "borracha" do canto I d'Os Lusíadas. O texto de Camões e a paródia são postos em confronto,  Cf. Im. 261 e ss.</t>
  </si>
  <si>
    <t>João Correia Ayres de Campos, Os Lusíadas: fragmentos de uma grande reinação poética nos banhos de Luso em 1851. 1913</t>
  </si>
  <si>
    <t>Allison Philips, Notice biographique sur Camoens. Bombaim, 1896</t>
  </si>
  <si>
    <t>Vianna da Mota, Invocação dos Lusíadas, 1938</t>
  </si>
  <si>
    <t>Vianna da Mota, Invocação dos Lusíadas, 1915. Só partitura.</t>
  </si>
  <si>
    <t>Vianna da Mota, Invocação dos Lusíadas, 1938, invocação manuscrita.</t>
  </si>
  <si>
    <t>Vianna da Mota, Invocação dos Lusíadas, 1915, invocação impressa cópia de manuscrita.</t>
  </si>
  <si>
    <t>Camões e Jau. Postal ilustrado</t>
  </si>
  <si>
    <t>Estrofe do canto III copiada pela rainha D. Amélia. Figura feminina.</t>
  </si>
  <si>
    <t>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t>
  </si>
  <si>
    <t>Sobre o decoro n'Os Lusíadas, imagens 183-244, 1765-1818?; António Ribeiro. Reflexões sobre a Bucólica ou Éclogas de Luís de Camões, cf. Im. 155-171; vários quadros sobre os Cantos e episódios, cf. Im. 187.</t>
  </si>
  <si>
    <t>Homenagem a Camoes : Marcha Triunfal para piano : Op. 30 / por Jacopo Carli.185?</t>
  </si>
  <si>
    <t>Tradutores: J. J. Aubertin; Robert Southey; Richard Garnett. Trad. Paratextos e Trad. Paratextos notas.</t>
  </si>
  <si>
    <r>
      <t> Homenagem a Camões n'uma poesia esplendida / com anteloquio do prof. Pereira Caldas. - Braga : Imprensa Commercial, 1884.</t>
    </r>
    <r>
      <rPr>
        <sz val="11"/>
        <color rgb="FF4EA72E"/>
        <rFont val="Aptos Narrow"/>
        <family val="2"/>
        <scheme val="minor"/>
      </rPr>
      <t>1884. [na referência da BN surge 1881] Corrigido.</t>
    </r>
  </si>
  <si>
    <t>Os novos criticos de Camões / por Theophilo Braga. - Porto : Impr. Portugueza, 1873. Não refere a Celebração, mas dada a proximidade da data coloquei.</t>
  </si>
  <si>
    <t>Premio Commercio do Porto / instituido por Eduardo Lemos. - Rio de Janeiro : Typ. e Lit. de Moreira Maximino &amp; C., 1881. Figuras Femininas [Ana Maria Antónia de Sousa Holstein; Sofia Amélia de Souza Pinto Cochofel e outras alunas nomeadas, cf. im. 16]</t>
  </si>
  <si>
    <t>Portugal e Camões : estudo político-moral nos Lusíadas : homenagem da pátria de Heitor Pinto e Pero da Covilhã. - Lisboa : Lallement Fréres, 1880.</t>
  </si>
  <si>
    <t>A estante do côro : poema herói-cómico / compôsto em verso francez por Nicolao Boileau Despréaux ; e traduzido em portuguez verso a verso pelo Dr. António José de Lima Leitão..... Ode a Camões / feita em francez pêlo Sr. Raynouard e posta em portuguez pêlo mesmo traductor. - Lisboa : na Impr. Nacional, 1834, com notas e lista de nomes próprios. A paródia parece não ter por tema Camões, embora o primeiro verso seja uma alusão paródica ao Poema: "Canto os combates e o tremendo Bispo".</t>
  </si>
  <si>
    <t>Joaquim de Araujo, Luis de Camões. poemeto, com uma carta-prólogo de Eça de Queiroz. 1897, com citação de um verso de Camões do C. III, Est. 125, cf. Im. 30 e glosas de Adamastor e outros episódios e soneto dedicado a Carolina Michaëlis.</t>
  </si>
  <si>
    <t>[cópia pública não abre, consultado PDF via Miguel]. Paratextos vida, Paratextos notas [de rodapé]. Sem argumentos.</t>
  </si>
  <si>
    <t>Camões e os Lusíadas : ensaio histórico-crítico / Francisco Evaristo Leoni. - Lisboa : Livr. de A. M. Pereira, 1872. Vida. Biografia, cf. Im. 87 e ss</t>
  </si>
  <si>
    <t>Manifesto critico, analytico, e apologetico: em que se defende o insigne vate Luiz de Camõs [sic], da mordacidade do discurso preliminar, que precede ao poema Oriente; e se demonstrão os infinitos erros do mesmo poema ... / [por António Maria do Couto]. - Lisboa : na impressão de J. F. M. de Campos, 1815. </t>
  </si>
  <si>
    <t>Camões / pelo Visconde de Almeida Garrettt. - 8a. ed.. - Lisboa : Imprensa Nacional, 1886. Sobre episódios da vida de Camões, cf. p. XVIII.</t>
  </si>
  <si>
    <t>Luiz de Camões ses oeuvres et sa littérature: catalogue d'une collection importante d'éditions originales de ses poésies, de traductions et d'ouvrages rares sur sa vie et ses oeuvres en vente aux prix marqués.1884. Contém obras do tricentenário: Celebrações (1880), catálogo.</t>
  </si>
  <si>
    <t>Teófilo Braga, Camões. A Tipografia e as ciências do século XVI. Conferência feita pelo dr. Teófilo Braga, na sala da Associação tipográfica lisbonense, no mês de Junho de 1880, por ocasião e para festejar o tricentenário de Luís de Camões. 1892.</t>
  </si>
  <si>
    <r>
      <t xml:space="preserve">1898 [na referência bibliográfica surge 1890] Corrigido; </t>
    </r>
    <r>
      <rPr>
        <sz val="11"/>
        <color rgb="FF000000"/>
        <rFont val="Aptos Narrow"/>
        <family val="2"/>
        <scheme val="minor"/>
      </rPr>
      <t>Trad. Frag. Paratextos gerais e Celebrações (1880), traduções. Em comemoração do quarto centenário do Descobrimento do Caminho Marítimo para a Índia e do 318.º aniversário do passamento de Camões.</t>
    </r>
  </si>
  <si>
    <t>Lisboa: Tipografia Castro Irmão. 1915. [na referência bibliográfica surge: Braga: Tip. Lealdade: 1880]. Corrigido</t>
  </si>
  <si>
    <t>Adolphe Puibusque. Le naufrage de Camoens: ode. 1885. couronné par l'academie des jeux floraux dans sa séance publique et solemne du 3 mai 1828.</t>
  </si>
  <si>
    <t>Literatura Portuguesa. Camões. Um capítulo da História de Portugal traduzido por Silva Bastos do original inglês de Stephens, corrigido e prefaciado por Oliveira Martins.1892.</t>
  </si>
  <si>
    <t>Desabafo patriotico e o tricentenario de Camões no Rio de Janeiro : estudo critico e documentado, ou a «censura» feita aos promotores e orador official do tricentenario... / Francisco Ferraz de Macedo. - Rio de Janeiro : Tip. Academica, 1880</t>
  </si>
  <si>
    <t>Catálogo da Exposição Camoniana [publicada] realizada pela Biblioteca Nacional do Rio de Janeiro a 10 de Junho de 1880 por ocasião do Centenário de Camões. 1880.</t>
  </si>
  <si>
    <t>[José Joaquim da Silva] Pereira Caldas. Homenagens centonicas em versos de Camões ao Marquês de Pombal [em 8 de Maio de 1882] e ao Major Quillinan [22 de Abril de 1883]: antecedidas de duas linhas preambulares.1884.</t>
  </si>
  <si>
    <t>Reinaldo Carlos Montoro. O centenário de Camões no Brasil: Portugal em 1580 o Brasil em 1880. Estudos comparativos. 2ª ed. Rio de Janeiro. 1880.</t>
  </si>
  <si>
    <t>Luiz de Sequeira Oliva. Portugal e Camões: homenagem ao grande épico por ocasião do seu tricentenário. Lisboa. 1880. Celebrações (1880), recepção criativa, tematização</t>
  </si>
  <si>
    <t>A selection of curious articles from the Gentleman's Magazine... : vol. II. - London : printed for Longman, Hurst, Rees, and Orme..., 1809. cf. Cap. XLV. On translation. - Mickle ́s Lusiad, pp. 152-157, Im. 166-171.</t>
  </si>
  <si>
    <t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t>
  </si>
  <si>
    <t>Bibliografia camoniana servindo de catálogo oficial da Exposição Camoniana do Centenário coordenada pela comissão literária das festas. Porto. 1580-1880.</t>
  </si>
  <si>
    <r>
      <t>Os Lusiadas / de Luiz de Camões. - Nova ed. correcta. - Pernambuco : Typ. de Santos &amp; Companhia, 1834. Paratextos argumentos.</t>
    </r>
    <r>
      <rPr>
        <sz val="11"/>
        <color rgb="FF0F9ED5"/>
        <rFont val="Aptos Narrow"/>
        <family val="2"/>
        <scheme val="minor"/>
      </rPr>
      <t xml:space="preserve"> </t>
    </r>
    <r>
      <rPr>
        <sz val="11"/>
        <color rgb="FF000000"/>
        <rFont val="Aptos Narrow"/>
        <family val="2"/>
        <scheme val="minor"/>
      </rPr>
      <t>Sem paratextos gerais.</t>
    </r>
  </si>
  <si>
    <r>
      <t>Os Lusiadas : poema epico = e Luis de Camões. - Nova edição.... - Rio de Janeiro : Eduardo &amp; Henrique Laemmert, 1856, sem argumentos. 2 Tomos: 1.º até ao Canto V, com notas: 2.º até ao Canto X, com notas e dicionário.  Paratextos notas;</t>
    </r>
    <r>
      <rPr>
        <sz val="11"/>
        <color rgb="FF61CBF3"/>
        <rFont val="Aptos Narrow"/>
        <family val="2"/>
        <scheme val="minor"/>
      </rPr>
      <t xml:space="preserve"> Celebrações (1860), edições? </t>
    </r>
    <r>
      <rPr>
        <sz val="11"/>
        <color rgb="FFE97132"/>
        <rFont val="Aptos Narrow"/>
        <family val="2"/>
        <scheme val="minor"/>
      </rPr>
      <t>Faltam estrofes do LXXXIV a LXXXVII do Canto VII, cf. p. 70 do 2.º Tomo, mas com Imagens sequenciais: 338-339 . Pela lógica, falta ilustração do Canto X, cf. p. 142-146, cf. Im. 409. Assim no original?</t>
    </r>
  </si>
  <si>
    <t>Alfredo C. da Cunha. Discurso que na noite de 7 de Maio de 1881 no sarau literário-musical em honra de Luiz de Camões devia pronunciar no Teatro Académico, Coimbra. 1881.</t>
  </si>
  <si>
    <t>António Feijó. Sacerdos Magnus, Versos recitados no Teatro Académico no sarau literário celebrado na véspera da inauguração do monumento a Luís de Camões. Coimbra. 1881.</t>
  </si>
  <si>
    <t>Poems from the portuguese / of Luis de Camoens ; with remarks onhis life and writings...by Lord Viscount Strangford. - Boston : E.G. House for John West and Cº and O.C. Greeleaf, 1809. Esta edição não contém notas sobre a tradução do fragmento épico, ao contrário das restantes.</t>
  </si>
  <si>
    <t>As estancias omitidas no primeiro canto dos Lusíadas / [Luís de Camões]. - Porto : Typografia de Fraga, 1885</t>
  </si>
  <si>
    <r>
      <t>Três centenários : Camões, Calderon, Pombal / Abílio Maia. - Porto : Typografia Elzeviriana, 1883.</t>
    </r>
    <r>
      <rPr>
        <sz val="11"/>
        <color rgb="FF0F9ED5"/>
        <rFont val="Aptos Narrow"/>
        <family val="2"/>
        <scheme val="minor"/>
      </rPr>
      <t xml:space="preserve"> </t>
    </r>
    <r>
      <rPr>
        <sz val="11"/>
        <color rgb="FF000000"/>
        <rFont val="Aptos Narrow"/>
        <family val="2"/>
        <scheme val="minor"/>
      </rPr>
      <t xml:space="preserve">Celebrações (1880), recepção criativa, tematização [sobre o naufrágio de Camões, com citações de versos de </t>
    </r>
    <r>
      <rPr>
        <i/>
        <sz val="11"/>
        <color rgb="FF000000"/>
        <rFont val="Aptos Narrow"/>
        <family val="2"/>
        <scheme val="minor"/>
      </rPr>
      <t>Os Lusíadas</t>
    </r>
    <r>
      <rPr>
        <sz val="11"/>
        <color rgb="FF000000"/>
        <rFont val="Aptos Narrow"/>
        <family val="2"/>
        <scheme val="minor"/>
      </rPr>
      <t>].</t>
    </r>
  </si>
  <si>
    <t>Luís de Camões. Os Lusíadas, poema épico, sem argumentos. Nova edição correcta, e dada à luz, conforme a de 1817, por Dom José Maria de Souza-Botelho Morgado de Matteus. Paris. 1823.</t>
  </si>
  <si>
    <r>
      <t xml:space="preserve">António de Macedo Papança. Catarina de Ataíde, poema em três cantos. À memória de Camões. Coimbra. 1880. Poema termina com </t>
    </r>
    <r>
      <rPr>
        <i/>
        <sz val="11"/>
        <color rgb="FF000000"/>
        <rFont val="Aptos Narrow"/>
        <family val="2"/>
        <scheme val="minor"/>
      </rPr>
      <t xml:space="preserve">Alma minha.  </t>
    </r>
    <r>
      <rPr>
        <sz val="11"/>
        <color rgb="FF000000"/>
        <rFont val="Aptos Narrow"/>
        <family val="2"/>
        <scheme val="minor"/>
      </rPr>
      <t>Celebrações (1880), recepção criativa, tematização.</t>
    </r>
  </si>
  <si>
    <t>As primaveras / Casimiro J. M. de Abreu. - Novissima ed. accrescentada de novas poesias.... e Camões e Jau, cena dramática. Lisboa : Imp. de J.G. de Sousa Neves, 1875. Com retrato do autor, cf. Im. 8. Não refere Celebração.</t>
  </si>
  <si>
    <t>Ode a Camoens / par G. Desjardins. - Em Lisboa : Manoel Gomes, 1886. No 306.º aniversário da morte do Poeta. Celebrações (1880), recepção criativa, tematização.</t>
  </si>
  <si>
    <t>Eugénio de Castro. Per Umbram..., sonetos camonianos. Lisboa. 1887. [em comemoração do sétimo aniversário do tricentenário: 10 de Junho de 1887].  Celebrações (1880), recepção criativa, tematização.</t>
  </si>
  <si>
    <t>Tito de Noronha. A primeira edição dos Lusíadas. Porto e Braga. 1880. [no final surgem duas imagens da portada da edição de 1572]</t>
  </si>
  <si>
    <t>Luís de Camões. Adamastor: episódio do Canto V dos Lusíadas, sem argumento. Lisboa. 1888.</t>
  </si>
  <si>
    <t>Épica, sem argumentos e sem paratextos.</t>
  </si>
  <si>
    <t>Figueiredo de Magalhães. Camões e os portugueses no Brasil. Reparos criticos. Primeira parte. Rio de Janeiro. 1880.</t>
  </si>
  <si>
    <r>
      <t xml:space="preserve">Obras de Luiz de Camoens principe dos poetas portuguezes. - Novamente impressas e dedicadas ao... Marquez de Pombal... por Miguel Rodrigues. - Lisboa : na Officina de Miguel Rodrigues, 1772. </t>
    </r>
    <r>
      <rPr>
        <sz val="11"/>
        <color rgb="FF0F9ED5"/>
        <rFont val="Aptos Narrow"/>
        <family val="2"/>
        <scheme val="minor"/>
      </rPr>
      <t xml:space="preserve"> </t>
    </r>
    <r>
      <rPr>
        <sz val="11"/>
        <color rgb="FF000000"/>
        <rFont val="Aptos Narrow"/>
        <family val="2"/>
        <scheme val="minor"/>
      </rPr>
      <t xml:space="preserve">[epístolas, oitavas, quintilhas, a umas suspeitas, </t>
    </r>
    <r>
      <rPr>
        <sz val="11"/>
        <color rgb="FF0F9ED5"/>
        <rFont val="Aptos Narrow"/>
        <family val="2"/>
        <scheme val="minor"/>
      </rPr>
      <t>r</t>
    </r>
    <r>
      <rPr>
        <sz val="11"/>
        <color rgb="FF000000"/>
        <rFont val="Aptos Narrow"/>
        <family val="2"/>
        <scheme val="minor"/>
      </rPr>
      <t xml:space="preserve">edondilhas, sôbolos rios, esparsas labirinto, cantigas, motes, glosas, trovas, voltas, convite, disparates, vilancete, endechas, tenções, Canto e Composição do H.; Cartas I e II; Teatro: Seleuco, Anfitriões e Filodemo]. Erros gráficos na paginação. </t>
    </r>
    <r>
      <rPr>
        <sz val="11"/>
        <color rgb="FFE97132"/>
        <rFont val="Aptos Narrow"/>
        <family val="2"/>
        <scheme val="minor"/>
      </rPr>
      <t>Salto na paginação: cf. p. 208 para 211, cf. Im. 216-217 e p. 279 para 283, cf. Im. 285-287. Assim no original?</t>
    </r>
  </si>
  <si>
    <t>The Lusiad or the discovery of India an epic poem / translated from the portuguese of Luis de Camoens with a life of the poet by William Julius Mickle. - 5th ed. / revised by E. Richmond Hodges. - London : George Bell &amp; Sons, 1892</t>
  </si>
  <si>
    <t>Poems / from the portuguese of Luis de Camoens ; with remarks on his life and writings, notes by Lord Viscount Strangford. - 6th ed. - London : Booksellers, 1824. [canções, madrigais, cantiga, estanças, sonetos, elegia + fragmento Canto VI].</t>
  </si>
  <si>
    <t>Camões / Alfredo Carvalhaes. - Porto : Imp. Portugueza, 1880. A inserir Celebrações (1880), recepção criativa, tematizção. Refere episódios da vida de Camões, por exemplo, em Goa.</t>
  </si>
  <si>
    <t>Os Lusiadas / poema epico de Luiz de Camões. - Nova edição conforme á de Paris, de 1817, in-4º. - Lisboa : na Typographia Rollandiana, 1827. Paratextos argumentos, sem paratextos gerais.</t>
  </si>
  <si>
    <t>Augusto Luso da Silva. Leitura de um trecho dos Lusíadas. Descrição da esfera celeste por Tétis a Vasco da Gama. Canto décimo. Por ocasião do tricentenário de Luís de Camões. Porto. 1880.</t>
  </si>
  <si>
    <t xml:space="preserve">Sonetos centonicos do seculo seiscentista em versos de Camões / por Fr. Manuel do Sepulcro... e o P. André Nunes da Silva... ; com antelóquio do professor...Pereira Caldas. - Braga : Typografia de Gouveia, 1884. </t>
  </si>
  <si>
    <t>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t>
  </si>
  <si>
    <t>Triunfo das armas portuguezas : deduzido de varios versos do insigne poeta Luis de Camoens / glosados, &amp; reduzidos ao intento por Andre Rodrigues de Mattos.... - Lisboa : na officina de Antonio Craesbeeck de Mello, 1663</t>
  </si>
  <si>
    <t>Os Lusiadas / poema epico de Luis de Camões. - Nova edição conforme à de Paris, de 1817, in-4º. - Lisboa : na Typographia Rollandiana, 1836. Paratextos argumentos, sem paratextos gerais.</t>
  </si>
  <si>
    <t>The Lusiad, or Portugals historical poem / written by Luis de Camoens ; and now put into English by... Richard Fanshawe Knight.... - London : Printed for A. Mosely, at the Princes- Arms in St. Pauls Church -Yard, 1664, sem argumentos. Erros gráficos na paginação.</t>
  </si>
  <si>
    <r>
      <t>Os Lusiadas / poema epico de Luis de Camões. - Nova edição. - Lisboa : na Typographia Rollandiana, 1842.</t>
    </r>
    <r>
      <rPr>
        <sz val="11"/>
        <color rgb="FF0F9ED5"/>
        <rFont val="Aptos Narrow"/>
        <family val="2"/>
        <scheme val="minor"/>
      </rPr>
      <t xml:space="preserve"> </t>
    </r>
    <r>
      <rPr>
        <sz val="11"/>
        <color rgb="FF000000"/>
        <rFont val="Aptos Narrow"/>
        <family val="2"/>
        <scheme val="minor"/>
      </rPr>
      <t>Paratextos argumentos, sem paratextos gerais.</t>
    </r>
  </si>
  <si>
    <t>Joaquim dos Anjos. A Camões. Poesia recitada pelo actor Salazar no Teatro da Rua dos Condes. Lisboa. 1880. Celebrações (1880), recepção criativa, tematização.</t>
  </si>
  <si>
    <t>Th.[omas] Le Blanc[abbé]. Épitre à mon excellent ami Mr. António de Assis Teixeira de Magalhães à l'occasion du troisième centenaire de la mort de Camoens. Coimbre. 1880. Celebrações (1880), Recepção criativa, tematização.</t>
  </si>
  <si>
    <t>L. de Rouffeyroux. Á la mémoire de Camoëns: 10 de Juin 1880, com dedicatória manuscrita à BNL.  [poema]. Celebrações (1880), Recepção criativa, tematização.</t>
  </si>
  <si>
    <t>A. Loiseau. Troisième Centenaire de Camoens. Poesie latine. "Ad Lusitanos. Ter.Saecularem Camoentis Memoriam Agentes". Paris. 1880. (poema em latim). Celebrações (1880), Recepção criativa, tematização.</t>
  </si>
  <si>
    <r>
      <t xml:space="preserve">Antonia Pusich. Homenagem a Luís de Camões. Lisboa. 1880. [poema, com notas e conclusão, contém epígrafe, </t>
    </r>
    <r>
      <rPr>
        <i/>
        <sz val="11"/>
        <color rgb="FF000000"/>
        <rFont val="Aptos Narrow"/>
        <family val="2"/>
        <scheme val="minor"/>
      </rPr>
      <t>Os Lusíadas</t>
    </r>
    <r>
      <rPr>
        <sz val="11"/>
        <color rgb="FF000000"/>
        <rFont val="Aptos Narrow"/>
        <family val="2"/>
        <scheme val="minor"/>
      </rPr>
      <t>, Canto I: X]. Celebrações (1880), Recepção criativa, tematização.</t>
    </r>
  </si>
  <si>
    <r>
      <t xml:space="preserve">Os Lusiadas do seculo XIX : poema heroi-comico (parodia) / por F. A. de Almeida. - Lisboa : Typ. da Sociedade Typographica Franco-Portugueza, 1865. </t>
    </r>
    <r>
      <rPr>
        <sz val="11"/>
        <color rgb="FF0F9ED5"/>
        <rFont val="Aptos Narrow"/>
        <family val="2"/>
        <scheme val="minor"/>
      </rPr>
      <t>Inserir Celebrações (1860), paródia?</t>
    </r>
  </si>
  <si>
    <r>
      <t>Os Lusiadas / de Luiz de Camões. - Nova edição feita debaixo das vistas da mais accurada critica em presença das duas edições primordiaes e das posteriores de maior credito e reputação : seguida de annotações criticas, historicas e mythologicas / por Francisco Freire de Carvalho Cónego da Sé Archiepiscopal Metropolitana da Provincia da Extremadura.... - Lisboa : na Typographia Rollandiana, 1843.</t>
    </r>
    <r>
      <rPr>
        <sz val="11"/>
        <color rgb="FF0F9ED5"/>
        <rFont val="Aptos Narrow"/>
        <family val="2"/>
        <scheme val="minor"/>
      </rPr>
      <t xml:space="preserve"> </t>
    </r>
    <r>
      <rPr>
        <sz val="11"/>
        <color rgb="FF000000"/>
        <rFont val="Aptos Narrow"/>
        <family val="2"/>
        <scheme val="minor"/>
      </rPr>
      <t>Paratextos notas [aos cantos], sem argumentos.</t>
    </r>
  </si>
  <si>
    <t>Francisco Guilherme José Faure. Amor e génio: alocução recitada em Leiria por ocasião do tricentenário de Camões, no dia 10 de Junho de 1880. Leiria. 1880. [contém duas epígrafes de Garrett e Lebrun]</t>
  </si>
  <si>
    <r>
      <t xml:space="preserve">Augusto Rocha. Origens e carácter da epopeia portuguesa. Conferência proferida em a noite de 10 de Junho do ano corrente no sarau literário promvido pelo Instituto. Celebração do tricentenário de Camões. Coimbra. 1880. [contém epígrafe, </t>
    </r>
    <r>
      <rPr>
        <i/>
        <sz val="11"/>
        <color rgb="FF000000"/>
        <rFont val="Aptos Narrow"/>
        <family val="2"/>
        <scheme val="minor"/>
      </rPr>
      <t>Os Lusíadas</t>
    </r>
    <r>
      <rPr>
        <sz val="11"/>
        <color rgb="FF000000"/>
        <rFont val="Aptos Narrow"/>
        <family val="2"/>
        <scheme val="minor"/>
      </rPr>
      <t>, Canto X: CLIV]</t>
    </r>
  </si>
  <si>
    <t>Brito Aranha. Camões e os Lusíadas: 1580-1880: ideia da ressurreição da pátria: discurso recitado na sessão solene da associação dos melhoramentos das classes laboriosas, no dia 7 de junho para a inauguração do retrato de Camões. Lisboa. 1880.</t>
  </si>
  <si>
    <t>João Jardim (aluno). Discurso recitado no dia 9 de Junho de 1880 por ocasião das festas do tricentenário de Camões no Colégio de Maria Santissima Imaculada em Campolide. Coimbra. 1880.</t>
  </si>
  <si>
    <t>Tomás Ribeiro. Festas do Centenário MDLXXX-MDCCCLXXX. Discurso pronunciado no Sarau Literário a 11 de Junho. Porto. 1880. [contém epígrafe de Camilo Castelo Branco]</t>
  </si>
  <si>
    <r>
      <t xml:space="preserve">AA.VV. Tricentenário de Luís de Camões. Discursos pronunciados [Joaquim de Vasconcelos, Francisco José Patrício] na Sociedade Nova Euterpa. Sarau lierário-musical. Porto. 1880, </t>
    </r>
    <r>
      <rPr>
        <sz val="11"/>
        <color rgb="FF0F9ED5"/>
        <rFont val="Aptos Narrow"/>
        <family val="2"/>
        <scheme val="minor"/>
      </rPr>
      <t>com excertos transcritos de notícias saídas em periódicos. Inserir Celebrações (1880), periódicos?</t>
    </r>
  </si>
  <si>
    <t>Latino Coelho. Panegírico de Luís de Camões lido na sessão solemne da Academia Real das Ciencias em 9 de Junho de 1880. Lisboa. 1880.</t>
  </si>
  <si>
    <t>AA. VV. Homenagem a Luís de Camões: sessão solene da Associação Tipográfica Lisbonense para comemorar o Tricentenário.  Lisboa. 1880. Celebrações (1880), recepção criativa, tematização.</t>
  </si>
  <si>
    <t>Joäo de Andrade Corvo. Alocução proferida na sessão pública da Academia Real das Ciências de Lisboa em 9 de Junho de 1880 e Relatório dos Trabalhos da Academia; Relação das obras publicadas por A. da Silva Túlio. Obras oferecidas. 1880.</t>
  </si>
  <si>
    <t xml:space="preserve">A morte de Portugal / Valente de Magalhães. - Porto : Tip. Ocidental, 1891. </t>
  </si>
  <si>
    <t>Discursos : Centenario de Camões : homenagem a Carlos Gomes : monumento do Ypiranga : homenagem a José Bonifácio... / Brazilio Machado. - S. Paulo Livr. Teixeira &amp; Irmão 1887. Discurso proferido no Real Club Gymnastico Portuguez de S. Paulo em 10 de junho de 1880.</t>
  </si>
  <si>
    <t>Brado d'alma : homenagem a Camões : poema de Natercia / ariosto Machado. - Porto : Tip. de A. J. da Silva, 1881. Celebrações (1880), recepção criativa, tematização.</t>
  </si>
  <si>
    <t>Camões e o sentimento... / Ariosto Machado ; [colab.] Júlio Lourenço Pinto. - Porto : Imp. Portuguesa, 1891. No prólogo-carta é dito que os sonetos sintetizam a última parte da vida do Poeta. Centão de parte do soneto "Alma minha gentil", entre outros.</t>
  </si>
  <si>
    <r>
      <t xml:space="preserve">Teófilo Braga. Bibliografia camoniana. Lisboa. 1880.  [contém bibliografia sobre textos críticos nacionais e internacionais, comentários, traduções, retratos e outras artes, </t>
    </r>
    <r>
      <rPr>
        <i/>
        <sz val="11"/>
        <color rgb="FF000000"/>
        <rFont val="Aptos Narrow"/>
        <family val="2"/>
        <scheme val="minor"/>
      </rPr>
      <t>et al.</t>
    </r>
    <r>
      <rPr>
        <sz val="11"/>
        <color rgb="FF000000"/>
        <rFont val="Aptos Narrow"/>
        <family val="2"/>
        <scheme val="minor"/>
      </rPr>
      <t xml:space="preserve">] </t>
    </r>
    <r>
      <rPr>
        <sz val="11"/>
        <color rgb="FFE97132"/>
        <rFont val="Aptos Narrow"/>
        <family val="2"/>
        <scheme val="minor"/>
      </rPr>
      <t xml:space="preserve">Faltam pp. 54-55 e pp. 214-215, truncadas no original ou falta digitalização? Ao invés surgem Imagens do C. II e VI, respectivamente. </t>
    </r>
  </si>
  <si>
    <t>Relatório e contas da gerência da Direcção da Associação de Empregados no Comércio de Lisboa em 1880 e apresentado em Assembleia geral em 1881. [Receita e Despesas realizadas com a comemoração do Centenário de Camões, p. 35; Associados que subscreveram os festejos, p. 36-38.</t>
  </si>
  <si>
    <t>Relatório e contas da Direcção da Associação Homeopática de Socorros Mútuos "A Fraternidade" relativo ao ano de 1880. Lisboa. 1881. ["Uma grande deputação da nossa associação, com o seu estandarte à frente, fez parte do grande cortejo cívico do dia 10 de Junho de 1880", cf. pp. 4-5; relatório da receita e despesa do tricentenário de Camões, p. 10]</t>
  </si>
  <si>
    <t>Relatório e contas da Associação dos Empregados no Comércio e Indústria (1880).  Lisboa. 1881. [subscrição voluntária dos associados para os festejos, cf. p. 4]</t>
  </si>
  <si>
    <t>Relatório e contas da Associação dos Sapateiros Lisbonenses (1880).  Lisboa. 1881. [subscrição voluntária dos associados para cunhar uma medalha comemorativa do tricentenário, cf. p. 1; agradecimento à Associação dos Melhoramentos das Classes Laboriosas pela cedência gratuita das suas salas, para as sessões em que se tratou da celebração do tricentenário do Poeta, p. 2 e p. 4]</t>
  </si>
  <si>
    <t>Relatório e contas do Monte-Pio Fraternidade (1880). 1881. [menção ao cortejo cívico da celebração do tricentenário, cf. p. 1]</t>
  </si>
  <si>
    <t>Os Lusiadas / de Luiz de Camões. - Nova edição segundo a do Morgado de Matteus, com as notas e vida do autor pelo mesmo, corrigida segundo as edições de Hamburgo e de Lisboa, e enrequecida de novas notas e d' uma prefação / pelo Dr. Caetano Lopes de Moura. - Pariz : na Officina Typographica de Firmin Didot, impressor do Rei, e do Instituto Rio de Janeiro Rua da Quintanda, 97, 1847. Sem argumentos. Paratextos vida e Paratextos notas.</t>
  </si>
  <si>
    <r>
      <t>Terceiro Centenário de Camões. Juízo da Imprensa do Rio de Janeiro acerca do relatório da Directoria do Gabinete Português de Leitura em 1880. Rio de Janeiro. 1881.</t>
    </r>
    <r>
      <rPr>
        <sz val="11"/>
        <color rgb="FF0F9ED5"/>
        <rFont val="Aptos Narrow"/>
        <family val="2"/>
        <scheme val="minor"/>
      </rPr>
      <t xml:space="preserve"> </t>
    </r>
    <r>
      <rPr>
        <sz val="11"/>
        <color rgb="FF000000"/>
        <rFont val="Aptos Narrow"/>
        <family val="2"/>
        <scheme val="minor"/>
      </rPr>
      <t>[vários eventos feitos para a celebração e outros a realizar, pp. 3-5]</t>
    </r>
  </si>
  <si>
    <t>Os Lusiadas / poema epico de Luis de Camões. - Nova edição correcta. - Rio de Janeiro : na Livraria de Agostinho de Freitas Guimarães e C. Rua do Sabão nº 26, 1849. Paratextos argumentos, sem paratextos gerais.</t>
  </si>
  <si>
    <t>Rozendo Moniz. Preito a Camões. Rio de Janeiro. 1880. ["Camões entre dois mundos": Poesia recitada no Teatro D. Pedro II, perante Suas Majestades Imperiais, cf. p. 9; poemas publicados em periódicos, texto sobre a Exposição Camoniana pp. ss.]. Celebrações (1880), recepção criativa, tematização e centão.</t>
  </si>
  <si>
    <t>Convite de empresa [não identificada] para Passeio público e festa no primeiro aniversário do tricentenário. Lisboa. 10 de Junho 1881.</t>
  </si>
  <si>
    <t>Uma linda poesia de Camões "Aos amantes" [epígrafe: soneto "Todo animal da calma repousava"]. Coimbra.  1881. Celebrações (1880), recepção criativa, centão.</t>
  </si>
  <si>
    <t xml:space="preserve">Antonio Alcalde Valladares. "A Camoens: (soneto)". Madrid. 1880. [publicado na Corona Poética que Espanha Artística e Literária dedica a Camões e ao tricentenário]. Celebrações (1880), recepção criativa, tematização. </t>
  </si>
  <si>
    <t xml:space="preserve">D. Dias da Costa. "A Luiz de Camões" (poema). Coimbra. 1881. Celebrações (1880), recepção criativa, tematização. </t>
  </si>
  <si>
    <r>
      <t xml:space="preserve">Antonio Roberto Campbell. Soneto ["São quase já três séc'los decorridos!..."]. Lisboa. 1880. </t>
    </r>
    <r>
      <rPr>
        <sz val="11"/>
        <color rgb="FF0F9ED5"/>
        <rFont val="Aptos Narrow"/>
        <family val="2"/>
        <scheme val="minor"/>
      </rPr>
      <t xml:space="preserve"> </t>
    </r>
    <r>
      <rPr>
        <sz val="11"/>
        <color rgb="FF000000"/>
        <rFont val="Aptos Narrow"/>
        <family val="2"/>
        <scheme val="minor"/>
      </rPr>
      <t>Celebrações (1880), recepção criativa, tematização.</t>
    </r>
  </si>
  <si>
    <t>João de Deus, "Camões comparado" [soneto]. Tricentenário de Camões em Coimbra 7 de Maio. Sarau literário-musical: homenagem à Comissão da Imprensa de Lisboa. Coimbra. [1881]. Celebrações (1880), recepção criativa, tematização.</t>
  </si>
  <si>
    <r>
      <t>António de Macedo Papança. Fragmento do poema "Catarina de Ataíde". Tricentenário de Camões em Coimbra 7 de Maio. Sarau literário-musical: homenagem à Comissão da Imprensa de Lisboa. Coimbra.</t>
    </r>
    <r>
      <rPr>
        <sz val="11"/>
        <color rgb="FF0E2841"/>
        <rFont val="Aptos Narrow"/>
        <family val="2"/>
        <scheme val="minor"/>
      </rPr>
      <t xml:space="preserve"> [1881]. </t>
    </r>
    <r>
      <rPr>
        <sz val="11"/>
        <color rgb="FF000000"/>
        <rFont val="Aptos Narrow"/>
        <family val="2"/>
        <scheme val="minor"/>
      </rPr>
      <t>Celebrações (1880), recepção criativa, tematização</t>
    </r>
  </si>
  <si>
    <r>
      <t>Luís Osório. [soneto]. Tricentenário de Camões em Coimbra 7 de Maio. Sarau literário musical: homenagem à Comissão da Imprensa de Lisboa. Coimbra.</t>
    </r>
    <r>
      <rPr>
        <sz val="11"/>
        <color rgb="FFE97132"/>
        <rFont val="Aptos Narrow"/>
        <family val="2"/>
        <scheme val="minor"/>
      </rPr>
      <t xml:space="preserve"> </t>
    </r>
    <r>
      <rPr>
        <sz val="11"/>
        <color rgb="FF000000"/>
        <rFont val="Aptos Narrow"/>
        <family val="2"/>
        <scheme val="minor"/>
      </rPr>
      <t>[1881]. Celebrações (1880), recepção criativa, tematização.</t>
    </r>
  </si>
  <si>
    <t xml:space="preserve">Prospecto espécimen, com dois exemplos autógrafos de Visconde de Juromenha e Teófilo Braga: Grande edição manuscrita dos Lusíadas: bases da publicação e condições de assinatura.Lisboa. ["nesta homenagem nacional ao poeta"]. </t>
  </si>
  <si>
    <r>
      <t>Cf. referência bibliográfica: Sessão solene para comemorar o</t>
    </r>
    <r>
      <rPr>
        <sz val="11"/>
        <color rgb="FF00BAEE"/>
        <rFont val="Aptos Narrow"/>
        <family val="2"/>
        <scheme val="minor"/>
      </rPr>
      <t xml:space="preserve"> </t>
    </r>
    <r>
      <rPr>
        <sz val="11"/>
        <color rgb="FF4EA72E"/>
        <rFont val="Aptos Narrow"/>
        <family val="2"/>
        <scheme val="minor"/>
      </rPr>
      <t xml:space="preserve">1.º aniversário. Confirmado. </t>
    </r>
    <r>
      <rPr>
        <sz val="11"/>
        <color rgb="FF000000"/>
        <rFont val="Aptos Narrow"/>
        <family val="2"/>
        <scheme val="minor"/>
      </rPr>
      <t>Associação Humanitária Camões. Sessão solene para comemorar o 1.º aniversário desta associação no dia 10 de Junho. Admissão para convidado. Lisboa. s.d. </t>
    </r>
  </si>
  <si>
    <t>Inauguração do monumento a Camões. Comissão Académica do Tricentenário em Coimbra. Coimbra. 1881.</t>
  </si>
  <si>
    <r>
      <t xml:space="preserve">Cf. referência bibliográfica: Os Aos habitantes de Coimbra | 1881. 11881. Corrigido. </t>
    </r>
    <r>
      <rPr>
        <sz val="11"/>
        <color rgb="FF000000"/>
        <rFont val="Aptos Narrow"/>
        <family val="2"/>
        <scheme val="minor"/>
      </rPr>
      <t xml:space="preserve">Aos habitantes de Coimbra. Convite [homenagem à patriótica comissão académica responsável pelos festejos]. Paços Municipais. Coimbra. 10 de maio de 1881. </t>
    </r>
  </si>
  <si>
    <t xml:space="preserve">Concerto na noite do dia 6 de Maio de 1881 [Grande Banda e Orfeão Académico] no Pátio da Universidade. Programa. Comissão Académica do Tricentenário de Camões. Coimbra. 1881. </t>
  </si>
  <si>
    <t>Festa pública oferecida pela empresa do Bairro de Camões à cidade de Lisboa [em frente do Convento de Santa Joana] na noite de 11 de Junho de 1880 [bilhete de admissão e programa]. 1880.</t>
  </si>
  <si>
    <t>Lallement Fréres. À Louis de Camões: au poete des gloires portugaises. [poema, seguido de nota]. Centenaire du 10 Juin 1880. Lisboa. 1880. Celebrações (1880), recepção criativa, tematização.</t>
  </si>
  <si>
    <t>Manoel Margarida. Mote à memoria de Camões. "Glosa" [poema]. Rio, 10 de Junho de 1880. Celebrações (1880), recepção criativa, tematização.</t>
  </si>
  <si>
    <r>
      <t xml:space="preserve">Cf. referência bibliográfica: David Corazzi$. Corrigido. </t>
    </r>
    <r>
      <rPr>
        <sz val="11"/>
        <color rgb="FF000000"/>
        <rFont val="Aptos Narrow"/>
        <family val="2"/>
        <scheme val="minor"/>
      </rPr>
      <t>Folheto com as condições de publicação e assinatura de Os Lusiadas. Edição comemorativa do terceiro centenário do grande poeta. [Lisboa]. David Corazzi [1880].</t>
    </r>
  </si>
  <si>
    <r>
      <t>Camoëns : roman / Adolf Stern. - Leipzig : Fr. Wilh. Grunow, 1886.</t>
    </r>
    <r>
      <rPr>
        <sz val="11"/>
        <color rgb="FF0F9ED5"/>
        <rFont val="Aptos Narrow"/>
        <family val="2"/>
        <scheme val="minor"/>
      </rPr>
      <t xml:space="preserve"> Não sei se conterá episódios sobre a vida do Poeta.</t>
    </r>
  </si>
  <si>
    <r>
      <t>O naufragio de Camões : no tricentenario do poeta, / Abilio Maia. - Porto : Typ. Occidental, 1880, com uma citação explícita do Canto X. Celebrações (1880), recepção criativa, tematização.</t>
    </r>
    <r>
      <rPr>
        <sz val="11"/>
        <color rgb="FF0F9ED5"/>
        <rFont val="Aptos Narrow"/>
        <family val="2"/>
        <scheme val="minor"/>
      </rPr>
      <t xml:space="preserve"> </t>
    </r>
    <r>
      <rPr>
        <sz val="11"/>
        <color rgb="FFE97132"/>
        <rFont val="Aptos Narrow"/>
        <family val="2"/>
        <scheme val="minor"/>
      </rPr>
      <t>Obra termina na p. 16, sem indicação de fim: truncada?</t>
    </r>
  </si>
  <si>
    <r>
      <t>Os Lusiadas / poema epico de Luis de Camões. - Nova edição. - Lisboa : na Typographia Rollandiana, 1850.</t>
    </r>
    <r>
      <rPr>
        <sz val="11"/>
        <color rgb="FF0F9ED5"/>
        <rFont val="Aptos Narrow"/>
        <family val="2"/>
        <scheme val="minor"/>
      </rPr>
      <t xml:space="preserve"> </t>
    </r>
    <r>
      <rPr>
        <sz val="11"/>
        <color rgb="FF000000"/>
        <rFont val="Aptos Narrow"/>
        <family val="2"/>
        <scheme val="minor"/>
      </rPr>
      <t>Paratextos argumentos, sem paratextos gerais.</t>
    </r>
  </si>
  <si>
    <t>Sousa Viterbo. A fonte dos amores: florilégio poético. Lisboa.1889. Edição comemorativa do nono aniversário do Tricentenário de Camões. Celebrações (1880), recepção criativa, tematização.</t>
  </si>
  <si>
    <t>Scénes de la nature sous les Tropiques et de leur influence sur la poesie : suivies de Camoens et Jozé Indio / par Ferdinand Denis.... - Paris : Chez Louis Janet, 1824. Estudo contém referências a Camões; poema final a Camões da autoria de Raynouard e notas finais.</t>
  </si>
  <si>
    <t>O episódio de D. Inez de Castro : excerpto do Canto III dos Lusíadas / [Luís de Camões] ; paraphraseado em versos latinos por A. J. Viale. - Lisboa : Lallemant Fréres, 1875. Sem referência a celebrações.</t>
  </si>
  <si>
    <t>Camoens : Dramma Storico in quatro atti in versi / di Domenico Bolognese. - Napoli : Editori Vincenzo e Salvatore de Angelis, 1873. Celebrações (1872), recepção criativa, tematização. Rappresentado la prima voila in Napoli: Teatro dei Florentin dalla</t>
  </si>
  <si>
    <t>drammatica comp'agnia Alberti, la'sera degli IL novembre 1872.</t>
  </si>
  <si>
    <t>Centenario de Camões : catalogo resumido d'uma collecção camoneana exposta na Biblioteca Publica de Ponta Delgada, por occasião d'esta solemnidade nacional. 10 de Junho de 1880. - São Miguel : Typ. Archivo dos Açores, [1880]. Celebrações (1880), catálogos.</t>
  </si>
  <si>
    <t>Nova Castro : tragedia / João Baptista Gomes Junior. - 4ª edição, correcta e augmentada. - Lisboa : Imp. Regia, 1817.</t>
  </si>
  <si>
    <t xml:space="preserve">Beitraege zur textkritik der Lusiadas des Camões / habilitationsschrift von Dr. Carl von Reinhardstoettner. - Munchen : Akademische Buchdruckerei von F. Straub, 1872. </t>
  </si>
  <si>
    <t xml:space="preserve">Luís de Camões. Os Lusíadas, sem argumentos. Ed. popular gratuita da empresa do Diário de Notícias [reprodução crítica da 2.ª ed. de 1572]. Tricentenário da morte do Poeta dedicada aos assinantes e leitores. [Lisboa]. 1880. </t>
  </si>
  <si>
    <t xml:space="preserve">Nicolas Goyri. Estudio crítico-analítico sobre las versiones españolas de Los Lusíadas (canto primero). Lisboa. 1880. [O cotejo é feito com as traduções castelhanas de Henrique Garcez; Benito Caldera; Gomez de Tapia, Henrique Garcéz; Lamberto Gil; Conde de Cheste]. </t>
  </si>
  <si>
    <t>Affronta e desaffronta : considerações e reflexões ao desabafo patriotico do... Dr. Francisco Ferraz de Macedo / por Carvalho Junior. - Lisboa : Editora de Mattos Moreira &amp; Cª, 1881, com notas finais.</t>
  </si>
  <si>
    <t>O sonho de Camões : poema posthumo / Ernesto Pinto d'Almeida. - Porto : Livr. Portuense de Lopes &amp; C.a, Sucessores de Clavel &amp; Companhia, 1885. Não refere Tricentenário. Canto II contém falas entre Jau e Camões. Notas no final.</t>
  </si>
  <si>
    <t>Partida de Camões para o desterro d'Africa : poesia no tricentenario do epico / Alfredo Carvalhaes. - Nova ed. correcta. - Porto : J. E. da Cruz Coutinho, 1880. Celebrações (1880), recepção criativa, tematização.</t>
  </si>
  <si>
    <r>
      <t xml:space="preserve">Homenagem de um brazileiro, ao grande representante da nacionalidade portugueza Luiz de Camões / Dr. J. de Paula Souza. - S. Paulo : Typ. da "Constituinte", 1880. </t>
    </r>
    <r>
      <rPr>
        <sz val="11"/>
        <color rgb="FFE97132"/>
        <rFont val="Aptos Narrow"/>
        <family val="2"/>
        <scheme val="minor"/>
      </rPr>
      <t>Texto aparece truncado na p. 33, estará assim no original?</t>
    </r>
  </si>
  <si>
    <t>Breve analyse do novo poêma, que se intitúla Oriente / por hum amigo do público [António Maria do Couto]. - Lisboa : na Nova Impressão da Viúva Neves e Filhos, 1815. Tom polémico a partir do que parece ser uma recepção criativa do Canto I do Poema de Camões, cf. "E vereis ir cortando o salso argento" e o poema "Gama": "Em tanto as naus cortando o salso argento," que é parodiado num outro poema, intitulado "Oriente". Estudo dedicado a Camões.</t>
  </si>
  <si>
    <t>A Ilha dos Amores : episodio do canto IX dos Lusíadas de Camões bailete mimico em 2 quadros posto em scena pelo Sr. Viotti, para se representar no R. T. de S. Carlos. - Lisboa : Typ. de Borges, 1849. </t>
  </si>
  <si>
    <r>
      <t>Glosas und voltas des Luis de Camoens / tradução alemã por Wilhelm Storck. - Klausenburg : Zeitschrift für vergleichende Litteratur, 1877. </t>
    </r>
    <r>
      <rPr>
        <sz val="11"/>
        <color rgb="FF0F9ED5"/>
        <rFont val="Aptos Narrow"/>
        <family val="2"/>
        <scheme val="minor"/>
      </rPr>
      <t>Artigo no jornal de literatura comparada?</t>
    </r>
  </si>
  <si>
    <t>Museu Camoneano coordenado por José Carneiro de Mello e Lindorphoo Bettencourt... com o fim de comemorar o tricentenário do autor dos Lusiadas. - Porto : Typographia Nacional, 1880. Colectânea de textos e produções em homenagem ao Poeta feitas por autores antigos e modernos. [primeiro texto contém notas sobre a vida do Poeta, poesias]. Celebrações (1880), recepção criativa, tematização, centão.</t>
  </si>
  <si>
    <r>
      <t xml:space="preserve">Os lamentos de Camões / por A. C. Borges de Figueiredo. - Lisboa : Typ. Nova Minerva, 1882. </t>
    </r>
    <r>
      <rPr>
        <sz val="11"/>
        <color rgb="FFE97132"/>
        <rFont val="Aptos Narrow"/>
        <family val="2"/>
        <scheme val="minor"/>
      </rPr>
      <t xml:space="preserve">Poema termina na p. 27 sem indicação de fim. Truncado? </t>
    </r>
    <r>
      <rPr>
        <sz val="11"/>
        <color rgb="FF000000"/>
        <rFont val="Aptos Narrow"/>
        <family val="2"/>
        <scheme val="minor"/>
      </rPr>
      <t>Não refere Tricentenário.</t>
    </r>
  </si>
  <si>
    <r>
      <t xml:space="preserve">Camoneana / Joaquim de Lemos. - Porto : Imprensa Moderna, 1885. Com citações de </t>
    </r>
    <r>
      <rPr>
        <i/>
        <sz val="11"/>
        <color rgb="FF000000"/>
        <rFont val="Aptos Narrow"/>
        <family val="2"/>
        <scheme val="minor"/>
      </rPr>
      <t>Os Lusíadas</t>
    </r>
    <r>
      <rPr>
        <sz val="11"/>
        <color rgb="FF000000"/>
        <rFont val="Aptos Narrow"/>
        <family val="2"/>
        <scheme val="minor"/>
      </rPr>
      <t>, por exemplo, de dois versos da estrofe 58 do Canto I do Poema, cf. Imagem 20: "Os furiosos ventos repousavam /Pelas covas escuras peregrinas"; Não refere Tricentenário.</t>
    </r>
  </si>
  <si>
    <r>
      <t>Partida de Camões para o desterro d'Africa / Alfredo Carvalhaes. - [Porto] : Typ. Ocidental, 1880. Erro gráfico na paginação: cf. Im. 38.</t>
    </r>
    <r>
      <rPr>
        <sz val="11"/>
        <color rgb="FF0F9ED5"/>
        <rFont val="Aptos Narrow"/>
        <family val="2"/>
        <scheme val="minor"/>
      </rPr>
      <t xml:space="preserve"> </t>
    </r>
    <r>
      <rPr>
        <sz val="11"/>
        <color rgb="FF000000"/>
        <rFont val="Aptos Narrow"/>
        <family val="2"/>
        <scheme val="minor"/>
      </rPr>
      <t>Celebrações (1880), recepção criativa, tematização.</t>
    </r>
  </si>
  <si>
    <t>Le Camoëns : drame historique en un acte et en vers / par Victor Perdoux. - Paris : Hachette et Cie, Libraires-Éditeurs, 1872. Celebrações (1872), recepção criativa, tematização.</t>
  </si>
  <si>
    <r>
      <t>Os Lusiadas / poema epico de Luis de Camões. - Nova edição. - Lisboa : na Typographia Rollandiana, 1854.</t>
    </r>
    <r>
      <rPr>
        <sz val="11"/>
        <color rgb="FF0F9ED5"/>
        <rFont val="Aptos Narrow"/>
        <family val="2"/>
        <scheme val="minor"/>
      </rPr>
      <t xml:space="preserve"> </t>
    </r>
    <r>
      <rPr>
        <sz val="11"/>
        <color rgb="FF000000"/>
        <rFont val="Aptos Narrow"/>
        <family val="2"/>
        <scheme val="minor"/>
      </rPr>
      <t>Paratextos argumentos, sem paratextos gerais.</t>
    </r>
  </si>
  <si>
    <t>Paródia ao primeiro canto dos Lusíadas de Camões / por quatro estudantes de Évora em 1589. - Lisboa : Typ. de G. M. Martins, 1880. Celebrações (1880), recepção criativa, paródia.</t>
  </si>
  <si>
    <t>Camöens : drama lirico in 4 atti / di Enrico Golisciani ; musica del maestro Pietro Musone. - Napoli : Tip. del Commend. G. Nobile, 1872. Da rappresentarsi nella stagione estiva del 1872 nel B. Teatro Mercadante. Celebrações (1872), recepção criativa, tematização, vida e actos públicos.</t>
  </si>
  <si>
    <t>Camoens im exil : dramatisches gedicht in einem akt / von Uffo Horn. - Wien : Verlag und Drud von Anton Mausberger, 1839. </t>
  </si>
  <si>
    <r>
      <t xml:space="preserve">Carta ao Sr. António Maria do Couto, na qual se dá breve, séria e terminante resposta ao Manifesto , em que pretende mostrar os erros do Poema Oriente e defender os dos Lusíadas / Joaquim José Pedro Lopes. - Lisboa : Impressão Régia, : vende-se na loja de João Henriques, 1815. </t>
    </r>
    <r>
      <rPr>
        <sz val="11"/>
        <color rgb="FFE97132"/>
        <rFont val="Aptos Narrow"/>
        <family val="2"/>
        <scheme val="minor"/>
      </rPr>
      <t>Texto termina na p. 29 (Im. 33) e surge truncado: estará assim no original?</t>
    </r>
  </si>
  <si>
    <r>
      <t xml:space="preserve">Poems from the portuguese of Luis de Camoens : with remarks on his life and writings, notes, etc. / by Lord Viscount Strangford. - 5th ed. - London : J. Carpenter : C. Whittingham, 1808. [canções, madrigais, cantigas, estanças, sonetos, 3.ª parte da elegia + fragmento Canto VI de </t>
    </r>
    <r>
      <rPr>
        <i/>
        <sz val="11"/>
        <color rgb="FF000000"/>
        <rFont val="Aptos Narrow"/>
        <family val="2"/>
        <scheme val="minor"/>
      </rPr>
      <t>Os Lusíadas</t>
    </r>
    <r>
      <rPr>
        <sz val="11"/>
        <color rgb="FF000000"/>
        <rFont val="Aptos Narrow"/>
        <family val="2"/>
        <scheme val="minor"/>
      </rPr>
      <t>]</t>
    </r>
  </si>
  <si>
    <t>Camões e o povo português : estudo histórico crítico / por Mathias José de Oliveira dos Sanctos Firmo.... - Lisboa : Typ. Silvana, 1880.</t>
  </si>
  <si>
    <t>Catálogo dos duplicados de uma numerosa e variadissima colecção camoniana. Porto. s.d. [1893]</t>
  </si>
  <si>
    <r>
      <t xml:space="preserve">Catálogo de livros antigos e modernos Lisboa. 1890. </t>
    </r>
    <r>
      <rPr>
        <sz val="11"/>
        <color rgb="FF0F9ED5"/>
        <rFont val="Aptos Narrow"/>
        <family val="2"/>
        <scheme val="minor"/>
      </rPr>
      <t>[Referência a Camões e tricentenário, pp. 9-21]</t>
    </r>
  </si>
  <si>
    <r>
      <t xml:space="preserve">Catálogo dos livros que pertenceram ao falecido ilustre Visconde de Juromenha. [Leilão] Lisboa. 1887. [Camoniana, pp. 44-52; Miscelânea: paródia do canto I de </t>
    </r>
    <r>
      <rPr>
        <i/>
        <sz val="11"/>
        <color rgb="FF000000"/>
        <rFont val="Aptos Narrow"/>
        <family val="2"/>
        <scheme val="minor"/>
      </rPr>
      <t>Os</t>
    </r>
    <r>
      <rPr>
        <sz val="11"/>
        <color rgb="FF000000"/>
        <rFont val="Aptos Narrow"/>
        <family val="2"/>
        <scheme val="minor"/>
      </rPr>
      <t xml:space="preserve"> </t>
    </r>
    <r>
      <rPr>
        <i/>
        <sz val="11"/>
        <color rgb="FF000000"/>
        <rFont val="Aptos Narrow"/>
        <family val="2"/>
        <scheme val="minor"/>
      </rPr>
      <t xml:space="preserve">Lusíadas </t>
    </r>
    <r>
      <rPr>
        <sz val="11"/>
        <color rgb="FF000000"/>
        <rFont val="Aptos Narrow"/>
        <family val="2"/>
        <scheme val="minor"/>
      </rPr>
      <t>pelos estudantes de Évora, cf. p. 56]</t>
    </r>
  </si>
  <si>
    <t xml:space="preserve">Catálogo da livraria do falecido Dr. António Maria Barbosa. [Leilão] Lisboa. 1893. [Camoniana: 2.ª Parte: Miscelânea, Literatura, et al.: pp. 7-28; Severim de Faria, vida de Luís de Camões, p. 54, n.º 538; Colecção de 5 folhetos camonianos, n.º 593, p. 60] </t>
  </si>
  <si>
    <r>
      <t xml:space="preserve">Catalogo das livrarias dos falecidos Srs. Conselheiros José da Silva Mendes Leal e Jorge Cesar de Figaniére. Lisboa. 1889. [Camões vária, pp. 18-26, n.º 237-355; glosas de sonetos de Camões </t>
    </r>
    <r>
      <rPr>
        <i/>
        <sz val="11"/>
        <color rgb="FF000000"/>
        <rFont val="Aptos Narrow"/>
        <family val="2"/>
        <scheme val="minor"/>
      </rPr>
      <t>et al</t>
    </r>
    <r>
      <rPr>
        <sz val="11"/>
        <color rgb="FF000000"/>
        <rFont val="Aptos Narrow"/>
        <family val="2"/>
        <scheme val="minor"/>
      </rPr>
      <t xml:space="preserve">., p. 36, n.º 475; de e sobre Inês de Castro, p. 69, n.º 875-893]. </t>
    </r>
  </si>
  <si>
    <t>Camões defendido : e o editor da edição de 1779 : e o censor deste julgado sem paixão em huma carta dada à luz / por Patrício Alethophilo Misalazão [José Valério da Cruz]. - Lisboa : na Regia Officina Typographica, 1784</t>
  </si>
  <si>
    <r>
      <t xml:space="preserve">Os últimos momentos de Camões : poema dramático / originalmente escrito em versos italianos por Leone Fortis ; vertido em versos portuguezes por Jose da Silva Mendes Leal Junior. - Lisboa : Typographia Universal, 1860. Celebrações (1860), recepção criativa, tematização, </t>
    </r>
    <r>
      <rPr>
        <sz val="11"/>
        <color rgb="FF0F9ED5"/>
        <rFont val="Aptos Narrow"/>
        <family val="2"/>
        <scheme val="minor"/>
      </rPr>
      <t xml:space="preserve">Celebrações (1860), textos ficcionais e vida? </t>
    </r>
    <r>
      <rPr>
        <sz val="11"/>
        <color rgb="FF000000"/>
        <rFont val="Aptos Narrow"/>
        <family val="2"/>
        <scheme val="minor"/>
      </rPr>
      <t>Referência a Madame Ristori, cf. Im. 11, que apresentou este poema dramático ao tradutor português.</t>
    </r>
  </si>
  <si>
    <t>Camoens : cuadro dramático, original, en un acto y en verso / de los señores Don Manuel Ossorio y Bernard y Don Lucio Viñas y Deza. - Madrid : Imprenta de S. Landáburu, 1871. Representado por prirnera vez con extraordinário aplauso en el Teatro SALON ESLAVA, ei dia 4 de Noviembre de 1871.</t>
  </si>
  <si>
    <r>
      <t>A Voz do Povo : canto dedicado ao grande epico o immortal principe dos poetas Luiz de Camões / por um seu compatriota residente no Rio de Janeiro. - Rio de Janeiro : Typ. do Tagarella, 1880.</t>
    </r>
    <r>
      <rPr>
        <sz val="11"/>
        <color rgb="FFE97132"/>
        <rFont val="Aptos Narrow"/>
        <family val="2"/>
        <scheme val="minor"/>
      </rPr>
      <t xml:space="preserve"> Início do poema na p. 6, mas parece truncado, estará assim no original? </t>
    </r>
    <r>
      <rPr>
        <sz val="11"/>
        <color rgb="FF000000"/>
        <rFont val="Aptos Narrow"/>
        <family val="2"/>
        <scheme val="minor"/>
      </rPr>
      <t>Celebrações (1880), recepção criativa, tematização.</t>
    </r>
  </si>
  <si>
    <r>
      <t xml:space="preserve">Luís de Camões. </t>
    </r>
    <r>
      <rPr>
        <i/>
        <sz val="11"/>
        <color rgb="FF000000"/>
        <rFont val="Aptos Narrow"/>
        <family val="2"/>
        <scheme val="minor"/>
      </rPr>
      <t>Os Lusíadas</t>
    </r>
    <r>
      <rPr>
        <sz val="11"/>
        <color rgb="FF000000"/>
        <rFont val="Aptos Narrow"/>
        <family val="2"/>
        <scheme val="minor"/>
      </rPr>
      <t>. Edição Agra &amp; Irmão. Rio de Janeiro. 1855. Paratextos argumentos, sem paratextos gerais.</t>
    </r>
  </si>
  <si>
    <t>Camoniana da Biblioteca Nacional de Lisboa. Lisboa. 1880 [pp. 53-56].</t>
  </si>
  <si>
    <t>Poesia dedicada à inauguração do monumento do insigne poeta Luiz de Camões : e ao Tratado do commercio da França com Portugal : e ao campo de instrucção e manobras / por Antonio Marcolino Pimentel. - Porto : Typ. União, 1867. Celebrações (1860), recepção criativa, tematização.</t>
  </si>
  <si>
    <t>Ignez de Castro : trauerspiel in funf aufzugen / von João Baptista Gomes ; uberfest von Dr. Alexander Wittich. - Leipzig : F. U. Brodhaus, 1841, com paratextos e críticas da recepção da tragédia em periódicos.</t>
  </si>
  <si>
    <t>Il Maestro del Signorino : commedia in un atto / di Francesco Coletti + Le ultime ore di Camoens de Leonis Fortis, cena dramática em verso. Milano : Libreria Editrice, 1882. Scritta e rappresentata in Padova per la beneficiata dell’attore Luigi Capodaglio, nel luglio 1854.  Não refere Tricentenário.</t>
  </si>
  <si>
    <r>
      <t>Os Lusiadas / poema epico de Luis de Camões. - Nova edição. - Lisboa : na Typographia Rollandiana, 1857.</t>
    </r>
    <r>
      <rPr>
        <sz val="11"/>
        <color rgb="FF0F9ED5"/>
        <rFont val="Aptos Narrow"/>
        <family val="2"/>
        <scheme val="minor"/>
      </rPr>
      <t xml:space="preserve"> </t>
    </r>
    <r>
      <rPr>
        <sz val="11"/>
        <color rgb="FF000000"/>
        <rFont val="Aptos Narrow"/>
        <family val="2"/>
        <scheme val="minor"/>
      </rPr>
      <t>Paratextos argumentos, sem paratextos gerais.</t>
    </r>
  </si>
  <si>
    <r>
      <t>Substituir Manoel de Faria Severim por Manoel Severim de Faria</t>
    </r>
    <r>
      <rPr>
        <sz val="11"/>
        <color rgb="FF0F9ED5"/>
        <rFont val="Aptos Narrow"/>
        <family val="2"/>
        <scheme val="minor"/>
      </rPr>
      <t xml:space="preserve"> </t>
    </r>
    <r>
      <rPr>
        <sz val="11"/>
        <color rgb="FF000000"/>
        <rFont val="Aptos Narrow"/>
        <family val="2"/>
        <scheme val="minor"/>
      </rPr>
      <t>[sonetos,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t>
    </r>
    <r>
      <rPr>
        <sz val="11"/>
        <color rgb="FF0F9ED5"/>
        <rFont val="Aptos Narrow"/>
        <family val="2"/>
        <scheme val="minor"/>
      </rPr>
      <t xml:space="preserve"> mote com comentários?</t>
    </r>
    <r>
      <rPr>
        <sz val="11"/>
        <color rgb="FF000000"/>
        <rFont val="Aptos Narrow"/>
        <family val="2"/>
        <scheme val="minor"/>
      </rPr>
      <t>, glosas, trovas com comentários, voltas, cantiga, endechas, vilancete, a.b.c. motes, coplas, estâncias. Uma carta apenas e duas peças de Teatro, sem comentários: Seleuco e Anfitriões.</t>
    </r>
    <r>
      <rPr>
        <sz val="11"/>
        <color rgb="FF0F9ED5"/>
        <rFont val="Aptos Narrow"/>
        <family val="2"/>
        <scheme val="minor"/>
      </rPr>
      <t xml:space="preserve"> </t>
    </r>
    <r>
      <rPr>
        <sz val="11"/>
        <color rgb="FF4EA72E"/>
        <rFont val="Aptos Narrow"/>
        <family val="2"/>
        <scheme val="minor"/>
      </rPr>
      <t xml:space="preserve">Incluir no registo bibliográfico o nome de Manoel Severim de Faria (1583-1655): o nome tem de surgir no registo </t>
    </r>
    <r>
      <rPr>
        <i/>
        <sz val="11"/>
        <color rgb="FF4EA72E"/>
        <rFont val="Aptos Narrow"/>
        <family val="2"/>
        <scheme val="minor"/>
      </rPr>
      <t>ipsis verbis</t>
    </r>
    <r>
      <rPr>
        <sz val="11"/>
        <color rgb="FF4EA72E"/>
        <rFont val="Aptos Narrow"/>
        <family val="2"/>
        <scheme val="minor"/>
      </rPr>
      <t xml:space="preserve">; </t>
    </r>
    <r>
      <rPr>
        <sz val="11"/>
        <color rgb="FF0F9ED5"/>
        <rFont val="Aptos Narrow"/>
        <family val="2"/>
        <scheme val="minor"/>
      </rPr>
      <t xml:space="preserve"> </t>
    </r>
    <r>
      <rPr>
        <sz val="11"/>
        <color rgb="FF000000"/>
        <rFont val="Aptos Narrow"/>
        <family val="2"/>
        <scheme val="minor"/>
      </rPr>
      <t>Paratextos vida, Paratextos argumentos [Épica]; Lírica Outros: Canto da criação e composição do Homem, sem comentários.</t>
    </r>
  </si>
  <si>
    <t>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t>
  </si>
  <si>
    <t>Os Lusiadas / de Luis de Camões. - Nova edição segundo a do Morgado Matteus com as notas e vida do autor pelo mesmo corrigida segundo as edições de Hamburgo e de Lisboa e enrequecida de novas notas e d'uma prefação / pelo Dr. Caetano Lopes de Moura. - Pariz : na Officina Typographica de Firmin Didot impressor do Instituto Rio de Janeiro Rua da Quitanda, 97, 1859. Contém nota manuscrita do sobrinho de José Feliciano Castilho, dando conta de que as anotações são da autoria do seu tio, com pelo menos uma nota escrita em espanhol. Sem argumentos [Épica]. Paratextos vida e paratextos notas.</t>
  </si>
  <si>
    <t>Sem argumentos. Bibliografia crítica considerada separadamente [via PDF Miguel]</t>
  </si>
  <si>
    <r>
      <t>Os Lusiadas / poema epico de Luis de Camões. - Nova edição. - Lisboa : na Typographia Rollandiana, 1860.</t>
    </r>
    <r>
      <rPr>
        <sz val="11"/>
        <color rgb="FF0F9ED5"/>
        <rFont val="Aptos Narrow"/>
        <family val="2"/>
        <scheme val="minor"/>
      </rPr>
      <t xml:space="preserve"> </t>
    </r>
    <r>
      <rPr>
        <sz val="11"/>
        <color rgb="FF000000"/>
        <rFont val="Aptos Narrow"/>
        <family val="2"/>
        <scheme val="minor"/>
      </rPr>
      <t>Paratextos argumentos, sem paratextos gerais, e Celebrações (1860), edições.</t>
    </r>
  </si>
  <si>
    <t>Os Lusiadas / poema epico de Luiz de Camões. - Nova edição. - Lisboa : Typ. de L. C. da Cunha, 1860. Paratextos argumentos, sem paratextos gerais, e Celebrações (1860), edições.</t>
  </si>
  <si>
    <r>
      <t xml:space="preserve">António de Macedo Papança (Conde de Monsaraz). Catarina de Ataíde: poema em três cantos. Lisboa. 1894. Poema termina com soneto </t>
    </r>
    <r>
      <rPr>
        <i/>
        <sz val="11"/>
        <color rgb="FF000000"/>
        <rFont val="Aptos Narrow"/>
        <family val="2"/>
        <scheme val="minor"/>
      </rPr>
      <t>Alma minha gentil</t>
    </r>
    <r>
      <rPr>
        <sz val="11"/>
        <color rgb="FF000000"/>
        <rFont val="Aptos Narrow"/>
        <family val="2"/>
        <scheme val="minor"/>
      </rPr>
      <t>.</t>
    </r>
  </si>
  <si>
    <t>Os Lusiadas / poema epico de Luis de Camões. - Nova edição. - Lisboa : na Typographia Rollandiana, 1863. Paratextos argumentos, sem paratextos gerais e sem referência às Celebrações.</t>
  </si>
  <si>
    <t>Segunda comemoração da apoteose de João de Deus em 8 de Março de 1895 / Joaquim de Araújo. - Padova : Tip. all'Universita, Fratelli Galina, 1897. Inclui poema em italiano intitulado "Camões (centenário, 1880)", cf. Im. 9. Celebrações (1880), recepção criativa, tematização.</t>
  </si>
  <si>
    <t>Os Lusiadas / poema epico de Luis de Camões. - Nova edição. - Lisboa : na Typographia Rollandiana, 1865. Paratextos argumentos, sem paratextos gerais.</t>
  </si>
  <si>
    <t xml:space="preserve">Uma carta de William Julius Mickle: oferta da sua tradução dos Lusíadas ao Marquez de Pombal. Publ. e pref. por Sousa Viterbo. Porto. 1893. </t>
  </si>
  <si>
    <r>
      <t xml:space="preserve">António Moreira Cabral. A viagem de Luis de Camões: poema comemorativo do aniversário 312 do seu passamento. Porto. 1893. [contém epígrafe de </t>
    </r>
    <r>
      <rPr>
        <i/>
        <sz val="11"/>
        <color rgb="FF000000"/>
        <rFont val="Aptos Narrow"/>
        <family val="2"/>
        <scheme val="minor"/>
      </rPr>
      <t>Os Lusíadas</t>
    </r>
    <r>
      <rPr>
        <sz val="11"/>
        <color rgb="FF000000"/>
        <rFont val="Aptos Narrow"/>
        <family val="2"/>
        <scheme val="minor"/>
      </rPr>
      <t>, C. VI, o poemeto foi composto para ser recitado pelo autor na Sociedade Nacional Camoniana em 1892]</t>
    </r>
  </si>
  <si>
    <t>Excerptos das obras de Luiz de Camões publicados por subscrição promovida entre a Classe Academica de Lisboa. - Lisboa : typ. de Mattos Moreira &amp; Cª., 1880. O producto da venda d’este livro destina-se a constituir um Prêmio Camões, para o alumno da Academia de Bellas Artes que produza a melhor obra d’arte concernente ao poeta ou á sua obra. [Excertos dos Cantos I, II, III, IV, episódios do velho do Restelo, Adamastor, Os doze, fala de Vasco da Gama + Sonetos, canções, odes, elegias, redondilhas, paráfrase do salmo, cartas-poemas, voltas, mote, cantiga, piscatória, endechas e síntese dos trabalhos da comissão dos estudantes para a realização do centenário]. Antologia épica, Paratextos gerais e Antologia lírica, paratextos gerais.</t>
  </si>
  <si>
    <t>O naufragio de Camões (1580-1880) / Abilio Maia. - 4ª ed. - Porto : Typ. Central, 1883. Paratexto datado de 1880 e poema de 10 de Junho de 1880. Celebrações (1880), recepção criativa, tematização.</t>
  </si>
  <si>
    <t>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t>
  </si>
  <si>
    <t>Sousa Viterbo. Camões em Hespanha [opúsculo]. Porto. [1890].</t>
  </si>
  <si>
    <t>Sousa Viterbo. António Figueira Durão (Um preito a Camões). Porto. 1891.</t>
  </si>
  <si>
    <t>Luís Augusto Palmeirim e Mendes Leal. Camões e Vasco da Gama: poesias. Lisboa. Ano 371 do nascimento de Camões. Celebrações (1880), recepção criativa, tematização</t>
  </si>
  <si>
    <t>Joaquim de Araújo (Dir.). Círculo camoniano: revista internacional. V. 1 e 2. Porto. 1889 e 1892. Figuras Femininas [Carolina Michaëlis e Mademoiselle M. M.;  Mademoiselle de Vannoz, tradutora para francês do frag. de Inês de Castro, MM. Tastu]; artigo sobre o Centenário e as exposições.</t>
  </si>
  <si>
    <r>
      <t xml:space="preserve">Os Lusiadas / epopea de Luiz de Camões. - Edição popular, conforme a 2ª de 1572, com um prospecto chronologico da vida do poeta, e um retrato. - Porto : Imprensa Portugueza, 1869. Erro na Impressão no cabeçalho referente ao Canto II: onde está Canto I deve ler-se Canto II, cf. pp. 49-63; estrofes omitidas , cf. Im. 67, 167, 210, 299 </t>
    </r>
    <r>
      <rPr>
        <sz val="11"/>
        <color rgb="FFE97132"/>
        <rFont val="Aptos Narrow"/>
        <family val="2"/>
        <scheme val="minor"/>
      </rPr>
      <t>[não aparece o prospecto, que talvez contivesse o retrato]</t>
    </r>
    <r>
      <rPr>
        <sz val="11"/>
        <color rgb="FF000000"/>
        <rFont val="Aptos Narrow"/>
        <family val="2"/>
        <scheme val="minor"/>
      </rPr>
      <t>.</t>
    </r>
    <r>
      <rPr>
        <sz val="11"/>
        <color rgb="FF0F9ED5"/>
        <rFont val="Aptos Narrow"/>
        <family val="2"/>
        <scheme val="minor"/>
      </rPr>
      <t xml:space="preserve"> </t>
    </r>
    <r>
      <rPr>
        <sz val="11"/>
        <color rgb="FF000000"/>
        <rFont val="Aptos Narrow"/>
        <family val="2"/>
        <scheme val="minor"/>
      </rPr>
      <t>Paratextos vida e Paratextos argumentos.</t>
    </r>
  </si>
  <si>
    <t>Catalogue trimestriel de livres rares de toutes langues sur Camoens, ses oeuvres, ses nombreux commentateurs. Paris. 1891. [pp. 16-20, n.os 125-160; p. 40, n.os 295-296; p. 44, n.º 330 p. 46, n.º 346; p. 48, n.º 367, p. 51, n.º 392; p. 57, 439-440; pp. 64-65 e 71-73, 78 destaque para Inês de Castro; p. 83, n.os 607-608 e 614, Escola Camoniana e Camões; pp. 85-87, n.os 627-642; p. 91, n.º 671; p. 94, n.º 698; p. 99, n.º 734; p. 100, n.º 744; p. 101,  n.os 754-755; p. 102, n.º 763; p. 104, n.º 775; pp. 105-106 n.os 788-789 e n.º 792-795; p. 107, n.os 796-800; pp. 109-110, n.os 811-813, 815, 817, 820; p. 111, n.º 824; p. 113, n.º 840; p. 127, n.os 958-959; p. 138, n.º 1051; pp. 149-150, n.os1145-1146 e 1153; p. 155, n.o 1169; p. 156, n.os 1177-1178; p. 157, n.º 1188 e 1189]</t>
  </si>
  <si>
    <t>Ernesto Pires. Camoniana [quatro sonetos]. Homenagem a Camões no dia do aniversário 304 da morte do Poeta. Porto. Celebrações (1880), recepção criativa, centão.</t>
  </si>
  <si>
    <t xml:space="preserve">António de Portugal Faria. Portugal e Itália: ensaio de dicionários bibliográficos. Roma. 1898.  [lista de obras, algumas sobre Camões. ex.: p. X, n.º 32; p. 106, n.os 512-515; imag. de um autógrafo do soneto de Tasso "Vasco da Gama"] </t>
  </si>
  <si>
    <t>Jornal Luís de Camões e Club 1.º de Dezembro de 1640. - A. 1, n. º 1 (Dez. 1883) a. 1, n.º 5 (1 Abr. 1884). Angra do Heroísmo. 1883-1884. [nenhum artigo versa sobre Camões; artigo de Guerra Junqueiro]</t>
  </si>
  <si>
    <t>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t>
  </si>
  <si>
    <r>
      <t xml:space="preserve">Catálogo da Camoniana da Biblioteca Pública Municipal do Porto. 1880. </t>
    </r>
    <r>
      <rPr>
        <sz val="11"/>
        <color rgb="FF0F9ED5"/>
        <rFont val="Aptos Narrow"/>
        <family val="2"/>
        <scheme val="minor"/>
      </rPr>
      <t>[com nota explicativa e descritiva para cada obra]</t>
    </r>
  </si>
  <si>
    <r>
      <t>Suplemento ao</t>
    </r>
    <r>
      <rPr>
        <sz val="11"/>
        <color rgb="FF000000"/>
        <rFont val="Aptos Narrow"/>
        <family val="2"/>
        <scheme val="minor"/>
      </rPr>
      <t xml:space="preserve"> catálogo da Camoniana da Biblioteca Pública Municipal do Porto. [Fascículo 2]. </t>
    </r>
    <r>
      <rPr>
        <sz val="11"/>
        <color rgb="FF0F9ED5"/>
        <rFont val="Aptos Narrow"/>
        <family val="2"/>
        <scheme val="minor"/>
      </rPr>
      <t>1883.</t>
    </r>
    <r>
      <rPr>
        <sz val="11"/>
        <color rgb="FF000000"/>
        <rFont val="Aptos Narrow"/>
        <family val="2"/>
        <scheme val="minor"/>
      </rPr>
      <t xml:space="preserve"> [na referência da BN surge 1891] </t>
    </r>
    <r>
      <rPr>
        <sz val="11"/>
        <color rgb="FF4EA72E"/>
        <rFont val="Aptos Narrow"/>
        <family val="2"/>
        <scheme val="minor"/>
      </rPr>
      <t>NOTA de Dr. Pedro Mesquita:  Esta obra é suplemento do referido catálogo, sobre o qual há a dizer: Para o Catalogo da Camoneana da Bibliotheca Publica Municipal do Porto, há 2 bibliográficos: o NCB 197691, com o purl https://purl.pt/44210, e o NCB 66868, com o purl https://purl.pt/44468 - 2 registos com 2 digitalizações para a mesma obra; solicita-se que seja escolhida a melhor das duas digitalizações para que fique agregada ao NCB 66868 (o melhor), para que eu depois possa fundir os registos neste único.</t>
    </r>
  </si>
  <si>
    <r>
      <t xml:space="preserve">1891, com indicação de 1892. [na referência da BN surge 1883]. Corrigido. </t>
    </r>
    <r>
      <rPr>
        <sz val="11"/>
        <color rgb="FF000000"/>
        <rFont val="Aptos Narrow"/>
        <family val="2"/>
        <scheme val="minor"/>
      </rPr>
      <t>Suplemento 2.º ao catálogo da Camoniana da Biblioteca Pública Municipal do Porto. Fascículo 3. 1891.</t>
    </r>
  </si>
  <si>
    <r>
      <t xml:space="preserve">[anónimo]. Vida de Luís de Camões. 3 cadernos [manuscritos incompletos]. [sem datação] [manuscrito: o 1.º caderno tem um tom mais histórico; o 2.º caderno tem um tom mais ficcional: refere "escândalo estético" e </t>
    </r>
    <r>
      <rPr>
        <i/>
        <sz val="11"/>
        <color rgb="FF000000"/>
        <rFont val="Aptos Narrow"/>
        <family val="2"/>
        <scheme val="minor"/>
      </rPr>
      <t>Os Lusíadas</t>
    </r>
    <r>
      <rPr>
        <sz val="11"/>
        <color rgb="FF000000"/>
        <rFont val="Aptos Narrow"/>
        <family val="2"/>
        <scheme val="minor"/>
      </rPr>
      <t>; 3.º caderno refere o editor Manuel de Faria  e mantém o tom ficcional do precedente, referindo a obra lírica e épica do Poeta]</t>
    </r>
  </si>
  <si>
    <t>Catálogo da Camoniana da biblioteca Pública Municipal do Porto [contém os 3 fasc., acréscimos e aditamento]. 2ª ed. Porto. 1897.</t>
  </si>
  <si>
    <r>
      <t xml:space="preserve">Centenário da Índia. Torquato Tasso </t>
    </r>
    <r>
      <rPr>
        <sz val="11"/>
        <color rgb="FF0F9ED5"/>
        <rFont val="Aptos Narrow"/>
        <family val="2"/>
        <scheme val="minor"/>
      </rPr>
      <t>a</t>
    </r>
    <r>
      <rPr>
        <sz val="11"/>
        <color rgb="FF156082"/>
        <rFont val="Aptos Narrow"/>
        <family val="2"/>
        <scheme val="minor"/>
      </rPr>
      <t xml:space="preserve"> </t>
    </r>
    <r>
      <rPr>
        <sz val="11"/>
        <color rgb="FF4EA72E"/>
        <rFont val="Aptos Narrow"/>
        <family val="2"/>
        <scheme val="minor"/>
      </rPr>
      <t>[e]</t>
    </r>
    <r>
      <rPr>
        <sz val="11"/>
        <color rgb="FF000000"/>
        <rFont val="Aptos Narrow"/>
        <family val="2"/>
        <scheme val="minor"/>
      </rPr>
      <t xml:space="preserve"> Luís de Camões.</t>
    </r>
    <r>
      <rPr>
        <sz val="11"/>
        <color rgb="FF4EA72E"/>
        <rFont val="Aptos Narrow"/>
        <family val="2"/>
        <scheme val="minor"/>
      </rPr>
      <t xml:space="preserve"> edição de António de Portugal de Faria.</t>
    </r>
    <r>
      <rPr>
        <sz val="11"/>
        <color rgb="FF000000"/>
        <rFont val="Aptos Narrow"/>
        <family val="2"/>
        <scheme val="minor"/>
      </rPr>
      <t xml:space="preserve"> Soneto: Vasco da Gama. Leorne. 1898.</t>
    </r>
    <r>
      <rPr>
        <sz val="11"/>
        <color rgb="FF4EA72E"/>
        <rFont val="Aptos Narrow"/>
        <family val="2"/>
        <scheme val="minor"/>
      </rPr>
      <t xml:space="preserve"> </t>
    </r>
    <r>
      <rPr>
        <sz val="11"/>
        <color rgb="FF000000"/>
        <rFont val="Aptos Narrow"/>
        <family val="2"/>
        <scheme val="minor"/>
      </rPr>
      <t>[inclui retrato de Tasso, cf. Im. 6 e autógrafo do soneto "A Vasco di Gama" de Tasso, com transcrição, cf. Im. 13, 17]</t>
    </r>
  </si>
  <si>
    <r>
      <t xml:space="preserve">Os Lusiadas / poema epico de Luiz de Camões. - Nova edição popular conforme á segunda de 1572 augmentada com a vida do poeta e com um glossario dos nomes proprios. - Lisboa : Rolland &amp; Semiond, 1875. Paratextos vida e Paratextos argumentos. </t>
    </r>
    <r>
      <rPr>
        <sz val="11"/>
        <color rgb="FFE97132"/>
        <rFont val="Aptos Narrow"/>
        <family val="2"/>
        <scheme val="minor"/>
      </rPr>
      <t xml:space="preserve">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t>
    </r>
    <r>
      <rPr>
        <sz val="11"/>
        <color rgb="FF4EA72E"/>
        <rFont val="Aptos Narrow"/>
        <family val="2"/>
        <scheme val="minor"/>
      </rPr>
      <t>Pelo que me parece, falta digitalizar essas duas páginas.</t>
    </r>
  </si>
  <si>
    <r>
      <t xml:space="preserve">Inês de Castro : épisode des Lusiades / traduction en vers hébreux revue par Mr. le grand-rabbin L. Wogue présentée à la 10 iéme session du Congrés International des Orientalistes par Joseph M. Benoliel. - Lisbonne : Société de Géographie, 1892. </t>
    </r>
    <r>
      <rPr>
        <sz val="11"/>
        <color rgb="FFE97132"/>
        <rFont val="Aptos Narrow"/>
        <family val="2"/>
        <scheme val="minor"/>
      </rPr>
      <t>Paratextos iniciam-se na p. II, obra truncada e no original?</t>
    </r>
  </si>
  <si>
    <t>Exame crítico das primeiras cinco edições dos Lusíadas / Sebastião Francisco de Mendo Trigoso. - Lisboa : Academia das Ciências, [1823]. cf. Im. 79: lista/catálogo cronológico das edições</t>
  </si>
  <si>
    <t>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t>
  </si>
  <si>
    <t>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t>
  </si>
  <si>
    <r>
      <t>Lusiada de Luís de Camões : estratti del Canto III, con un sunto di tutto il poema, dalla edizione di T. J. de Aquino... - Roma : Ermanno Loescher &amp; C., 1802, em português. F</t>
    </r>
    <r>
      <rPr>
        <sz val="11"/>
        <color rgb="FF0F9ED5"/>
        <rFont val="Aptos Narrow"/>
        <family val="2"/>
        <scheme val="minor"/>
      </rPr>
      <t>ragmentos. Épica. Paratextos gerais: inserir em paratextos outros.</t>
    </r>
  </si>
  <si>
    <t xml:space="preserve">Luigi Camoens : stanze / Giannina Milli, poetisa e autora do poema; ed. Joaquim de Araujo. - Padova : Tip. Fratelli Gallina, 1897. </t>
  </si>
  <si>
    <r>
      <t xml:space="preserve">Camoens e i nuovi poeti portoghesi : conferenza tenuta alla III Serata Intellettuale dell` anno secondo il 30 Maggio 1896 nella Sala Ricordi di Napoli. - Napoli : Stab. Tip. Pierro e Veraldi, 1896, contém notas sobre a vida do Poeta, cf. a partir de Im. 9, 10. </t>
    </r>
    <r>
      <rPr>
        <sz val="11"/>
        <color rgb="FF0F9ED5"/>
        <rFont val="Aptos Narrow"/>
        <family val="2"/>
        <scheme val="minor"/>
      </rPr>
      <t>Sendo uma conferência agrega-se Celebrações (1898), actos públicos?</t>
    </r>
  </si>
  <si>
    <t>Elogio storico di Luigi Camoens / scritto da Filippo Mordani Ravennate ; dal solerte Giornale Letterario dell` Emilia. - Bologna : Co` Tipi delle Muse, 1841, com notas no final, dando conta de que o elogio foi recitado em reunião privada de pessoas cultas e civilizadas.</t>
  </si>
  <si>
    <r>
      <t xml:space="preserve">Due conferenze : un re artista; Luigi Camoens / Carlo Catanzaro. - 2ª ed. - Firenze : Tip. di A. Ciardelli, 1891. </t>
    </r>
    <r>
      <rPr>
        <sz val="11"/>
        <color rgb="FF0F9ED5"/>
        <rFont val="Aptos Narrow"/>
        <family val="2"/>
        <scheme val="minor"/>
      </rPr>
      <t>O autor refere que fez uma conferência para o centenário do Poeta.</t>
    </r>
  </si>
  <si>
    <t>Le scoperte portoghesi nel secolo XV e Vasco da Gama / Augusto Zeri. - [S.l. : s.n., 185-]. Epígrafe de Camões e algumas referências a Camões, conclusão refere que o Poeta repousa no Mosteiro de Santa Maria do Restelo.</t>
  </si>
  <si>
    <r>
      <t xml:space="preserve">I Lusiadi e la nostra epica futura : discorso / del Prof. Cav. Gennaro Faucher. - Santamaria C. V. : Stabilimento Tip. Schoeffer, 1892. </t>
    </r>
    <r>
      <rPr>
        <sz val="11"/>
        <color rgb="FF0F9ED5"/>
        <rFont val="Aptos Narrow"/>
        <family val="2"/>
        <scheme val="minor"/>
      </rPr>
      <t>Sendo um discurso, agrega-se Celebrações (1898), actos públicos, ainda que não as refira?</t>
    </r>
  </si>
  <si>
    <t>Os Lusiadas / poema epico de Luiz de Camões. - Nova edição com um Diccionario dos nomes proprios usados no mesmo poema. - Porto : em Casa de A. R. da Cruz Coutinho, 1880. Paratextos vida e Paratextos argumentos.</t>
  </si>
  <si>
    <t>I portoghesi e il Camoens : lettura fatta / da Pietro Giuseppe Maggi. - Milano : [s.n.], 1866. Leitura feita na reunião do Instituto em 10 de abril de 1866. Celebrações (1860), actos públicos.</t>
  </si>
  <si>
    <r>
      <t xml:space="preserve">I Lusiadi poema di Luigi di Camoens, tradotto dalla lingua portuguese da Felice Bellotti / Giacomo Zanella. - [S.l. : s.n., 1881?]. Sobre a tradução de Felice, e inclui passagens sobre a vida de Camões, cf. Im. 4 e ss.. </t>
    </r>
    <r>
      <rPr>
        <sz val="11"/>
        <color rgb="FFE97132"/>
        <rFont val="Aptos Narrow"/>
        <family val="2"/>
        <scheme val="minor"/>
      </rPr>
      <t>Inclui no final uma p. sobre "UN PROCESSO CELEBRE DI VENEFICIO", que não parece pertencer ao texto e surge truncada.</t>
    </r>
  </si>
  <si>
    <t>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t>
  </si>
  <si>
    <t>Comedias de Luiz de Camões. - Lisboa : A. L. Leitão, 1880 (Typographia Luso Hespanhola).[Comédias: El Rei Seleuco; Os anfitriões; Filodemo] 1880.</t>
  </si>
  <si>
    <t xml:space="preserve">Horas tristes : camoniana : versos / de Eugénio de Castro. - Lisboa : Typ. do Commercio de Portugal, 1888. Sobre a paixão do Poeta por Catarina de Ataíde. </t>
  </si>
  <si>
    <r>
      <t xml:space="preserve">Soneto: Sete anos de pastor Jacob servia. [1895] </t>
    </r>
    <r>
      <rPr>
        <sz val="11"/>
        <color rgb="FF0C769E"/>
        <rFont val="Aptos Narrow"/>
        <family val="2"/>
        <scheme val="minor"/>
      </rPr>
      <t>&amp;</t>
    </r>
    <r>
      <rPr>
        <sz val="11"/>
        <color rgb="FF000000"/>
        <rFont val="Aptos Narrow"/>
        <family val="2"/>
        <scheme val="minor"/>
      </rPr>
      <t xml:space="preserve"> A S. M. A Rainha a Sra. D. Amélia na Batalha das Flores "Quando ela passa, arcanjo de piedade," Imp. Of. a D. Luís da Câmara Leme.</t>
    </r>
  </si>
  <si>
    <t>Camões e os Lusiadas : ensaio historico-critico-litterario / por Francisco Evaristo Leoni. - Lisboa : A. M. Pereira, 1872.</t>
  </si>
  <si>
    <t>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t>
  </si>
  <si>
    <t>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t>
  </si>
  <si>
    <r>
      <t xml:space="preserve">1899. [na referência da BN surge 1889]. Corrigido. </t>
    </r>
    <r>
      <rPr>
        <sz val="11"/>
        <color rgb="FF000000"/>
        <rFont val="Aptos Narrow"/>
        <family val="2"/>
        <scheme val="minor"/>
      </rPr>
      <t xml:space="preserve">Teófilo Braga. Os doze de Inglaterra: poema. Excertos. Comemoração Centenária do Nascimento de Garrett. Lisboa. 1899. </t>
    </r>
  </si>
  <si>
    <t>I Lusiadi / Luigi Camoens ; trad. Antonio Nervi. - Venezia : G. Antonelli, 1847. Vida por M. Staël. Parecem faltar algumas estrofes aos Cantos, mas a paginação é sequencial. Canto IV parece ter uma estrofe a mais.</t>
  </si>
  <si>
    <t>Os Lusiadas / por Luiz de Camões. - Edição revista e prefaciada por Theophilo Braga e illustrada com os retratos de Camões e Gama. - Lisboa : Nova Livraria Internacional, 1882, sem argumentos. Paratextos vida; Iconografia, Figuras históricas [Vasco da Gama]. Refere centenário.</t>
  </si>
  <si>
    <t>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t>
  </si>
  <si>
    <t>A descoberta da Índia ordenada em tapeçaria por mandado de El-Rei D. Manuel : documento inédito do seculo XVI publicado em commemoração do terceiro centenario de Camões / por J. A. da Graça Barreto. - Coimbra : Imp. Académica, 1880.</t>
  </si>
  <si>
    <t>Os Lusiadas / de Luis de Camões ; expurgados de erros que nunca se tinham corrigido e restituidos ao texto primitivo quanto foi possivel fazel-o [sic] sem violar a integridade do poema por Francisco Gomes de Amorim Socio Correspondente da Academia Real das Sciencias de Lisboa.... - Direitos de reimpressão reservados. - Lisboa : Imprensa Nacional, 1889.Sem argumentos e sem comentários.</t>
  </si>
  <si>
    <t>A fome de Camões : poema em 4 cantos / Gomes Leal. - Lisboa : Empreza Litteraria Luso-Brasileira de A. Souza Pinto : Livraria Industrial, 1880. Celebrações (1880), recepção criativa tematização.</t>
  </si>
  <si>
    <r>
      <t xml:space="preserve">Os Lusiadas / Luiz de Camões. - Edição revista e prefaciada por Theophilo Braga e illustrada com os retratos de Luiz de Camões e Vasco da Gama. - Lisboa : Pereira &amp; Amorim, 1881, sem argumentos. No prológo de TB é referido o tricentenário. </t>
    </r>
    <r>
      <rPr>
        <sz val="11"/>
        <color rgb="FFE97132"/>
        <rFont val="Aptos Narrow"/>
        <family val="2"/>
        <scheme val="minor"/>
      </rPr>
      <t xml:space="preserve">Obra truncada/incompleta: </t>
    </r>
    <r>
      <rPr>
        <sz val="11"/>
        <color rgb="FF000000"/>
        <rFont val="Aptos Narrow"/>
        <family val="2"/>
        <scheme val="minor"/>
      </rPr>
      <t xml:space="preserve">termina no Canto X, CLV, falta a última CLVI. Paratextos vida; Iconografia: figuras históricas [Vasco da Gama]. </t>
    </r>
    <r>
      <rPr>
        <sz val="11"/>
        <color rgb="FF4EA72E"/>
        <rFont val="Aptos Narrow"/>
        <family val="2"/>
        <scheme val="minor"/>
      </rPr>
      <t>Verifica-se,</t>
    </r>
    <r>
      <rPr>
        <sz val="11"/>
        <color rgb="FFE97132"/>
        <rFont val="Aptos Narrow"/>
        <family val="2"/>
        <scheme val="minor"/>
      </rPr>
      <t xml:space="preserve"> ​ a falta da est. CLVI na digitalização (a obra original está correta) - Falta digitalizar, portanto, a página 140 (CLVI) e a página seguinte do Índice (Sara).</t>
    </r>
  </si>
  <si>
    <t>Os Lusiadas / poema epico de Luiz de Camões. - Nova edição. - Lisboa : Typ. de L. C. da Cunha, 1864. Paratextos argumentos, sem paratextos gerais.</t>
  </si>
  <si>
    <t>Version portugaise de l'ode a Camoens / de M. Raynouard...avec des notes, etc. du traducteur. - A Paris : de l'Imprimerie de H. Fournier, 1825, com tradução latina do poema  e notas.</t>
  </si>
  <si>
    <r>
      <t xml:space="preserve">Tricentenario de Luiz de Camões : discursos, poesias </t>
    </r>
    <r>
      <rPr>
        <sz val="11"/>
        <color rgb="FF0F9ED5"/>
        <rFont val="Aptos Narrow"/>
        <family val="2"/>
        <scheme val="minor"/>
      </rPr>
      <t>e periódicos</t>
    </r>
    <r>
      <rPr>
        <sz val="11"/>
        <color rgb="FF000000"/>
        <rFont val="Aptos Narrow"/>
        <family val="2"/>
        <scheme val="minor"/>
      </rPr>
      <t xml:space="preserve"> em sessão solemne do dia 13 de Junho de 1880. Celebrações (1880), recepção criativa, tematização.</t>
    </r>
  </si>
  <si>
    <t>Estudio critico-analitico sobre las versiones españolas de los Lusiadas / por D. Nicolas de Goyri. - Lisboa : Typ. de J. H. Verde, 1880. Apenas do primeiro Canto, sem paginação.</t>
  </si>
  <si>
    <r>
      <t xml:space="preserve">Camoens : apuntamientos biográficos / por D. Luis Vidart. - Madrid : Impr. de Aribau y Cª, 1880. Tópico IV: apontamentos sobre </t>
    </r>
    <r>
      <rPr>
        <i/>
        <sz val="11"/>
        <color rgb="FF000000"/>
        <rFont val="Aptos Narrow"/>
        <family val="2"/>
        <scheme val="minor"/>
      </rPr>
      <t>Os Lusíadas.</t>
    </r>
  </si>
  <si>
    <t>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t>
  </si>
  <si>
    <t>Catálogo do repositório Camoneano : primeira secção publicações do tricentenário 1880-1881, segunda secção publicações anteriores ao tricentenário / coordenado por Carlos Cirilo da Silva Vieira. - Lisboa : Typographia da Academia Real das Sciencias, 1882. Celebrações (1880), catálogos.</t>
  </si>
  <si>
    <r>
      <t xml:space="preserve">A Ilha dos Amores : ... estancias do canto IX dos Lusíadas paraphraseados em versos latinos ... / Luís de Camöes ; [estudo de] Francisco de Paula Santa Clara. - Évora : Typ. Minerva, 1882, com notas sobre outras traduções e apêndice sobre as dificuldades da tradução. </t>
    </r>
    <r>
      <rPr>
        <sz val="11"/>
        <color rgb="FFE97132"/>
        <rFont val="Aptos Narrow"/>
        <family val="2"/>
        <scheme val="minor"/>
      </rPr>
      <t>Texto truncado, cf. p. VI: assim no original?</t>
    </r>
  </si>
  <si>
    <r>
      <t>Lux et umbra : (sonetos camoneanos) / Oliveira Passos ; com um preambulo do Dr. Alves Mendes. - Porto : M. Gomes, 1892. Pequena magem de uma figura, mas que não consigo identificar, cf. Im. 21, epígrafe de Camões. Os poemas apontam para a paixão do poeta, Catarina, e para os dias tristes que viveu. Menções centónicas aos poemas: Brandas águas do Tejo; Alma minha gentil; Quem pode livre ser, gentil senhora?; Que poderei do mundo já querer?; Os meus alegres, venturosos dias; Lembranças de meu bem, doces lembranças; Um morrer de olhos, brando e piedoso; Aquela triste e leda madrugada; Que pode já fazer minha ventura; Eu vivia de lágrimas isento; Quão cedo te roubou a morte dura; Ausente dessa vista pura e bela; Pois meus olhos não cansam de chorar; A chaga que, Senhora, me fizestes [</t>
    </r>
    <r>
      <rPr>
        <i/>
        <sz val="11"/>
        <color rgb="FF000000"/>
        <rFont val="Aptos Narrow"/>
        <family val="2"/>
        <scheme val="minor"/>
      </rPr>
      <t>sic</t>
    </r>
    <r>
      <rPr>
        <sz val="11"/>
        <color rgb="FF000000"/>
        <rFont val="Aptos Narrow"/>
        <family val="2"/>
        <scheme val="minor"/>
      </rPr>
      <t>]; Quem diz que Amor é falso e enganoso; Com grandes esperanças já cantei; Quando os olhos emprego no passado; Se me vem tanta glória só de olhar-te; Quando descansareis, olhos cansados; entre outros.</t>
    </r>
  </si>
  <si>
    <t>Le ultime ore di Camoens allo spedale di Lisbona : scena dramatica in versi / Leone Fortis ; vertida em português por José Maria da Silva Mendes Leal. - Lisboa : Tip. Lisbonense de Aguiar Viana, 1859. Celebrações (1860), recepção criativa.</t>
  </si>
  <si>
    <t>Programa dos festejos academicos para a inauguração do monumento a Luiz de Camões. - Coimbra : Impr. da Universidade, 1881.</t>
  </si>
  <si>
    <t>Os Lusiadas / por Luiz de Camões. - Brinde dos Estudantes de Coimbra á Infancia das Escolas da mesma cidade, Conforme a 2ª edição de 1572, e segundo a reproducção critica do Sr. Adolpho Coelho no brinde do Diario de Noticias. - Coimbra : Imprensa Academica, 1881, sem argumentos. 10 de Junho de 1880-8 de Maio de 1881, data da inauguração do monumento a Camões. Paratextos notas.</t>
  </si>
  <si>
    <t xml:space="preserve">Da sepultura de Camões : carta a Antonio Feliciano de Castilho recebida aos 8 de Outubro de 1858 / Visconde de Juromenha.... - Porto : Circulo Camoneano, 1892.  </t>
  </si>
  <si>
    <r>
      <t>Apparição do gigante Adamastor a Vasco da Gama : episodio extrahido ... dos Lusiadas ... / Luís de Camöes ; pról. de António Vieira Lopes. - Porto : Empreza do Seminário "O Camöes", 1883. Não refere Tricentenário.</t>
    </r>
    <r>
      <rPr>
        <sz val="11"/>
        <color rgb="FF0F9ED5"/>
        <rFont val="Aptos Narrow"/>
        <family val="2"/>
        <scheme val="minor"/>
      </rPr>
      <t xml:space="preserve"> Obra, fragmentos, épica, paratextos gerais: insere-se em paratextos gerais outros.</t>
    </r>
  </si>
  <si>
    <t>Camoneana Académica : a Camões, os estudantes do Porto em Junho de 1880.  Alunos que se farão ouvir no Real Teatro de S. João,</t>
  </si>
  <si>
    <t>na manhã do dia 10 de Junho, e encarregou-se da publicação da Camoniana Académica, inclui textos de autores consagrados. Celebrações (1880), recepção criativa, tematização.</t>
  </si>
  <si>
    <t>Endechas ... a Barbara escrava ... / Luís de Camöes ; [trad.] Pedro Augusto de Melo de Carvalho Monteiro, A. L. dos Santos Valente. - Lisboa : Imprensa Nacional, 1894. Comemoração anual do grande épico, juntou-se esta tradução.</t>
  </si>
  <si>
    <t>Homenagem a Camões. - Lisboa? : [s.n.], 1880. Textos de vários autores, parece ser um periódico republicano. "Camões e a Evolução" anúncio de conferência de Angelina Vidal, jornalista, tradutora e professora; "Luz" texto de homenagem de A. Vidal.</t>
  </si>
  <si>
    <t>Ines de Castro : treurspel / Mr. Rhijnuis Feith. - Amsterdam : Johannes Allart, 1793.</t>
  </si>
  <si>
    <t>L'epopea nazionale e il Camoens / discorso del prof. Luigi Rossi, pel centenario del sommo poeta, all' Accademia di Scienze, Lettere ed Arti in Modena. - Modena : Coi Tipi della Società Tipografica, 1881.</t>
  </si>
  <si>
    <r>
      <t xml:space="preserve">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t>
    </r>
    <r>
      <rPr>
        <i/>
        <sz val="11"/>
        <color rgb="FF000000"/>
        <rFont val="Aptos Narrow"/>
        <family val="2"/>
        <scheme val="minor"/>
      </rPr>
      <t>Camões.</t>
    </r>
  </si>
  <si>
    <t>Camoens : dramatisches gedicht in einem aufzuge / von Friedrich Halm. - Wien : Carl Gerold, 1838. </t>
  </si>
  <si>
    <r>
      <t xml:space="preserve">Camoens : dramatisches gedicht in einem aufzuge / von Friedrich Halm. - 2ª ed. - Wien : Carl Gerold 1843. </t>
    </r>
    <r>
      <rPr>
        <sz val="11"/>
        <color rgb="FFE97132"/>
        <rFont val="Aptos Narrow"/>
        <family val="2"/>
        <scheme val="minor"/>
      </rPr>
      <t>Salto na paginação: p. 36 para p. 39, cf. Im. 38-39. Assim no original?</t>
    </r>
  </si>
  <si>
    <t>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t>
  </si>
  <si>
    <t>Ernest Walker. Sonnet XIX [trad. Ingl. Alma Minha] de Camões set to music. 1888 Mai. Partitura [para piano ou órgão, com Voz]</t>
  </si>
  <si>
    <r>
      <t>Homenagem a Camões / José Ramos-Coelho. - Lisboa : typ. da Academia Real das Sciencias, 1890, um dos poemas é dedicado à inauguração do monumento a Camões, cf. Im. 27; versão livre do soneto de Tasso.</t>
    </r>
    <r>
      <rPr>
        <sz val="11"/>
        <color rgb="FF0F9ED5"/>
        <rFont val="Aptos Narrow"/>
        <family val="2"/>
        <scheme val="minor"/>
      </rPr>
      <t xml:space="preserve"> </t>
    </r>
    <r>
      <rPr>
        <sz val="11"/>
        <color rgb="FF000000"/>
        <rFont val="Aptos Narrow"/>
        <family val="2"/>
        <scheme val="minor"/>
      </rPr>
      <t>Comemoração do 310.º ano do falecimento do Poeta: Celebrações (1880), recepção criativa, tematização.</t>
    </r>
  </si>
  <si>
    <r>
      <t>Luciano Cordeiro. Batalhas da Índia: como se perdeu Ormuz. Processo inédito do Séc. XVII. Contribuições da Sociedade de Geografia. Lisboa. 1896. </t>
    </r>
    <r>
      <rPr>
        <sz val="11"/>
        <color rgb="FFE97132"/>
        <rFont val="Aptos Narrow"/>
        <family val="2"/>
        <scheme val="minor"/>
      </rPr>
      <t xml:space="preserve"> [menção a Camões, p. VIII, comissão executiva do IV centenário da Índia]</t>
    </r>
  </si>
  <si>
    <r>
      <t xml:space="preserve">Wenceslau de Moraes. Dai-Nippon (o grande Japão). À memória dos viajantes portugueses do séc. XVI e especialmente à de Fernão Mendes Pinto. [pref. José de Sousa Monteiro]. Lisboa. 1897. </t>
    </r>
    <r>
      <rPr>
        <sz val="11"/>
        <color rgb="FFE97132"/>
        <rFont val="Aptos Narrow"/>
        <family val="2"/>
        <scheme val="minor"/>
      </rPr>
      <t>[menção a Camões, p. 156;  comissão executiva do IV centenário da Índia]</t>
    </r>
  </si>
  <si>
    <r>
      <t>Crónica dos reis de Bisnaga: manuscrito inédito do século XVI. publicado por David Lopes. Sociedade de Geografia de Lisboa. Lisboa. 1897.</t>
    </r>
    <r>
      <rPr>
        <sz val="11"/>
        <color rgb="FFE97132"/>
        <rFont val="Aptos Narrow"/>
        <family val="2"/>
        <scheme val="minor"/>
      </rPr>
      <t xml:space="preserve">  [numa leitura transversal sem menção a Camões;  comissão executiva do IV centenário da Índia]</t>
    </r>
  </si>
  <si>
    <t>Homenagem do Mesquita a Camões / António Joaquim de Mesquita e Mello. - 2ª edição. - Porto : Imprensa Civilisação - Santos &amp; Lemos, 1881, recitação da poesia no Palácio de Cristal. Celebrações (1880), recepção criativa. Tematização.</t>
  </si>
  <si>
    <t>À memoria de Luiz de Camões no seu Tricentenario em 10 de Junho de 1880. Um brinde aos assinantes de Comércio do Minho, tri-semanário bracarense. Braga : Typographia Lusitana, 1880. [Tasso a Camões, um excerto; Fragmentos Lus., Canto VIII; diferentes textos de autoria diversa]</t>
  </si>
  <si>
    <r>
      <t>A inepcia em acção ou uma pagina para a historia dos festejos promovidos em HongKong pela Commissão do Tricentenário de Camões / por A. Bastos Jr.. - Macau : Typographia Mercantil, 1880.</t>
    </r>
    <r>
      <rPr>
        <sz val="11"/>
        <color rgb="FFE97132"/>
        <rFont val="Aptos Narrow"/>
        <family val="2"/>
        <scheme val="minor"/>
      </rPr>
      <t xml:space="preserve"> Inicia na p. 4: assim no original? Faltam pp. 5 e 8.</t>
    </r>
  </si>
  <si>
    <t>Discurso inaugural do Ill.mo e Ex.mo Snr. Conde de Samodães... na Sociedade Nacional Camoniana. - Porto : Sociedade Nacional Camoniana, [1880]</t>
  </si>
  <si>
    <t>O sacrifício a Camões: poemeto do Visconde de Castilho (Antonio Feliciano), com preâmbulo do professor bracarense Pereira-Caldas. Braga. 1880. [duas menções breves a Camões, sem transcrição do poemeto de Castilho]</t>
  </si>
  <si>
    <r>
      <t>A Luís de Camões: cantata. Letra de F. Bernardo Braga Junior; música de Miguel Ângelo. Porto. 1880.</t>
    </r>
    <r>
      <rPr>
        <sz val="11"/>
        <color rgb="FF0F9ED5"/>
        <rFont val="Aptos Narrow"/>
        <family val="2"/>
        <scheme val="minor"/>
      </rPr>
      <t xml:space="preserve"> </t>
    </r>
    <r>
      <rPr>
        <sz val="11"/>
        <color rgb="FF000000"/>
        <rFont val="Aptos Narrow"/>
        <family val="2"/>
        <scheme val="minor"/>
      </rPr>
      <t>Celebrações (1880), recepção criativa, tematização</t>
    </r>
  </si>
  <si>
    <t>Giacomo Riccio. Luigi Camoens: dramma in quattro atti. Napoli. [1842].</t>
  </si>
  <si>
    <r>
      <t>Lettera di E. Teza all'amico suo G. de Araujo. Giudizi del Baretti e del Voltaire sopra alcuni versi dei Lusiadas. Livorno. 1899.</t>
    </r>
    <r>
      <rPr>
        <sz val="11"/>
        <color rgb="FF0F9ED5"/>
        <rFont val="Aptos Narrow"/>
        <family val="2"/>
        <scheme val="minor"/>
      </rPr>
      <t xml:space="preserve"> Agregar nótulas 1898? </t>
    </r>
  </si>
  <si>
    <r>
      <t>[José Afonso Botelho-Andrade]. Bibliografia</t>
    </r>
    <r>
      <rPr>
        <sz val="11"/>
        <color rgb="FF0F9ED5"/>
        <rFont val="Aptos Narrow"/>
        <family val="2"/>
        <scheme val="minor"/>
      </rPr>
      <t xml:space="preserve"> periódica </t>
    </r>
    <r>
      <rPr>
        <sz val="11"/>
        <color rgb="FF000000"/>
        <rFont val="Aptos Narrow"/>
        <family val="2"/>
        <scheme val="minor"/>
      </rPr>
      <t>camoniana dos Açores por ocasião e posterior ao Centenário. Ponta Delgada. [1883].</t>
    </r>
  </si>
  <si>
    <t>N.[icolaas] G.[odfried] van Kampen. Werken der Hollandsche Maatschappij van Fraaije Kunsten en Wetenschappen. derde deel. In den Haag. 1816. [Uma comparação avaliativa dos épicos mais famosos: Tasso, Camões, Milton, Voltaire e Klopstock. Obras da Sociedade Holandesa de Artes e Ciências Fraaije. terceira parte. Haia].</t>
  </si>
  <si>
    <r>
      <t>[José Afonso Botelho-Andrade]. Aditamento à bibliografia</t>
    </r>
    <r>
      <rPr>
        <sz val="11"/>
        <color rgb="FF0F9ED5"/>
        <rFont val="Aptos Narrow"/>
        <family val="2"/>
        <scheme val="minor"/>
      </rPr>
      <t xml:space="preserve"> periódica </t>
    </r>
    <r>
      <rPr>
        <sz val="11"/>
        <color rgb="FF000000"/>
        <rFont val="Aptos Narrow"/>
        <family val="2"/>
        <scheme val="minor"/>
      </rPr>
      <t>Camoniana dos Açores por ocasião e posterior ao Centenário. Ponta Delgada. 1882.</t>
    </r>
  </si>
  <si>
    <t>Pereira Caldas decano do lyceu [antelóquio]. Um soneto de Camões em Quevedo Y Villegas imitado. Braga. 1881.  ["Desta imitação camoniana em Quevedo y Villegas, nem sombra indicativa aparece (...) nas monografias camonianas do tricentenário de Camões."] Celebrações (1880), recepção criativa, tematização.</t>
  </si>
  <si>
    <t>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t>
  </si>
  <si>
    <t>Los Lusiadas : poema epico / de Luis de Camões ; traducido en verso castellano por el Conde de Cheste de la Real Academia Española. - Madrid : Imprenta de D. António Perez Dubrull, 1872. Trad. Paratextos argumentos; Celebrações (1872), Traduções.</t>
  </si>
  <si>
    <r>
      <t>D. G. Dalgado. Flora de Goa e Savantvadi: catálogo metódico das plantas medicinais, alimentares e industriais. Contribuições da Sociedade de Geografia de Lisboa. Lisboa. 1898. [I</t>
    </r>
    <r>
      <rPr>
        <sz val="11"/>
        <color rgb="FF0F9ED5"/>
        <rFont val="Aptos Narrow"/>
        <family val="2"/>
        <scheme val="minor"/>
      </rPr>
      <t xml:space="preserve">ntrod. Epígrafe de </t>
    </r>
    <r>
      <rPr>
        <i/>
        <sz val="11"/>
        <color rgb="FF0F9ED5"/>
        <rFont val="Aptos Narrow"/>
        <family val="2"/>
        <scheme val="minor"/>
      </rPr>
      <t>Os Lusíadas</t>
    </r>
    <r>
      <rPr>
        <sz val="11"/>
        <color rgb="FF0F9ED5"/>
        <rFont val="Aptos Narrow"/>
        <family val="2"/>
        <scheme val="minor"/>
      </rPr>
      <t>, Canto IV, que recupera ao longo do texto, e conclusão resgata o Canto I.; comissão executiva do IV centenário do descobrimento da Índia.  A inserir Celebrações (1898), textos críticos?</t>
    </r>
  </si>
  <si>
    <r>
      <t xml:space="preserve">Martin-Deslandes. Camoëns. Drame historique en cinq actes. Paris. 1829. [Un mot au lecteur: o autor afirma no IV acto ter traduzido algumas poesias de Camões, que não surgem transcritas; </t>
    </r>
    <r>
      <rPr>
        <i/>
        <sz val="11"/>
        <color rgb="FF000000"/>
        <rFont val="Aptos Narrow"/>
        <family val="2"/>
        <scheme val="minor"/>
      </rPr>
      <t>nota bene</t>
    </r>
    <r>
      <rPr>
        <sz val="11"/>
        <color rgb="FF000000"/>
        <rFont val="Aptos Narrow"/>
        <family val="2"/>
        <scheme val="minor"/>
      </rPr>
      <t xml:space="preserve"> no fim do IV acto a explicar que as letras A e B designam o lugar da recitação de algumas passagens de </t>
    </r>
    <r>
      <rPr>
        <i/>
        <sz val="11"/>
        <color rgb="FF000000"/>
        <rFont val="Aptos Narrow"/>
        <family val="2"/>
        <scheme val="minor"/>
      </rPr>
      <t>Os Lusíadas</t>
    </r>
    <r>
      <rPr>
        <sz val="11"/>
        <color rgb="FF000000"/>
        <rFont val="Aptos Narrow"/>
        <family val="2"/>
        <scheme val="minor"/>
      </rPr>
      <t>, cf. 106]</t>
    </r>
  </si>
  <si>
    <r>
      <t xml:space="preserve">O Literário. </t>
    </r>
    <r>
      <rPr>
        <sz val="11"/>
        <color rgb="FF000000"/>
        <rFont val="Aptos Narrow"/>
        <family val="2"/>
        <scheme val="minor"/>
      </rPr>
      <t xml:space="preserve">No registo não surge como periódico. Homenagem a Camões: 10 de Junho de 1880. </t>
    </r>
    <r>
      <rPr>
        <sz val="11"/>
        <color rgb="FFE97132"/>
        <rFont val="Aptos Narrow"/>
        <family val="2"/>
        <scheme val="minor"/>
      </rPr>
      <t xml:space="preserve">[na referência da BN surge apenas a partir de Homenagem] </t>
    </r>
    <r>
      <rPr>
        <sz val="11"/>
        <color rgb="FF000000"/>
        <rFont val="Aptos Narrow"/>
        <family val="2"/>
        <scheme val="minor"/>
      </rPr>
      <t xml:space="preserve">[prosa, homenagem, vida. Recepção criativa: paródia  J. DIas. D. Nuno e Camões ou paródia da fala de D. Nuno Álvares Pereira, com as mesmas rimas (sátira ao gongorismo). Tematização [Poemas: D. João III e Camões; Camões, </t>
    </r>
    <r>
      <rPr>
        <i/>
        <sz val="11"/>
        <color rgb="FF000000"/>
        <rFont val="Aptos Narrow"/>
        <family val="2"/>
        <scheme val="minor"/>
      </rPr>
      <t>et al</t>
    </r>
    <r>
      <rPr>
        <sz val="11"/>
        <color rgb="FF000000"/>
        <rFont val="Aptos Narrow"/>
        <family val="2"/>
        <scheme val="minor"/>
      </rPr>
      <t>.]. Celebrações (1880), recepção criativa, tematização e paródia</t>
    </r>
  </si>
  <si>
    <r>
      <t xml:space="preserve">Artur Lobo D'Ávila. A descoberta da Índia ou o reinado de D. Manuel: drama histórico em 5 actos. Concurso para um drama aberto pela Comissão Central Executiva. Lisboa. 1898.  [memória justificativa e personagem o ancião do Restelo, no final do Acto I] . </t>
    </r>
    <r>
      <rPr>
        <sz val="11"/>
        <color rgb="FF0F9ED5"/>
        <rFont val="Aptos Narrow"/>
        <family val="2"/>
        <scheme val="minor"/>
      </rPr>
      <t>A inserir Celebrações (1898), recepção criativa, tematização.</t>
    </r>
  </si>
  <si>
    <r>
      <t xml:space="preserve">José de Sousa Monteiro. O auto dos esquecidos. Drama premiado. Concurso para um drama aberto pela Comissão Central Executiva. Lisboa. 1898. [Aviso prévio:  Epopeia de Camões e Bárbara]. </t>
    </r>
    <r>
      <rPr>
        <sz val="11"/>
        <color rgb="FF0F9ED5"/>
        <rFont val="Aptos Narrow"/>
        <family val="2"/>
        <scheme val="minor"/>
      </rPr>
      <t>A inserir Celebrações (1898), recepção criativa, tematização.</t>
    </r>
  </si>
  <si>
    <r>
      <t>A voz do povo</t>
    </r>
    <r>
      <rPr>
        <sz val="11"/>
        <color rgb="FFE97132"/>
        <rFont val="Aptos Narrow"/>
        <family val="2"/>
        <scheme val="minor"/>
      </rPr>
      <t xml:space="preserve"> [sexta-feira, 11 de Junho de 1880. 1580-Camões-1880]. N.º 131. III Ano. </t>
    </r>
    <r>
      <rPr>
        <sz val="11"/>
        <color rgb="FF000000"/>
        <rFont val="Aptos Narrow"/>
        <family val="2"/>
        <scheme val="minor"/>
      </rPr>
      <t xml:space="preserve">Propr. e red. Francisco José Cardoso. Ed. João Arnaldo de Almeida. Porto: 1880.  [O símbolo da nacionalidade portuguesa; Camões realista; O centenário e o Futuro; O centenário no Porto, poemas; Camões e Voltaire (esboço humorístico)] </t>
    </r>
  </si>
  <si>
    <r>
      <t>Fernandes Costa. A viagem da Índia: poemeto em dois cantos. Contribuições da Sociedade de Geografia de Lisboa. Lisboa. 1896.</t>
    </r>
    <r>
      <rPr>
        <sz val="11"/>
        <color rgb="FFE97132"/>
        <rFont val="Aptos Narrow"/>
        <family val="2"/>
        <scheme val="minor"/>
      </rPr>
      <t xml:space="preserve"> ["A lyra inimitável de Camões!" única menção a Camões] </t>
    </r>
  </si>
  <si>
    <r>
      <t xml:space="preserve">As </t>
    </r>
    <r>
      <rPr>
        <sz val="11"/>
        <color rgb="FF4EA72E"/>
        <rFont val="Aptos Narrow"/>
        <family val="2"/>
        <scheme val="minor"/>
      </rPr>
      <t xml:space="preserve">Novidades Noviddaes. </t>
    </r>
    <r>
      <rPr>
        <sz val="11"/>
        <color rgb="FF000000"/>
        <rFont val="Aptos Narrow"/>
        <family val="2"/>
        <scheme val="minor"/>
      </rPr>
      <t xml:space="preserve">Nº 130 (10 Junho 1880). Porto. 1880. ["Ao Tricentenário do Poeta Luís de Camões", "Cálculo"; "Os Lusíadas"; "Sociedade de Geografia Comercial do Porto"; "Palácio de Cristal.." "J.S.P Luís de Camões"] </t>
    </r>
  </si>
  <si>
    <t>Célébration nationale en 1898 du quatriéme centenaire de la découverte du chemin maritime des Indes: programme générale. Lisbonne. 1897. [edição comemorativa de Os Lusíadas e edição autógrafa do mesmo poema]</t>
  </si>
  <si>
    <t>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t>
  </si>
  <si>
    <r>
      <t xml:space="preserve">O centenário da Índia pela colónia portuguesa da Bahia: comemoração da descoberta do caminho maritimo das Índias em 1498 pelo famoso navegador Vasco da Gama. Bahia. 1898. [epígrafe de Camões, Canto I, E. XLIV, referências a Camões e a </t>
    </r>
    <r>
      <rPr>
        <i/>
        <sz val="11"/>
        <color rgb="FF000000"/>
        <rFont val="Aptos Narrow"/>
        <family val="2"/>
        <scheme val="minor"/>
      </rPr>
      <t>Os Lusíadas</t>
    </r>
    <r>
      <rPr>
        <sz val="11"/>
        <color rgb="FF000000"/>
        <rFont val="Aptos Narrow"/>
        <family val="2"/>
        <scheme val="minor"/>
      </rPr>
      <t>].</t>
    </r>
  </si>
  <si>
    <t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t>
  </si>
  <si>
    <t>António Moreira Cabral. O passamento de Camões: poesia recitada. Sessão comemorativa do aniversário (307.º) da morte de Luís de Camões. 10 de Junho de 1887. Porto. Celebrações, tematização e actos públicos.</t>
  </si>
  <si>
    <t xml:space="preserve">José Carlos de Faria e Castro. L'épopée maritime des portugais: Vasco da Gama et le Camoens. Quatrième Centenaire de la découverte de la route mariitime de l'Inde. Bruxeles.1898. [epígrafe do Canto VIII; referências ao Poeta, a Vasco da Gama, Adamastor, et al.; o autor refere ter seguido a tradução de Ch. Aubert, Paris, 1844] </t>
  </si>
  <si>
    <r>
      <t xml:space="preserve">[José Alves de Mariz, Bispo de Bragança e Miranda]. Provisão relativa ao quarto centenário do descobrimento do caminho marítimo para a Índia. Coimbra. 1898. [referência ao Poeta: p. 7; referências a Vasco da Gama: pp. 4-7; 10]. </t>
    </r>
    <r>
      <rPr>
        <sz val="11"/>
        <color rgb="FF0F9ED5"/>
        <rFont val="Aptos Narrow"/>
        <family val="2"/>
        <scheme val="minor"/>
      </rPr>
      <t>A inserir Celebrações (1898], Actos públicos.</t>
    </r>
  </si>
  <si>
    <t>António de Portugal de Faria. Torquato Tasso a Luís de Camões. Soneto: Vasco da Gama. Centenário da Índia. Leorne. 1898. [inclui Im. 6: retrato de Tasso; Im. 11; Im. 15 autógrafo do soneto "A Vasco di Gama" de Tasso]</t>
  </si>
  <si>
    <r>
      <t xml:space="preserve">Vicente Almeida D'Eça. O marinheiro português através da história [resumo da conferência]. Academia de Estudos Livres. Quarto centenário do Descobrimento do caminho marítimo para a Índia. Lisboa. 1898.  [menções ao Poeta]. </t>
    </r>
    <r>
      <rPr>
        <sz val="11"/>
        <color rgb="FF0F9ED5"/>
        <rFont val="Aptos Narrow"/>
        <family val="2"/>
        <scheme val="minor"/>
      </rPr>
      <t>A inserir Celebrações (1898), Actos públicos.</t>
    </r>
  </si>
  <si>
    <t>Les Lusiades / de L. de Camões ; traduction nouvelle par M.M.Ortaire Fournier et Desaules, revue annotée et suivie de la traduction d'un choix des poésies diverses ; Avec une notice biographique par Ferdinand Denis. - Paris : Libraire de Charles Gosselin, 1841. A partir da Im. 329 Poesias Diversas: sonetos; canções; elegias; odes; cartas-poemas; sextinas; éclogas e fragmentos de éclogas; fragmento da paráfrase do salmo; dactiloscrito no final sobre a edição e o editor. Trad. paratextos gerais [aviso ao leitor e Camões e os seus contemporâneos]; Trad. Paratextos argumentos, vida; Trad. paratextos notas aos cantos (Épica), notas à lírica.</t>
  </si>
  <si>
    <t xml:space="preserve">Les Lusiades ou les portugais : poeme en dix chants / Camoens ; trad. J. B. J. Millié, revue, corrigeé et annotée par M. Dubeux ; pprécedées d'une notice sur la vie et les ouvrages de Camoens par M. Charles Magnin.... - Paris : Charpentier, 1841. Sem argumentos. Trad. Paratextos gerais; Trad. Paratextos vida; Trad. Paratextos notas. </t>
  </si>
  <si>
    <t>Les Lusiades : poéme / de Camoens ; trad. en vers par F. Ragon. - A Paris : chez Ch. Gosselin : [chez] L. Hachette, 1842. Sem argumentos. Trad. Paratextos gerais [aviso]; Trad. Paratextos notas aos Cantos.</t>
  </si>
  <si>
    <t>Les Lusiades / de Camoens ; trad. par M. Émile Albert. - Paris : Gosse et Marchal, 1859. Trad. Paratextos notas e Trad. Paratextos argumentos e sem paratextos gerais.</t>
  </si>
  <si>
    <t>Les Lusiades ou les portugais : poéme en dix chants / par Camoens ; traduction de J.B.J. Millié ; revue,corrigée et annotée par M. Dubeux ; precédées d'une notice sur la vie et les ouvrages de Camoens par M. Charles Magnin. - Paris : Charpentier, 1862. Sem argumentos e sem paratextos gerais. Trad. Paratextos vida; Trad. Paratextos notas.</t>
  </si>
  <si>
    <t xml:space="preserve">Luís de Camões. Os Lusíadas. Juízo crítico por José Maria Latino Coelho, sem argumentos. Edição comemorativa do Terceiro Centenário do Poeta. Lisboa. 1880. </t>
  </si>
  <si>
    <t>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t>
  </si>
  <si>
    <t xml:space="preserve">Sebastião Francisco de Mendo Trigoso. Exame crítico das primeiras cinco edições dos Lusíadas. Lisboa.1823. </t>
  </si>
  <si>
    <t>Lusiada / di Camoens ; transportata in versi italiani da Antonio Nervi. - Genova : Stamperia della Marina e della Gazzetta, 1814. Sem argumentos. Trad. paratextos gerais.</t>
  </si>
  <si>
    <t>I Lusiadi / di Luigi Camoens... ; trad. con note di Adriano Bonaretti. - Livorno : Coi Tipi di P. Vannini e F. Editore, 1880. Trad. Paratextos gerais; Trad. Paratextos vida; Trad. Paratextos argumentos; Trad. Paratextos notas; Trad. Celebrações (1880), traduções.</t>
  </si>
  <si>
    <t>Retrato de Luís de Camões [reprodução litográfica da gravura]. Edição comemorativa do terceiro aniversário do mesmo tricentenário (10 de junho de 1883). Lisboa.1883. </t>
  </si>
  <si>
    <t>Os Lusiadas / de Luiz de Camões ; com um pref. do Dr. Theophilo Braga. - Facsimile da 1ª ed. - Lisboa : [Joaquim Eusébio dos Santos], 1898. Sem argumentos.</t>
  </si>
  <si>
    <t>Relatórios apresentados pela Comissão Executiva da Junta Geral do Distrito D' Angra do Heroísmo nas sessões do 1.º de novembro de 1879 e 5 de Maio de 1880. Angra do Heroísmo.1880. </t>
  </si>
  <si>
    <t>Junta Geral do Distrito de Ponta Delgada: Sessões do ano de 1880. Ponta Delgada. 1881. </t>
  </si>
  <si>
    <t>Relatório da Associação Comercial do Rio de Janeiro do ano de 1880. Rio de Janeiro. 1881.</t>
  </si>
  <si>
    <t>The Lusiad or the discovery of India : an epic poem / translated from the portuguese of Luis de Camöens ; with a life of the poet by William Julius Mickle. - 5th. ed. rev. by E. Richmond Hodges.... - London : George Bell and Sons, 1877. Trad. Paratextos gerais; Trad. Paratextos vida; Trad. Paratextos argumentos; Trad. Paratextos notas [neste caso, de rodapé].</t>
  </si>
  <si>
    <t>O passamento de Camões : commemoração ao anniversario 307º do seu fallecimento / por Antonio Moreira Cabral. - Porto : Typ. Occidental, 1888. Celebrações (1880), recepção criativa. Tematização.</t>
  </si>
  <si>
    <t>Annotações ao prologo e nota final do n.º 1 do Florilegio Camoneano / por Tito de Noronha. - Porto : Typ. Alliança, 1887. </t>
  </si>
  <si>
    <t>O naufragio de Camões : comemoração ao aniversario 308º do seu passamento / Antonio Moreira Cabral. - Porto : Tip. Ocidental, 1889. Poesia recitada pelo autor, em sessão solene da Sociedade Nacional Camoniana, realizada no teatro Gil. Vicente, do Palácio de Cristal, Porto. Celebrações (1880), recepção criativa. Tematização.</t>
  </si>
  <si>
    <t>Memória dos festejos celebrados em Hongkong por ocasião do tricentenário de Luís de Camões. Hongkong. 1880.  Figuras Femininas [Maria Augusta do Rosário, pianista, Maria Antónia da Costa Marques, recitação] Lista de Senhoras presentes, cf. Im. 105-106. Programa, Celebrações (1880), recepção criativa. Tematização, entre outras e ainda fragmentos da épica e episódio do Adamastor.</t>
  </si>
  <si>
    <t>Catalogue d'une colection Camoniana dont la vent aura lieu à  Lisbonne le 3 Mai 1886 et jours suivants. Lisbone. 1886.  [Introd. em francês, intitulada "Camões", da autoria de António de Serpa]</t>
  </si>
  <si>
    <r>
      <t xml:space="preserve">Catálogo da biblioteca do conselheiro João Felix Alves de Minhava. </t>
    </r>
    <r>
      <rPr>
        <sz val="11"/>
        <color rgb="FFE97132"/>
        <rFont val="Aptos Narrow"/>
        <family val="2"/>
        <scheme val="minor"/>
      </rPr>
      <t xml:space="preserve">N.º 1. </t>
    </r>
    <r>
      <rPr>
        <sz val="11"/>
        <color rgb="FF000000"/>
        <rFont val="Aptos Narrow"/>
        <family val="2"/>
        <scheme val="minor"/>
      </rPr>
      <t>[Lisboa.1885].</t>
    </r>
  </si>
  <si>
    <t>A. F. Barata. Luís de Camões em Évora no ano de 1576 com algumas considerações. Évora. 1882. [o autor refere o centenário]</t>
  </si>
  <si>
    <t xml:space="preserve">João Grave. Para a história da literatura quinhentista: um soneto inédito de Camões? Coimbra. 1918. </t>
  </si>
  <si>
    <r>
      <t>Costa Goodolfim. O monumento a Camões e o caso espantoso sucedido na noite de 20 de Outubro.</t>
    </r>
    <r>
      <rPr>
        <sz val="11"/>
        <color rgb="FF0F9ED5"/>
        <rFont val="Aptos Narrow"/>
        <family val="2"/>
        <scheme val="minor"/>
      </rPr>
      <t xml:space="preserve"> </t>
    </r>
    <r>
      <rPr>
        <sz val="11"/>
        <color rgb="FF000000"/>
        <rFont val="Aptos Narrow"/>
        <family val="2"/>
        <scheme val="minor"/>
      </rPr>
      <t>Opúsculo em verso satírico  ["O monumento" do Autor e "A voz do Jau" de Costa Godolfim] com um prefácio a sério.</t>
    </r>
    <r>
      <rPr>
        <sz val="11"/>
        <color rgb="FF0E2841"/>
        <rFont val="Aptos Narrow"/>
        <family val="2"/>
        <scheme val="minor"/>
      </rPr>
      <t xml:space="preserve"> Lisboa. 1867. </t>
    </r>
  </si>
  <si>
    <t>No anniversario 302 do fallecimento de Camões... : obolo literario do Prof... Pereira Caldas : Soneto de Camões ; com a versão do Conselheiro Viale em italiano. - Braga : Impr. Commercial, 1882. [Sete anos de pastor Jacob servia]</t>
  </si>
  <si>
    <r>
      <t>Die Lusiade / des Camoens ; aus dem Portugiesischen in Deutsche Ottavereime übersetzt [von Friedrich Adolph Kuhn und Carl Theodor Winkler].... - Wien : Gedruckt und verlegt bey Thr. Fr.Schade, 1828. Sem argumentos.</t>
    </r>
    <r>
      <rPr>
        <sz val="11"/>
        <color rgb="FFE97132"/>
        <rFont val="Aptos Narrow"/>
        <family val="2"/>
        <scheme val="minor"/>
      </rPr>
      <t xml:space="preserve"> Existe Im. do terceiro Canto deslocada, cf. Im. 81, falta p. 81</t>
    </r>
  </si>
  <si>
    <r>
      <t xml:space="preserve">Die Lusiaden : epische díchtung / von Luis de Camöens ; nach José da Fonseca's portugiesischer Ausgabe im Versmaake des Originals. - Leipzig : Arnoldische Buchhandung, 1854, sem argumentos. </t>
    </r>
    <r>
      <rPr>
        <sz val="11"/>
        <color rgb="FFE97132"/>
        <rFont val="Aptos Narrow"/>
        <family val="2"/>
        <scheme val="minor"/>
      </rPr>
      <t>Parecem existir duas imagens deslocadas (estrofes) na digitalização, pois antecedem o prefácio, cf. Im. 13 e 14.</t>
    </r>
  </si>
  <si>
    <t>Die Lusiaden / des Luis de Camoens ; [trad.] J. J. C. Donner. - Zweite Ausgabe. - Stuttgart &amp; Sigmaringen : Verlag von H.W. Beck, 1854</t>
  </si>
  <si>
    <t>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t>
  </si>
  <si>
    <r>
      <t>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t>
    </r>
    <r>
      <rPr>
        <sz val="11"/>
        <color rgb="FF0F9ED5"/>
        <rFont val="Aptos Narrow"/>
        <family val="2"/>
        <scheme val="minor"/>
      </rPr>
      <t xml:space="preserve"> Antologia, paratextos gerais. Paratextos Vida: A inserir em paratextos gerais, lírica, outros.</t>
    </r>
  </si>
  <si>
    <t>Die Lusiaden / des Luis de Camoens ; deutsch in der Versart der portugiesischen urschrift von J. J. C. Donner. - Dritte vielfach verbesserte Auflage. - Leipzig : Fues's Verlag, 1869, sem argumentos.</t>
  </si>
  <si>
    <t>Camõen die Lusiaden : heroisch-episches Gedicht / aus dem portugiesischen von Karl Eitner. - Leipzig : Verlag des Bibliographischen Instituts, [ca. 1890]</t>
  </si>
  <si>
    <t>A Luiz de Camões / o Colegio de Campolide. Fundação da Academia e da livraria camonianas: espécie de estatutos.</t>
  </si>
  <si>
    <t>Die Lusiaden / von Luís de Camoens ; uebersetzt von J.J.C. Donner ; mit einer Einleitung von Otto von Leimer. - Stuttgart : Verlag von W. Spemann, [1883]</t>
  </si>
  <si>
    <t>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t>
  </si>
  <si>
    <t>Luziady : Epos W dziesieciu piesniach Z oryginalu portugalskiego / Luiz Camoens ; przelozyl objasnieniami i zyciorysem autora opatrzyl Adam M-Ski. - Warszawa : Wlasnósc naklad i druk S. Lewentala, 1890, sem argumentos. Erro gráfico na paginação, cf. Im. 71, mas conteúdo parece ser sequencial.</t>
  </si>
  <si>
    <t>Lusiaderne : hjeltedikt / af Luis de Camoëns ; öfversatt fran portugiskan I originalets versform af Nils Lóven.... - 2.a ed.. - Lund : Tryckt pá C. W. K. Gleerups Förlag, uti Berlingska Boktryckeriet, 1852, sem argumentos.</t>
  </si>
  <si>
    <t>O Adamastor : episodio extrahido do V Canto / de Camões. - Lisboa : na Imp. de J. N. Esteves e Filho, 1835 e A Ilha de Vénus</t>
  </si>
  <si>
    <t>A Ilha de venus : extrahido do nono Canto / de Camões. - Lisboa : na Imp. de J. N. Esteves e Filho, 1835</t>
  </si>
  <si>
    <t>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t>
  </si>
  <si>
    <t>A Igreja de Sant'Anna e a sepultura de Camões / por Luciano Cordeiro. - Lisboa : Impr. Nacional, 1897. Celebrações (1860), discussão.</t>
  </si>
  <si>
    <t>Discurso e poesia [publicada na "Revista Brasileira"] em homenagem a Camões no seu tricentenario / Franklin Doria. - Rio de Janeiro : Typ. de G. Leuzinger &amp; Filhos, 1886.  Celebrações (1880), recepção criativa. Tematização.</t>
  </si>
  <si>
    <t xml:space="preserve">A Luiz de Camões : cantata / letra de F. Bernardo Braga Junior ; musica de Miguel Angelo. - Porto : Impr. Commercial, 1880. Celebrações (1880), recepção criativa. Tematização. Poema a ser musicado, mas sem partitura. </t>
  </si>
  <si>
    <t>Sämmtliche Canzonen / des Luis de Camoens. - Zum ersten male deutsch von Wilhelm Storck. - Paderborn : druck und Verlag von Ferdinand Schöninghn, 1874.</t>
  </si>
  <si>
    <r>
      <t xml:space="preserve">Excerptos das obras de Luis de Camões publicados por subscripção promovida entre a classe académica de Lisboa / [pref. de Affonso Vargas]. - Lisboa : Typographia Editora de Mattos Moreira &amp; C.a, 1880 [estrofes Canto I, Invocação; Fala de Vasco da Gama; Episódio Inês de Castro; Descrição da batalha de Aljubarrota; Fala do Velho do Restelo; Adamastor; Os doze] Lírica: sonetos; canções; odes; elegias; redondilhas; carta a uma dama; voltas; motes; cantigas; piscatória; endechas a Bárbara]. </t>
    </r>
    <r>
      <rPr>
        <sz val="11"/>
        <color rgb="FF0F9ED5"/>
        <rFont val="Aptos Narrow"/>
        <family val="2"/>
        <scheme val="minor"/>
      </rPr>
      <t>A inserir Antologia, Paratextos gerais, lírica e épica, outros.</t>
    </r>
  </si>
  <si>
    <t xml:space="preserve">Quatro sonetos : em homenagem a Luiz de Camões no seu tricentenario em Braga / do Conselheiro Antonio José Viale. - [Braga : s.n., 1880]. Celebrações (1880), recepção criativa. Tematização. </t>
  </si>
  <si>
    <t xml:space="preserve">Discurso em honra de Luiz de Camões / por A. Pinto da Rocha. - Lisboa : Typ. da Casa de Inglaterra, 1880. </t>
  </si>
  <si>
    <t>Intorno al genovese Carlo Antonio Paggi : cenni / Joaquim de Araujo. - Genova : Tip. R. Istituto Sordo-muti, 1899</t>
  </si>
  <si>
    <r>
      <t xml:space="preserve">Poesias lyricas selectas / publicadas pela V. de V. M. [Viscondessa de Vila Maior]. - Coimbra : Imp. da Universidade, 1876 [sonetos, canções, odes, elegias, éclogas, redondilhas (cartas), estanças, voltas, motes, cantiga velha, endechas]. </t>
    </r>
    <r>
      <rPr>
        <sz val="11"/>
        <color rgb="FF0F9ED5"/>
        <rFont val="Aptos Narrow"/>
        <family val="2"/>
        <scheme val="minor"/>
      </rPr>
      <t>A inserir Antologia, Paratextos vida e paratextos notas: uma extraída de Faria e Sousa, as outras duas são da autora sobre a edição.</t>
    </r>
  </si>
  <si>
    <t>Bibliographia camoneana : resenha chronologica das edições das obras de Luiz de Camões e das suas traduções impressas... / por Alfredo do Valle Cabral. - Ed. rev. por Joaquim de Araujo. - Porto : Typ. Occidental, 1884.</t>
  </si>
  <si>
    <t>Soneto italiano de Torquato Tasso... endereçado como encomio ao nosso Luiz de Camões : com as versões em portuguez, francez e inglez / antecedidas d'um preambulo do Prof... Pereira Caldas. - Braga : Impr. Commercial, 1883. Celebrações (1880), recepção criativa, tematização.</t>
  </si>
  <si>
    <r>
      <t xml:space="preserve">O Adamastor. - Lisboa : Typographia Casa Portugueza, 1897. Imagem 4 do cruzador intitulado "Adamastor", mas inclui tradução bilingue do episódio. </t>
    </r>
    <r>
      <rPr>
        <sz val="11"/>
        <color rgb="FFE97132"/>
        <rFont val="Aptos Narrow"/>
        <family val="2"/>
        <scheme val="minor"/>
      </rPr>
      <t>Os paratextos gerais versam sobre o cruzador.</t>
    </r>
  </si>
  <si>
    <t>Lysiade : centuria metrica / Antonio José Viale. - 2ª ed. - Lisboa : Lallement, Fréres, 1885.</t>
  </si>
  <si>
    <t>Luis de Camões : elogio academico, lido na... Universidade de Coimbra / Luis Maria da Silva Soares. - Porto : Typ. Occidental, 1881</t>
  </si>
  <si>
    <r>
      <t>Selecta camoniana ou excerptos dos Lusiadas / com summarios e notas explicativas por Antonio José Viale.... - Lisboa : Liv. da V. Bertrand &amp; Filhos, 1863.</t>
    </r>
    <r>
      <rPr>
        <sz val="11"/>
        <color rgb="FF0F9ED5"/>
        <rFont val="Aptos Narrow"/>
        <family val="2"/>
        <scheme val="minor"/>
      </rPr>
      <t xml:space="preserve"> A inserir Frag. Paratextos argumentos e Paratextos notas. </t>
    </r>
    <r>
      <rPr>
        <sz val="11"/>
        <color rgb="FFE97132"/>
        <rFont val="Aptos Narrow"/>
        <family val="2"/>
        <scheme val="minor"/>
      </rPr>
      <t>Parece existir salto na paginação: p. 271 para 278, cf. Im. 284-286. Truncada ou assim no original?</t>
    </r>
  </si>
  <si>
    <t>Homenagem a Camões por ocasião do seu tricentenário a 10 de Junho de 1880. - Lisboa : Tip. Nova Minerva, 1880. </t>
  </si>
  <si>
    <t>Manual de citações camoneanas / colleccionadas por Narciso José de Morais. - Porto : Livraria Portuense de Clavel &amp; C.a, 1884. Inclui tradução do soneto "Alma minha gentil, que te partiste" de Felicia Hemans</t>
  </si>
  <si>
    <t>Os Lusíadas : segundo o texto da primeira edição de 1572, com as variantes da 2ª edição 1584. - Coimbra : Imprensa da Universidade. - Braga : Livraria Cruz, 1923. Épica, sem argumentos, com variantes. Um ano antes da celebração: não agregar.</t>
  </si>
  <si>
    <t>La mort d'Ines de Castro et Adamastor : morceaux tirés et traduits de la Luziada de Camoens pour servir d'essai a une traduction françoise en vers et complete de ce fameux poëme portugais.... - A Lisbonne : Imprimerie Royale, [1772]. Bilingue. Inclui, ainda, tradução bilingue do episódio de Adamastor.</t>
  </si>
  <si>
    <t>A Morte de D. Ignez de Castro contada por Manuel Maria du Bocage a que se junta um episódio do mesmo assunto do imortal Luiz de Camões. 1824.</t>
  </si>
  <si>
    <t>Fragmentos [proposição; invocação e excerto da descrição da ilha dos Amores, Canto IX]. Trad. Paratextos gerais; Trad. Paratextos notas.</t>
  </si>
  <si>
    <t>Episódio do Gigante Adamastor : excerpto do canto V dos Lusíadas / [de Luís de Camões] ; trasladado em versos latinos por António José Viale.... - Lisboa : Lallemant Fréres, 1876.</t>
  </si>
  <si>
    <t>Episodio de Ignez de Castro : extrahido dos Lusiadas de Camões / com a versão latina de Fr. Francisco dos Santos Agostinho de Macedo ; e com um preambulo do professor Pereira Caldas. - Porto : Typographia Universal, 1880. Bilingue. Inclui trovas de Garcia Resende sobre o episódio.</t>
  </si>
  <si>
    <r>
      <t>Os Lusiadas : poema epico / de Luis de Camões... ; notas philologicas, historicas, geograficas e mythologicas por José da Fonseca. - Paris : na Livr. Europea de Baudry, 1846, sem argumentos, mas com lições várias e estrofes rejeitadas. Paratextos vida e Paratextos notas.</t>
    </r>
    <r>
      <rPr>
        <sz val="11"/>
        <color rgb="FF0F9ED5"/>
        <rFont val="Aptos Narrow"/>
        <family val="2"/>
        <scheme val="minor"/>
      </rPr>
      <t xml:space="preserve"> </t>
    </r>
    <r>
      <rPr>
        <sz val="11"/>
        <color rgb="FFE97132"/>
        <rFont val="Aptos Narrow"/>
        <family val="2"/>
        <scheme val="minor"/>
      </rPr>
      <t>Salto na paginação do C. II, pp. 65-68, cf. Im. 107-108: truncada ou assim no original?</t>
    </r>
  </si>
  <si>
    <t>Aus Portugal und Brasilien 1250-1890 : Ausgewählte Gedichte / Verdeutscht von Wilhelm Stork. - Münster : Verlag von Heinrich Schöningh, 1892. Trad. Paratextos gerais.</t>
  </si>
  <si>
    <t>A voz da gratidão e o e'cco da verdade : versos centonicos extrahidos das obras de Luiz de Camões e intermediados com outros tantos versos do author da presente obra que ao... D. Pedro Duque de Bragança... O.D.C. hum subdito leal e amante da carta. - Lisboa : Imprensa Nevesiana, 1834</t>
  </si>
  <si>
    <t xml:space="preserve">O memorial de Camões: registo de aniversários e lembranças coligido entre todas as obras do poeta por Fernandes Costa. Comemoração do 312.º Aniversário do falecimento de Luís de Camões. Lisboa. 1892.  [espécie de calendário poético, com epígrafes camonianas] </t>
  </si>
  <si>
    <r>
      <t xml:space="preserve">Os Lusíadas... / Luís de Camões ; ed. Morgado de Mateus, Fermino Didot. - Nova edição correcta, e dada à luz, conforme à de 1817, sem argumentos. Paratextos vida e Paratextos notas. </t>
    </r>
    <r>
      <rPr>
        <sz val="11"/>
        <color rgb="FFE97132"/>
        <rFont val="Aptos Narrow"/>
        <family val="2"/>
        <scheme val="minor"/>
      </rPr>
      <t xml:space="preserve">Faltam duas pp. na advertência: cf. Im. 49-50: truncada ou assim no original? </t>
    </r>
  </si>
  <si>
    <t>Descrição da festa comemorativa do tricentenario de Camões. - Rio de Janeiro : Tip. de J. D. de Oliveira, 1880. Figuras Femininas: D. Adelina Vieira, consócia, leitura de O episodio de Inês de Castro; Adelina Amélia Lopes Vieira: poema "A Camões". Celebrações (1880), recepção criativa, tematização.</t>
  </si>
  <si>
    <t>Trad. Paratextos gerais. Poesias líricas / José Lamarque de Nova ; com um prólogo de Fernando de Gabriel y Ruiz de Apodaca. contém traduções de sonetos de Camões.</t>
  </si>
  <si>
    <t xml:space="preserve">Francisco de Paula Santa Clara. Imitação do episódio do canto terceiro dos Lusíadas imortal poema de Luís de Camões, em versos latinos. Coimbra. 1875. A tradução latina recorre a versos de Horácio, Virgílio, entre outros, e inclui fragmentos de tradução de Fr. João Félix e visconde de Juromenha. </t>
  </si>
  <si>
    <t>CXXIV Sonnets / Dante, Petrarch, Camõens ; translated by Richard Garnett. - London : John Lane. - Boston : Copeland &amp; Day, 1896.</t>
  </si>
  <si>
    <t>Magazin der Spanischen und portugiesischen litteratur. Herausgegeben von F. J. Bertuch. Weimar. 1780. Mapa Vasco da Gama.</t>
  </si>
  <si>
    <t>Machado de Assis. Tu só, tu, puro amor: comédia. Rio de Janeiro. 1881. [peça sobre os amores de Camões e Catarina de Ataíde representada no Teatro de D. Pedro II] . Celebrações (1880), Recepção criativa, tematização.</t>
  </si>
  <si>
    <t>[P. José Clemente]. Juízo do juízo imparcial do moderno anónimo o qual... pertendeu defender os erros da edição novíssima do poema da Lusiada do grande Luís de Camões. Lisboa. 1784.</t>
  </si>
  <si>
    <t>[Tomás José de Aquino]. Carta em resposta a um amigo, na qual se mostra, que, pela figura sinalefa, assim como na latina, se podem elidir os ditongos na versificação vulgar. Lisboa. 1785. [referência a Camões e aos versos que se acham errados, por elidir ditongos em alguns lugares do seu Poema e Rimas, p. 55]</t>
  </si>
  <si>
    <t>Carta de hum amigo a outro, na qual se forma juizo da edição novíssima do poema da Lusiada do grande Luiz de Camões que sahio a luz no anno de 1779 / [P. José Clemente]. - Lisboa : na Of. Patr. de Francisco Luiz Ameno, 1783. </t>
  </si>
  <si>
    <t>[Tomás José de Aquino]. Discurso crítico em que se defende a nova edição da Lusíada do grande Luís de Camões, feita no ano de 1779 das acusações que contra ela publicou o Autor da Carta de um amigo a outro, etc. Lisboa. 1784. </t>
  </si>
  <si>
    <r>
      <t>Lírica: redondilhas, sôbolos rios [Babel e Sião], sem explicitação de esparsas,</t>
    </r>
    <r>
      <rPr>
        <sz val="11"/>
        <color rgb="FF0F9ED5"/>
        <rFont val="Aptos Narrow"/>
        <family val="2"/>
        <scheme val="minor"/>
      </rPr>
      <t xml:space="preserve"> </t>
    </r>
    <r>
      <rPr>
        <sz val="11"/>
        <color rgb="FF000000"/>
        <rFont val="Aptos Narrow"/>
        <family val="2"/>
        <scheme val="minor"/>
      </rPr>
      <t>mote, voltas, vilancete, cantiga, glosa, cartas-poemas, endechas, a.b.c. em motes, trovas, labirinto, disparates, sonetos, éclogas, odes, sextinas, oitavas, elegias, canções e Cartas. Iconografia, figuras históricas [infanta D. Maria], mapas, e outros [nau de S. Bento?]; Paratextos vida [apenas datas].</t>
    </r>
  </si>
  <si>
    <t>José Agostinho de Macedo. O exame examinado, ou resposta aos senhores bacharéis João Bernado da Rocha, e Nuno Pato Moniz. Lisboa. 1812.  [libelo em tom polémico]</t>
  </si>
  <si>
    <t>Nuno Álvares Pereira Pato Moniz. Exame analítico e paralelo do poema Oriente do R. do José Agostinho de Macedo com a Lusíada de Camões. Lisboa. 1815. [tom polémico em defesa de Camões]</t>
  </si>
  <si>
    <t>Segunda parte: sonetos; elegias; odes; canções; sextinas; petição, cantiga, redondilhas, esparsas, voltas, trovas, mote, vilancete, epístolas-poemas.  Falta a primeira parte, que conterá as duas comédias, tal como surge no índice, confirmado livro físico.</t>
  </si>
  <si>
    <t>L. A. Burgain. Luís de Camões: drama em cinco actos. Rio de Janeiro. 1849. [apresentado em vários teatros: Portugal e Brasil] Figuras Femininas [dedicatória: Maria Luísa Elvira Desrousseaux]</t>
  </si>
  <si>
    <r>
      <t xml:space="preserve">Destinado a ser um prefácio de uma tradução de </t>
    </r>
    <r>
      <rPr>
        <i/>
        <sz val="11"/>
        <color rgb="FF000000"/>
        <rFont val="Aptos Narrow"/>
        <family val="2"/>
        <scheme val="minor"/>
      </rPr>
      <t xml:space="preserve">Os Lusíadas </t>
    </r>
    <r>
      <rPr>
        <sz val="11"/>
        <color rgb="FF000000"/>
        <rFont val="Aptos Narrow"/>
        <family val="2"/>
        <scheme val="minor"/>
      </rPr>
      <t xml:space="preserve"> a ser publicada pelo Gabinete Português de Leitura. 1880.</t>
    </r>
  </si>
  <si>
    <t>Camoens / J. B. d'Almeida Garrett ; poëme traduit du portugais avec une introduction et des notes par Henri Faure.... - Paris : A. Quantin, 1880, inclui retrato de Garrett, Im. 10, e notas finais. Celebrações (1880), recepção criativa, tematização.</t>
  </si>
  <si>
    <t xml:space="preserve">Luis de Camoens / par Miguel Lemos.... - Paris : Au Siége Central du Positivisme, 1880 </t>
  </si>
  <si>
    <r>
      <t>O centenário de Camões em Pernambuco / festas promovidas pela directoria do Gabinete Portuguez de Leitura. - Porto : Imprensa Portuguesa, 1880. Imagens: Instituto de Pernambuco, 10.</t>
    </r>
    <r>
      <rPr>
        <sz val="11"/>
        <color rgb="FF0F9ED5"/>
        <rFont val="Aptos Narrow"/>
        <family val="2"/>
        <scheme val="minor"/>
      </rPr>
      <t xml:space="preserve"> </t>
    </r>
    <r>
      <rPr>
        <sz val="11"/>
        <color rgb="FF000000"/>
        <rFont val="Aptos Narrow"/>
        <family val="2"/>
        <scheme val="minor"/>
      </rPr>
      <t>Celebrações (1880), recepção criativa, tematização e contém uma espécie de programa.</t>
    </r>
  </si>
  <si>
    <t>Camoëns - Ein Dichterleben : roman in Vergen. 1892.</t>
  </si>
  <si>
    <t>Concordantur praecipua loca inter Virgilium et Camonium. [ed. por Antonio Francisco Barata]. Évora. 1882. [cotejamento Virgílio e Camões].</t>
  </si>
  <si>
    <r>
      <t>Sonetos de amor de Luís de Camões : com uma notícia biográfica do poeta. - Lisboa : Companhia Nacional Editora, 1890. </t>
    </r>
    <r>
      <rPr>
        <sz val="11"/>
        <color rgb="FF0F9ED5"/>
        <rFont val="Aptos Narrow"/>
        <family val="2"/>
        <scheme val="minor"/>
      </rPr>
      <t>A inserir Antologia, paratextos vida.</t>
    </r>
  </si>
  <si>
    <t>Almanach Camões para 1881. - Lisboa : Livr. Portugueza e Franceza da Viuva Campos Junior, [1880]. Poema de Amélia Janny dedicado a Camões, cf. Im. 75.</t>
  </si>
  <si>
    <t>Carmen saeculare / J. Leite de Vasconcelos.... - Porto : [Tip. da] Rua de Santa Catarina, 78, 1880. Recitado no Teatro de S. João, na festa académica de Camões. Celebrações (1880), recepção criativa, tematização.</t>
  </si>
  <si>
    <t>Luís de Camões o príncipe dos poetas portuguezes : breve notícia sobre a vida e merecimentos... / coordenada por Mendes Canuto. - Lisboa : Typ. Progressista de P. A. Borges, 1880. </t>
  </si>
  <si>
    <r>
      <t xml:space="preserve">Memórias do principe dos poetas Luis de Camões cantor das glórias portuguesas. - Lisboa : Typ. de Gonçalves, 1880. </t>
    </r>
    <r>
      <rPr>
        <sz val="11"/>
        <color rgb="FF0F9ED5"/>
        <rFont val="Aptos Narrow"/>
        <family val="2"/>
        <scheme val="minor"/>
      </rPr>
      <t>A inserir Paratextos gerais, fragmentos, épica: fica em paratextos, outros.</t>
    </r>
  </si>
  <si>
    <t>A vida de Camões por Thomas Joseph de Aquino... Seguida de uma outra notícia da sua existência / por Manuel de Faria e Sousa. - Porto : Imprensa Comercial, 1880. Celebrações, centão.</t>
  </si>
  <si>
    <t>Resumo histórico da vida do grande poeta Luiz de Camões... / por J. G. C.. - Lisboa : Typ. do Diário da manhã, 1880</t>
  </si>
  <si>
    <t>Luis' de Camoens Leben. Nebst Geschichtlicher Einleitung / von Wilhelm Storck. - Paderborn : Druck und Verlag von Ferdinand Schöningh, 1890</t>
  </si>
  <si>
    <t>O Portugal de Camões : offerecido à Mocidade Portugueza e Brazileira seguido de um elucidario e indice chronologico / por A. A. Daux. - Paris : Typ. Guillard, Aillaud &amp; C.ie, 1889. </t>
  </si>
  <si>
    <t>Luiz de Camões : homenagem da Gazeta de Noticias.... - Rio de Janeiro : Gazeta de Notícias, 1880. Listas de edições e traduções.</t>
  </si>
  <si>
    <t>Les voyages de Camoens / par Raoul de Navery. - Paris : A. Rennwyer, 1880, com notas no final.</t>
  </si>
  <si>
    <t>Camões : drama histórico em 5 actos / Cypriano Jardim ; [pref. de Theófilo Braga]. - Porto : Imprensa Portuguesa, 1880. Representado pela primeira vez nas festas do tricentenário no Teatro de D. Maria II. Celebrações (1880), recepção criativa, tematização.</t>
  </si>
  <si>
    <t>Camões / ode do Cavalheiro Raynouard... ; traduzida em verso portuguez por Francisco Manoel, 1825, com notas.</t>
  </si>
  <si>
    <t>Luiz de Camoens, der sänger der Lusiaden : biographische skizze / Dr. Carl von Reinhardstoettner.... - Zweite Auflage. - Leipzig : Carl Hildebrandt &amp; Cº- , 1877, com notas no final.</t>
  </si>
  <si>
    <t>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t>
  </si>
  <si>
    <t>Discurso inaugural... pronunciado na abertura da Exposição Camoniana a 10 de Junho / Conde de Samodães. - Porto : Palacio de Crystal, 1880.</t>
  </si>
  <si>
    <t>Conferencia sobre phylloxera vastatrix / por Julio Mário Vianna.... - Lisboa : Typographia Universal, 1880. No âmbito das celebrações do Tricentenário. As primeiras conferências foram dedicadas a assuntos literários, a Camões e à sua vida, as restantes sobre tópicos elegidos pelos alunos, como é o caso. Excluir ou manter?</t>
  </si>
  <si>
    <t>Discurso pronunciado... por ocasião do tricentenario do grande epico Luiz de Camöes. - Lisboa : Imprensa de J.G. de Sousa Neves, 1880. </t>
  </si>
  <si>
    <r>
      <t xml:space="preserve">Homenagem a Camões por occasião do seu tricentenario... / Soares Romeo Junior. - Lisboa : Typ. Nova Minerva, 1880. </t>
    </r>
    <r>
      <rPr>
        <sz val="11"/>
        <color rgb="FFE97132"/>
        <rFont val="Aptos Narrow"/>
        <family val="2"/>
        <scheme val="minor"/>
      </rPr>
      <t>Falta continuação da III Parte: Obra truncada ou assim no original?, cf. Im. 13.</t>
    </r>
  </si>
  <si>
    <r>
      <t xml:space="preserve">Conferencia sobre Camões ou dissertação didactica em que a uma ligeira analyse das bellezas do poema Os Lusiadas se junta o parallelo entre os dois famosos epicos Torquato Tasso e Camões... / por Manuel Martiniano Marrecas.... - Lisboa : Typ. de Ximenes Leopoldino Corrêa, 1880. Para desafrontar o poeta português da injusta apreciação que da sua epopeia fez Voltaire. </t>
    </r>
    <r>
      <rPr>
        <sz val="11"/>
        <color rgb="FF0F9ED5"/>
        <rFont val="Aptos Narrow"/>
        <family val="2"/>
        <scheme val="minor"/>
      </rPr>
      <t>O tom não é polémico, ainda assim Inserir polémica?</t>
    </r>
  </si>
  <si>
    <r>
      <t>Folheto dedicado à memoria do grande Luiz de Camões... / por Gaspar d'Azevedo. - Lisboa : Typ. Portugueza, 1880.</t>
    </r>
    <r>
      <rPr>
        <sz val="11"/>
        <color rgb="FF0F9ED5"/>
        <rFont val="Aptos Narrow"/>
        <family val="2"/>
        <scheme val="minor"/>
      </rPr>
      <t xml:space="preserve"> </t>
    </r>
    <r>
      <rPr>
        <sz val="11"/>
        <color rgb="FF000000"/>
        <rFont val="Aptos Narrow"/>
        <family val="2"/>
        <scheme val="minor"/>
      </rPr>
      <t>Celebrações (1880), recepção criativa, tematização. Contém excertos de episódio e oitavas de Camões que sustentam as qualidades, a vida (oitavas sobre a paixão do Poeta por Catarina de Ataíde) e as acções do Poeta.</t>
    </r>
  </si>
  <si>
    <r>
      <t>A alma de Camões / Ernesto Pires. - Porto : Liv. Portuense de Cavel, 1882, sem referência ao Tricentenário. </t>
    </r>
    <r>
      <rPr>
        <sz val="11"/>
        <color rgb="FF0F9ED5"/>
        <rFont val="Aptos Narrow"/>
        <family val="2"/>
        <scheme val="minor"/>
      </rPr>
      <t xml:space="preserve"> </t>
    </r>
    <r>
      <rPr>
        <sz val="11"/>
        <color rgb="FFE97132"/>
        <rFont val="Aptos Narrow"/>
        <family val="2"/>
        <scheme val="minor"/>
      </rPr>
      <t xml:space="preserve">Termina na p. 24, sem indicação de fim: Obra incompleta ou truncada? </t>
    </r>
  </si>
  <si>
    <t xml:space="preserve">Camões em Coimbra : poema realista / por um académico. - Coimbra : [s. n.], 1881, sem referência ao Tricentenário. </t>
  </si>
  <si>
    <t>Catalogo da Camoneana da Bibliotheca Pública Municipal do Porto ordenado por um dos officiaes guarda-salas da mesma Bibliotheca. - Porto : Biblioteca Pública Municipal do Porto, 1880. Celebrações, catálogo.</t>
  </si>
  <si>
    <r>
      <t>A consciencia dos seculos : poema no terceiro centenario de Camões / J. Leite de Vasconcellos. - Porto : Liv. Encadernação de J.P. Vaz, 1880, com nota final. Recorre a algumas citações de versos camonianos.</t>
    </r>
    <r>
      <rPr>
        <sz val="11"/>
        <color rgb="FF0F9ED5"/>
        <rFont val="Aptos Narrow"/>
        <family val="2"/>
        <scheme val="minor"/>
      </rPr>
      <t xml:space="preserve"> </t>
    </r>
    <r>
      <rPr>
        <sz val="11"/>
        <color rgb="FF000000"/>
        <rFont val="Aptos Narrow"/>
        <family val="2"/>
        <scheme val="minor"/>
      </rPr>
      <t>Celebrações (1880), recepção criativa, tematização.</t>
    </r>
  </si>
  <si>
    <t>Ode a Luiz de Camões em 10 de Junho de 1880 / [Sebastião Filipe Martins Estácio da Veiga]. - Lisbos : Typ. da Casa Progresso, 1880.  Celebrações (1880), recepção criativa, tematização.</t>
  </si>
  <si>
    <t>A voz da consciencia : homenagem a Camões / Ernesto Pires. - Porto : Typ. de A. J. da Silva, 1881. Celebrações (1880), recepção criativa, tematização.</t>
  </si>
  <si>
    <t>Luis de Camoens'Sãmmtliche Gedichte. Zum ersten Male deutsch von Wilhelm Storck. Paderborn, druck und verlag von Ferdinand Schöningh, 1880-1882. Recensão e/ou estudo da autora sobre a tradução dos poemas do Poeta por Storck?</t>
  </si>
  <si>
    <t>Neues zum Buche der Kamonianischen Elegien / Carolina Michaelis de Vasconcellos. - [S. l. : s. n., ca.1883]. Recensão e/ou estudo a Elegias camonianas.</t>
  </si>
  <si>
    <t>Palavras proferidas na festa do centenário de Camões / pelo Dr. Guilherme Studart. - Fortaleza : Typ. do Cearense, 1880.</t>
  </si>
  <si>
    <r>
      <t>Os Lusiadas de Camoens y sus traducciones al castellano. - Madrid : Tip. de Manuel G. Hernandez, 1880 e "Del valor literário de los Lusíadas y de las demás obras poética del inmortal Camoens"</t>
    </r>
    <r>
      <rPr>
        <sz val="11"/>
        <color rgb="FF0F9ED5"/>
        <rFont val="Aptos Narrow"/>
        <family val="2"/>
        <scheme val="minor"/>
      </rPr>
      <t xml:space="preserve"> </t>
    </r>
    <r>
      <rPr>
        <sz val="11"/>
        <color rgb="FFE97132"/>
        <rFont val="Aptos Narrow"/>
        <family val="2"/>
        <scheme val="minor"/>
      </rPr>
      <t>em Revista Contemporânea.</t>
    </r>
  </si>
  <si>
    <t>Estatutos / da Sociedade Nacional Camoneana. - Porto : Impr. Portugueza, 1880. </t>
  </si>
  <si>
    <t>Este paiz e Camões : prologo ao centenario / por um eremita que não está morto. - [Ponte de Lima] : Bibliotheca Noites do Minho Editora, 1880. Polémica. Paródia, cf. Im. 22. Celebrações (1880), recepção criativa, paródia.</t>
  </si>
  <si>
    <t>Estatutos / do Atheneu Commercial [de] Lisboa. - Lisboa : Typ. Nova Minerva, 1881. Criada em homenagem a Luís de Camões, cf. Im. 7, criação de um gabinete camoniano, cf. 34; haverá um busto de Camões na sala ou no gabinete, cf. 35; cunhagem de uma medalha para o Tricentenário, cf. 36.</t>
  </si>
  <si>
    <t>Estatutos [da] Associação dos Jornalistas e Escriptores Portuguezes. - Lisboa : Typ. Universal, 1880.  Fundada em 10 de junho de 1880 para solenizar o Tricentenário.</t>
  </si>
  <si>
    <t>Relatório e contas da Direcção no ano social de 1879-1880 / Sociedade Nova Euterpe. - Porto : Typ. Central, 1880, cf. Im. 35-37. Contém excertos transcritos de periódicos sobre a ocasião.</t>
  </si>
  <si>
    <t>Tricentenario de Camões : commissão dos festejos na Rua Aurea : desenvolvimento da receita e despeza apresentada aos... subscriptores / pelos Thesoureiros da Comissão Estevão Nunes &amp; F.os. - [Lisboa : s.n., 1880]. Donativos de: Maria Sanches de Jesus Barbosa; viúva Rouband (?) &amp; Filhos; viúva de Manuel da Costa Marques, Carolina Novaes, viúva de Miguel Dias de Sousa, Maria Júlia da Conceição e Silva,  Rosa Ferreira, Mariana Cesarina Tremualda da Silva, Guilhermina Candida da Silva Brito, Emilia Pereira da Cruz, cf. Im. 7-10 e 12.</t>
  </si>
  <si>
    <t>Relatorio apresentado à assembléa geral / do Gabinete Portuguez de Leitura em Pernambuco.... - Pernambuco : Typ. de Manoel Figueiroa de Faria &amp; Filhos, 1880, com excerto de periódico sobre o centenário no final, cf. Im. 66.</t>
  </si>
  <si>
    <t>Memória y cuentas : referentes al año de 1880 / de la Asociacion Española en Lisboa La Fraternidad. - Lisboa : Lallemant Fréres, 1881</t>
  </si>
  <si>
    <t xml:space="preserve">Relatorio e contas da gerencia da Commissão de Beneficencia da Freguezia de Santa Justa e Rufina no anno de 1880. - Lisboa : Typ. da Casa de Inglaterra, 1881. </t>
  </si>
  <si>
    <t>Camoens et Jozé Indio / [Ferdinand Denis]. - [S. l. : s. n., 18..], com ode em homenagem a Camões composta por Raynouard no original e traduzida por Franscisco Manuel.</t>
  </si>
  <si>
    <t>Carta ao Illmº Snr. Thomaz Norton, sobre a situação da Ilha de Venus e em defeza de Camões contra uma arguição que na sua obra intitulada Cosmos lhe faz... Alexandre de Humboldt / por José Gomes Monteiro.... - Porto : Na Typographia de S. J. Pereira, 1849, com notas manuscritas no início e no final da obra.  Erro na abertura da cópia pública, PDF consultado via Miguel.</t>
  </si>
  <si>
    <t>Os Lusiadas e a conversão preambular : carta a Avelino de Sousa / por João de Deus. - Lisboa : Typ. Rua Nova dos Martyres,3, 1880</t>
  </si>
  <si>
    <t>A varanda de Nathercia / de Alberto Pimentel. - Lisboa : Empresa Litteraria de Lisboa, [1880]. Celebrações (1880), recepção criativa.</t>
  </si>
  <si>
    <r>
      <t>Vasco da Gama e Luiz de Camões.. esboços biográficos / por Silva Viana. - Belem : Typ. Belenense, 1880.</t>
    </r>
    <r>
      <rPr>
        <sz val="11"/>
        <color rgb="FFE97132"/>
        <rFont val="Aptos Narrow"/>
        <family val="2"/>
        <scheme val="minor"/>
      </rPr>
      <t xml:space="preserve"> </t>
    </r>
    <r>
      <rPr>
        <sz val="11"/>
        <color rgb="FF000000"/>
        <rFont val="Aptos Narrow"/>
        <family val="2"/>
        <scheme val="minor"/>
      </rPr>
      <t>Erro na abertura da cópia pública, PDF consultado via Miguel.</t>
    </r>
  </si>
  <si>
    <t xml:space="preserve">Camões e o século XIX / por Hugo Leal.... - Lisboa : Livr. Internacional, 1880, conferência realizada na noite 2 de Junho na sala do Centro Republicano Federal. Erro na abertura da cópia pública, PDF consultado via Miguel. </t>
  </si>
  <si>
    <t>Camões e o seu cantor / A. M. Baptista. - Lisboa : Tip. de Ximenes Leopoldino Corrêa, 1880.</t>
  </si>
  <si>
    <t>O centenário de Camões / por Luciano Cordeiro. - Lisboa : Typ. de J. H. Verde, 1880. </t>
  </si>
  <si>
    <t>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t>
  </si>
  <si>
    <t>[Parecer sobre o exemplar dos Lusiadas de S. M. o Imperador do Brasil] / José Feliciano de Castilho Barreto e Noronha. 1850 Mai 10. Manuscrito.</t>
  </si>
  <si>
    <t>Discurso apologético a favor do insigne poeta Luis de Camões contra o L do Manoel Pires de Almeida / João Franco Barreto ; pref. Tomás Norton. 1847 . Manuscrito. Fragmento impresso de notícia sobre os restos mortais de Gama, cf. 67.</t>
  </si>
  <si>
    <r>
      <t xml:space="preserve">[Notas biográficas e bibliográficas e relação das obras de Luís de Camões] / Tomás Norton. Manuscrito. Contém traduções de estrofes de </t>
    </r>
    <r>
      <rPr>
        <i/>
        <sz val="11"/>
        <color rgb="FF000000"/>
        <rFont val="Aptos Narrow"/>
        <family val="2"/>
        <scheme val="minor"/>
      </rPr>
      <t>Os Lusíadas</t>
    </r>
    <r>
      <rPr>
        <sz val="11"/>
        <color rgb="FF000000"/>
        <rFont val="Aptos Narrow"/>
        <family val="2"/>
        <scheme val="minor"/>
      </rPr>
      <t>, cf. Im. 113-114.</t>
    </r>
  </si>
  <si>
    <t>Os Lusíadas : ensaio sobre Camões e a sua obra em relação à sociedade portugueza e ao movimento da Renascença / J. P. de Oliveira Martins. - Porto : Imprensa Portugueza, 1872. </t>
  </si>
  <si>
    <t>Camoëns : trauerspiel in Sünt Akten / von dr. Herman Th. Schmid.... - München : [s. n.], 1843.</t>
  </si>
  <si>
    <r>
      <t xml:space="preserve">A obra monumental de Luiz de Camões : estudos biographicos / de Pedro Wenceslau de Brito Aranha.... - Lisboa : Impr. Nacional, 1888. Refere Tricentenário e apresenta descrição de documentos sobre a ocasião e sobre a trasladação.Imagens: estandarte, 104; carros triunfais: 101, 106, 109 </t>
    </r>
    <r>
      <rPr>
        <sz val="11"/>
        <color rgb="FF4EA72E"/>
        <rFont val="Aptos Narrow"/>
        <family val="2"/>
        <scheme val="minor"/>
      </rPr>
      <t xml:space="preserve">  No subtítulo, ao invés de "estudos biográficos", deve ler-se "estudos bibliográficos". Corrigido.</t>
    </r>
    <r>
      <rPr>
        <sz val="11"/>
        <color rgb="FF8ED973"/>
        <rFont val="Aptos Narrow"/>
        <family val="2"/>
        <scheme val="minor"/>
      </rPr>
      <t xml:space="preserve"> </t>
    </r>
    <r>
      <rPr>
        <sz val="11"/>
        <color rgb="FF000000"/>
        <rFont val="Aptos Narrow"/>
        <family val="2"/>
        <scheme val="minor"/>
      </rPr>
      <t xml:space="preserve">Referência a Perpétua Pereira Marques e a Maria Sanches de Jesus Barbosa, responsáveis por edições de </t>
    </r>
    <r>
      <rPr>
        <i/>
        <sz val="11"/>
        <color rgb="FF000000"/>
        <rFont val="Aptos Narrow"/>
        <family val="2"/>
        <scheme val="minor"/>
      </rPr>
      <t>Os Lusíadas,</t>
    </r>
    <r>
      <rPr>
        <sz val="11"/>
        <color rgb="FF000000"/>
        <rFont val="Aptos Narrow"/>
        <family val="2"/>
        <scheme val="minor"/>
      </rPr>
      <t xml:space="preserve"> a partir da de Corazzi, cf. Im. 438. Lugares de Memória.</t>
    </r>
  </si>
  <si>
    <t>Camoneana brazileira : homenagem a Camões no tricentenário de sua morte / pelo barão de Paranapiacaba. - Rio de Janeiro : Imprensa Nacional, 1886. Palestra literária, realizada numa das salas do Externato de Pedro II. Celebrações (1880), recepção criatva, tematização [poema em homenagem a Camões, a partir dos argumentos dos Cantos].</t>
  </si>
  <si>
    <t>Estudo moral e politico sobre os Lusiadas / por José Silvestre Ribeiro. - Lisboa : Imprensa nacional, 1853.</t>
  </si>
  <si>
    <r>
      <t>A velhice de Camoes / G. de la Landelle ; trad. de J. L. Rodrigues Trigueiros. - 2.a ed.. - Lisboa : Francisco Artur da Silva, 1880.</t>
    </r>
    <r>
      <rPr>
        <sz val="11"/>
        <color rgb="FF0F9ED5"/>
        <rFont val="Aptos Narrow"/>
        <family val="2"/>
        <scheme val="minor"/>
      </rPr>
      <t xml:space="preserve"> </t>
    </r>
    <r>
      <rPr>
        <sz val="11"/>
        <color rgb="FF000000"/>
        <rFont val="Aptos Narrow"/>
        <family val="2"/>
        <scheme val="minor"/>
      </rPr>
      <t>Celebrações (1880), recepção criatva, tematização.</t>
    </r>
  </si>
  <si>
    <r>
      <t>Luiz de Camoens der sänger der Lusiaden : biographische Skizze / von Dr. Carl von Reinhardstoettner.... - Zweite auflage. - Leipzig : Verlag des Hausfreudes, 1879, com notas finais</t>
    </r>
    <r>
      <rPr>
        <sz val="11"/>
        <color rgb="FF0F9ED5"/>
        <rFont val="Aptos Narrow"/>
        <family val="2"/>
        <scheme val="minor"/>
      </rPr>
      <t>.</t>
    </r>
    <r>
      <rPr>
        <sz val="11"/>
        <color rgb="FF000000"/>
        <rFont val="Aptos Narrow"/>
        <family val="2"/>
        <scheme val="minor"/>
      </rPr>
      <t> Associar a Celebrações (1880), vida? Sim.</t>
    </r>
  </si>
  <si>
    <t>Observações sobre a allegoria nos Lusiadas de Camões : Zur dreihundertjährigen Gedächtnissfeier das Dichteres der Lusiaden... / verfasst von F. J. Schmitz. - Aschaffenburg : Wailandt'sche Druckerei Actien-Gesellschaft,1897.</t>
  </si>
  <si>
    <r>
      <t xml:space="preserve">Paródia ao primeiro canto dos Lusiadas de Camões. - Porto : Typ. da E. Formosa, 1845. </t>
    </r>
    <r>
      <rPr>
        <sz val="11"/>
        <color rgb="FFE97132"/>
        <rFont val="Aptos Narrow"/>
        <family val="2"/>
        <scheme val="minor"/>
      </rPr>
      <t>Salto na paginação: cf. pp. V e VIII, cf. Im. 6-7: obra truncada ou assim no original?</t>
    </r>
  </si>
  <si>
    <t>Festas bacchanaes : conversão do primeiro canto dos Lusiadas do grande L[uís] de Camões vertidos do humano em o de vinho por uns caprichosos auctores / O D[outo]r Manoel do Valle, Bartholomeu Varella, Luis Mendes de Vasconcellos, o Licenceado Manuel Luis. Anno de 1589. Manuscrito.</t>
  </si>
  <si>
    <t>Amphigori : [poesia burlesca com anotações]. -1843 Ag. 12. Manuscrito.</t>
  </si>
  <si>
    <t>[Bordalengo : paródia]. Parece não se tratar de uma paródia ao Poema, mas parece existir uma referência a Camões. Manuscrito.</t>
  </si>
  <si>
    <t>Luziadas de Luis de Camões Contra feitas a velhaquesca : festas Baccanaes Canto Prim[ei]ro (46 estrofes). -[16--]. Manuscrito incompleto.</t>
  </si>
  <si>
    <t>Primeiro canto das Lusiadas do insígne poeta Luis de Camones, traduzido a bebediçe. -[16--]. Manuscrito incompleto.</t>
  </si>
  <si>
    <t>Discurso proferido pelo Presidente da Directoria [do] Gabinete Portuguez de Leitura no Rio de Janeiro na sessão de posse do conselho deliberativo em 18 de Junho de 1879. Centenário de Camões, plano futuro das festas.</t>
  </si>
  <si>
    <r>
      <t>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t>
    </r>
    <r>
      <rPr>
        <sz val="11"/>
        <color rgb="FF0F9ED5"/>
        <rFont val="Aptos Narrow"/>
        <family val="2"/>
        <scheme val="minor"/>
      </rPr>
      <t xml:space="preserve"> </t>
    </r>
    <r>
      <rPr>
        <sz val="11"/>
        <color rgb="FF000000"/>
        <rFont val="Aptos Narrow"/>
        <family val="2"/>
        <scheme val="minor"/>
      </rPr>
      <t>Lugares de Memória.</t>
    </r>
  </si>
  <si>
    <t>Les portugais : poëme en dix chants / par Camoens. - Limoges : Impr. Marc Barbou et C i e, [18-], sem argumentos.</t>
  </si>
  <si>
    <t>Biografia de Luiz de Camões principe dos poetas portuguezes. - Lisboa : Typ. Rua do Paço do Bemformoso,153, 1867.</t>
  </si>
  <si>
    <t>Centenário da India. - N. único. - Padova : Stamp. di Fratelli Gallina, 1898. Poemas: "Camões" de Magalhães de Azeredo; a Vasco da Gama e "Natércia"; Drama "Inês de Castro" de Luigi Bandozzi.</t>
  </si>
  <si>
    <t>Luís de Camões : poemeto : com uma carta de Eça de Queiroz / Joaquim de Araújo. - 3ª ed. - Lisboa : Typ. da Companhia Nacional Editora, 1894. </t>
  </si>
  <si>
    <t>Camoens : poeme / J. B. d'Almeida Garrett ; traduit du portugais avec une introdcution et des notes par Henri Faure.... - Paris : A. Quantin, 1880.  Celebrações (1880), recepção criativa. Tematização. Imagem de Garrett, Im. 14, 18.</t>
  </si>
  <si>
    <t>Camões e o sentimento nacional / por Theophilo Braga. - Porto : Livraria Internacional de Ernesto Chardron : Lugan &amp; Geneclioux, 1891. Referência inicial ao tricentenário, com circulares sobre o mesmo no final. Capítulo inicial sobre a vida do Poeta, capítulo sobre a sepultura de Camões, Im. 281. Celebrações (1880), textos críticos.</t>
  </si>
  <si>
    <t>Camoes os Lusíadas e a renascença em Portugal / por J. P. Oliveira Martins. - Porto : Livraria Internacional de Ernesto Chardron : Lugan &amp; Genelioux, Suc.,, 1891. Referência breve ao tricentenário.</t>
  </si>
  <si>
    <t>Oeuvres posthumes : poésies antiromantiques / [par] Frs. Duvignau. - Paris : Typ. Schneider, 1849. Ode a Camões, cf. Im. 74.</t>
  </si>
  <si>
    <t>Os centenários como synthese affectiva nas sociedades modernas. - Porto : Silva Teixeira, 1884</t>
  </si>
  <si>
    <t>Sonho garrettiano / Delphim Guimarães. - Lisboa : Imprensa de Libanio da Silva, 1899. Referências explícitas a Camões, cf. Im. 16 e 21.</t>
  </si>
  <si>
    <t>A estatua do poeta : ode nacional / Joaquim de Araújo. - Porto : Typ. Antonio José da Silva Teixeira, 1891. Composta e recitada pelo autor no sarau da Sociedade Nacional Camoniana, realizado no teatro Gil-Vicente do Palacio de Cristal a 10 de junho de 1891. Sem referência ao ano da estátua.</t>
  </si>
  <si>
    <t>Dom Luis de Camoens : profilo critico-biografico / di Carlo Catanzaro. - Firenze : coi Tipi M. Cellini E.C., 1881. Não faz referência ao Tricentenário.</t>
  </si>
  <si>
    <t>Confirmação da censura feita à inscripção latina, introduzida no alicerce do monumento a Camões e refutação de todas as objecções... / Antonio Caetano Pereira. - Lisboa : Typographia de José Baptista Morando, 1863.  Celebrações (1860), discussão.</t>
  </si>
  <si>
    <r>
      <t xml:space="preserve">Almanach Vasco da Gama para o anno de 1897 / por Eduardo Braga. - A. 1 (1897). Epígrafes de Camões: Canto X; Canto III; Canto I; Fragmentos: Canto VIII; Canto I; C. X;  Nota sobre o valor que o Poeta recebia do Estado, cf. Im. 63. </t>
    </r>
    <r>
      <rPr>
        <sz val="11"/>
        <color rgb="FF0F9ED5"/>
        <rFont val="Aptos Narrow"/>
        <family val="2"/>
        <scheme val="minor"/>
      </rPr>
      <t>Insere-se em periódicos (1898)?</t>
    </r>
  </si>
  <si>
    <t>Centenario indiano : Album do Século : Marinha histórica do seculo XV e XVI. - Lisboa : Emp. jornal "O Seculo", [1897]. [Imagens: passagem do cabo das Tormentas; Mapa rota de Vasco da Gama e lugares de memória [Mosteiro de Belém].</t>
  </si>
  <si>
    <r>
      <t xml:space="preserve">Album italo portuguez / A. Galleno Ravara ; introd. de A. F. de Castilho. - Lisboa : Imp. Nacional, 1853. </t>
    </r>
    <r>
      <rPr>
        <sz val="11"/>
        <color rgb="FFE97132"/>
        <rFont val="Aptos Narrow"/>
        <family val="2"/>
        <scheme val="minor"/>
      </rPr>
      <t>Introdução começa na p. VIII, cf. Im. 10: obra truncada ou assim no original?</t>
    </r>
    <r>
      <rPr>
        <sz val="11"/>
        <color rgb="FF0F9ED5"/>
        <rFont val="Aptos Narrow"/>
        <family val="2"/>
        <scheme val="minor"/>
      </rPr>
      <t xml:space="preserve"> </t>
    </r>
    <r>
      <rPr>
        <sz val="11"/>
        <color rgb="FF000000"/>
        <rFont val="Aptos Narrow"/>
        <family val="2"/>
        <scheme val="minor"/>
      </rPr>
      <t>Em nota de rodapé existe referência a Miss Coton, que traduziu para inglês um poema intitulado "Bardo", cf. Im. 76. Existe poema ("Saudade") de Ravara em homenagem a Camões, cf. Im. 242-243. Tradução do episódio de Inês de Castro, acompanhada da versão em português, cf. Im. 30-41.</t>
    </r>
  </si>
  <si>
    <t>Homenagem a Vasco da Gama e programma das festas do centenario : tributo litterario da Bibliotheca de Romances Notaveis. - Lisboa : Typ. do Commercio de Portugal, 1898. O centenário de Vasco da Gama. Texto com várias citações da obra de Camões.</t>
  </si>
  <si>
    <t>Os Lusíadas / de Luiz de Camões. - Nova edição segundo a do Visconde de Juromenha conforme á segunda publicada em vida do poeta; com as estancias desprezadas e omittidas na primeira impressão do poema e com lições várias, apotegmas e notas. - Leipzig : F. A. Brockhaus, 1873. Os argumentos surgem em forma de índice. Paratextos argumentos e Paratextos notas.</t>
  </si>
  <si>
    <t>Les Lusiades travesties avant, pendant et aprés la souscription : parodie : pochade en trois actes en-vers et contre tous. Apenas o pospecto para subscrições, embora contendo mais versos paródicos do que o purl infra.  [1883-1884].</t>
  </si>
  <si>
    <t>Les Lusiades travesties en vers grotesques, burlesques et sérieux : voyage maritime et pédestre du grrrand (sic) Vasco da Gama / ouvrage mélé de proverbes et calembours par J. M. R. Scarron II. - Porto : Imp. Civilisação, [1883-1884]. Apenas o prospecto a solicitar subscrições, com versos paródicos sobre a subscrição.</t>
  </si>
  <si>
    <t>Os Lusiadas : poema epico de Luis de Camões. - Nova edição para uso das escolas feita debaixo das vistas da mais acurada crítica em presença das duas edições primordiais.... - Rio de Janeiro : Em casa dos Editores Eduardo &amp; Henrique Laemmert, 1868, sem argumentos.</t>
  </si>
  <si>
    <t>Uma estrophe dos Lusiadas de Camões dada a lume na Sicilia em Messina, em 1882... com anteloquio do Professor... Pereira Caldas. - Braga : Typ. de Bernardo A. de Sá Pereira, 1884. -</t>
  </si>
  <si>
    <t>Os Lusiadas : poema epico / de Luiz de Camões. - Nova edição popular. - Lisboa : Roland &amp; Semion editores, 1884 . Paratextos vida e Paratextos argumentos.</t>
  </si>
  <si>
    <t>Camões / Affonso Celso Junior. - S. Paulo : Livr. Popular de Abílio A. S. Marques, 1880. Parte II, I, sobre a vida do Poeta.</t>
  </si>
  <si>
    <t>Encomios a Camões em dois sonetos hispanhoes de Lope de Vega "desconhecidos dos camonistas" / Pereira Caldas. - Braga : Tip. Camões, 1889.  Refere tricentenário do Poeta. Celebrações (1880), recepção criativa, tematização.</t>
  </si>
  <si>
    <t>O carácter religioso dos Lusiadas de Luís de Camões : documentos e reflexões de um professor do Colégio de Maria Sacntissima Immaculada em Campolide. - Lisboa : Typographia Editora de Mattos Moreira, 1880.</t>
  </si>
  <si>
    <t xml:space="preserve">Duas palavras sobre um opusculo portuense de 1883 : Camões pintado por si mesmo / Pereira Caldas. - Braga : Tip. de Bernardo A. de Sá Pereira, 1884. Refere tricentenário do Poeta. </t>
  </si>
  <si>
    <t>Acerca da sepultura de Camões... Carta ao Visconde de Jerumenha (posthuma) / Castilho. - Porto : Circulo Camoneano, 1858. Celebrações (1860): discussão.</t>
  </si>
  <si>
    <t xml:space="preserve">Paralello entre Camões e Cervantes "assim em rasgos peculiares de glorias e venturas como em lances deploraveis...". - Braga : Typographia Camöes, 1890. Refere aniversário 310 do Poeta. </t>
  </si>
  <si>
    <t>Carta camoneana ao professor decano do Lyceu bracarense, Pereira Caldas / Padre Pereira. - [Lisboa? : s.n., 1892-1903] Refere celebrações de 10 de Junho de 1892. A carta tem um certo tom polémico, a propósito de erros de versificação encontrados na tradução latina do soneto "Alma minha gentil" encontrado na edição de Manuel Correia. Celebrações (1880), Nótulas.</t>
  </si>
  <si>
    <t>Luiz de Camões em Alonso Geronimo de Salas Barbadillo... - Braga : Typographia Lusitana, 1883. Homenagem a Camões.</t>
  </si>
  <si>
    <t>O Doutor Halliday em Lisboa impugnado até à evidência : Carta ... a um seu amigo. - Lisboa : na Officina de Joaquim Rodrigues d'Andrade, 1812, a propósito da publicação de "Carta crítica sobre as incoherencias de Luiz de Camões no Episodio de</t>
  </si>
  <si>
    <t>Adamastor"</t>
  </si>
  <si>
    <t>A Camoens. - Nouvelle édition. - Paris : Alphonse Lemerre,éditeur, 1892 (Marseille : Imprimerie Economique). Refere a 1.ª edição desta poesia em 1867, a propósito da inauguração do monumento de Camões. Celebrações (1860): recepção criativa.</t>
  </si>
  <si>
    <t>Uma estrofe dos Lusíadas : com a versão siciliana. - Porto : Typographia Elzeviriana, 1884.</t>
  </si>
  <si>
    <t>Luís de Camões. Os Lusíadas. cantos 1.º, 2.º [episódio de Vénus] e 3.º. [episódio de Inês de Castro, frag.] Versão francesa pelo Duque Palmela D. Pedro de Sousa Holstein, com o texto original. Tricentenário. Porto. 1880. </t>
  </si>
  <si>
    <t>Luís de Camões. Episódios de Inês de Castro e Adamastor: extraídos dos cantos III e V dos Lusíadas. Trad. em versos franceses por J. A. D'Escodeca de Boisse. Lisboa. 1865. </t>
  </si>
  <si>
    <t>[Luis de Camões]. Sonetos escolhidos. Trad. em sonetos italianos, com variantes por Prospero Peragallo. Lisboa. 1885. </t>
  </si>
  <si>
    <r>
      <t xml:space="preserve">José Joaquim da Silva Pereira Caldas. Versão latina do soneto de Camões "Alma minha gentil, que te partiste". Braga. </t>
    </r>
    <r>
      <rPr>
        <sz val="11"/>
        <color rgb="FF4EA72E"/>
        <rFont val="Aptos Narrow"/>
        <family val="2"/>
        <scheme val="minor"/>
      </rPr>
      <t>1890. [na referência da BN surge 1892]. CORRIGIDO</t>
    </r>
  </si>
  <si>
    <t>Luís de Camões. Lirícas.Trad. francesas e castelhanas de José Benoliel; pref. por Xavier da Cunha. Lisboa. 1898. </t>
  </si>
  <si>
    <t>Joseph Benoliel. Vasco da Gama: Poemeto. [pref.] Xavier da Cunha [Cunha também escreve um poemeto "Prelúdios"]. Lisboa. Comissão Executiva do Centenário da Índia, 1898.</t>
  </si>
  <si>
    <r>
      <t xml:space="preserve">[AA. VV. Não é uma ref. válida de autoria em registos bibl.] </t>
    </r>
    <r>
      <rPr>
        <sz val="11"/>
        <color rgb="FF000000"/>
        <rFont val="Aptos Narrow"/>
        <family val="2"/>
        <scheme val="minor"/>
      </rPr>
      <t xml:space="preserve">Celebração do </t>
    </r>
    <r>
      <rPr>
        <sz val="11"/>
        <color rgb="FF4EA72E"/>
        <rFont val="Aptos Narrow"/>
        <family val="2"/>
        <scheme val="minor"/>
      </rPr>
      <t xml:space="preserve">1' 1.º </t>
    </r>
    <r>
      <rPr>
        <sz val="11"/>
        <color rgb="FF000000"/>
        <rFont val="Aptos Narrow"/>
        <family val="2"/>
        <scheme val="minor"/>
      </rPr>
      <t>centenário do descobrimento do caminho marítimo para a Índia por Vasco da Gama.</t>
    </r>
    <r>
      <rPr>
        <sz val="11"/>
        <color rgb="FFE97132"/>
        <rFont val="Aptos Narrow"/>
        <family val="2"/>
        <scheme val="minor"/>
      </rPr>
      <t xml:space="preserve"> </t>
    </r>
    <r>
      <rPr>
        <sz val="11"/>
        <color rgb="FF4EA72E"/>
        <rFont val="Aptos Narrow"/>
        <family val="2"/>
        <scheme val="minor"/>
      </rPr>
      <t xml:space="preserve">Número Jornal </t>
    </r>
    <r>
      <rPr>
        <sz val="11"/>
        <color rgb="FF000000"/>
        <rFont val="Aptos Narrow"/>
        <family val="2"/>
        <scheme val="minor"/>
      </rPr>
      <t>único. Macau.</t>
    </r>
    <r>
      <rPr>
        <sz val="11"/>
        <color rgb="FF4EA72E"/>
        <rFont val="Aptos Narrow"/>
        <family val="2"/>
        <scheme val="minor"/>
      </rPr>
      <t xml:space="preserve"> [1898] CORRIGIDO</t>
    </r>
    <r>
      <rPr>
        <sz val="11"/>
        <color rgb="FF000000"/>
        <rFont val="Aptos Narrow"/>
        <family val="2"/>
        <scheme val="minor"/>
      </rPr>
      <t>. As celebrações referem-se ao centenário da Índia. Lugares de Memória.</t>
    </r>
    <r>
      <rPr>
        <sz val="11"/>
        <color rgb="FF61CBF3"/>
        <rFont val="Aptos Narrow"/>
        <family val="2"/>
        <scheme val="minor"/>
      </rPr>
      <t xml:space="preserve"> Incluir periódico (1898)?</t>
    </r>
  </si>
  <si>
    <r>
      <t xml:space="preserve">Luís de Camões. Alma minha gentil. Rev. Xavier da Cunha; ed. lit. Alfredo de Carvalho. [tradutores: J .L. Vasconcelos Lamberto Gil; </t>
    </r>
    <r>
      <rPr>
        <sz val="11"/>
        <color rgb="FF0F9ED5"/>
        <rFont val="Aptos Narrow"/>
        <family val="2"/>
        <scheme val="minor"/>
      </rPr>
      <t xml:space="preserve">Matilde Perry Coronado; </t>
    </r>
    <r>
      <rPr>
        <sz val="11"/>
        <color rgb="FF000000"/>
        <rFont val="Aptos Narrow"/>
        <family val="2"/>
        <scheme val="minor"/>
      </rPr>
      <t xml:space="preserve">Ramon del Valle; anónimo; A. J. Viale; Prospero Peragallo (traduz e faz diferentes versões, com variantes nos tercetos); Cuzzo Crea, Salvatores Minutilla; Alfredo Testoni; Giulio Cesare; Fragulia; G. B. Cereseto, F. Matheu; Charles Magnin, Ferdinand Denis; Léonce Cazaubon; Hayley, R. Southey, </t>
    </r>
    <r>
      <rPr>
        <sz val="11"/>
        <color rgb="FF0F9ED5"/>
        <rFont val="Aptos Narrow"/>
        <family val="2"/>
        <scheme val="minor"/>
      </rPr>
      <t>Felicia Hemans;</t>
    </r>
    <r>
      <rPr>
        <sz val="11"/>
        <color rgb="FF000000"/>
        <rFont val="Aptos Narrow"/>
        <family val="2"/>
        <scheme val="minor"/>
      </rPr>
      <t xml:space="preserve"> J. J. Auberlin; R. Burton; I. Manefeld; Louis von Arentsschildt; Friedrich Notter; Wihelm Storck; Friedrich Wilhelm Hoffmann; R. Azcarate; Francisco M. Esteves Pereira] Lisboa. 1886.</t>
    </r>
  </si>
  <si>
    <r>
      <t>O centenário de Luís de Camões em Porto Alegre capital da Provincia de S. Pedro do Rio Grande do Sul 1880, Brasil. Porto Alegre. 1882</t>
    </r>
    <r>
      <rPr>
        <sz val="11"/>
        <color rgb="FF4EA72E"/>
        <rFont val="Aptos Narrow"/>
        <family val="2"/>
        <scheme val="minor"/>
      </rPr>
      <t xml:space="preserve">. CORRIGIDO </t>
    </r>
    <r>
      <rPr>
        <sz val="11"/>
        <color rgb="FF000000"/>
        <rFont val="Aptos Narrow"/>
        <family val="2"/>
        <scheme val="minor"/>
      </rPr>
      <t>Figuras Femininas [Teresa Questa Rondelli, comissão musical; cantoras: Herminia Rondelli; Honorina da Câmara Canto; Júlia pereira da Silva; Alayde Pereira da Silva, Margarida de Abreu Salgado; Agueda Francelina Salgado; Isabel Dias Soares; Elmira Dias Soares; Júlia Dias Castro; Emilia R. Lepert; Rose de Repat; VIcentina Franco; Francisca Horta; Alzira Lopes, Hermínia Lopes, Josefina Ferreira Chagas, Josefina Freire Pereira, Elisa Viegelmann, Adelaide Vieira Guimarães, Palmira Lara, Emília Paranhos, Maria Anunciada Muniz de Bettencourt, Francisca Cordeiro, Maria. L. Fernd. Barcelos, Maria A. de Abreu Queima, Antoinette Paradeda; Teresa Horta, Luciana A. de Carvalho, Guilhermina Meister, Carlota Becker, Luísa Osório Bordini, Palmira de Araújo, Clara Ubatuba, Francisca Soares, Georgina Soares, Julieta de Oliveira]</t>
    </r>
    <r>
      <rPr>
        <sz val="11"/>
        <color rgb="FF0F9ED5"/>
        <rFont val="Aptos Narrow"/>
        <family val="2"/>
        <scheme val="minor"/>
      </rPr>
      <t xml:space="preserve"> </t>
    </r>
    <r>
      <rPr>
        <sz val="11"/>
        <color rgb="FF000000"/>
        <rFont val="Aptos Narrow"/>
        <family val="2"/>
        <scheme val="minor"/>
      </rPr>
      <t>Celebrações (1880), recepção criativa, tematização.</t>
    </r>
  </si>
  <si>
    <t>Eh Real! : panfleto semanal de critica e doutrinação politica / dir. e ed. João Camoezas ; adm. Joaquim M. Duarte Ferreira. - A. 1, nº 1 (13 maio 1915). Disponível em Purl: 33563 ou em Revistas de Ideias e Cultura [artigo sobre a figura de Nuno de Álvares, com foco polémico]</t>
  </si>
  <si>
    <t>Os Lusiadas. - Rio de Janeiro : Gabinete Portuguez de Leitura, 1880. Sem argumentos; o prólogo fala sobre a vida do Poeta e a sua índole.</t>
  </si>
  <si>
    <t>Los Lusiadas / de Luys de Camoes ; traduzidos en octaua rima Castellana por Benito Caldera, residente en Corte. - Impresso en Alcala de Henares : por Iua[n] Gracian, 1580. Cantos numerados manualmente e completos, sem paginação.</t>
  </si>
  <si>
    <r>
      <t xml:space="preserve">La Lusiada / de el famoso poeta Luys de Camões ; traduzida en verso castellano de portugues, por el Maestro Luys Gomez de Tapia vezino de Seuilla ; dirigida al illustrissimo Aeñor Ascanio Colona, Abbad de Sancta Sophia. - En Salamanca : en casa de Ioan Perier, Impressor de Libros, 1580. Erros gráficos na paginação e na numeração dos Cantos cf. Im. 360. </t>
    </r>
    <r>
      <rPr>
        <sz val="11"/>
        <color rgb="FFE97132"/>
        <rFont val="Aptos Narrow"/>
        <family val="2"/>
        <scheme val="minor"/>
      </rPr>
      <t>Faltam estrofes finais do Canto X e anotações: obra truncada, mas está assim no original, pois surge nota a lápis com essa informação.</t>
    </r>
  </si>
  <si>
    <t>Los Lusiadas / de Luys de Camoes ; traduzidos de portugues en castellano por Henrique Garces ; dirigidos a Philippo Monarcha primero de las Españas, y de las Indias. - En Madrid : en casa de Guillermo Drouy, impressor de libros, 1591. Sem argumentos. Tradução Paratextos gerais, com soneto do tradutor no final [paratextos].</t>
  </si>
  <si>
    <t>Variações camonianas / José-Augusto França ; José de Guimarães. - [Lisboa] : Imprensa Nacional- Casa da Moeda, imp.1981. consultada cópia interna.</t>
  </si>
  <si>
    <t>Sonette / von Luís de Camoens ; aus dem portugiesischen von Louis von Arentschildt. - Leipzig : F.A. Brokhaus, 1852</t>
  </si>
  <si>
    <t>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t>
  </si>
  <si>
    <t>Lusiadis leoninae, sive De gestis lusitanorum leonino carmine decantatis libri duodecim / [Ignacio Arcamone]. -[1667-1683]. 12 livros manuscritos, com anagrama de homenagem a Camões no final.</t>
  </si>
  <si>
    <r>
      <t>Os Lusiadas / poema epico de Luis de Camões. - Nova edição. - Lisboa : na Typographia Rollandiana, 1846.</t>
    </r>
    <r>
      <rPr>
        <sz val="11"/>
        <color rgb="FF0F9ED5"/>
        <rFont val="Aptos Narrow"/>
        <family val="2"/>
        <scheme val="minor"/>
      </rPr>
      <t xml:space="preserve"> </t>
    </r>
    <r>
      <rPr>
        <sz val="11"/>
        <color rgb="FF000000"/>
        <rFont val="Aptos Narrow"/>
        <family val="2"/>
        <scheme val="minor"/>
      </rPr>
      <t>Paratextos argumentos, sem paratextos gerais.</t>
    </r>
  </si>
  <si>
    <t>Os Lusiadas / poema epico de Luiz de Camões. - Nova edição contendo: Breve noticia da vida do author, Noticia ácerca de Vasco da Gama e da sua viagem á India e o Diccionario dos nomes proprios usados no mesmo poema. - Porto : em Casa de Cruz Coutinho Editor, 1871. Paratextos vida e Paratextos argumentos.</t>
  </si>
  <si>
    <t>Los Lusiadas / de Luis de Camões ; segundo a ultima edicion correcta publicada por el Dr. Caetano Lopes de Moura ; traduccion de D. Manuel Aranda y Sanjuan. - Barcelona : Empresa Editorial La Ilustracion, 1874.</t>
  </si>
  <si>
    <t>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t>
  </si>
  <si>
    <r>
      <t>Lusiada italiana / di Carlo Antonio Paggi nobile genovese ; poema eroico del grande Luigi de Camoens : alla Santita di Nostro Signore Papa Alessandro Settimo. - Lisbona : per Henrico Valente de Oliveira, 1658, prefácio com menções à vida do Poeta. </t>
    </r>
    <r>
      <rPr>
        <sz val="11"/>
        <color rgb="FFE97132"/>
        <rFont val="Aptos Narrow"/>
        <family val="2"/>
        <scheme val="minor"/>
      </rPr>
      <t>Canto III com 144 estrofes e Canto X com 166 estrofes, talvez seja comum nas traduções italianas.</t>
    </r>
  </si>
  <si>
    <t>Lusiada italiana / di Carlo Antonio Paggi nobile genovese ; poema heroico del grande Luigi de Camoens portoghese prencipe de' poeti delle Spagne : alla Santita di Nostro Signore Papa Alessandro Settimo. - Seconda impressione emendata dagl' errori trascorsi nella prima. - Lisbona : per Henrico Valente de Oliveira, 1659, prefácio com menções à vida do Poeta. Canto III com 144 estrofes e Canto X com 166 estrofes, talvez seja comum nas traduções italianas.</t>
  </si>
  <si>
    <r>
      <t>Die Lusiade : Heldengedicht / von Camoens ; aus dem Portugiesischen übersetzt von Dr. C. C. Heise. - Hamburg. - und Altona : bei Gottried Vollmer, [1806-1807]. - 4 tomos em 1 vol. </t>
    </r>
    <r>
      <rPr>
        <sz val="11"/>
        <color rgb="FFE97132"/>
        <rFont val="Aptos Narrow"/>
        <family val="2"/>
        <scheme val="minor"/>
      </rPr>
      <t>Canto V faltam últimas estrofes, embora paginação seja contínua, cf. Im. 321 e notas finais sobre os cantos também parecem estar incompletas e/ou truncadas.</t>
    </r>
  </si>
  <si>
    <t xml:space="preserve">Die Lusiade / des Camoens ; aus dem Portugiesischen in deutsche Octavverse übersetzt [von Friedrich Adolph Kuhn und Carl Theodor Winckler]. - Leipzig : in der Weidmannischen Buchhandlung, 1807, sem argumentos. </t>
  </si>
  <si>
    <t>Die Lusiaden / des Luís de Camõens ; Verdeutscht von J. J. C. Donner. - Stuttgart : bei Christian Wilhelm Löflund, 1833, sem argumentos.</t>
  </si>
  <si>
    <t>De Lusiade van Louis Camoëns : heldendicht in X Zangen ; naer het Fransch door Lambartus Stoppendaal Pieters Zoon. - Te Middelburg : by Willem Abrahams, 1777</t>
  </si>
  <si>
    <t>Luis de Camoens's Lusiade ; oversat af det Portugisiske ved H. V. Lundbye, forhrnvoerende Consultatsecretair og Chargé d'Affaires i Tunis. - Kjjobenhavn : Trykt hos N. G. F. Cristensens Enke, 1828-1830. - 2 tomos em 1 vol. Sem argumentos.</t>
  </si>
  <si>
    <t>A Lusiáda / Camoenstöl ; forditotta Greguss Gyula, Kiadta a Kisfaludy-Társaság. - Pest : Nyomatott Emich Gustáv Magy : Akad Nyomadásznál, 1865. Sem argumentos. Contém no final o que parecem ser provas da 2.ª edição, cf. 487.</t>
  </si>
  <si>
    <t>Lusiádája / Camoens ; fordittota S Bevezetéssel és Jegyzetekkel fölvilágositotta Gressus Giula. - Budapest : az Athenaeum Tulajdona, 1874. Não sei se referirá celebração. Sem argumentos.</t>
  </si>
  <si>
    <t>Luziada Kamoensa Czyli Odkrycie Indyy Wschodnich. Poema w Piesniach Dziesieciu Przekladania. - W Krakowie : W Drukarni Antoniego Grebla, 1790, parece apresentar argumentos.</t>
  </si>
  <si>
    <t>Lusiaderne : hjeltedikt / af Luis de Camoëns ; öfversatt fran Portugisiskan i originalets versform af Nils Lovén. - Stockholm : Tryckt Hos L. J. Hjerta, 1839. Os paratextos iniciais parecem não incluir menções à vida, até porque não encontrei nenhuma data. Parece faltar  a última estrofe do C. III, mas no original parece estar sequenciado. A tradução termina com o Canto VI, sem argumentos.</t>
  </si>
  <si>
    <r>
      <t xml:space="preserve">Seventy sonnets of Camoens / portuguese text and translation with original poems by J. J. Aubertin.... - London : C. Kegan Paul &amp; Co., 1881. Inclui poemas do tradutor e miscelânea de outros poemas traduzidos (Bocage e outros): Recepção criativa: Tematização?. Refere tricentenário. Nota sobre a tradução de </t>
    </r>
    <r>
      <rPr>
        <i/>
        <sz val="11"/>
        <color rgb="FF000000"/>
        <rFont val="Aptos Narrow"/>
        <family val="2"/>
        <scheme val="minor"/>
      </rPr>
      <t>Os Lusíadas</t>
    </r>
    <r>
      <rPr>
        <sz val="11"/>
        <color rgb="FF000000"/>
        <rFont val="Aptos Narrow"/>
        <family val="2"/>
        <scheme val="minor"/>
      </rPr>
      <t xml:space="preserve"> por Aubertin.</t>
    </r>
  </si>
  <si>
    <r>
      <t xml:space="preserve">A translation of the episode of Inez de Castro from the Lusiad of the Camoes / with prefatory remarks [by A.]. - Porto : Typographia da Revista, 1844. Bilingue. </t>
    </r>
    <r>
      <rPr>
        <sz val="11"/>
        <color rgb="FFE97132"/>
        <rFont val="Aptos Narrow"/>
        <family val="2"/>
        <scheme val="minor"/>
      </rPr>
      <t>Faltam pp. iniciais dos paratextos: obra truncada ou assim no original?</t>
    </r>
  </si>
  <si>
    <t>Respigos camonianos / José Leite de Vasconcelos. - 2ª ed. - Lisboa : Academia Port. de Ex-Libris, 1974 e contém versão de 1904(?), com outros estudos e traduções de sonetos de Tasso, Byron e  outros.</t>
  </si>
  <si>
    <t>Poems from the portuguese / of Luis de Camoens ; with remarks on his life and writings notes by Lord Viscount Strangford. - London : J. Carpenter, 1803.  Fragmentos épica, Canto VI e os Doze.</t>
  </si>
  <si>
    <t>Os Lusiadas / de Luis de Camões. - Em Lisboa : em casa de Antonio Gõçaluez, 1572, sem argumentos.</t>
  </si>
  <si>
    <t>Os Lusiadas / de Luis de Camões. - Lisboa : em casa de Antonio Gõçaluez, 1572, sem argumentos. Erros gráficos na paginação.</t>
  </si>
  <si>
    <t xml:space="preserve">Imag. 45 réplica com moldura da portada. </t>
  </si>
  <si>
    <r>
      <t>Os Lusiadas / de Luis de Camões. - Agora de nouo impresso com algu[m]as anotações de diuersos autores. - Em Lisboa : por Manuel de Lyra, 1591. Erros gráficos na paginação. Paratextos argumentos e Paratextos notas.</t>
    </r>
    <r>
      <rPr>
        <sz val="11"/>
        <color rgb="FF0F9ED5"/>
        <rFont val="Aptos Narrow"/>
        <family val="2"/>
        <scheme val="minor"/>
      </rPr>
      <t xml:space="preserve"> </t>
    </r>
    <r>
      <rPr>
        <sz val="11"/>
        <color rgb="FFE97132"/>
        <rFont val="Aptos Narrow"/>
        <family val="2"/>
        <scheme val="minor"/>
      </rPr>
      <t>Parece faltar a última estrofe do Canto III, cf. Im. 132: obra truncada ou assim no original?</t>
    </r>
  </si>
  <si>
    <t>Os Lusiadas / de Luis de Camões. - Polo original antigo agora nouamente impressos. - Em Lisboa : por Manoel de Lyra : á custa de Esteuão Lopez, 1597, sem argumentos. Erros gráficos na paginação.</t>
  </si>
  <si>
    <r>
      <t xml:space="preserve">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t>
    </r>
    <r>
      <rPr>
        <sz val="11"/>
        <color rgb="FF0F9ED5"/>
        <rFont val="Aptos Narrow"/>
        <family val="2"/>
        <scheme val="minor"/>
      </rPr>
      <t xml:space="preserve"> </t>
    </r>
    <r>
      <rPr>
        <sz val="11"/>
        <color rgb="FF000000"/>
        <rFont val="Aptos Narrow"/>
        <family val="2"/>
        <scheme val="minor"/>
      </rPr>
      <t>redondilhas, sôbolos rios, esparsas, motes, glosas, cartas, voltas, trovas, estanças, labirinto, endechas, cantiga, chiste, disparates na índia, sentenças]</t>
    </r>
  </si>
  <si>
    <t>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t>
  </si>
  <si>
    <r>
      <t xml:space="preserve">The Lusiad or the discovery of India : an epic poeme / translated from Camoens by William Julius Mickle. - London : published by W. Sattaby : B. Crosby &amp; Cº- and Scatcherd &amp; Leterman, 1809. Erros gráficos na paginação. Sem argumentos. </t>
    </r>
    <r>
      <rPr>
        <sz val="11"/>
        <color rgb="FFE97132"/>
        <rFont val="Aptos Narrow"/>
        <family val="2"/>
        <scheme val="minor"/>
      </rPr>
      <t>Salto na paginação pp. 243-246, cf. Im. 351-352: truncada ou assim no original?</t>
    </r>
  </si>
  <si>
    <r>
      <t xml:space="preserve">The Lusiad : an epic poem / by Luis de Camoens ; translated from the portugueze by Thomas Moore Musgrave.... - London : Jonh Murray, 1826. Sem argumentos. </t>
    </r>
    <r>
      <rPr>
        <sz val="11"/>
        <color rgb="FF0F9ED5"/>
        <rFont val="Aptos Narrow"/>
        <family val="2"/>
        <scheme val="minor"/>
      </rPr>
      <t>Afirma no prefácio ter desistido de incluir uma nota biográfica sobre o Poeta e menciona as diferentes aspectos dos estudos feitos sobre a biografia.</t>
    </r>
    <r>
      <rPr>
        <sz val="11"/>
        <color rgb="FF000000"/>
        <rFont val="Aptos Narrow"/>
        <family val="2"/>
        <scheme val="minor"/>
      </rPr>
      <t xml:space="preserve"> </t>
    </r>
    <r>
      <rPr>
        <sz val="11"/>
        <color rgb="FF0F9ED5"/>
        <rFont val="Aptos Narrow"/>
        <family val="2"/>
        <scheme val="minor"/>
      </rPr>
      <t xml:space="preserve">Colocar à mesma paratextos vida? </t>
    </r>
    <r>
      <rPr>
        <sz val="11"/>
        <color rgb="FF000000"/>
        <rFont val="Aptos Narrow"/>
        <family val="2"/>
        <scheme val="minor"/>
      </rPr>
      <t>Trad. paratextos gerais; Trad. Paratextos notas; Iconografia, figuras históricas [Inês de Castro]</t>
    </r>
  </si>
  <si>
    <t>Essai d'imitation libre de l'episode de Inês de Castro dans le poeme des Luziadas de Camoens / par Mlle M. M. [Marie-Caroline Murray]. - Porto : Typographia Elzeviriana, 1889. </t>
  </si>
  <si>
    <t>Oitava de Luis de Camoens / glozada pello Doutor Antonio Barboza Bacellar : a glorioza victoria do Canal. em 8. de Junho de 1663. sendo governador das armas da provincia do Alemtejo, Dom sancho Manoel, conde de Villa-Flor. </t>
  </si>
  <si>
    <r>
      <t>Rimas / de Luis de Camoens, principe dos poetas de seu tempo ; dedicadas ao Illustrissimo Senhor Andre Furtado de Mendoça Deão, &amp; Conego dignissimo da S. Sé de Lisboa, Doutor em a Sagrada Theologia, Deputado da Junta dos Tres Estados do Reyno, &amp;c.. - Em Lisboa impressas : na Officina de Antonio Craesbeeck de Mello, impressor de Sva Alteza, e à sua custa, 1663. Erros gráficos na paginação, cf. Im. 262, 320, entre outras.  [sonetos, canções, odes, sextinas, elegias, capítulo, oitavas, éclogas, redondilhas, sôbolos rios, sem explicitação de esparsas,</t>
    </r>
    <r>
      <rPr>
        <sz val="11"/>
        <color rgb="FF0F9ED5"/>
        <rFont val="Aptos Narrow"/>
        <family val="2"/>
        <scheme val="minor"/>
      </rPr>
      <t xml:space="preserve"> </t>
    </r>
    <r>
      <rPr>
        <sz val="11"/>
        <color rgb="FF000000"/>
        <rFont val="Aptos Narrow"/>
        <family val="2"/>
        <scheme val="minor"/>
      </rPr>
      <t xml:space="preserve">carta, labirinto, convite, mote, disparates, glosa, trovas, voltas, cantiga, endechas, ficção de umas festas em Goa]. Final de Seleuco surge manuscrito. </t>
    </r>
    <r>
      <rPr>
        <sz val="11"/>
        <color rgb="FFE97132"/>
        <rFont val="Aptos Narrow"/>
        <family val="2"/>
        <scheme val="minor"/>
      </rPr>
      <t xml:space="preserve"> Parece faltar parte das licenças: truncada ou assim no original?</t>
    </r>
  </si>
  <si>
    <t>Rimas do grande Luis de Camoens, principe dos poetas de Hespanha / offerecidas ao Senhor Afonso Furtado de Castro do Rio &amp; Mendoça, por Antonio Craesbeeck de Mello, impressor da Casa Real. - Lisboa : por Antonio Craesbeeck de Mello, 1670. Erros gráficos de paginação, cf. Im. 76, 111, 226, 227, 303, 325 [sonetos, canções, odes, sextinas, elegias, capítulo, oitavas, éclogas, redondilhas, sôbolos rios, sem explicitação de esparsas, carta, labirinto, convite, mote, disparates, glosa, trovas, voltas, cantiga, endechas]</t>
  </si>
  <si>
    <t>Festas camonianas em Coimbra : ao génio. - Coimbra : Imprensa Literária, 1881. Celebrações (1880), recepção criativa, tematização.</t>
  </si>
  <si>
    <t>Mens divinior : poemeto camoniano / Oliveira Passos ; com um preliminar de Carlos Felix. - Porto : Papelaria e Typ. Azevedo, 1889. Refere Tricentenário. Celebrações (1880), recepção criativa, centão.</t>
  </si>
  <si>
    <t>The second canto of The Lusiad / translated into english verse / by James E. Hewitt ; accompanied by the portuguese text. - Rio de Janeiro : Camoens Printing Office-Fonseca Brother &amp; Sousa Lima, 1883. Bilingue.</t>
  </si>
  <si>
    <t>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t>
  </si>
  <si>
    <r>
      <t xml:space="preserve">Os Lusiadas / Luiz de Camões ; edição ilustrada com vinte heliogravuras... por Alfred Bramtot e cincoenta e cinco desenhos por Paulin Bord. - Paris ;. - Lisboa : Guillard Aillaud &amp; Cª editores, 1890, com </t>
    </r>
    <r>
      <rPr>
        <sz val="11"/>
        <color rgb="FF0F9ED5"/>
        <rFont val="Aptos Narrow"/>
        <family val="2"/>
        <scheme val="minor"/>
      </rPr>
      <t xml:space="preserve">notas sobre a ilustrações. </t>
    </r>
    <r>
      <rPr>
        <sz val="11"/>
        <color rgb="FF000000"/>
        <rFont val="Aptos Narrow"/>
        <family val="2"/>
        <scheme val="minor"/>
      </rPr>
      <t>Paratextos argumentos.</t>
    </r>
  </si>
  <si>
    <t>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t>
  </si>
  <si>
    <r>
      <t xml:space="preserve">The Lusiad : [or] the discovery of India : an epic poem / translated ... by William Julius Mickle. - Oxford : printed by Jackson and Lister, 1776, sem argumentos, erros gráficos na paginação, cf. Im. 426, 476, 562, 563. </t>
    </r>
    <r>
      <rPr>
        <sz val="11"/>
        <color rgb="FFE97132"/>
        <rFont val="Aptos Narrow"/>
        <family val="2"/>
        <scheme val="minor"/>
      </rPr>
      <t>Salto na paginação 152 para 155, cf. Im. 334-335: truncada ou assim no original?</t>
    </r>
  </si>
  <si>
    <r>
      <t xml:space="preserve">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t>
    </r>
    <r>
      <rPr>
        <sz val="11"/>
        <color rgb="FF0F9ED5"/>
        <rFont val="Aptos Narrow"/>
        <family val="2"/>
        <scheme val="minor"/>
      </rPr>
      <t xml:space="preserve">A inserir Iconografia, Alegoria? </t>
    </r>
    <r>
      <rPr>
        <sz val="11"/>
        <color rgb="FF000000"/>
        <rFont val="Aptos Narrow"/>
        <family val="2"/>
        <scheme val="minor"/>
      </rPr>
      <t>Mapa rota Vasco da Gama.</t>
    </r>
  </si>
  <si>
    <r>
      <t xml:space="preserve">Episodio de D. Ignez de Castro excerpto dos Lusiadas ... / Luís de Camöes ; [coment.] Joaquim Eusébio dos Santos. - Lisboa : Adolfo, Modesto : Imprensa Nacional, 1887. Ano 363 do nascimento do Poeta. </t>
    </r>
    <r>
      <rPr>
        <sz val="11"/>
        <color rgb="FF0F9ED5"/>
        <rFont val="Aptos Narrow"/>
        <family val="2"/>
        <scheme val="minor"/>
      </rPr>
      <t>A inserir obra, impressos, fragmento, épica, paratextos gerais: fica em paratextos gerais épica, outros.</t>
    </r>
  </si>
  <si>
    <t>Inês de Castro : episode des Lusiades ... / Luís de Camöes ; trad. Joseph de M. Benoliel, Duperron de Castera ; [estudo de] Luciano Cordeiro, Lazare Eliezer Wogue. - Lisbonne : Société de Géographie de Lisbonne, 1892. Bilingue: hebraico e português e inclui um poema de Benoliel em homenagem a Camões.</t>
  </si>
  <si>
    <r>
      <t xml:space="preserve">Um verso de Camões nas Rhythmas / Luís de Camöes ; [pref.] Braulio Caldas. - Braga : Typ. Bernardo A. de Sá Pereira, 1885. </t>
    </r>
    <r>
      <rPr>
        <sz val="11"/>
        <color rgb="FF0F9ED5"/>
        <rFont val="Aptos Narrow"/>
        <family val="2"/>
        <scheme val="minor"/>
      </rPr>
      <t>O soneto não é de Camões, embora no final surja um verso do Poeta mas não chega a ser centão.</t>
    </r>
  </si>
  <si>
    <t>Buch der sonette / Luis de Camoens ; trad. von Wilhelm Storck. - Paderborn : Druck und Verlag von Ferdinand Schoningh, 1880. </t>
  </si>
  <si>
    <t xml:space="preserve">La lusiade : valse brillante pour le piano / par J. B. Portehaut. - Lisbonne : Sassetti, [185-]. - Partitura </t>
  </si>
  <si>
    <t>Vie de Camoens : le poéte des "Lusiades" et le Portugal de son temps / par Virginia de Castro e Almeida... ; préf. de Pierre de Lamet. - Tours : [s.n.], 1935, com notas finais.</t>
  </si>
  <si>
    <t>As traduções italianas dos "Lusiadas" / Joaquim de Araújo. - Livorno : Tip. Raffaello Giusti, 1897.</t>
  </si>
  <si>
    <t>Seis estrophes do episodio do Adamastor, extrahido dos Lusiadas de Camões com a versão hispanhola de D. Patricio de la Escosura inedita ainda: antecedidas de um preambulo do Prof... Pereira Caldas. - Braga : Typographia Lealdade, 1881. Fragmentos em bilingue. Edição de 1881, mas texto data de 1880.</t>
  </si>
  <si>
    <t>Recorte de jornal: Luiz de Camões e 312.º aniversário; glosa camoneana por Anthero de Quental. / Os Lusiadas por Joaquim de Araujo. - [S.l. : s.n.], 1892.</t>
  </si>
  <si>
    <t>Imitação, parodia e centonisação de dez estophes dos Lusiadas de Camões em 1628 / por Fr. Christovão Osorio... ; com um preambulo do professor... Pereira Caldas. - Braga : Tip. de Gouveia, 1881. Refere ano anterior ao tricentenário, cf. Im. 26. Celebrações (1880), recepção criativa, paródia.</t>
  </si>
  <si>
    <t>Nota bibliographica em relação ao historiador hollandez Nikolas Godfried van Kampen, negligentemente descripto no Visconde de Juromenha como apreciador critico dos Lusiadas de Camões. - Braga : Tip. Lusitana, 1883. </t>
  </si>
  <si>
    <t>Le Camoens / traduction en vers du cinquiéme chant de La Lusiade par Léopold Pelzer.... - Namur : Imp. de Ad. Wesmael- Charlier, 1887</t>
  </si>
  <si>
    <t>Camoens : drama lírico en un acto original y en verso / de Marcos Zapata ; musica del maestro Marqués. - Madrid : Est. Tip. E. Cuesta, 1879. Celebrações (1880), recepção criativa, sim, confirmado pela Professora Isabel.</t>
  </si>
  <si>
    <t>Luigi Camoens / Emilio Boschetti, Vicentino. - Rovigo : J. R. Privit, 1852, com nota biográfica sobre o Poeta no final, entre outras.</t>
  </si>
  <si>
    <r>
      <t>Lusiadas de Luis de Camões. Canto terceiro. - [Lisboa : s.n., 1880?]. </t>
    </r>
    <r>
      <rPr>
        <sz val="11"/>
        <color rgb="FF0F9ED5"/>
        <rFont val="Aptos Narrow"/>
        <family val="2"/>
        <scheme val="minor"/>
      </rPr>
      <t>A inserir Obra, fragmentos, épica, paratextos gerais: fica em paratextos gerais épica, outros.</t>
    </r>
  </si>
  <si>
    <t>Discurso : lido na sessão da Sociedade Nacional Camoniana (10 de Junho de 1891) / Conde de Samodães. - [Lisboa] : Círculo Camoniano, 1891.</t>
  </si>
  <si>
    <t>Die Lusiade / des Luís de Camoens ; zweiter und dritter gesang von Dr. J. J. C. Donner.... - Elhwangen : John Evang Schonbrod, 1829.</t>
  </si>
  <si>
    <r>
      <t>G. de la Landelle. A velhice de Camões. Trad. e ed. de J. L. Rodrigues Trigueiros. Lisboa. 1860.</t>
    </r>
    <r>
      <rPr>
        <sz val="11"/>
        <color rgb="FF0F9ED5"/>
        <rFont val="Aptos Narrow"/>
        <family val="2"/>
        <scheme val="minor"/>
      </rPr>
      <t> </t>
    </r>
    <r>
      <rPr>
        <sz val="11"/>
        <color rgb="FF000000"/>
        <rFont val="Aptos Narrow"/>
        <family val="2"/>
        <scheme val="minor"/>
      </rPr>
      <t>A inserir Celebrações (1860), recepção criativa, tematização e vida</t>
    </r>
  </si>
  <si>
    <r>
      <t>Camoens and the man of Java / Casimiro José Marques de Abreu ; prologue and an introd. by Edgar C. Knowlton Jr.. - Macau : Imp. Nacional, 1972. Consultada cópia interna. Estreia da cena dramática na noite de 18 de Janeiro de 1856.</t>
    </r>
    <r>
      <rPr>
        <sz val="11"/>
        <color rgb="FF0F9ED5"/>
        <rFont val="Aptos Narrow"/>
        <family val="2"/>
        <scheme val="minor"/>
      </rPr>
      <t xml:space="preserve"> </t>
    </r>
    <r>
      <rPr>
        <sz val="11"/>
        <color rgb="FF000000"/>
        <rFont val="Aptos Narrow"/>
        <family val="2"/>
        <scheme val="minor"/>
      </rPr>
      <t>Celebrações (1972), recepção criativa.</t>
    </r>
  </si>
  <si>
    <t>Memoria em defeza de Camoens contra Monsei[gn]eur de La Harpe / de Antº de Arº de Az dº. -[entre 1780 e 1817]. Manuscrito.</t>
  </si>
  <si>
    <t>Ttumocczenic wierszem noc jezyk Polski nicktorych Sones - i pie'sni Ludivika Camoensa / przez Dyonizego Piotrowiskiego. -1880 Juin 1. [sonetos e canções]</t>
  </si>
  <si>
    <t>A Camões : salvação dos Lusiadas : [soneto] / Jayme Victor. - [Coimbra] : Imp. da Universidade, [1880-1881]. Sarau literário-musical, Coimbra. Celebrações (1880), recepção criativa. Tematização.</t>
  </si>
  <si>
    <t>Love poems : canzons, madrigals, sonnets / Luis de Camoens ; [trad.] by Lord Viscount Strangford. - [S.l. : Privately reprinted], 1886 [canções, madrigais, cantigas, volta ou rondeau, estanças, parte da terceira elegia e sonetos] Fragmentos épica, C. VI.</t>
  </si>
  <si>
    <t>Portugal a Camões : publicação extraordinaria do jornal de viagens commemorando o tricentenario do cantor dos Lusiadas / dir. Emygdio dªOliveira, D. Benigno Joaquim Martinez. - 10 Jun. 1880. - Porto : Impr. Int. de Ferreira de Brito &amp; A. Monteiro, 1880</t>
  </si>
  <si>
    <t>A nympha Thetis recebe Vasco da Gama na ilha dos amores : Desta arte em fim conformes já as formosas... Lusiadas, canto IX, est. 84 / P. Marinho pht.º grav.. - &lt;[&gt;Lisboa&lt;]&gt; : João Romano Torres, [ca. 1900]. - 1 imagem</t>
  </si>
  <si>
    <t>Rimas / de Luis de Camoens. - Acrescentadas nesta terceyra impressaõ. Dirigidas a la inclyta Universidade de Coimbra. - Em Lisboa : por Pedro Crasbeeck? : a custa de Domingos Fernandez mercador de libros, 1607 [sonetos, canções, odes, sextinas, elegias, tercetos, capítulos, oitavas, éclogas, redondilhas, sôbolos rios, esparsas, labirinto, convite, trovas, mote, voltas, glosa, disparates, cantiga, endechas] e Cartas.</t>
  </si>
  <si>
    <t>Os Lusiadas / de Luis de Camões principe da poesia heroyca ; dedicados ao D. Dom Rodrigo da Cunha, Deputado do S. Officio. - Em Lisboa : por Vicente Alvarez : com privilegio à custa de Domingos Fernandez livreyro 1612, sem argumentos, com erros tipográficos nos cabeçalhos dos Cantos.</t>
  </si>
  <si>
    <r>
      <t>Rimas / de Luis de Camoens ; segunda parte. - [B]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 - Em Lisboa : na officina de Pedro Crasbeeck : a custa de Domingos Fernandez mercador de livros, 1616. [sonetos, elegias, ode, canções, sextina, redondilhas, esparsas,</t>
    </r>
    <r>
      <rPr>
        <sz val="11"/>
        <color rgb="FF0F9ED5"/>
        <rFont val="Aptos Narrow"/>
        <family val="2"/>
        <scheme val="minor"/>
      </rPr>
      <t xml:space="preserve"> </t>
    </r>
    <r>
      <rPr>
        <sz val="11"/>
        <color rgb="FF000000"/>
        <rFont val="Aptos Narrow"/>
        <family val="2"/>
        <scheme val="minor"/>
      </rPr>
      <t xml:space="preserve">não inclui sôbolos rios, cantigas, motes, vilancete, petição, voltas, trovas, epístolas]. </t>
    </r>
    <r>
      <rPr>
        <sz val="11"/>
        <color rgb="FF0F9ED5"/>
        <rFont val="Aptos Narrow"/>
        <family val="2"/>
        <scheme val="minor"/>
      </rPr>
      <t xml:space="preserve">Não surgem nesta 2.ª parte nem as Comédias, nem o Canto da Criação e Composição do Homem, tal como indicado no índice [digitalização conforme o original], mantém-se obra conjunta? </t>
    </r>
    <r>
      <rPr>
        <sz val="11"/>
        <color rgb="FF000000"/>
        <rFont val="Aptos Narrow"/>
        <family val="2"/>
        <scheme val="minor"/>
      </rPr>
      <t>Paratextos vida.</t>
    </r>
  </si>
  <si>
    <t>Os Lusiadas / de Luis de Camões. - Em Lisboa : por Paulo Crasbeeck, Impressor &amp; Liureiro das tres Ordens Militares, &amp; a sua custa, 1644. Erros gráficos paginação. Paratextos Argumentos.</t>
  </si>
  <si>
    <r>
      <t>Lusiadum libri decem / authore domino fratre Thoma de Faria, Episcopo Targensi, Regioque consiliario, Ordinis Virginis Mariae de Monte Carmeli, Doctore Theologo, ulyssiponensi. - Ulyssipone : ex officina Gerardi de Vinca, 1622.</t>
    </r>
    <r>
      <rPr>
        <sz val="11"/>
        <color rgb="FF4EA72E"/>
        <rFont val="Aptos Narrow"/>
        <family val="2"/>
        <scheme val="minor"/>
      </rPr>
      <t xml:space="preserve"> Alguns Cantos parecem estar incompletos: cf. exemplo final do C. II, Im. 80; final C. VII, cf. 225. Truncado ou assim no original? Confirmado por Sara: (Está correto. Pela verificação dos reclamos [palavra no final de uma página igual à palavra do início da página seguinte, de forma a mostrar a sua sequência], os referidos cantos estão completos).</t>
    </r>
  </si>
  <si>
    <r>
      <t>Camoens : Gedicht in zehn Gesängen / von J. B. Almeida Garrett ; Nach dem Portugiesischen von Adolf Friederich Graf von Schack. - Stuttgart : J. G. Cotta'schen, 1890. </t>
    </r>
    <r>
      <rPr>
        <sz val="11"/>
        <color rgb="FF0F9ED5"/>
        <rFont val="Aptos Narrow"/>
        <family val="2"/>
        <scheme val="minor"/>
      </rPr>
      <t>A inserir Celebrações (1880), recepção criativa?</t>
    </r>
    <r>
      <rPr>
        <sz val="11"/>
        <color rgb="FF4EA72E"/>
        <rFont val="Aptos Narrow"/>
        <family val="2"/>
        <scheme val="minor"/>
      </rPr>
      <t xml:space="preserve"> Salto na paginação entre pp. 33 a 35: truncada ou assim no original?  cf. Im. 58-59. </t>
    </r>
    <r>
      <rPr>
        <sz val="11"/>
        <color rgb="FFD86DCD"/>
        <rFont val="Aptos Narrow"/>
        <family val="2"/>
        <scheme val="minor"/>
      </rPr>
      <t>Confirmado por Sara: Confirma-se: a pág. 32 está repetida, faltando-lhe a pág. 34)</t>
    </r>
  </si>
  <si>
    <r>
      <t>Luís de Camões levantando o seu monumento ou a história de Portugal justificada pelos Lusiadas / pelo Dr. Melo Moraes. - Rio de Janeiro : Eduardo &amp; Henrique Laemmert, [1860]. Celebrações (1860), discussão [a propósito do monumento].</t>
    </r>
    <r>
      <rPr>
        <sz val="11"/>
        <color rgb="FF0F9ED5"/>
        <rFont val="Aptos Narrow"/>
        <family val="2"/>
        <scheme val="minor"/>
      </rPr>
      <t xml:space="preserve"> </t>
    </r>
    <r>
      <rPr>
        <sz val="11"/>
        <color rgb="FF4EA72E"/>
        <rFont val="Aptos Narrow"/>
        <family val="2"/>
        <scheme val="minor"/>
      </rPr>
      <t xml:space="preserve">Salto na paginação entre pp. 39 a 42: truncada ou assim no original?  cf. Im. 51-52. </t>
    </r>
    <r>
      <rPr>
        <sz val="11"/>
        <color rgb="FFD86DCD"/>
        <rFont val="Aptos Narrow"/>
        <family val="2"/>
        <scheme val="minor"/>
      </rPr>
      <t>Confirmado por Sara: (Confirma-se: faltam as págs. 40 e 41)</t>
    </r>
  </si>
  <si>
    <t>Os Lusiadas : poema épico / de Luis de Camões. - Nova ed. popular conforme às ed. clássicas de 1572. - Lisboa : Tip. de F. X. de Sousa &amp; Filho, 1871. Paratextos vida e Paratextos Argumentos.</t>
  </si>
  <si>
    <r>
      <t xml:space="preserve">Os Lusiadas : poema épico / de Luis de Camões. - Nova ed. cuidadosamente revista, e conforme à de 1572... - Lisboa : Livr. de António Maria Pereira, 1874. Paratextos vida e Paratextos Argumentos. </t>
    </r>
    <r>
      <rPr>
        <sz val="11"/>
        <color rgb="FF4EA72E"/>
        <rFont val="Aptos Narrow"/>
        <family val="2"/>
        <scheme val="minor"/>
      </rPr>
      <t xml:space="preserve">Repetição digitalização do Argumento Canto V, cf. Im. 194, estará assim no original? </t>
    </r>
    <r>
      <rPr>
        <sz val="11"/>
        <color rgb="FFD86DCD"/>
        <rFont val="Aptos Narrow"/>
        <family val="2"/>
        <scheme val="minor"/>
      </rPr>
      <t>Confirmado por Sara: (Confirma-se, a digitalização dessa página e da página seguinte onde se inicia o canto V estão repetidas)</t>
    </r>
  </si>
  <si>
    <t>Os Lusiadas : poema épico / Luis de Camões. - Nova ed. - Porto : Lelo &amp; Irmão, 1897. Erro gráfico paginação, cf. Im. 222, 251. Paratextos vida, Paratextos Argumentos, Paratextos notas aos cantos [algumas palavras alatinadas].</t>
  </si>
  <si>
    <r>
      <t>Lusiada / de Luis de Camoens : acrescentam-se as estancias despresadas por o Poeta, as lições várias e breves notas para a illustração do poema. - [S.l.] : I. E. Hitzig, [18--].</t>
    </r>
    <r>
      <rPr>
        <sz val="11"/>
        <color rgb="FF0F9ED5"/>
        <rFont val="Aptos Narrow"/>
        <family val="2"/>
        <scheme val="minor"/>
      </rPr>
      <t xml:space="preserve"> Sem comentários de Inácio Ferreira.</t>
    </r>
    <r>
      <rPr>
        <sz val="11"/>
        <color rgb="FF000000"/>
        <rFont val="Aptos Narrow"/>
        <family val="2"/>
        <scheme val="minor"/>
      </rPr>
      <t xml:space="preserve"> Paratextos vida, Paratextos notas e Paratextos argumentos.</t>
    </r>
  </si>
  <si>
    <t>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t>
  </si>
  <si>
    <t>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t>
  </si>
  <si>
    <r>
      <t xml:space="preserve">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t>
    </r>
    <r>
      <rPr>
        <sz val="11"/>
        <color rgb="FF4EA72E"/>
        <rFont val="Aptos Narrow"/>
        <family val="2"/>
        <scheme val="minor"/>
      </rPr>
      <t>Salto na paginação, p. 81 salta para p. 97: obra truncada ou assim no original? Cf. Im. 105 a 109. Confirmado por Sara: (É mesmo assim na obra original: passa da pág. 95 para a 84, de seguida passa para a 79 que segue a numeração até à 81, passando daqui para a 97)</t>
    </r>
  </si>
  <si>
    <t xml:space="preserve">Lusiades / de Camoëns ; trad. par M. M. Ch. Aubert. - Paris : G. A. Dentu, 1844. Erro tipográfico no Canto II: diz argumento e é sumário. Consideramos os sumários dos argumentos como argumentos? Sim. </t>
  </si>
  <si>
    <t>Die Lusiaden / des Camões ; Unter zugrundelegung der Uebersetzung von F. A. Kuhn und K. Th. Winkler... - Stuttgart : Gebrüder Kröner, [18--], sem argumentos. Introdução refere a vida do Poeta. Tabela dos reis portugueses, cf. Im. 255.</t>
  </si>
  <si>
    <t>Os Lusiadas : poema épico / de Luiz de Camões. - Paris : Tip. de Vandeil, 1857. Erros gráfico paginação, cf. Im. 196-197, 236. Paratextos argumentos, sem paratextos gerais.</t>
  </si>
  <si>
    <t>Los Lusiadas / por Luis de Camoens ; trad. al castellano por D. Lamberto Gil. - Madrid : Luis Navarro, 1887.</t>
  </si>
  <si>
    <r>
      <t xml:space="preserve">Uma glosa camoniana do seculo XVIII / Joaquim de Araujo. - Pádua : Fratelli Gaelina, 1895. </t>
    </r>
    <r>
      <rPr>
        <sz val="11"/>
        <color rgb="FFE97132"/>
        <rFont val="Aptos Narrow"/>
        <family val="2"/>
        <scheme val="minor"/>
      </rPr>
      <t>Repetição da digitalização da p. 15, cf. Im. 17 e 19.</t>
    </r>
  </si>
  <si>
    <t>Les Lusiades / Camoens ; trad. nouvelle de F. d'Azevedo. - Paris : Ernest Flammarion, [18--]. </t>
  </si>
  <si>
    <t>Ignês de Castro / Joaquim de Araujo ; notas de bibliografia acompanhadas do poemeto de D. Adolfo de Castro "Camoens morimundo y la sombra de Ignês de Castro". - Florença : Impr. de Salvador Landi, 1897.  Bibliografia, com nota final.</t>
  </si>
  <si>
    <t>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t>
  </si>
  <si>
    <t>Notice sur Luiz de Camoens / par Ferdinand de Trocz.... - Louvain : Charles Fonteyn, 1881, com estudo histórico genérico sobre Portugal e  notas finais, mas não sobre os Cantos.</t>
  </si>
  <si>
    <t>Biographie de Camoens telle qu'elle figurera dans les colonnes du Grand Dictionnaire / par Pierre Larousse. - Paris : V.ve J. P. Aillaud, Guillard et C.ie, 1867</t>
  </si>
  <si>
    <t>Translations from Camoens and other poets with original poetry : by the author of "Modern Greece".... - London. - Oxford : J. Murray : J. Parker, 1818 [vários sonetos, partes de écloga, Im. 9 a 33]</t>
  </si>
  <si>
    <t>Die Lusiaden : heroisch-epiches Gedicht / vonLuis de Camoens ; aus dem Portugiesischen in Jamben Übersetzt von Karl Eitner. - Hildburghausen : Verlag des Bibliographishen Instituts, 1869, sem argumentos, prefácio parece incluir menções à vida do Poeta.</t>
  </si>
  <si>
    <r>
      <t xml:space="preserve">O grande D. João de Castro julgado nos "Lusiadas". - Porto : Tip. Central de Antonio Mendes Cerdeira, 1884. </t>
    </r>
    <r>
      <rPr>
        <sz val="11"/>
        <color rgb="FF0F9ED5"/>
        <rFont val="Aptos Narrow"/>
        <family val="2"/>
        <scheme val="minor"/>
      </rPr>
      <t>A inserir obra, impressos, fragmentos, épica, paratextos gerais: fica em paratextos gerais épica, outros.</t>
    </r>
  </si>
  <si>
    <t>Catalogue d'une collection de Lusiades. - Paris : Guillard, Aillaud et Cie, [18--]. </t>
  </si>
  <si>
    <t>Os Lusiadas / Luis de Camões. - Lisboa : Livr. Barateira, [18--], sem argumentos, catálogo livraria [paratextos gerais?].</t>
  </si>
  <si>
    <t>Os Lusiadas : poema epico / de Luis de Camões. - Nova ed. - Lisboa : [s.n.], 1867 : Tip. de F. X. de Sousa &amp; Filho). Paratextos argumentos, sem paratextos gerais.</t>
  </si>
  <si>
    <t>La Lusiade / de Camoens ; traduction poétique avec des notes historiques et critiques necessaires pour l'intelligence du poéme par Mr. De La Harpe. - Londres : [s.n.], 1776. Erro gráfico paginação Im. 271.</t>
  </si>
  <si>
    <r>
      <t xml:space="preserve">Os Lusiadas : poema epico / de Luiz de Camões. - Nova ed. cuidadosamente revista e conforme às de 1572, precedida d'uma biografia do poeta / escripta pelo sr. Innocencio Francisco da Silva.... - Lisboa : Antonio Maria Pereira, 1898. Erro gráfico paginação Im. 413. </t>
    </r>
    <r>
      <rPr>
        <sz val="11"/>
        <color rgb="FF0F9ED5"/>
        <rFont val="Aptos Narrow"/>
        <family val="2"/>
        <scheme val="minor"/>
      </rPr>
      <t xml:space="preserve"> </t>
    </r>
    <r>
      <rPr>
        <sz val="11"/>
        <color rgb="FF000000"/>
        <rFont val="Aptos Narrow"/>
        <family val="2"/>
        <scheme val="minor"/>
      </rPr>
      <t>Paratextos vida e Paratextos argumentos.</t>
    </r>
  </si>
  <si>
    <t>Os Lusiadas / de Luiz de Camões. - Ed. reproduzida da 2ª de 1572 / e revista por Theophilo Braga. - Porto : Impr. Portuguesa, 1875, com estrofes omitidas e variantes. Erro gráfico paginação Im. 289, inclui variantes. Paratextos Argumentos apócrifos, que surgem no final, embora no prefácio TF diga que os suprimiu.</t>
  </si>
  <si>
    <t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t>
  </si>
  <si>
    <t>Les Lusiades ou les Portugais : poeme en dix chants / par Camoens ; trad. de J.-B.-J. Millie ; revue, corrigée et annotée par M. Dubeux... ; précédées d'une notice sur la vie et les ouvrages de Camoens par M. Charles Magnin.... - Paris : Charpentier, 1844, sem argumentos.</t>
  </si>
  <si>
    <t>Sämmtliche Idyllen / des Luis de Camoens ; zum ersten male deutsch von C. Schlüter und W. Storck. - Münster : Adolph Ruffell's Verlag, 1869 [éclogas e duas elegias+ traduções de alguns sonetos na introdução]</t>
  </si>
  <si>
    <t>Die Lusiade / des Luis de Camoens ; Erster Gesang verdeutscht von J. J. C. Donner. - Stuttgart : Bei Gebrüder Franck, 1827. Apenas o Canto I, com notas sobre a tradução e o Canto, sem argumento. Apontamentos manuscritos no início e no final da obra.</t>
  </si>
  <si>
    <t>Lusiadas de Camões : imitação ao burlesco / por um auctor incognito (Antonio de Magalhães e Menezes) ; canto 2.º inedito até hoje publicado por Antonio Francisco Barata. - Évora : Joaquim José Baptista, 1895.</t>
  </si>
  <si>
    <t>Soneto de Camoes : "Septe annos de pastor Jacob servia" em duas versões latinas de Alexis Collotes de Jantillet. - Braga : Typographia Camöes, 1887. </t>
  </si>
  <si>
    <r>
      <t>Rimas / de Luis de Camoens. - Acrescentadas nesta terceyra impressaõ. Dirigidas a Inclyta Universidade de Coimbra. - Em Lisboa : por Pedro Crasbeeck : a custa de Domingos Fernandez mercador de libros, 1607 [cartas, cantigas, voltas, sonetos, canções, odes, sextinas, elegias, tercetos, capítulos, oitavas, éclogas, redondilhas, sôbolos rios, esparsas, disparates, mote, cartas, glosa, voltas, endechas] + Cartas.</t>
    </r>
    <r>
      <rPr>
        <sz val="11"/>
        <color rgb="FF0F9ED5"/>
        <rFont val="Aptos Narrow"/>
        <family val="2"/>
        <scheme val="minor"/>
      </rPr>
      <t xml:space="preserve"> </t>
    </r>
  </si>
  <si>
    <t>Camões et les Lusiades : exposition Bibliothèque Royale Albert 1er : quatrième centenaire des Lusiades 1572 - hommage à Camões / Ministère de lªEducation Nationale ; [design] Fernand Baudin. - Bruxelles : M.E.N., 1972. - 1 cartaz</t>
  </si>
  <si>
    <t xml:space="preserve">Comemorações Camonianas : visita guiada ao Mosteiro dos Jerónimos. - [Lisboa] : Sec. Est. Comunicação Social [ca 1980?]. - 1 cartaz. </t>
  </si>
  <si>
    <t>Reply of Camoens / by J. Adamson ; K.T.S. ; K.C.. - Newcastle-Upon-Tyne : imprinted by M. A. Richardson, 1845.</t>
  </si>
  <si>
    <t>Les lusiades de Luiz de Camoens / traduit du portugais par J. B. J. Millié ; a été illustré par Bernard Roy. - Paris : imprimerie F. Paillart : en la rue de Beaune, à lªenseigne du Pot Cassé, 1931, sem argumentos. As notas são brevíssimas.</t>
  </si>
  <si>
    <t>Gruta de Camões, postal. Iconografia, Lugares de memória.</t>
  </si>
  <si>
    <r>
      <t>[Miscelânea camoniana : artigos de imprensa sobre Camões, 1867]. - Lisboa, 1867, inclui ainda imagem de G. Garibaldi, não inserida, recepção criativa, tematização, artigo sobre a vida do Poeta, sobre as oito estátuas do monumento do Poeta, entre outros.</t>
    </r>
    <r>
      <rPr>
        <sz val="11"/>
        <color rgb="FF0F9ED5"/>
        <rFont val="Aptos Narrow"/>
        <family val="2"/>
        <scheme val="minor"/>
      </rPr>
      <t xml:space="preserve"> </t>
    </r>
    <r>
      <rPr>
        <sz val="11"/>
        <color rgb="FF000000"/>
        <rFont val="Aptos Narrow"/>
        <family val="2"/>
        <scheme val="minor"/>
      </rPr>
      <t>Celebrações (1860), periódicos.</t>
    </r>
  </si>
  <si>
    <r>
      <t xml:space="preserve">[Camões e as festas : folhetim do centenário camoniano / Júlio César Machado]. - Lisboa, 1880. - 4 p. [artigo sobre a vida de Camões e Carta do Poeta; rebuçados com versos de </t>
    </r>
    <r>
      <rPr>
        <i/>
        <sz val="11"/>
        <color rgb="FF000000"/>
        <rFont val="Aptos Narrow"/>
        <family val="2"/>
        <scheme val="minor"/>
      </rPr>
      <t xml:space="preserve">Os Lusíadas </t>
    </r>
    <r>
      <rPr>
        <sz val="11"/>
        <color rgb="FF000000"/>
        <rFont val="Aptos Narrow"/>
        <family val="2"/>
        <scheme val="minor"/>
      </rPr>
      <t xml:space="preserve">e pastéis Lusíadas!] </t>
    </r>
    <r>
      <rPr>
        <sz val="11"/>
        <color rgb="FFE97132"/>
        <rFont val="Aptos Narrow"/>
        <family val="2"/>
        <scheme val="minor"/>
      </rPr>
      <t>Se possível, completar registo: Diário de Notícias, N.º 5:153, 16.º anno, 1880, quinta-feira, 10 de Junho.</t>
    </r>
  </si>
  <si>
    <r>
      <t xml:space="preserve">[Textos sobre Camões e a sua obra, no tricentenário camoniano]. - Lisboa : [Typ. do Futuro], 1880. </t>
    </r>
    <r>
      <rPr>
        <sz val="11"/>
        <color rgb="FFE97132"/>
        <rFont val="Aptos Narrow"/>
        <family val="2"/>
        <scheme val="minor"/>
      </rPr>
      <t>Se possível, completar registo: Democracia, N.º 1:955, VIII anno, 1880, quinta-feira, 10 de Junho.</t>
    </r>
  </si>
  <si>
    <r>
      <t xml:space="preserve">[Luís de Camões : número camoniano da "Correspondencia de Coimbra"]. - Coimbra : Imprensa Academica, 1880, com transcrição de </t>
    </r>
    <r>
      <rPr>
        <sz val="11"/>
        <color rgb="FF0F9ED5"/>
        <rFont val="Aptos Narrow"/>
        <family val="2"/>
        <scheme val="minor"/>
      </rPr>
      <t xml:space="preserve">um fragmento do episódio de Inês de Castro. </t>
    </r>
    <r>
      <rPr>
        <sz val="11"/>
        <color rgb="FFE97132"/>
        <rFont val="Aptos Narrow"/>
        <family val="2"/>
        <scheme val="minor"/>
      </rPr>
      <t>Se possível, completar registo: N.º 45, IX Anno, quinta-feira, 10 de Junho.</t>
    </r>
  </si>
  <si>
    <r>
      <t xml:space="preserve">[Luís de Camões : número camoniano do "Ecco Michaelense"]. - Ponta Delgada : Typ. do Defensor da Patria, 1880, </t>
    </r>
    <r>
      <rPr>
        <sz val="11"/>
        <color rgb="FF0F9ED5"/>
        <rFont val="Aptos Narrow"/>
        <family val="2"/>
        <scheme val="minor"/>
      </rPr>
      <t xml:space="preserve">com carta do Poeta. </t>
    </r>
    <r>
      <rPr>
        <sz val="11"/>
        <color rgb="FFE97132"/>
        <rFont val="Aptos Narrow"/>
        <family val="2"/>
        <scheme val="minor"/>
      </rPr>
      <t>Se possível, completar registo: Diário de Notícias, N.º 512, 10.º anno, 1880, quinta-feira, 10 de Junho.</t>
    </r>
  </si>
  <si>
    <t>Luiz de Camões : drama em cinco actos / por L. A. Burgain.... - Rio de Janeiro : Eduardo &amp; Henrique Laemmert, [1862], com epístola-dedicatória à cunhada do autor,  Luísa Elvira Desrousseaux. Celebrações (1860), recepção criativa, tematização.</t>
  </si>
  <si>
    <t>Pinheirada : poema historico-burlesco com epilogo gibboso, em paraphrase physica e moral do heroe decantado... - Braga : Tip. de Bernardo A. de Sá Pereira, 1888. No 308.º aniversário do Poeta. Celebrações (1880), recepção criativa, paródia.</t>
  </si>
  <si>
    <t>Colecção de poesias distribuidas no Imperial Teatro D. Pedro II por ocasião do festival comemorativo / organizado pelo Gabinete Português de Leitura. - [Rio de Janeiro] : Tip. e Lit. Moreira Maximino e Cª, [1880]. [Alma minha gentil; Tanto do meu estado me acho incerto; Busque amor novas artes, novo engenho; Doces lembranças da passada glória; Um mover de olhos brando e piedoso; Oh como se me alonga de ano a ano; Amor é um fogo que arde sem se ver; Ondados fio de oiro reluzente; De amor escrevo, de amor trato, e vivo; Coitado! que em um tempo choro e rio; Os olhos onde o casto Amor ardia; A formosura desta fresca serra; Se a ninguém tratais com desamor; canção vinde cá meu tão certo secretário; redondilhas: sôbolos rios que vão; elegias: Saiam desta alma triste e magoada] &amp; Tradução frag. Inês de Castro em várias línguas &amp; Recepção criativa, tematização e Celebrações (1880), recepção [a Camões, Soares de Passos; ode de Filinto Elísio a Camões;Tasso a Camões]</t>
  </si>
  <si>
    <t>Vida e obras de Luís de Camões : primeira parte / Wilhelm Storck ; versão do original alemão anotada por Carolina Michaelis de Vasconcelos. - Lisboa : Academia Real das Ciências, 1898. [tradutora e anotadora]</t>
  </si>
  <si>
    <t xml:space="preserve">Carmina / A. L. dos Santos Valente. - Olisipone : In Publica Typorum Officina : António Augusto de Carvalho Monteiro, 1892. Bilingue [retrato do autor, cf. Im. 12; sonetos: Alma minha gentil, que te partiste; Horas breves do meu contentamento; endechas a escrava Bárbara; inclui também poemas de outros poetas (Bocage, João de Deus, António Maria Gentil, Francisco de Almeida, entre outros); Poema sobre a estátua a Camões]. Esta edição comemora o décimo e segundo ano da terceira festa secular de Camões. </t>
  </si>
  <si>
    <t>O amigo do povo : periodico bracarense. - 10 de Jun. 1880, com texto sobre as condições financeiras da vida de Camões, tradução da estrofe CXX do Canto III, sobre Jau, um texto polémico.</t>
  </si>
  <si>
    <t>Les inspiratrices : Vittoria Colonna, Béatrix, Catherine d'Atayde. - Troyes : L. Lacroix, 1889. Sobre a paixão do Poeta sobre Catarina.</t>
  </si>
  <si>
    <t>Catálogo resumido d'uma collecção camoneana / Bibliotheca Pública de Ponta Delgada. - São Miguel : Typ. do Archivo dos Açores, 1880. Celebrações (1880), catálogo.</t>
  </si>
  <si>
    <t>O soneto de Torquato Tasso a Camões e Vasco da Gama : carta a António de Portugal de Faria / Joaquim de Araujo. - Genova : Tip. R. Istituto Sordo-Muti, 1898. </t>
  </si>
  <si>
    <r>
      <t>Camões pelo Visconde de Almeida Garrett, com notas, entre outras obras: um dos volumes das suas obras completas; prefaciado por Camilo Castelo Branco. - 7a. ed.. - Porto. - Braga : Liv. de Ernesto Chardron, imp. 1880. Celebrações (1880), recepção criativa, tematização.</t>
    </r>
    <r>
      <rPr>
        <sz val="11"/>
        <color rgb="FF0F9ED5"/>
        <rFont val="Aptos Narrow"/>
        <family val="2"/>
        <scheme val="minor"/>
      </rPr>
      <t xml:space="preserve"> </t>
    </r>
    <r>
      <rPr>
        <sz val="11"/>
        <color rgb="FFE97132"/>
        <rFont val="Aptos Narrow"/>
        <family val="2"/>
        <scheme val="minor"/>
      </rPr>
      <t>Digitalização: antes do poema, que surge apenas depois da p.  LXXXIV, existem excertos das obras completas de Garrett: completar informação no registo bibliográfico (Obras de J. B. de A. Garrett ; 1), tal como se encontra na referência infra.</t>
    </r>
  </si>
  <si>
    <r>
      <t xml:space="preserve">Camões / por J. B. de Almeida Garrett. - 3 a. ed.. - Lisboa : Imprensa Nacional, 1844. </t>
    </r>
    <r>
      <rPr>
        <sz val="11"/>
        <color rgb="FF0F9ED5"/>
        <rFont val="Aptos Narrow"/>
        <family val="2"/>
        <scheme val="minor"/>
      </rPr>
      <t xml:space="preserve"> </t>
    </r>
    <r>
      <rPr>
        <sz val="11"/>
        <color rgb="FFE97132"/>
        <rFont val="Aptos Narrow"/>
        <family val="2"/>
        <scheme val="minor"/>
      </rPr>
      <t>Digitalização: falta digitalização da p. 2 e há repetição da digitalização da p. 6. Assim no original?</t>
    </r>
  </si>
  <si>
    <t>A fábula de Narciso / por Luís de Camões. - Porto : Imprensa Internacional, 1880. Paratextos vida, que surgem em "Cálculo", cf. Im. 36; Inclui ainda "O leito de Camões" de Ulpio Veiga, cf. Im. 37: Celebrações (1880), recepção criativa, tematização.</t>
  </si>
  <si>
    <t>Camões / pelo Visconde de Almeida-Garrett. - 6.a ed.. - Lisboa : Viuva Bertrand e Filhos, 1863. - 271, [2] p. Celebrações (1860), recepção criativa.</t>
  </si>
  <si>
    <t>Camões / por J. B. de Almeida Garrett. - 2ª ed. - Lisboa : Typ. de José Baptista Morando, 1839. - XI, [3], 307 p. ; 16 cm. - (Obras de J. B. de Almeida Garrett ; 1)</t>
  </si>
  <si>
    <r>
      <t xml:space="preserve">Poesias lyricas / de Luiz de Camões. - Rio de Janeiro : [s.n., 1880]. [sonetos, elegias, odes, canções, oitavas, sextinas] </t>
    </r>
    <r>
      <rPr>
        <sz val="11"/>
        <color rgb="FFE97132"/>
        <rFont val="Aptos Narrow"/>
        <family val="2"/>
        <scheme val="minor"/>
      </rPr>
      <t>Obra não tem indicação de fim e, por isso, parece estar incompleta, assim no original?</t>
    </r>
  </si>
  <si>
    <t>Camões e os Lusíadas. - Rio de Janeiro : Typografia do Imperial Instituto Artístico, 1872.</t>
  </si>
  <si>
    <r>
      <t xml:space="preserve">Sämmthiche gedichte / zum ersten Male deutsch von Wilhelm Storck.... - Paderborn : Druck und Verlag von Ferdinand Schöningh, 1885, com notas no final. Não refere tricentenário. Teatro [Anfitriões, Seleuco e Filodemo]. Obra dedicada ao casal Burton [Isabel Burton, editou e prefaciou obra de tradução de Camões]. </t>
    </r>
    <r>
      <rPr>
        <sz val="11"/>
        <color rgb="FF0F9ED5"/>
        <rFont val="Aptos Narrow"/>
        <family val="2"/>
        <scheme val="minor"/>
      </rPr>
      <t>No prefácio, o tradutor refere ser o sexto volume das obras: colocar em obras conjuntas, mesmo que surja apenas este volume?</t>
    </r>
  </si>
  <si>
    <t>A mãe de Camões : A propósito da opinião do Sr. Wilhelm Storck. - Lisboa : Empresa do Ocidente, 1892. Refere D. Carolina Michaêlis.</t>
  </si>
  <si>
    <r>
      <t>Os Lusíadas : poema epico ... / Luís de Camöes. - Rio de Janeiro : Domingos José Gomes Brandäo, 1861.</t>
    </r>
    <r>
      <rPr>
        <sz val="11"/>
        <color rgb="FF0F9ED5"/>
        <rFont val="Aptos Narrow"/>
        <family val="2"/>
        <scheme val="minor"/>
      </rPr>
      <t xml:space="preserve"> </t>
    </r>
    <r>
      <rPr>
        <sz val="11"/>
        <color rgb="FF000000"/>
        <rFont val="Aptos Narrow"/>
        <family val="2"/>
        <scheme val="minor"/>
      </rPr>
      <t xml:space="preserve">Paratextos, argumentos e Celebrações (1860), edições. </t>
    </r>
    <r>
      <rPr>
        <sz val="11"/>
        <color rgb="FFE97132"/>
        <rFont val="Aptos Narrow"/>
        <family val="2"/>
        <scheme val="minor"/>
      </rPr>
      <t>Faltam argumento e estrofes I e II do Canto I, cf. p. 6: truncada ou assim no original? Confirmar p. 79 e 86, não parece existir salto na sequência das estrofes e pode ser erro gráfico na paginação. Página que antecede a 244 está deslocada, pois o argumento precede o Canto: assim no original?</t>
    </r>
  </si>
  <si>
    <r>
      <t>Os Lusíadas : poema epico ... / Luís de Camöes. - Nova ed. - Lisboa : Typ. de L.C. da Cunha, 1868. Paratextos, argumentos. Sem referência às Celebrações.</t>
    </r>
    <r>
      <rPr>
        <sz val="11"/>
        <color rgb="FF0F9ED5"/>
        <rFont val="Aptos Narrow"/>
        <family val="2"/>
        <scheme val="minor"/>
      </rPr>
      <t xml:space="preserve"> </t>
    </r>
    <r>
      <rPr>
        <sz val="11"/>
        <color rgb="FFE97132"/>
        <rFont val="Aptos Narrow"/>
        <family val="2"/>
        <scheme val="minor"/>
      </rPr>
      <t>Estrofes XLII a LXXXIX do Canto VIII deslocadas do Canto correspondente, pois surgem a seguir à p. 320, que corresponde ao Canto IX: assim no original ou deslocadas no processo de digitalização?</t>
    </r>
  </si>
  <si>
    <t xml:space="preserve">Novas poesias / Luís de Camöes ; [anot.] de J. A. Alves Viana. - Porto : J. A. Alves Viana, 1890. Soneto: "Olhos de cristal puro, que vertendo"; Canção: "Não de cores fingidas". </t>
  </si>
  <si>
    <t>Sonetos camoneanos / Luís de Camões ; [pref.] Carlos Félix. - Lisboa : Carlos Félix, 1888. No 308.º aniversário da morte do Poeta. Fragmentos de Canto I, VIII, X e outros. Fragmento de soneto. Celebrações (1880), recepção criativa, centão e tematização.</t>
  </si>
  <si>
    <r>
      <t>Uma traducção hollandeza de Camões / trad. Theodorus Johannes Kerkhoven, Anibal Fernandes Tomás. - Porto : Circulo Camoniano : Imprensa Moderna, 1890.</t>
    </r>
    <r>
      <rPr>
        <sz val="11"/>
        <color rgb="FFE97132"/>
        <rFont val="Aptos Narrow"/>
        <family val="2"/>
        <scheme val="minor"/>
      </rPr>
      <t xml:space="preserve"> Sem indicação de fim: truncada ou assim no original?</t>
    </r>
  </si>
  <si>
    <t>Tres estrophes / Luís de Camöes ; trad. do arménio por Arsenio Ghazik ; [pref.] Joaquim de Araújo. - Veneza : Typographia da Ilha de S. Lazaro, 1898</t>
  </si>
  <si>
    <t>O centenário de Camões / Theophilo Braga. - Porto : Imprensa Commercial, 1880. Não existe informação sobre ser um acto público, mas o autor apresenta programa das festas centenárias e torna-se possível inferir que existam auditores.</t>
  </si>
  <si>
    <t xml:space="preserve">Flora dos Lusíadas / pelo Conde de Ficalho. - Lisboa : Academia Real das Sciencias, 1880. </t>
  </si>
  <si>
    <t>Homenagem a Camões : Junho de 1880 / [A. C. Borges de Figueiredo]. Poema lito-manuscrito em XXI oitavas. Celebrações (1880), recepção criativa, tematização.</t>
  </si>
  <si>
    <t>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t>
  </si>
  <si>
    <t>Paralello entre Virgilio e Camões : conferencia pronunciada em sessão solemne da sociedade Nova Euterpe, a 13 de Junho de 1880</t>
  </si>
  <si>
    <t>Sette annos de pastor Jacob servia : soneto de Camões / Carolina Michaelis de Vasconcelos. - Porto : Tip. Elzeviriana, 1889.</t>
  </si>
  <si>
    <t>A conchiologia dos Lusíadas / Augusto Nobre. - Porto : Tip. de Artur José de Sousa &amp; Irmão, 1886</t>
  </si>
  <si>
    <t>Um soneto de Camões em Quevedo y Villegas imitado com anteloquio do professor... Pereira caldas. - Braga : Tip. Gouveia, 1883. "Como homenagem a Camões na memória do tricentenário festivoso em 1880." Celebrações (1880), recepção criativa, tematização.</t>
  </si>
  <si>
    <r>
      <t xml:space="preserve">Glosa de Bernardo Vieira Ravasco, irmão... do Padre Antonio Vieira, ao soneto de Camões Horas breves do meu contentamento com anteloquio do professor... Pereira Caldas. - Braga : Tip. de Gouveia, 10 de Junho de 1884. </t>
    </r>
    <r>
      <rPr>
        <sz val="11"/>
        <color rgb="FFE97132"/>
        <rFont val="Aptos Narrow"/>
        <family val="2"/>
        <scheme val="minor"/>
      </rPr>
      <t>Antelóquio iniciado na p. 4, faltam páginas e/ou página antecedentes, cf. no o</t>
    </r>
    <r>
      <rPr>
        <sz val="11"/>
        <color rgb="FF000000"/>
        <rFont val="Aptos Narrow"/>
        <family val="2"/>
        <scheme val="minor"/>
      </rPr>
      <t>riginal. Celebrações (1880), recepção criativa, tematização.</t>
    </r>
  </si>
  <si>
    <t>Amica veritas : versos no terceiro centenário de Camões / Diogo do Souto. - Terceira edição com uma carta do Sr. Camillo Castello-Branco e o juizo da imprensa.... - Porto : J. E. Cruz Coutinho 1881 com transcrição de notícias de periódicos. Celebrações (1880), recepção criativa, tematização, poema no final.</t>
  </si>
  <si>
    <t>Publicação em beneficio do Asylo de Invalidos denominado Asylo Camões, iniciado... em commemoração do tricentenario do immortal épico portuguez : poesia / recitada por seu auctor A. Xavier de Sousa Cordeiro.... - Ponte de Lima : Tip. Comercial, 1880.</t>
  </si>
  <si>
    <t>Publicação em beneficio do Asylo de Invalidos denominado Asylo Camões, iniciado... em commemoração do tricentenario do immortal épico portuguez : poesia / recitada por seu auctor A. Xavier de Sousa Cordeiro.... - Ponte de Lima : Tip. Comercial, 1880. O poema não recria, nem tematiza Camões, mas descreve um sonho sobre indigentes e desvalidos.</t>
  </si>
  <si>
    <t>Breves reflexões sobre a vida de Luiz de Camões escrita por M. Charles Magnin... / por D. Francisco Alexandre Lobo.... - Lisboa : Tip. da Ac. Real das Ciencias, 1842</t>
  </si>
  <si>
    <t>O Camões : semanário. - N. 1 (Jul. 1887)-n. 21 (Set. 1887). - Porto : Tip. Aliança, 1887. Inclui recepção criativa, tematização, pequenos artigos sobre o Poeta, um deles sobre os ascendentes de Camões por Camilo Castelo Branco, outro sobre a casa onde morreu Camões, que não se encontra assinado, e textos de escritoras, mas os textos não versam sobre Camões [Adelaide de Vasconcelos; Margarida Gonçalves; Guiomar Torrezão, Ana Maria Ribeiro de Sá, Albertina Paraíso, Maria Peregrina de Sousa]</t>
  </si>
  <si>
    <t>Album da gruta de Camões : cópia enviada à Sociedade de Geografia de Lisboa pelo Governo de Macau por occasião de se preparar a reunião do Congresso Internacional dos Orientalistas em Lisboa (1892). - Lisboa : Impr. Nacional, 1893. Poema "Homage to Camoens and adieu to his Grotto", August 1851, Maria Middleton. Celebrações 1880, recepção criativa, tematização.</t>
  </si>
  <si>
    <t>Estancias e lições desprezadas e omittidas por Camões na primeira impressão do seu poema : extraídas da edição dos Lusíadas publicada em 1800 por Joaquim Ignacio de Freitas,.... - Coimbra : Casa Minerva, 1881. Refere na advertência o 1.° aniversário do Tricentenário do grande Épico.</t>
  </si>
  <si>
    <t>Versão italiana do soneto de Camões "Em uma lapa toda tenebrosa" / por Giacomo Zanella ; com duas linhas preambulares do professor... Pereira Caldas.... - Braga : Typ. Bernardo A. de Sá Pereira, 1884. Não refere Tricentenário.</t>
  </si>
  <si>
    <t>Uma oitava de Camões em Carrion de Nisas. Com antelóquio do professor... Pereira Caldas. - Braga : Typ. Camões, 1884. Oferenda cordial para os camonistas.</t>
  </si>
  <si>
    <t>Três oitavas dos Lusíadas de Camões / parodiados no Anatónico Jocosop de Fr. Lucas de Sancta Catharina... ; com antelóquio noticioso do professor Pereira-Caldas. - Braga : Typ. Camões, 1889. Pelo aniversário 309 do falecimento do Camões. Celebrações (1880), recepção criativa, paródia.</t>
  </si>
  <si>
    <t>Memoria historica e critica acerca de Luiz de Camões e das suas obras / por Francisco Alexandre Lobo. - Lisboa : na Typ. da mesma Academia, 1820</t>
  </si>
  <si>
    <t>Les poétes les plus célébres français, italiens, allemands, anglais, espagnols, portugais / par Maxime de Montrond.... - Lille : L. Lefort, 1859, cf. Im. 64-73. Celebrações (1860), vida.</t>
  </si>
  <si>
    <t>Alma minha gentil... / publicado pelo conselheiro António José Viale.... - Braga : [s.n.], 1882. Não refere Tricentenário.</t>
  </si>
  <si>
    <t>Encomios a Camões em dois sonetos hispanhoes de Lope de Vega "desconhecidos dos camonistas" / Pereira Caldas. - Braga : Tip. Camões, 1887. "Na solemnisação festivosa do tricentenário camoniano em 10 de Junho de 1880". Celebrações (1880), recepção criativa, tematização.</t>
  </si>
  <si>
    <t>A estrela Vénus nos Lusíadas / Luciano Pereira da Silva. - Porto : Tip. da Renascença Portuguesa, [191-].</t>
  </si>
  <si>
    <t>A Camões... / Dias Freitas. - Braga : [s.n.], 10 de Junho de 1882. Celebrações (1880), recepção criativa, tematização.</t>
  </si>
  <si>
    <t>Homenagens a Camões em artigos jornalísticos em Braga, no tricentenário do poeta (10 de Junho 1880) / Pereira Caldas. - Braga : Typ. Lusitana, 1881. Transcrição dos artigos do autor saídos em periódicos: Camões no Conde de Cheste (uma versão dos lusíadas); Camões em Don Lamberto Gil (uma versão camoniana); Camões em Felice Bellotti; Camões em Carlo Antonio Paggi (uma versão dos lusíadas).</t>
  </si>
  <si>
    <t>Carta camoneana ao professor decano do Lyceu bracarense, Pereira Caldas / Padre Pereira. - Braga : cs.n., 1892. Celebrações (1880), nótulas</t>
  </si>
  <si>
    <t>Relatorio da Commissão nomeada para examinar a nova edição dos Lusíadas, impressa em Paris em 1817. Extrahido do Tom. V. Part. II. da Historia e Memórias da Academia Real das Ciências de Lisboa.</t>
  </si>
  <si>
    <t>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t>
  </si>
  <si>
    <t xml:space="preserve">A figura poética de Camões em Alemanha / Karl von Reinhardstoettner. - Porto : Typ. Elzeviriana, 1889. Estudo sobre autores que romancearam a vida do Poeta. </t>
  </si>
  <si>
    <t xml:space="preserve">O centenario de Camões / por F. de Figueiredo. - Rio de Janeiro : Typ. da Escola de Serafim José Alves, 1880. - 8 p. </t>
  </si>
  <si>
    <t>A estátua de Camões : poesia à inauguração do monumento ao grande poeta / por A. da Silva Carvalho. - Lisboa : Typ. da Viuva Pires Marinho, 1867. Celebrações (1860), recepção criativa, tematização.</t>
  </si>
  <si>
    <r>
      <t>A Camões. - Porto : Typ. Alliança, 1885.</t>
    </r>
    <r>
      <rPr>
        <sz val="11"/>
        <color rgb="FFE97132"/>
        <rFont val="Aptos Narrow"/>
        <family val="2"/>
        <scheme val="minor"/>
      </rPr>
      <t xml:space="preserve"> In "A CARTEIRA DO VIAJANTE", periódico? completar registo bibliográfico, se assim for. </t>
    </r>
    <r>
      <rPr>
        <sz val="11"/>
        <color rgb="FF0F9ED5"/>
        <rFont val="Aptos Narrow"/>
        <family val="2"/>
        <scheme val="minor"/>
      </rPr>
      <t xml:space="preserve"> </t>
    </r>
    <r>
      <rPr>
        <sz val="11"/>
        <color rgb="FF000000"/>
        <rFont val="Aptos Narrow"/>
        <family val="2"/>
        <scheme val="minor"/>
      </rPr>
      <t xml:space="preserve">Celebrações (1880), recepção criativa, tematização e centão, inclui ainda vários textos em prosa sobre </t>
    </r>
    <r>
      <rPr>
        <i/>
        <sz val="11"/>
        <color rgb="FF000000"/>
        <rFont val="Aptos Narrow"/>
        <family val="2"/>
        <scheme val="minor"/>
      </rPr>
      <t>Os Lusíadas.</t>
    </r>
  </si>
  <si>
    <t>Os Lusíadas / Luiz de Camões. - [S.l. : s.n., 18---19--] : Tip. de A. de F. Guimarães &amp; Cª), sem paratextos gerais, talvez tenham sido arrancados. Paratextos argumentos. Páginas 395-396 rasgadas, mas assim no original.</t>
  </si>
  <si>
    <t>Os Lusíadas : poema épico / de Luís de Camões. - Ed. publ. pelo Dr. Abílo Cesar Borges. - Bruxelas : Tip. E. Guyot, 1879, com dicionário. Paratextos argumentos e nota sobre supressão de estrofes, cf. Im. 75.</t>
  </si>
  <si>
    <r>
      <t>Os Lusíadas : poema épico / de Luís de Camões. - Nova ed. popular conforme às ed. clássicas de 1572. - Lisboa : Tip. de F. X. de Sousa &amp; Filho, 1870. Paratextos argumentos, sem paratextos gerais, com alguns erros gráficos na paginação e numeração das estrofes.</t>
    </r>
    <r>
      <rPr>
        <sz val="11"/>
        <color rgb="FFE97132"/>
        <rFont val="Aptos Narrow"/>
        <family val="2"/>
        <scheme val="minor"/>
      </rPr>
      <t xml:space="preserve"> Faltam estrofes III-VIII do Canto IX, cf. pp. 311-312: assim no original?</t>
    </r>
  </si>
  <si>
    <t>Os Lusíadas : poema épico / de Luís de Camões. - Nova ed. conforme à de 1817, in 4º / de Dom José Maria de Sousa Botelho ; correta e dada à luz por Paulino de Sousa. - Paris : Vª J. P. Aillaud, 1875, com índice de nomes no final. Paratextos vida e paratextos argumentos.</t>
  </si>
  <si>
    <t>Sonetos centonicos do seculo seiscentista em versos de Camões / por Fr. Manuel do Sepulcro... e o P e André Nunes da Silva... ; com anteloquio do Professor... Pereira Caldas. - Braga : [s.n.], 1880. Celebrações (1880), recepção criativa, centão.</t>
  </si>
  <si>
    <t>Discurso laudatorio... em honra de Camões / por Jeronymo de Gouveia Gama Freixo na noute de 7 de Junho de 1880 no Collegio Parisiense.... - Évora : Tip. Eborense, 1880. Não consigo abrir a cópia digital, consultada via PDF Miguel.</t>
  </si>
  <si>
    <t>Alma minha gentil : soneto de Camões com duas versões. - Porto : Tip. Central, 1884. Tradução também por Felicia Hemans. Não refere Tricentenário.</t>
  </si>
  <si>
    <r>
      <t>Apotheose camoneana / por Xavier de Carvalho. - Porto : Empr. Ferreira de Brito, 1885-</t>
    </r>
    <r>
      <rPr>
        <sz val="11"/>
        <color rgb="FFE97132"/>
        <rFont val="Aptos Narrow"/>
        <family val="2"/>
        <scheme val="minor"/>
      </rPr>
      <t>1886, esta é a primeira data que aparece quando se abre o purl, talvez se possa aditar a data ou então deslocar a imagem de rosto para o final da digitalização</t>
    </r>
    <r>
      <rPr>
        <sz val="11"/>
        <color rgb="FF000000"/>
        <rFont val="Aptos Narrow"/>
        <family val="2"/>
        <scheme val="minor"/>
      </rPr>
      <t>. Celebrações (1880), recepção criativa, tematização.</t>
    </r>
  </si>
  <si>
    <t>Poems and translations from the Minor GreeK Poets and others : written chiefly between the ages of ten and sixteen by a lady.... - London : Longman, Hurst, Rees &amp; Orme, [18--]</t>
  </si>
  <si>
    <r>
      <t xml:space="preserve">Anthologie universelle : choix des meilleures poésies lyriques de diverses nations dans les langues originales / par Joaquim Gomes de Souza. [Inês de Castro, Intercessão de Vénus, Adamastor e soneto Alma minha gentil pp. 650]. 1859. </t>
    </r>
    <r>
      <rPr>
        <sz val="11"/>
        <color rgb="FF0F9ED5"/>
        <rFont val="Aptos Narrow"/>
        <family val="2"/>
        <scheme val="minor"/>
      </rPr>
      <t>A inserir Antologia, paratextos gerais: fica em paratextos gerais lírica, outros.</t>
    </r>
    <r>
      <rPr>
        <sz val="11"/>
        <color rgb="FFE97132"/>
        <rFont val="Aptos Narrow"/>
        <family val="2"/>
        <scheme val="minor"/>
      </rPr>
      <t xml:space="preserve"> Paginação desordenada, cf. a partir da p. 465; pp. 906-907 repetidas, surgindo após p. 915; faltam pp. 916-917: Assim no original? </t>
    </r>
  </si>
  <si>
    <t>Camões e os Lusíadas : estudo crítico publicado por ocasião do tricentenário / por Theophilo Braga. - Lisboa : Nova Livr. Internacional, 1880</t>
  </si>
  <si>
    <t>Camoëns : drame en cinq actes et en prose / par... Victor Perrot et Armand du Mesnil. - Paris : Beck Editeur, 1845. Representado, pela primeira vez , no teatro Odéon no dia 29 de Abril de 1845.</t>
  </si>
  <si>
    <t>Imitação do soneto de Camões "Septe annos de pastor Jacob servia" com os mesmos consoantes / por João Cardoso da Costa... na Musa pueril em 1736. - Braga : Typ. de Bernardo A. de Sá Pereira, 1884</t>
  </si>
  <si>
    <r>
      <t xml:space="preserve">Art camonien : lettre a Mr. Joaquim de Araujo / Platon Waxel. - Porto : Redacção do Circulo Camoniano, 1892. </t>
    </r>
    <r>
      <rPr>
        <sz val="11"/>
        <color rgb="FFE97132"/>
        <rFont val="Aptos Narrow"/>
        <family val="2"/>
        <scheme val="minor"/>
      </rPr>
      <t>Texto truncado, cf. p. 11.</t>
    </r>
  </si>
  <si>
    <t>Discurso apologético sobre a visão do Indo e Ganges no Canto IV dos Lusíadas / por João Franco Barreto ; dado à estampa por Antonio Francisco Barata. - Evora : Typ. Eborense de F.C. Bravo, 1895.</t>
  </si>
  <si>
    <r>
      <t xml:space="preserve">La Lusiada / de el famoso poeta Luys de Camões ; traduzida en verso castellano de portugues, por el Maestro Luys Gomez de Tapia vezino de Seuilla ; dirigida al illustrissimo Aeñor Ascanio Colona, Abbad de Sancta Sophia. - En Salamanca : en casa de Ioan Perier, Impressor de Libros, 1580. Trad. Épica, Trad. Paratextos gerais, trad. argumentos e notas. Obra com erros de paginação e trocas de página. </t>
    </r>
    <r>
      <rPr>
        <sz val="11"/>
        <color rgb="FFE97132"/>
        <rFont val="Aptos Narrow"/>
        <family val="2"/>
        <scheme val="minor"/>
      </rPr>
      <t>Ainda que a paginação seja irregular, existe um salto na p. 48 para a p. 59 [anotações do Canto II]; faltam estrofes finais do Canto X e notas do mesmo canto, assim no original, conforme escrito a lápis no fim da obra.</t>
    </r>
  </si>
  <si>
    <t>Los Lusiadas / de Luys de Camoes ; traduzidos en octaua rima Castellana por Benito Caldera, residente en Corte. - Impresso en Alcala de Henares : por Iua[n] Gracian, 1580. Portada: 7; Trad. Épica, Trad. Paratextos gerais e trad. argumentos. Obra sem paginação.</t>
  </si>
  <si>
    <t>O cancioneiro Fernandes Tomás ; O cancioneiro do Pe. Pedro Ribeiro. - Lisboa : Imp. Nac.-Casa da Moeda, 1980. Lista que inclui géneros líricos de Camões, cf. Im. 45-48; elegia: "Correntes aguas frias do Mondego"; sonetos atribuídos ao Poeta: "Amor mil vezes já me tem mostrado"; "Apartamentos tristes, sem ventura"; "Com que voz chorarei meu triste fado"; "Com voz desordenada, sem sentido,"; "Contentamentos meus que já passastes"; "Eu não canto, mas choro; e vai chorando"; "Já tempo foi que meus olhos folgavam"; "Oh quem dizer pudesse quanto sente!"; "Olhos de cristal puro que vertendo"; "Prometi já mil vezes emendar-me;" "Que gritos são os que ouço? - De tristeza."; "Se cuidãsse que nesse peito isento"; "Vai-me gastando Amor e um pensamento"; "Descalço e sem chapeu, Apolo louro"; EPIGRAMA: "Não corre o ceo astro tam fermoso"; "Não voa pelo ceo com tanta graça"; canções; capítulo; Cotejamento de edições. Com textos críticos de Carolina Michaëlis.</t>
  </si>
  <si>
    <r>
      <t xml:space="preserve">Camões / dir. Oscar Lopes. - </t>
    </r>
    <r>
      <rPr>
        <sz val="11"/>
        <color rgb="FFE97132"/>
        <rFont val="Aptos Narrow"/>
        <family val="2"/>
        <scheme val="minor"/>
      </rPr>
      <t>Nº 1 (Julho-Agosto 1980), este exemplar corresponde aos números 2/3 (Setembro/Outubro e Novembro/Dezembro, 1980)</t>
    </r>
    <r>
      <rPr>
        <sz val="11"/>
        <color rgb="FF000000"/>
        <rFont val="Aptos Narrow"/>
        <family val="2"/>
        <scheme val="minor"/>
      </rPr>
      <t>-. - Lisboa : Caminho, 1980. Consultada cópia interna. Tematização de Melo e Castro e entrevista-centão de Baptista-Bastos, entre outras pérolas.</t>
    </r>
  </si>
  <si>
    <r>
      <t xml:space="preserve">O bilinguismo castelhano-português na época de Camões / Pilar Vásquez Cuesta. - Paris : Fund. Calouste Gulbenkian - Centro Cult. Port., 1981. </t>
    </r>
    <r>
      <rPr>
        <sz val="11"/>
        <color rgb="FFE97132"/>
        <rFont val="Aptos Narrow"/>
        <family val="2"/>
        <scheme val="minor"/>
      </rPr>
      <t>Arquivos do Centro Cultural Português, XVI, separata.</t>
    </r>
    <r>
      <rPr>
        <sz val="11"/>
        <color rgb="FF000000"/>
        <rFont val="Aptos Narrow"/>
        <family val="2"/>
        <scheme val="minor"/>
      </rPr>
      <t xml:space="preserve"> Consultada cópia interna: apresenta índice geral do volume, que contempla um conjunto de ensaios dedicados a Camões.</t>
    </r>
  </si>
  <si>
    <t>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t>
  </si>
  <si>
    <r>
      <t xml:space="preserve">Os Dois Mundos : illustração para Portugal e Brazil / dir. e propr. Salomon Saragga. - V. 1, n.º 1 (31 ag. 1877) - v. 3, n.º 36 (abr. 1881). - Paris : Salomon Saragga, 1877-1881. </t>
    </r>
    <r>
      <rPr>
        <sz val="11"/>
        <color rgb="FF0F9ED5"/>
        <rFont val="Aptos Narrow"/>
        <family val="2"/>
        <scheme val="minor"/>
      </rPr>
      <t xml:space="preserve">Anúncio de Parnaso Português Moderno por Teófilo Braga?, </t>
    </r>
    <r>
      <rPr>
        <sz val="11"/>
        <color rgb="FF000000"/>
        <rFont val="Aptos Narrow"/>
        <family val="2"/>
        <scheme val="minor"/>
      </rPr>
      <t>cf. Im. 13.</t>
    </r>
  </si>
  <si>
    <r>
      <t xml:space="preserve">O biógrafo de Camões Pedro de Mariz e os seus "Diálogos de vária história" / A. Saraiva de Carvalho. - Guimaräes : Cadernos Gil Vicente, </t>
    </r>
    <r>
      <rPr>
        <sz val="11"/>
        <color rgb="FFE97132"/>
        <rFont val="Aptos Narrow"/>
        <family val="2"/>
        <scheme val="minor"/>
      </rPr>
      <t>separata da Revista Gil Vicente, Vol. XXIV,</t>
    </r>
    <r>
      <rPr>
        <sz val="11"/>
        <color rgb="FF000000"/>
        <rFont val="Aptos Narrow"/>
        <family val="2"/>
        <scheme val="minor"/>
      </rPr>
      <t xml:space="preserve"> 1973. Consultada cópia interna. Primeiro texto refere celebrações do centenário.</t>
    </r>
  </si>
  <si>
    <r>
      <t xml:space="preserve">Os Lusíadas e a botânica / Carlos das Neves Tavares. - Lisboa : Junta de Investigações do Ultramar, 1972. </t>
    </r>
    <r>
      <rPr>
        <sz val="11"/>
        <color rgb="FFE97132"/>
        <rFont val="Aptos Narrow"/>
        <family val="2"/>
        <scheme val="minor"/>
      </rPr>
      <t xml:space="preserve">Separata de Garcia de Orta, Revista da Junta de Investigações do Ultramar, número especial comemorativo do IV centenário da publicação de </t>
    </r>
    <r>
      <rPr>
        <i/>
        <sz val="11"/>
        <color rgb="FFE97132"/>
        <rFont val="Aptos Narrow"/>
        <family val="2"/>
        <scheme val="minor"/>
      </rPr>
      <t xml:space="preserve">Os Lusíadas </t>
    </r>
    <r>
      <rPr>
        <sz val="11"/>
        <color rgb="FFE97132"/>
        <rFont val="Aptos Narrow"/>
        <family val="2"/>
        <scheme val="minor"/>
      </rPr>
      <t>(1972).</t>
    </r>
    <r>
      <rPr>
        <sz val="11"/>
        <color rgb="FF000000"/>
        <rFont val="Aptos Narrow"/>
        <family val="2"/>
        <scheme val="minor"/>
      </rPr>
      <t xml:space="preserve"> Consultada cópia interna.</t>
    </r>
  </si>
  <si>
    <r>
      <t xml:space="preserve">Descripção do Reino de Portugal / per Duarte Nunez do Leão, desembargador da casa da supplicação : dirigido ao... Sñor Dom Diogo da Sylva, Duque de Francavilla.... - Em Lisboa : impresso com licença, por Iorge Rodriguez, 1610. </t>
    </r>
    <r>
      <rPr>
        <sz val="11"/>
        <color rgb="FFE97132"/>
        <rFont val="Aptos Narrow"/>
        <family val="2"/>
        <scheme val="minor"/>
      </rPr>
      <t>Excluir da Camoniana?</t>
    </r>
  </si>
  <si>
    <r>
      <t xml:space="preserve">Lisboa antiga : bairros orientais / Júlio de Castilho ; anot. Augusto Vieira da Silva. - 2ª ed. rev. e ampl. - Lisboa : S. Industriais da Câmara Municipal de Lisboa, 1934-1938. Vol. 1: única ref. a Camões, cf. Im. 65, 366 em bibliografia/ Imagem plano de Lisboa e monumentos romanos, cf. Im. 115, planta Lisboa Im. 261 e 287; Vol. 2: oitava de Camões, cf. Im. 134 "Lá do Germânico Aibis e do Reno,", imagens alusivas a Martim Moniz; Vol. 3: referência ao Tricentenário de Camões: cf. Im. 306/ Im. 151 planta do Rossio; Vol. 4: versos atribuídos a Camões, mas cuja autoria é de Bocage, cf. Im. 106, referência ao cortejo do Tricentenário, cf. Im. 117, cf. Im. 355; referência à casa onde se crê ter falecido Camões, cf. Im. 281/ Im. 38, 39, 45, 59, 153, 215, 227, 229, 231, 241 plantas Lisboa antiga e igrejas Santa Justa e Rufina; Vol. 5 [plantas da Sé e outras], Vol. 7, Vol. 8, Vol. 9, Vol. 10, Vol. 11, Vol. 12: sem menções ao Poeta ou à obra épica; Vol. 6: Im. 258, referência à Sé como </t>
    </r>
    <r>
      <rPr>
        <i/>
        <sz val="11"/>
        <color rgb="FF000000"/>
        <rFont val="Aptos Narrow"/>
        <family val="2"/>
        <scheme val="minor"/>
      </rPr>
      <t>Lusíadas</t>
    </r>
    <r>
      <rPr>
        <sz val="11"/>
        <color rgb="FF000000"/>
        <rFont val="Aptos Narrow"/>
        <family val="2"/>
        <scheme val="minor"/>
      </rPr>
      <t xml:space="preserve"> de pedra [várias imagens da Sé].</t>
    </r>
  </si>
  <si>
    <t>3 retratos de Camões. - [Lisboa] : Edições Panorama, 1972 (Porto : Lito Of. Artistas Reunidos), com poema de Afonso Lopes Vieira, intitulado "O retrato de Goa". Consultada cópia interna.</t>
  </si>
  <si>
    <t>Cancioneiro de Luís Franco Correa, 1557-1589 / apresent. de Maria de Lurdes Belchior. - Lisboa : Comissão Executiva do IV Centenário da Publicação de "Os Lusíadas", 1972. Consultada cópia interna: Lírica [Elegias, sonetos, oitavas, canções, sextinas, éclogas, capítulo, estâncias]; Lusíadas [Canto I, cf. Im. 413-438]; Teatro [FIlodemo Im. 545-580]; Fábula de Narciso, cf. Im. 518-536. Contém notas, espécie de didascália, com indicação de autor e outras indicações breves. Inclui peças de outros autores, como Sá de Miranda, Jerónimo Corte-Real, Manuel de Portugal, et al..</t>
  </si>
  <si>
    <t>Conceitos e maximas do poema de Luiz de Camões "Os Lusíadas" / [compil. por B. Barreto]. - Lisboa : Henrique Zeferino, 1888. Recolha Epigráfica.</t>
  </si>
  <si>
    <t>Rimas / de Luis de Camões. - Accrescentadas nesta segunda impressão.... - Em Lisboa : por Pedro Crasbeeck : a custa de Esteuão Lopez, mercador de livros, 1598. Erros gráficos na paginação. Além do inserido: tercetos entram em elegias; capítulo; redondilhas, sôbolos rios, carta a uma dama, a umas suspeitas, labirinto, convite, mote, voltas, trovas, a umas senhoras e damas, esparsas, disparates, carta com glosa, motes, glosas, voltas, ao desconcerto [esparsa também], Miraguarda, Cartas I e II.</t>
  </si>
  <si>
    <t>Glosa da estrophe, estavas linda Ignez posta em socego, de Camões / por António da Fonseca e Amaral. - Évora : Typ. Minerva de A. F. Barata, 1881. Celebrações (1880), recepção criativa, centão.</t>
  </si>
  <si>
    <t>Le Portugal de Camões : suivi d'une traduction française des stances contenues dans l'ouvrage / par A. A. Daux.... - Paris : [s. n.], 1890</t>
  </si>
  <si>
    <t xml:space="preserve">Camões : poema. - [1ª ed.]. - Paris : Livraria Nacional Estrangeira, 1825. </t>
  </si>
  <si>
    <t>Camões / pelo Visconde de Almeida Garrett. - 5ª ed. - Lisboa : Viúva Bertrand e Filhos, 1858. Celebrações (1860), recepção criativa, tematização e vida.</t>
  </si>
  <si>
    <t xml:space="preserve">Um verso de Camões : soneto / Joaquim de Araújo. - Porto : Impr. Ferreira de Brito, 1883. </t>
  </si>
  <si>
    <r>
      <t xml:space="preserve">A família flaviense de Camões / José Guilherme Calväo Borges. - Lisboa : Real Assoc. dos Arquitectos Civis e Arqueol. Portugueses, 1974, com notas e anexos. </t>
    </r>
    <r>
      <rPr>
        <sz val="11"/>
        <color rgb="FFE97132"/>
        <rFont val="Aptos Narrow"/>
        <family val="2"/>
        <scheme val="minor"/>
      </rPr>
      <t xml:space="preserve">Separata de Arqueologia e História, Vol. V. </t>
    </r>
    <r>
      <rPr>
        <sz val="11"/>
        <color rgb="FF000000"/>
        <rFont val="Aptos Narrow"/>
        <family val="2"/>
        <scheme val="minor"/>
      </rPr>
      <t>Consultada cópia interna.</t>
    </r>
  </si>
  <si>
    <t>Primeira parte dos autos e comédias portuguesas por António Prestes, Luis de Camões e outros autores portugueses / pref. Hernâni Cidade ; nota bibliográfica José V. de Pina Martins. - Lisboa : Lysia, 1973. Consultada cópia interna: Cidade refere na nota prévia as celebrações nacionais do Centenário de Camões. Reedição fac-similada do volume quinhentista dos dois primeiros Autos de Camões, Anfitriões, cf. Im. 209-239,  e Filodemo, cf. Im. 324-362.</t>
  </si>
  <si>
    <t>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t>
  </si>
  <si>
    <t>Rimas de Luis de Camoe[n]s princepe dos poetas portugueses : primeira, segunda, e terceira parte. - Nesta nova impressam emmendadas, e acrescentadas / pello Lecenciado Ioam Franco Barreto. - Lisboa : na Officina de Antonio Craesbeeck de Mello, Impressor de Casa Real, 1666-1669. Paratextos. Além do inserido: capítulo, redondilhas, sôbolos rios, carta a uma dama, a umas suspeitas, labirinto, convite, mote, a damas e senhoras, disparates, carta com glosa, motes e glosas, trovas de Boscão, voltas, ao desconcerto, Miraguarda, Carta I, Carta II, epitáfio, petição, trovas, esparsas, Canto da composição, Teatro [Seleuco e Anfitriões], outros poemas [sonetos, elegias, tradução dos versos da Sibila Eritreia, a.b.c. em motes, sextinas, odes, canções] encontrados.</t>
  </si>
  <si>
    <t>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t>
  </si>
  <si>
    <r>
      <t xml:space="preserve">Os Lusiadas / do grande Luis de Camoens, princepe dos poetas de Hespanha ; com os argumentos do Licenciado Ioaõ Franco Barretto, &amp; index de todos os Nomes proprios ; offerecidas ao Illustrissimo Senhor Andre Furtado de Mendoça, por Antonio Craesbeeck de Mello, impressor da Caza Real. - Lisboa : por Antonio Craesbeeck de Mello, 1670, com index: </t>
    </r>
    <r>
      <rPr>
        <sz val="11"/>
        <color rgb="FFE97132"/>
        <rFont val="Aptos Narrow"/>
        <family val="2"/>
        <scheme val="minor"/>
      </rPr>
      <t>Canto V, 92 estrofes ao invés de 100, mas a sequência de pp. e da numeração das est. mantêm-se</t>
    </r>
    <r>
      <rPr>
        <sz val="11"/>
        <color rgb="FF000000"/>
        <rFont val="Aptos Narrow"/>
        <family val="2"/>
        <scheme val="minor"/>
      </rPr>
      <t>.  Paratextos argumentos e Paratextos vida.</t>
    </r>
  </si>
  <si>
    <r>
      <t>Rimas varias / de Luis de Camoens principe de los poetas heroycos, e lyricos de España ; ofrecidas al muy ilustre Señor D. Ivan da Sylva Marquez de Gouvea, Presidente del Dezembargo del Paço. y Mayordomo Mayor de la Casa Real, &amp;c. ; commentadas por Manuel de Faria, y Sousa, Cavallero de la Orden de Christo ; Tomo I e II que contienem la primera, segunda, y tercera Centuria de los Sonetos. - Lisboa : en la imprenta de Theotonio Damaso de Mello impressor de la Casa Real, 1685.</t>
    </r>
    <r>
      <rPr>
        <sz val="11"/>
        <color rgb="FF0F9ED5"/>
        <rFont val="Aptos Narrow"/>
        <family val="2"/>
        <scheme val="minor"/>
      </rPr>
      <t xml:space="preserve"> A inserir Antologia, Paratextos gerais e vida: fica em paratextos gerais lírica, outros?</t>
    </r>
  </si>
  <si>
    <t>Nathercianas : sonetos à noiva de Camões... / Baptista de Lima. - Póvoa de Varzim : Typ. do "Intransigente", 1909.  Consultado.</t>
  </si>
  <si>
    <t>Sentimento lamentavel que a dor mais sentida em lagrimas tributa na intempestiva morte da Serenissima Raynha de Portugal Nossa Senhora D. Maria Sofia Izabel de Neoburg : Glosa ao vigesimo segundo Soneto da terceira parte das Rimas do Apolo Portuguez o grande Luis de Camoens Choray Ninfas os Fados Poderosos, &amp;c. : â Excellentissima Senhora D. Mariana Teresa de Hanhelohe Biscondessa de Villa-Nova de Cerveyra / por Bernardino Botelho de Oliveyra. - Lisboa : na Officina de Bernardo da Costa, 1699. Erros gráficos na paginação.</t>
  </si>
  <si>
    <r>
      <t xml:space="preserve">Gigantomachia de Manuel de Gallegos a don Antonio de Menezes. - En Lisboa : por Pedro Crasbeeck, 1626. Refere Lusitano Apolo, cf. Im. 9, obra com algumas referências a Camões e ao episódio de Adamastor no prelúdio. </t>
    </r>
    <r>
      <rPr>
        <sz val="11"/>
        <color rgb="FF0F9ED5"/>
        <rFont val="Aptos Narrow"/>
        <family val="2"/>
        <scheme val="minor"/>
      </rPr>
      <t>Recepção criativa, tematização?</t>
    </r>
    <r>
      <rPr>
        <sz val="11"/>
        <color rgb="FFE97132"/>
        <rFont val="Aptos Narrow"/>
        <family val="2"/>
        <scheme val="minor"/>
      </rPr>
      <t xml:space="preserve"> Obra incompleta, cf. p. [81] , assim no original?</t>
    </r>
  </si>
  <si>
    <r>
      <t xml:space="preserve">Sonetos / cordenados e acompanhados com um escorço biográfico ... por Teófilo Braga. I parte. - Lisboa : A Educadora- Empresa Editora, 1913, contém lista de sonetos apócrifos e duvidosos.  Im. 7: Teófilo. </t>
    </r>
    <r>
      <rPr>
        <sz val="11"/>
        <color rgb="FFE97132"/>
        <rFont val="Aptos Narrow"/>
        <family val="2"/>
        <scheme val="minor"/>
      </rPr>
      <t>rectificação: II Parte. Falta consultar Parte I.</t>
    </r>
  </si>
  <si>
    <r>
      <t>O Cancioneiro Fernandes Tomás : índices, nótulas e textos inéditos / Carolina Michaëlis de Vasconcelos. - Coimbra : Imprensa da Universidade de Coimbra, 1922 [elegias, canção, sonetos, epigramas, capítulo].</t>
    </r>
    <r>
      <rPr>
        <sz val="11"/>
        <color rgb="FF0F9ED5"/>
        <rFont val="Aptos Narrow"/>
        <family val="2"/>
        <scheme val="minor"/>
      </rPr>
      <t xml:space="preserve"> </t>
    </r>
  </si>
  <si>
    <t>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t>
  </si>
  <si>
    <t>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t>
  </si>
  <si>
    <r>
      <t xml:space="preserve">Os Lusíadas : </t>
    </r>
    <r>
      <rPr>
        <sz val="11"/>
        <color rgb="FF0F9ED5"/>
        <rFont val="Aptos Narrow"/>
        <family val="2"/>
        <scheme val="minor"/>
      </rPr>
      <t>poema épico em dez cantos acompanhado</t>
    </r>
    <r>
      <rPr>
        <sz val="11"/>
        <color rgb="FFE97132"/>
        <rFont val="Aptos Narrow"/>
        <family val="2"/>
        <scheme val="minor"/>
      </rPr>
      <t>.</t>
    </r>
    <r>
      <rPr>
        <sz val="11"/>
        <color rgb="FF000000"/>
        <rFont val="Aptos Narrow"/>
        <family val="2"/>
        <scheme val="minor"/>
      </rPr>
      <t>..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t>
    </r>
  </si>
  <si>
    <r>
      <t>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t>
    </r>
    <r>
      <rPr>
        <sz val="11"/>
        <color rgb="FF0F9ED5"/>
        <rFont val="Aptos Narrow"/>
        <family val="2"/>
        <scheme val="minor"/>
      </rPr>
      <t xml:space="preserve"> "al publico": Inserir Celebrações (1880), actos públicos?</t>
    </r>
  </si>
  <si>
    <t>O retrato de Venus : poemas / por J. B. da Silva Leitão d'Almeida Garrett. - Coimbra : na Imprensa da Universidade, 1821. Notas aos cantos I e IV do poema apontam para influência de Camões, entre outros autores. Inclui ainda "Ensaio sobre História da Pintura", como complemento elucidativo do poema.</t>
  </si>
  <si>
    <t>The lyricks... / Luís de Camões ; trad. Richard Burton, Fernão Rodrigues, Lobo Soropita. - London : Bernard Quaritch, 1884. [sonetos; canções; odes; sextinas]</t>
  </si>
  <si>
    <r>
      <t xml:space="preserve">Fragmentos d'uma tentativa de estudo scoliastico da epopeia portugueza / por G. de Vasconcellos Abreu. - Lisboa : Livreiros Depositários, 1880. </t>
    </r>
    <r>
      <rPr>
        <sz val="11"/>
        <color rgb="FF0F9ED5"/>
        <rFont val="Aptos Narrow"/>
        <family val="2"/>
        <scheme val="minor"/>
      </rPr>
      <t>Um dos capítulos inclui um "bosquejo auto-biográfico de Camões".</t>
    </r>
  </si>
  <si>
    <t xml:space="preserve">Programa da celebração em Lisboa do Tricentenário de Luís de Camões. - Lisboa : Tip. Universal, 1880. Celebrações (1880), discussão, programas e relatórios </t>
  </si>
  <si>
    <t>O tricentenário de Camões em Portugal / Rosalino Candido de Sampaio e Brito. - Coimbra : Imprensa Académica, 1881.Celebrações (1880), discussão, programas e relatórios. O texto, que diz o autor ter sido um discurso, tem um tom paródico e polémico, cujo alvo é o Tricentenário.</t>
  </si>
  <si>
    <t xml:space="preserve">Os Lusíadas de Luís de Camões : canto décimo primeiro [fragmento final] inédito. - Lisboa : S.P.N., 1937. </t>
  </si>
  <si>
    <t>Homenagem a Camões : 10 de Junho de 1880. - Faro : Tip. do Districto de Faro, 1880. Celebrações (1880), Recepção criativa, tematização e Celebrações (1880), nótulas</t>
  </si>
  <si>
    <t>Camões, Portugal e Brazil : conferencia publica feita no dia 11 de Outubro de 1883... / por Jayme Victor. Um dos artigos refere a edição autográfica e, no final, perpassa um tom polémico.</t>
  </si>
  <si>
    <r>
      <t xml:space="preserve">Summula noticiosa das especies de chás / Pereira-Caldas. - [Braga : s.n., 1888]. Epígrafe de Camões e duas menções a </t>
    </r>
    <r>
      <rPr>
        <i/>
        <sz val="11"/>
        <color rgb="FF000000"/>
        <rFont val="Aptos Narrow"/>
        <family val="2"/>
        <scheme val="minor"/>
      </rPr>
      <t xml:space="preserve">Os Lusíadas, </t>
    </r>
    <r>
      <rPr>
        <sz val="11"/>
        <color rgb="FF000000"/>
        <rFont val="Aptos Narrow"/>
        <family val="2"/>
        <scheme val="minor"/>
      </rPr>
      <t>cf. Im. 1, 9, 13. Recepção, citação.</t>
    </r>
  </si>
  <si>
    <t>O vilancete de Luís de Camões aos Olhos-Gonçalves : o imperfeito do conjuntivo da língua latina e sua evolução portuguesa para infinito pessoal / por Carolina Michaëlis de Vasconcelos. - Coimbra : Impr. Universidade, 1919.</t>
  </si>
  <si>
    <r>
      <t xml:space="preserve">Simão Vaz de Camões no Porto / Artur de Magalhães Basto. - Porto : Emp. Indust. Gráfica do Porto, 1927. Consultada cópia interna. </t>
    </r>
    <r>
      <rPr>
        <sz val="11"/>
        <color rgb="FFE97132"/>
        <rFont val="Aptos Narrow"/>
        <family val="2"/>
        <scheme val="minor"/>
      </rPr>
      <t xml:space="preserve">Separata de A Águia, n.º 59 (3.ª série). </t>
    </r>
    <r>
      <rPr>
        <sz val="11"/>
        <color rgb="FF000000"/>
        <rFont val="Aptos Narrow"/>
        <family val="2"/>
        <scheme val="minor"/>
      </rPr>
      <t>Artigo sobre a existência de homónimos do pai de Camões, contrariando a leitura de alguns biógrafos/ críticos de Camões, documento fac-simile da passagem do ms. de Francisco Dias referido no texto, cf. Im. 5.</t>
    </r>
  </si>
  <si>
    <r>
      <t xml:space="preserve">O lirismo de Camões : conferência feita no Liceu de Aveiro, a 10 de Junho de 1925 = Hernani Cidade. - Porto : Emp. Indust. Gráfica do Porto, L.da, 1925. </t>
    </r>
    <r>
      <rPr>
        <sz val="11"/>
        <color rgb="FFE97132"/>
        <rFont val="Aptos Narrow"/>
        <family val="2"/>
        <scheme val="minor"/>
      </rPr>
      <t>Separata de A Águia, n.º 58 (3.ª série).</t>
    </r>
    <r>
      <rPr>
        <sz val="11"/>
        <color rgb="FF000000"/>
        <rFont val="Aptos Narrow"/>
        <family val="2"/>
        <scheme val="minor"/>
      </rPr>
      <t xml:space="preserve"> Consultada cópia interna, </t>
    </r>
    <r>
      <rPr>
        <sz val="11"/>
        <color rgb="FF0F9ED5"/>
        <rFont val="Aptos Narrow"/>
        <family val="2"/>
        <scheme val="minor"/>
      </rPr>
      <t>com menções iniciais e muito breves à vida do Poeta.</t>
    </r>
  </si>
  <si>
    <t>Discurso recitado no Theatro Michaelense na recita de caridade... dramática Camões e o Jao... / por Manuel Pereira Cabral de Lacerda. - Ponta Delgada : [s.n.], 1880. Imagem 8: retrato do autor.</t>
  </si>
  <si>
    <t>Descripção da Camoneana que pertenceu ao fallecido senhor José Gomes Monteiro. - Porto : Typ. Alexandre da Fonseca Vasconcellos, 1880. Celebrações (1880), catálogos</t>
  </si>
  <si>
    <r>
      <t xml:space="preserve">O correio michaelense, 24 maio 1853: carta de António Feliciano Castilho em que refere Camões, cf. Im. 3; O correio michaelense, 22 agosto 1857: "língua que imortalizou Camões", cf. Im. 3; O correio michaelense, 5 setembro 1857, cf. Im. 2: "Camões teria por certo mais um nome a ajuntar". Estas são as únicas menções a Camões presentes nos números disponibilizados em cópia pública. </t>
    </r>
    <r>
      <rPr>
        <sz val="11"/>
        <color rgb="FFE97132"/>
        <rFont val="Aptos Narrow"/>
        <family val="2"/>
        <scheme val="minor"/>
      </rPr>
      <t>N.B.: Colocar em “Notas” [página Camoniana digital] a indicação relativa ao número.</t>
    </r>
  </si>
  <si>
    <r>
      <t xml:space="preserve">Dispersos originais portugueses / Carolina Michaelis de Vasconcelos ; [org. J. P. M.]. - Lisboa : Revista "Ocidente", [197-]-. </t>
    </r>
    <r>
      <rPr>
        <sz val="11"/>
        <color rgb="FFE97132"/>
        <rFont val="Aptos Narrow"/>
        <family val="2"/>
        <scheme val="minor"/>
      </rPr>
      <t>No final surge a data da edição dos dispersos: 1972.</t>
    </r>
  </si>
  <si>
    <t>PIOTROWSKI, Dionizy, fl. 1880 [Carta dirigida a António José Viale acusando a recepção de outra deste em agradecimento pela oferta de uma tradução para polaco de "Os Lusíadas" feita pelo autor]. - Londres, 10 de Maio de 1880. - [2] f. Celebrações (1880), nótulas.</t>
  </si>
  <si>
    <t xml:space="preserve">Alma minha gentil, que te partiste... : [soneto / de Camões]. - Coimbra : Commissão Academica do Tricentenario, [1880?]. </t>
  </si>
  <si>
    <t>Homenagem a Luiz de Camões / A Associação Liberal de Coimbra. 6 de Maio de 1881. - Coimbra : Associação Liberal, 1881.</t>
  </si>
  <si>
    <t>Camões : [soneto] / Baptista Coimbra. - [Coimbra] : Imp. da Universidade, [1881]. Sarau literário. Celebrações (1880), recepção criativa, tematização.</t>
  </si>
  <si>
    <t>[Soneto a Camões] / João de Deus. - [Coimbra] : Imp. da Universidade, [1880-1881]. Sarau literário. Celebrações (1880), recepção criativa, tematização.</t>
  </si>
  <si>
    <t>Fragmento [do poema Catharina d'Athayde] / Antonio Papança. - [Coimbra] : Imp. da Universidade, [1880-1881]. Sarau literário. Celebrações (1880), recepção criativa, tematização.</t>
  </si>
  <si>
    <t>[Soneto a Camões] / Luiz Osorio. - [Coimbra] : Imp. da Universidade, [1880-1881]. Sarau literário. Celebrações (1880), recepção criativa, tematização.</t>
  </si>
  <si>
    <t>A Camões : [soneto] / A. Feijó. - [Coimbra] : Imp. da Universidade, [1880-1881]. Sarau literário. Celebrações (1880), recepção criativa, tematização.</t>
  </si>
  <si>
    <t>A leitura dos Lusíadas : [soneto] / Gonçalves Crespo. - [Coimbra] : Imp. da Universidade, [1880-1881]. Sarau literário. Celebrações (1880), recepção criativa, tematização.</t>
  </si>
  <si>
    <t>Os Lusíadas : [poema] / João de Deus. - [Coimbra] : Imp. da Universidade, [1880-1881]. Sarau literário.  Celebrações (1880), recepção criativa, tematização.</t>
  </si>
  <si>
    <t>Os Lusíadas : canto sexto : os Doze de Inglaterra / Camões. - [Lisboa?] : Typ. e Lith. Moreira Maximino &amp; C., [1880-1881].</t>
  </si>
  <si>
    <t>Alma minha! : melodia para piano e canto / poesia de Luiz de Camões ; musica de Amelia Augusta d' Azevedo. - [Lisboa?] : Imp. Nacional, [1880-1881].</t>
  </si>
  <si>
    <t>Descripcam [sic] da iornada, e embaixada extraodinaria qve fez a Franca [sic] Dom Alvaro Pirez de Castro... no anno de 1644... / Ordenada pello Padre Frei Manoel Homem.... - Impressa em Pariz : por Ioam de la Caille, a 23. de Iunho de 1644. Recepção, citação.</t>
  </si>
  <si>
    <t>Carta ao Ill.mo e Ex.mo Sr. Abílio Augusto da Fonseca Pinto depois da leitura do episodio Ignez de Castro de Camões / publicado pelo... Annibal Fernandes Thomaz nas festas do tricentenário. - Évora : Typ. de A.f. Barata, 1881. Celebrações (1880), nótulas.</t>
  </si>
  <si>
    <t>[Mosteiro dos Jerónimos] / P J Pinto. - [S.l. : s.n.], 1937. - 1 gravura : ponta-seca, p&amp;b. Consultada cópia interna: Lugares de Memória.</t>
  </si>
  <si>
    <t>As traduções italianas dos Lusíadas / Joaquim de Araújo. - Génova : [s.n.], 1897. Brasão Garret, Im. 8.</t>
  </si>
  <si>
    <t>Rimas / de Luis de Camões. - Acrescentadas nesta terceyra impressaõ. Dirigidas à inclyta Universidade de Coimbra. - Em Lisboa : por Pedro Crasbeeck : a custa de Domingos Fernandez mercador de libros, 1607. Erros gráficos de paginação. Paratextos. Para além do inserido: tercetos entram em elegias, capítulos,  redondilhas, sôbolos rios, carta a uma dama, a umas suspeitas, labirinto, convites, iguarias, trovas, voltas, a uma senhora rezando, esparsas, entre outras, disparates, mote, glosas, estâncias, tenção, Carta I, Carta II.</t>
  </si>
  <si>
    <t>Os Lusiadas / do grande Luis de Camoens... ; commentados pelo licenciado Manoel Correa, Examinador synodal do Arcebispado de Lisboa... ; dedicados ao Doctor D. Rodrigo d' Acunha, Inquisidor Apostolico do Santo Officio de Lisboa per Domingos Fernandez seu livreyro. - Em Lisboa : por Pedro Crasbeeck, 1613. Paratextos vida; Paratextos argumentos.</t>
  </si>
  <si>
    <t>Rimas / de Luis de Camões ; primeira parte. - Acrescentadas nesta quinta impressão. Dirigidas a D. Gonçalo Coutinho - [A]. - Em Lisboa : por Vicente Alvarez : a custa de Domingos Fernandez mercador de livros, 1614. Para além do inserido: tercetos entram em elegias, capítulos, redondilhas, sôbolos rios, carta a uma dama, a umas suspeitas, labirinto, convites, iguarias, trovas, voltas, a uma senhora rezando, esparsas, entre outras, disparates, mote, glosas, estâncias, tenção, Carta I, Carta II.</t>
  </si>
  <si>
    <t xml:space="preserve">Obra do grande Luis de Camoe[n]s, principe da poesia heroyca : da creação, &amp; composição do Homem. - Em Lisboa : por Pedro Crasbeeck, 1615. </t>
  </si>
  <si>
    <t>Rimas / de Luis de Camões ; primeira impressão. - Novamente acrescenta-/das, &amp; emendadas nesta impressão./ Dirigidas a D. Gonçalo Coutinho./ Com dous epithafios à sua sepultura que està em Santa Anna que/ mandaram fazer Dom Gonçalo Coutinho, &amp; Martim/ Gonçalvez da Camara./. - Em Lisboa : por Antonio Alvarez : a custa de Domingos Fernandez mercador de livros, 1621. Para além do inserido: tercetos entram em elegias, capítulos, redondilhas, sôbolos rios, carta a uma dama, a umas suspeitas, labirinto, iguarias, trovas, voltas, a uma senhora rezando, esparsas, entre outras, disparates, mote, glosas, trovas de boscão, estâncias, tenção, Carta I, Carta II.</t>
  </si>
  <si>
    <r>
      <t xml:space="preserve">Os Lvsiadas / de Lvys de Camões. - Em Lisboa : por Pedro Crasbeeck impressor delRey, 1626, sem argumentos. </t>
    </r>
    <r>
      <rPr>
        <sz val="11"/>
        <color rgb="FFE97132"/>
        <rFont val="Aptos Narrow"/>
        <family val="2"/>
        <scheme val="minor"/>
      </rPr>
      <t>Páginas em branco, com falta de estrofes, cf. Canto IV, estrofe 16 para estrofe 24; faltando ainda a última estrofe deste Canto; estrofes 1-11 do Canto V em falta, com folhas em branco; últimas sete estrofes do Canto VII em falta, com folhas em branco: assim no original?</t>
    </r>
  </si>
  <si>
    <t>Rimas / de Lvis de Camões. - Emendadas nesta duodecima impressão de muitos erros das passadas. Offrecidas [sic] ao Dõ Manoel de Moura Corterreal Marques de CastelRodrigo, &amp;c.. - Em Lisboa : por Pedro Craesbeeck impressor delRey, 1629. Para além do inserido: tercetos entram em elegias, capítulos, redondilhas, sôbolos rios, sem explicitação de esparsas, carta a uma dama, a umas suspeitas, labirinto, convites, a uma senhora rezando, entre outras, disparates, motes, carta com glosa, cantiga velha, voltas, ao desconcerto, endechas, tenção, Carta I, Carta II, Ficam de umas feitas em Goa.</t>
  </si>
  <si>
    <t>Os Lvsiadas / de Lvys de Camões. - Em Lisboa : por Pedro Crasbeeck impressor delRey, 1631, sem argumentos. Canto VI, com 98 estrofes ao invés de 99, mas está sequenciado.</t>
  </si>
  <si>
    <r>
      <t>Rimas / de Lvis de Camões ; primeira [e segvnda] parte. - Agora nouamente emendadas nesta vltima impressaõ. - Em Lisboa : por Lourenço Craesbeck, 1623 . Tercetos entram em elegias, capítulos.</t>
    </r>
    <r>
      <rPr>
        <sz val="11"/>
        <color rgb="FFE97132"/>
        <rFont val="Aptos Narrow"/>
        <family val="2"/>
        <scheme val="minor"/>
      </rPr>
      <t xml:space="preserve"> Obra 1.ª parte parece apresentar saltos na paginação, cf. por exemplo écloga II, entre outras passagens, a partir da p. 82 ou Im. 175 para 89.</t>
    </r>
    <r>
      <rPr>
        <sz val="11"/>
        <color rgb="FF0F9ED5"/>
        <rFont val="Aptos Narrow"/>
        <family val="2"/>
        <scheme val="minor"/>
      </rPr>
      <t xml:space="preserve"> </t>
    </r>
    <r>
      <rPr>
        <sz val="11"/>
        <color rgb="FF000000"/>
        <rFont val="Aptos Narrow"/>
        <family val="2"/>
        <scheme val="minor"/>
      </rPr>
      <t xml:space="preserve">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t>
    </r>
    <r>
      <rPr>
        <sz val="11"/>
        <color rgb="FFE97132"/>
        <rFont val="Aptos Narrow"/>
        <family val="2"/>
        <scheme val="minor"/>
      </rPr>
      <t>Obra 2.ª parte apresenta salto na paginação, cf. Canto II da Criação do Homem (perto do final da obra), salta da estrofe 14 para a 31, cf. p. 44.</t>
    </r>
  </si>
  <si>
    <t>Os Lvsiadas / de Lvys de Camões. - Em Lisboa : por Lourenço Crasbeeck impressor delRey, 1633, sem argumentos. Estrofe 102 do Canto IV não numerada, erros de numeração nos cantos VI-VII.</t>
  </si>
  <si>
    <t>Rimas de Luis de Camões : primeira parte. - Agora nouamente emendadas nesta vltima impressaõ, &amp; acrecentada hu[m]a Comedia nunca atègora impressa. - Em Lisboa : na officina de Paulo Craesbeeck Impressor, &amp; Liureiro das tres Orde[n]s Militares, &amp; à sua custa, 1645. Tercetos entram em elegias, capítulo; redondilhas [sôbolos rios], sem explicitação de esparsas, carta a uma dama, a umas suspeitas, labirinto, convites, iguarias, mote, voltas, a uma dama, a uma senhora rezando, entre outras, disparates, carta com glosa, glosas, trovas de boscão entram em mote, ao desconcerto, endechas, tenção] Carta I; Carta II; Ficam de umas festas em Goa; El Seleuco.</t>
  </si>
  <si>
    <t>Os Lvsiadas / de Lvis de Camões. - Em Lisboa : por Paulo Craesbeeck, Impressor das Ordens Militares, &amp; a sua custa, 1651, estrofe 16 do Canto IV por numerar; estrofes 69 e 125 do Canto X por numerar. Paratextos, Argumentos.</t>
  </si>
  <si>
    <t>Rimas de Luis de Camões : primeira parte : a Dom Ioam Rodriguez de Sá de Meneses, Conde de Penaguião, &amp;c.. - Em Lisboa : na Officina de Paulo Craesbeck Impressor das Ordens Militares &amp; a sua cuast [sic], 1651. Tercetos entram em elegias; capítulo; redondilhas [sôbolos rios]; sem explicitação de esparsas, carta a uma dama; a umas suspeitas; labirinto; convite, a primeira iguaria; mote, voltas; a umas damas; disparates, carta, glosa, trovas de boscão entram em mote, voltas; cantiga velha; ao desconcerto] Soneto, canção, ode, sextina, elegia, oitavas, écloga, mote, cantiga, endechas; Carta I; Carta II.</t>
  </si>
  <si>
    <t xml:space="preserve">O dia de Camões : Os Lusíadas, a Bíblia da nossa nacionalidade.. Camões perante o mundo culto / alocução de A. Corsino Lopes da Silva e conferência de Pedro Monteiro Cardoso. - Praia : Minerva de Cabo Verde, [post. 1934]. Refere os dez anos já passados desde o quarto centenário: 1924, espécie de sinopse das conferências internacionais sobre Camões em 1924. </t>
  </si>
  <si>
    <r>
      <t xml:space="preserve">Camões : conferência feita na Faculdade de Letras do Porto em Junho de 1924 / Hernani Cidade. - Porto : Empresa Industrial Gráfica do Porto, 1924. Consultada cópia interna. </t>
    </r>
    <r>
      <rPr>
        <sz val="11"/>
        <color rgb="FFE97132"/>
        <rFont val="Aptos Narrow"/>
        <family val="2"/>
        <scheme val="minor"/>
      </rPr>
      <t>Separata da Revista A Águia., Vol. V., 3.ª série, N.os 25-26, 27, Julho a Setembro de 1924,</t>
    </r>
    <r>
      <rPr>
        <sz val="11"/>
        <color rgb="FF61CBF3"/>
        <rFont val="Aptos Narrow"/>
        <family val="2"/>
        <scheme val="minor"/>
      </rPr>
      <t xml:space="preserve"> com algumas menções biográficas, cf. Im. 12</t>
    </r>
  </si>
  <si>
    <t>Discursos varios politicos / por Manoel Severim de Faria Chantre, &amp; Conego na Santa Sê de Euora. - Em Evora : impressos por Manoel Carvalho, impressor da Universidade, 1624. [Conservação da monarquia de Espanha; Vida de João de Barros; sobre Linguagem e a língua portuguesa; vida de Luís de Camões, cf. Im. 193-288; sobre a caça; vida Diogo Couto; Origem das vestes sacerdotais] Imagem 59: João de Barros. Erros gráficos de paginação.</t>
  </si>
  <si>
    <r>
      <t xml:space="preserve">Inês de Castro : iconografia : história : literatura : tricentenário de Camões / [Anibal Fernandes Tomás]. - Lisboa : Tip. Castro &amp; Irmão, 1880. Celebrações (1880), Recepção criativa, Tematização [projecto do drama </t>
    </r>
    <r>
      <rPr>
        <i/>
        <sz val="11"/>
        <color rgb="FF000000"/>
        <rFont val="Aptos Narrow"/>
        <family val="2"/>
        <scheme val="minor"/>
      </rPr>
      <t>Inês de Castro</t>
    </r>
    <r>
      <rPr>
        <sz val="11"/>
        <color rgb="FF000000"/>
        <rFont val="Aptos Narrow"/>
        <family val="2"/>
        <scheme val="minor"/>
      </rPr>
      <t xml:space="preserve"> por Garrett, com acto I e poemas de homenagem no final]</t>
    </r>
  </si>
  <si>
    <t xml:space="preserve">Mais exactamente p(r)o(bl)emas / António Aragão. - [S.l. : s.n.], imp.1968. Consultada cópia interna: tematização a partir da ode XII, 1912, Obras Completas de Camões, Parceria António Maria Pereira, p. 105, cf. Im. 72. </t>
  </si>
  <si>
    <t>Passos dos Lusíadas estudados à luz da mitolojía [sic] e do orientalismo... / por G. de Vasconcellos-Abreu. - Lisboa : Imp. Nacional, 1892. Conferência dada a propósito do Centenário e edita parte dessa conferência: "Poucos são os passos dos Lusíadas que interpreto neste escrito, e deles havia já tratado por ocasião do centenário de Camões. Entendi que devia eliminar a parte meramente literária dos centões". Inclui imagens sobre a mitologia indiana, mas não sobre Camões</t>
  </si>
  <si>
    <t xml:space="preserve">Subsídios para o estudo da flora camoneana VII / Augusta Faria Gersão Ventura. - Coimbra : Coimbra Editora, 1936. </t>
  </si>
  <si>
    <t xml:space="preserve">Estudos botânicos : conferencia pronunciada no Instituto Geral de Agricultura no dia 5 de Junho de 1880 no Tricentenário de Camões / por Henrique de Mendia.... - Lisboa : Typographia Universal de Thomaz Quintino Antunes..., 1880, com uma única menção ao Poeta: epígrafe inicial. Investigação do aluno sobre a flora do Buçaco. </t>
  </si>
  <si>
    <t>Encomio a Camões numa poesia hispanhola de D. José Lopez de la Vega em 1855 / antecedido d'um preambulo do Prof. Pereira Caldas. - Braga : Typ. Lealdade, 1881. Celebrações (1880), recepção criativa, tematização.</t>
  </si>
  <si>
    <t>As navegações : versos recitados no Theatro Academico... na vespera da inauguração do monumento a Luiz de Camões. Celebrações (1880), recepção criativa, tematização, com alguns versos de Camões.</t>
  </si>
  <si>
    <t>Impressões deslandesianas : divulgações bibliographicas / Xavier da Cunha. - Lisboa : na Imprensa Nacional, [1895] (1896). - 2 vol. Sobre os tipógrafos e a oficina dos Deslandes, com textos e poemas de Camões e sobre glosas e algumas paródias feitas aos seus poemas (e.g.: 1.º Vol.: Soneto ao Tejo; 2.º Vol.: Alma minha gentil), bibliografia, portadas, vida. Várias imagens, portadas, vinhetas, insígnias, cabeções e outras, mas não sobre Camões.</t>
  </si>
  <si>
    <t>Glosa do Judeu à Alma minha gentil / [Antonio Joseph da Sylva] ; com um pref. de Joaquim de Araujo. - Porto : Manoel de Mattos, 1889 (Impr. Portugueza). Edição comemorativa do jubileu nacional de 1880, cf. Im. 18. Celebrações (1880), recepção criativa, centão.</t>
  </si>
  <si>
    <t>Primeiros versos de Camões : em louvor do Dr. Garcia da Orta. - Porto : Typ. Fraga Lamares, 1883. Sem referência ao Tricentenário.</t>
  </si>
  <si>
    <r>
      <t xml:space="preserve">O Biographo : jornal da historia abreviada dos homens celebres. - T. 1, nº 1 (jul. 1838) - t. 1, nº 12 (jun. 1839). - Lisboa : Typ. de A. J. da Costa, 1838-1839. </t>
    </r>
    <r>
      <rPr>
        <sz val="11"/>
        <color rgb="FF0F9ED5"/>
        <rFont val="Aptos Narrow"/>
        <family val="2"/>
        <scheme val="minor"/>
      </rPr>
      <t>O número 6, T. I,  Inclui notícia biográfica de Camões, pp. 120-126, Dezembro de 1838, com imagem do Poeta, intitulada "Naufrágio de Camões", sem paginação, mas p. antecede antecede a biografia, que começa em p. 121.</t>
    </r>
  </si>
  <si>
    <t>Pedro, Inês e a Fonte dos Amores / Carolina Michaëlis de Vasconcelos. - [Coimbra : s.n., 1925]. Separata do fascículo camoniano da revista Lusitânia.</t>
  </si>
  <si>
    <t>O cancioneiro do Padre Pedro Ribeiro / Carolina Michaëlis de Vasconcelos. - Coimbra : Imprensa da Universidade de Coimbra, 1924. Estudos Camonianos II. Lista de poesias de Camões e lista dos versos de Camões contidos no Cancioneiro.</t>
  </si>
  <si>
    <r>
      <t xml:space="preserve">Camões e a fisionomia espiritual da Pátria : separata de Camões : discurso pronunciado no Teatro Águia de Ouro no dia 10 de Junho de 1920 / Leonardo Coimbra. - Porto. </t>
    </r>
    <r>
      <rPr>
        <sz val="11"/>
        <color rgb="FF0F9ED5"/>
        <rFont val="Aptos Narrow"/>
        <family val="2"/>
        <scheme val="minor"/>
      </rPr>
      <t>Incluir Actos Públicos (1924)?</t>
    </r>
  </si>
  <si>
    <r>
      <t xml:space="preserve">Memórias / Raul Brandão. - Lisboa : Seara Nova. Im. 99: Sidónio Pais. Duas menções a Camões, cf. Im. 262 e 277 e uma outra a </t>
    </r>
    <r>
      <rPr>
        <i/>
        <sz val="11"/>
        <color rgb="FF000000"/>
        <rFont val="Aptos Narrow"/>
        <family val="2"/>
        <scheme val="minor"/>
      </rPr>
      <t>Os Lusíadas</t>
    </r>
    <r>
      <rPr>
        <sz val="11"/>
        <color rgb="FF000000"/>
        <rFont val="Aptos Narrow"/>
        <family val="2"/>
        <scheme val="minor"/>
      </rPr>
      <t xml:space="preserve">, cf. Im. 256. </t>
    </r>
  </si>
  <si>
    <t>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1688. Comentários, outros: Úrsula.</t>
  </si>
  <si>
    <t>Camões em Ceuta / Alfredo Carvalhaes. - Porto : Imprensa Commercial, 1881. Festas do Centenário em Coimbra. Celebrações (1880), Recepção  criativa, tematização</t>
  </si>
  <si>
    <t>Luiz de Camões : Drama em cinco actos / por L. A. Burgain. - 5 ed.. - Rio de Janeiro : Eduardo &amp; Henrique Laemmert, [1845]. Dedicatória do autor à cunhada Maria Luiza Elvira Desrousseaux.</t>
  </si>
  <si>
    <t xml:space="preserve">A amada de Camões / J. de Oliveira Macedo ; prologo de Joaquim de Araujo. - 2ª ed. - Porto : Typ. Elzeviriana, 1885. Sem referência ao Tricentenário. </t>
  </si>
  <si>
    <r>
      <t xml:space="preserve">[A Camões, 10 de Junho de 1580-10 de Junho de 1880 : número de homenagem de "O Atlântico",  </t>
    </r>
    <r>
      <rPr>
        <sz val="11"/>
        <color rgb="FFE97132"/>
        <rFont val="Aptos Narrow"/>
        <family val="2"/>
        <scheme val="minor"/>
      </rPr>
      <t>N.º 10, 1.º Anno, 13 de Junho de 1880,</t>
    </r>
    <r>
      <rPr>
        <sz val="11"/>
        <color rgb="FF000000"/>
        <rFont val="Aptos Narrow"/>
        <family val="2"/>
        <scheme val="minor"/>
      </rPr>
      <t xml:space="preserve"> no tricentenário de Camões]. Textos homenagem, festejos, também sobre a vida do Poeta, e recepção criativa. Iconografia, Lugares de Memória [casa onde morou e faleceu Camões]</t>
    </r>
  </si>
  <si>
    <r>
      <t xml:space="preserve">[Notícias nacionais e internacionais sobre o tricentenário de Camões, </t>
    </r>
    <r>
      <rPr>
        <sz val="11"/>
        <color rgb="FFE97132"/>
        <rFont val="Aptos Narrow"/>
        <family val="2"/>
        <scheme val="minor"/>
      </rPr>
      <t>se possível completar o registo no purl: Commercio de Lisboa, 2.º Anno, N.º 428, 10 de Junho de 1880, Luciano Cordeiro (Redactor Principal)</t>
    </r>
    <r>
      <rPr>
        <sz val="11"/>
        <color rgb="FF000000"/>
        <rFont val="Aptos Narrow"/>
        <family val="2"/>
        <scheme val="minor"/>
      </rPr>
      <t>]. - Lisboa : J. A. Santos, 1880. Textos e recepção criativa.</t>
    </r>
  </si>
  <si>
    <r>
      <t xml:space="preserve">[Homenagem a Camões, 1580-1880, </t>
    </r>
    <r>
      <rPr>
        <sz val="11"/>
        <color rgb="FFE97132"/>
        <rFont val="Aptos Narrow"/>
        <family val="2"/>
        <scheme val="minor"/>
      </rPr>
      <t>se possível completar o registo no purl: Commercio de Portugal, orgão do commercio e industria portugueza, [II.] Anno, N.º 287, quinta-feira, 10 de Junho de 1880</t>
    </r>
    <r>
      <rPr>
        <sz val="11"/>
        <color rgb="FF000000"/>
        <rFont val="Aptos Narrow"/>
        <family val="2"/>
        <scheme val="minor"/>
      </rPr>
      <t xml:space="preserve">]. - Lisboa : A. J. Rodrigues Loureiro, 1880. Textos, festejos e recepção criativa; anúncio de edição crítica de </t>
    </r>
    <r>
      <rPr>
        <i/>
        <sz val="11"/>
        <color rgb="FF000000"/>
        <rFont val="Aptos Narrow"/>
        <family val="2"/>
        <scheme val="minor"/>
      </rPr>
      <t>Os Lusíadas</t>
    </r>
    <r>
      <rPr>
        <sz val="11"/>
        <color rgb="FF000000"/>
        <rFont val="Aptos Narrow"/>
        <family val="2"/>
        <scheme val="minor"/>
      </rPr>
      <t>.</t>
    </r>
  </si>
  <si>
    <r>
      <t xml:space="preserve">[Homenagem a Camões : número inaugural do "Diario Civilisador", </t>
    </r>
    <r>
      <rPr>
        <sz val="11"/>
        <color rgb="FFE97132"/>
        <rFont val="Aptos Narrow"/>
        <family val="2"/>
        <scheme val="minor"/>
      </rPr>
      <t>N.º 1, 1.º Anno, 10 de Junho de 1880,  José Fortunato Barreto (Admn.)</t>
    </r>
    <r>
      <rPr>
        <sz val="11"/>
        <color rgb="FF000000"/>
        <rFont val="Aptos Narrow"/>
        <family val="2"/>
        <scheme val="minor"/>
      </rPr>
      <t>]. - Lisboa : João Wager Russell Junior, 1880. Sobre os festejos.</t>
    </r>
  </si>
  <si>
    <r>
      <t xml:space="preserve">LEAL, Gomes, 1848-1921. [Tricentenário de Camões, </t>
    </r>
    <r>
      <rPr>
        <sz val="11"/>
        <color rgb="FFE97132"/>
        <rFont val="Aptos Narrow"/>
        <family val="2"/>
        <scheme val="minor"/>
      </rPr>
      <t xml:space="preserve">se possível completar o registo no purl: Diario do Commercio, folha democrática e imparcial, X Anno, N.º 1516, quinta-feira, 10 de Junho 1880 </t>
    </r>
    <r>
      <rPr>
        <sz val="11"/>
        <color rgb="FF000000"/>
        <rFont val="Aptos Narrow"/>
        <family val="2"/>
        <scheme val="minor"/>
      </rPr>
      <t>]. - Lisboa : Typographia Largo dos Canos, 1880. Prosa de vários autores.</t>
    </r>
  </si>
  <si>
    <r>
      <t xml:space="preserve">[O Centenário de Camões, </t>
    </r>
    <r>
      <rPr>
        <sz val="11"/>
        <color rgb="FFE97132"/>
        <rFont val="Aptos Narrow"/>
        <family val="2"/>
        <scheme val="minor"/>
      </rPr>
      <t>se possível completar o registo no purl: In Diário da Manhã, 6.º anno, N.º 1466, quinta-feira 10 de Junho de 1880, M. Pinheiro Chagas (Redactor Principal)</t>
    </r>
    <r>
      <rPr>
        <sz val="11"/>
        <color rgb="FF000000"/>
        <rFont val="Aptos Narrow"/>
        <family val="2"/>
        <scheme val="minor"/>
      </rPr>
      <t>]. - Lisboa : [Typ. J. G. de Sousa Neves], 1880. Sobre os festejos.</t>
    </r>
  </si>
  <si>
    <r>
      <t xml:space="preserve">[Luís de Camões : centenário, </t>
    </r>
    <r>
      <rPr>
        <sz val="11"/>
        <color rgb="FFE97132"/>
        <rFont val="Aptos Narrow"/>
        <family val="2"/>
        <scheme val="minor"/>
      </rPr>
      <t>se possível completar o registo no purl: In O Diário Popular, 15.º anno, N.º 4: 806, quinta-feira, 10 de Junho de 1880</t>
    </r>
    <r>
      <rPr>
        <sz val="11"/>
        <color rgb="FF000000"/>
        <rFont val="Aptos Narrow"/>
        <family val="2"/>
        <scheme val="minor"/>
      </rPr>
      <t>]. - Lisboa : Typographia Lusitana, 1880. Prosa e festejos.</t>
    </r>
  </si>
  <si>
    <r>
      <t xml:space="preserve">[Tricentenário de Camões : número dedicado do "Diario de Portugal", </t>
    </r>
    <r>
      <rPr>
        <sz val="11"/>
        <color rgb="FFE97132"/>
        <rFont val="Aptos Narrow"/>
        <family val="2"/>
        <scheme val="minor"/>
      </rPr>
      <t>Anno IV, N.º 769, quinta-feira, 10 de Junho de 1880</t>
    </r>
    <r>
      <rPr>
        <sz val="11"/>
        <color rgb="FF000000"/>
        <rFont val="Aptos Narrow"/>
        <family val="2"/>
        <scheme val="minor"/>
      </rPr>
      <t>]. - Lisboa : Typ. de Cristovão A. Rodrigues, 1880. Prosa.</t>
    </r>
  </si>
  <si>
    <r>
      <t xml:space="preserve">[Tricentenário de Camões, </t>
    </r>
    <r>
      <rPr>
        <sz val="11"/>
        <color rgb="FFE97132"/>
        <rFont val="Aptos Narrow"/>
        <family val="2"/>
        <scheme val="minor"/>
      </rPr>
      <t>se possível completar o registo no purl: In Jornal do Commercio, 27.º Anno, N.º 7: 970, quinta-feira, 10 de Junho 1880, Luís de Almeida e Albuquerque (Propr.)</t>
    </r>
    <r>
      <rPr>
        <sz val="11"/>
        <color rgb="FF000000"/>
        <rFont val="Aptos Narrow"/>
        <family val="2"/>
        <scheme val="minor"/>
      </rPr>
      <t>]. - Lisboa : Typographia do Jornal do Comercio, 1880. Textos sobre a epopeia e os festejos.</t>
    </r>
    <r>
      <rPr>
        <sz val="11"/>
        <color rgb="FFE97132"/>
        <rFont val="Aptos Narrow"/>
        <family val="2"/>
        <scheme val="minor"/>
      </rPr>
      <t xml:space="preserve"> Cf. 2 página do jornal invertida.</t>
    </r>
  </si>
  <si>
    <r>
      <t xml:space="preserve">[Homenagem a Luís de Camões : número dedicado do jornal "O Partido do Povo", </t>
    </r>
    <r>
      <rPr>
        <sz val="11"/>
        <color rgb="FFE97132"/>
        <rFont val="Aptos Narrow"/>
        <family val="2"/>
        <scheme val="minor"/>
      </rPr>
      <t>folha republicana, Anno III-1880, N.º 223</t>
    </r>
    <r>
      <rPr>
        <sz val="11"/>
        <color rgb="FF000000"/>
        <rFont val="Aptos Narrow"/>
        <family val="2"/>
        <scheme val="minor"/>
      </rPr>
      <t xml:space="preserve">]. - Lisboa : Typ. do "Partido do Povo", 1880. Vários textos sobre os festejos, excerto biográfico de Ilustres Varões, recepção criativa. Poema de Angelina Vidal, "Hostes devicti sunt!", jornalista, talvez tenha artigos sobre o Poeta; "Ao tri-centenário de Camões" por Beatriz Neves. </t>
    </r>
  </si>
  <si>
    <r>
      <t xml:space="preserve">[Homenagem a Luís de Camões, o imortal cantor das glórias portuguesas, por ocasião do tricentenário em 10 de Junho de 1880 : folha extraordinária de "Rebeca do Diabo Junior", </t>
    </r>
    <r>
      <rPr>
        <sz val="11"/>
        <color rgb="FFE97132"/>
        <rFont val="Aptos Narrow"/>
        <family val="2"/>
        <scheme val="minor"/>
      </rPr>
      <t>N.º 22, 1880</t>
    </r>
    <r>
      <rPr>
        <sz val="11"/>
        <color rgb="FF000000"/>
        <rFont val="Aptos Narrow"/>
        <family val="2"/>
        <scheme val="minor"/>
      </rPr>
      <t>]. - Lisboa : Typographia rua do Norte, 1880. Poema-acróstico de homenagem e paródia, com menção à vida, entre outros textos e recepções criativas.</t>
    </r>
  </si>
  <si>
    <r>
      <t xml:space="preserve">[Centenário de Camões, 10 de Junho de 1880, </t>
    </r>
    <r>
      <rPr>
        <sz val="11"/>
        <color rgb="FFE97132"/>
        <rFont val="Aptos Narrow"/>
        <family val="2"/>
        <scheme val="minor"/>
      </rPr>
      <t xml:space="preserve">se possível completar o registo no purl: In Biblioteca Republicana República, Jornal político e de propaganda, Moura B. Feio Terenas (Dir. secção política)]. </t>
    </r>
    <r>
      <rPr>
        <sz val="11"/>
        <color rgb="FF000000"/>
        <rFont val="Aptos Narrow"/>
        <family val="2"/>
        <scheme val="minor"/>
      </rPr>
      <t xml:space="preserve">- Lisboa : Typ. Luso-Hespanhola, 1880. Inclui texto com biografia do poeta; recepção criativa. </t>
    </r>
    <r>
      <rPr>
        <sz val="11"/>
        <color rgb="FF0F9ED5"/>
        <rFont val="Aptos Narrow"/>
        <family val="2"/>
        <scheme val="minor"/>
      </rPr>
      <t>Antologia em periódicos?: Lusiadas, Fragmentos Cantos, VIII, IX, X, XI; est. 85, 4l, 28, 23, 93. Canção XI.</t>
    </r>
  </si>
  <si>
    <r>
      <t xml:space="preserve">BRAGA, Teófilo, 1843-1924. [Ao Centenário de Luís de Camões, festa da nacionalidade portuguesa </t>
    </r>
    <r>
      <rPr>
        <sz val="11"/>
        <color rgb="FFE97132"/>
        <rFont val="Aptos Narrow"/>
        <family val="2"/>
        <scheme val="minor"/>
      </rPr>
      <t>se possível completar o registo no purl: In A Artualidade,  7.º anno, N.º 130, 10 de Junho de 1880</t>
    </r>
    <r>
      <rPr>
        <sz val="11"/>
        <color rgb="FF000000"/>
        <rFont val="Aptos Narrow"/>
        <family val="2"/>
        <scheme val="minor"/>
      </rPr>
      <t>]. - Porto : Imprensa Portugueza, 1880. Inclui Camões, drama histórico em cinco actos.</t>
    </r>
  </si>
  <si>
    <r>
      <t xml:space="preserve">[Luís de Camões, 1580-1880 </t>
    </r>
    <r>
      <rPr>
        <sz val="11"/>
        <color rgb="FFE97132"/>
        <rFont val="Aptos Narrow"/>
        <family val="2"/>
        <scheme val="minor"/>
      </rPr>
      <t>se possível completar o registo no purl: In A Aurora do Lima, Anno XXV, N.º 3672, quinta-feira, 10 de Junho de 1880]</t>
    </r>
    <r>
      <rPr>
        <sz val="11"/>
        <color rgb="FF000000"/>
        <rFont val="Aptos Narrow"/>
        <family val="2"/>
        <scheme val="minor"/>
      </rPr>
      <t xml:space="preserve">. - Viana do Castelo : A. P. de Sousa, 1880. Artigo sobre a vida do Poeta. </t>
    </r>
    <r>
      <rPr>
        <sz val="11"/>
        <color rgb="FF0F9ED5"/>
        <rFont val="Aptos Narrow"/>
        <family val="2"/>
        <scheme val="minor"/>
      </rPr>
      <t>Fragmento do episódio Adamastor;</t>
    </r>
    <r>
      <rPr>
        <sz val="11"/>
        <color rgb="FF000000"/>
        <rFont val="Aptos Narrow"/>
        <family val="2"/>
        <scheme val="minor"/>
      </rPr>
      <t xml:space="preserve"> recepção criativa e publicações sobre o Poeta.</t>
    </r>
  </si>
  <si>
    <r>
      <t xml:space="preserve">[Luís de Camões, 1580-1880 </t>
    </r>
    <r>
      <rPr>
        <sz val="11"/>
        <color rgb="FFE97132"/>
        <rFont val="Aptos Narrow"/>
        <family val="2"/>
        <scheme val="minor"/>
      </rPr>
      <t>se possível completar o registo no purl: In O Conimbricense, Anno XXXIII, N.º  3428, sábado, 12 de Junho de 1880, Joaquim Martins de Carvalho (Red. e Resp.].</t>
    </r>
    <r>
      <rPr>
        <sz val="11"/>
        <color rgb="FF000000"/>
        <rFont val="Aptos Narrow"/>
        <family val="2"/>
        <scheme val="minor"/>
      </rPr>
      <t xml:space="preserve"> - Coimbra : Imprensa de E. Trovão, 1880.</t>
    </r>
  </si>
  <si>
    <r>
      <t>[Centenário de Camões por</t>
    </r>
    <r>
      <rPr>
        <sz val="11"/>
        <color rgb="FFE97132"/>
        <rFont val="Aptos Narrow"/>
        <family val="2"/>
        <scheme val="minor"/>
      </rPr>
      <t xml:space="preserve"> </t>
    </r>
    <r>
      <rPr>
        <sz val="11"/>
        <color rgb="FF000000"/>
        <rFont val="Aptos Narrow"/>
        <family val="2"/>
        <scheme val="minor"/>
      </rPr>
      <t xml:space="preserve">J. C. Rodrigues da Costa, </t>
    </r>
    <r>
      <rPr>
        <sz val="11"/>
        <color rgb="FFE97132"/>
        <rFont val="Aptos Narrow"/>
        <family val="2"/>
        <scheme val="minor"/>
      </rPr>
      <t>se possível completar o registo no purl: In O Fayalense, Anno 32, N.º 41, domingo, 16 de Maio de 1880, Luís da Terra (Ed.)</t>
    </r>
    <r>
      <rPr>
        <sz val="11"/>
        <color rgb="FF000000"/>
        <rFont val="Aptos Narrow"/>
        <family val="2"/>
        <scheme val="minor"/>
      </rPr>
      <t xml:space="preserve">]. - Horta : Typ. de J. J. da Graça, 1880. </t>
    </r>
  </si>
  <si>
    <t>[Tributo dedicado à memória de Luís de Camões por ocasião do terceiro centenário do passamento deste grande poeta, solenizado em 10 de Junho de 1880 / Manuel Maria Portela e outros textos e recepção criativa sobre o Poeta e festejos também no suplemento, Im. 5]. - Setúbal : Typ. de José Augusto Rocha, 1880. Menciona Patrocínia Estaco ao piano em honra do poeta.</t>
  </si>
  <si>
    <r>
      <t xml:space="preserve">À memoria do immortal Luiz de Camões em 10 de Junho de 1880 : O Povo de Braga, semanario bracarense. - Braga : Typographia Lealdade, 1880. </t>
    </r>
    <r>
      <rPr>
        <sz val="11"/>
        <color rgb="FF0F9ED5"/>
        <rFont val="Aptos Narrow"/>
        <family val="2"/>
        <scheme val="minor"/>
      </rPr>
      <t>Episódio: Excerto Canto VI. Redondilhas [A uma senhora rezando por umas contas] e dois sonetos [O gloriosa Cruz, Ó victorioso; Amor é um fogo que arde sem se ver]: Antologia em periódicos?</t>
    </r>
  </si>
  <si>
    <r>
      <t xml:space="preserve">À memoria de Luiz de Camões no seu tricentenario em 10 de Junho de 1880 : A Sentinella, semanario bracarense. - Braga : Typographia de Gonçalves Gouvea, 1880. </t>
    </r>
    <r>
      <rPr>
        <sz val="11"/>
        <color rgb="FF0F9ED5"/>
        <rFont val="Aptos Narrow"/>
        <family val="2"/>
        <scheme val="minor"/>
      </rPr>
      <t>Episódio: Excerto Canto VI, episódio Os doze de Inglaterra e versão livre espanhola do episódio de Inês de Castro.</t>
    </r>
  </si>
  <si>
    <r>
      <t xml:space="preserve">[Tricentenário de Luís de Camões]. - Coimbra : Bento Leão da Cunha Carvalhaes, 1880. Poema "A Luís de Camões", Amélia Janny. </t>
    </r>
    <r>
      <rPr>
        <sz val="11"/>
        <color rgb="FFE97132"/>
        <rFont val="Aptos Narrow"/>
        <family val="2"/>
        <scheme val="minor"/>
      </rPr>
      <t>Se possível, completar o registo no purl: O Tribuno Popular, N.º 2: 540, Anno XXV, Sábado, 12 de Junho de 1880.</t>
    </r>
  </si>
  <si>
    <r>
      <t xml:space="preserve">[Tricentenário de Luís de Camões]. - [Velas] : Typ. do Velense, 1880. </t>
    </r>
    <r>
      <rPr>
        <sz val="11"/>
        <color rgb="FFE97132"/>
        <rFont val="Aptos Narrow"/>
        <family val="2"/>
        <scheme val="minor"/>
      </rPr>
      <t>Se possível, completar o registo no purl: O Velense, jornal político, agrícola, comercial e noticioso, S. Jorge,  N.º 13, I Anno, quinta-feira, 10 de Junho de 1880.</t>
    </r>
  </si>
  <si>
    <t>[Tricentenário de Camões]. - [Campinas] : Typ. do Diario de Campinas, 1880.</t>
  </si>
  <si>
    <t>Luiz de Camões : homenagem da Gazeta de Noticias. - Rio de Janeiro : Typographia da Gazeta de Noticias, 1880. Textos sobre a vida, entre outros, recepção criativa.</t>
  </si>
  <si>
    <t>Relatorio da Directoria do Gabinete Portuguez de Leitura no Rio de Janeiro em 1879. - Rio de Janeiro : Typ. e Lith. Moreira, Maximino &amp; Cia., 1880, cf. Im. 19 "Centenário de Camões". Edição comemorativa, cf. Im. 31.</t>
  </si>
  <si>
    <t>Relatorio e contas da Direcção do Albergue dos Invalidos do Trabalho respectivos ao anno economico de 1879-1880. - Lisboa : Imprensa Nacional, 1880.</t>
  </si>
  <si>
    <r>
      <t xml:space="preserve">O Sorvete á Camões. - [Porto : Imprensa Litterario-Commercial], 1880. </t>
    </r>
    <r>
      <rPr>
        <sz val="11"/>
        <color rgb="FFE97132"/>
        <rFont val="Aptos Narrow"/>
        <family val="2"/>
        <scheme val="minor"/>
      </rPr>
      <t>Se possível, completar o registo no purl: N.º 107, 3.º Anno, 10 de Junho de 1880.</t>
    </r>
    <r>
      <rPr>
        <sz val="11"/>
        <color rgb="FF000000"/>
        <rFont val="Aptos Narrow"/>
        <family val="2"/>
        <scheme val="minor"/>
      </rPr>
      <t xml:space="preserve"> Lugares da memória [Praça de Camões]</t>
    </r>
  </si>
  <si>
    <r>
      <t xml:space="preserve">[Tricentenário de Luís de Camões : número dedicado de "O Commercio do Porto"]. - Porto : Typographia do Commercio, 1880. Vários textos nacionais e internacionais [sobre vida, obra e traduções] sobre Camões e o Tricentenário. </t>
    </r>
    <r>
      <rPr>
        <sz val="11"/>
        <color rgb="FFE97132"/>
        <rFont val="Aptos Narrow"/>
        <family val="2"/>
        <scheme val="minor"/>
      </rPr>
      <t>Se possível, completar o registo no purl: XXVII Ano, N.º 152, quinta-feira, 10 de Junho.</t>
    </r>
  </si>
  <si>
    <r>
      <t xml:space="preserve">[Tricentenário de Luís de Camões : número dedicado de "O Dez de Março"]. - Porto : Typ. Fraga Lamares, 1880. Textos e recepção criativa: "Lo que quisera, trova" por Luisa Durán León, (Madrid? 1845 - ¿?) Pianista, escritora, mas não sei se tem produção sobre Camões. </t>
    </r>
    <r>
      <rPr>
        <sz val="11"/>
        <color rgb="FFE97132"/>
        <rFont val="Aptos Narrow"/>
        <family val="2"/>
        <scheme val="minor"/>
      </rPr>
      <t>Se possível, completar o registo no purl: I Anno, N.º 206, sábado, 12 de Junho de 1880.</t>
    </r>
  </si>
  <si>
    <r>
      <t xml:space="preserve">Almanach dos Teatros para 1881 : 6.º anno / por Mendonça e Costa. - Lisboa : dep. Livraria Pacheco &amp; Carmo, 1880 (Lisboa Typographia Minerva). Secção camoniana, cf. Im. 35; poesia inédita de Camões por Teófilo B.: Mote "Fruito que aves não puderam" e Glosa "Num valle florido e verde"; vários textos sobre as festas e trecho de um discurso; recepção criativa; participação de Graça Barreto, mas não sobre Camões. </t>
    </r>
    <r>
      <rPr>
        <sz val="11"/>
        <color rgb="FFE97132"/>
        <rFont val="Aptos Narrow"/>
        <family val="2"/>
        <scheme val="minor"/>
      </rPr>
      <t>Periódico termina na p. 48, sem indicação de fim, assim no original?</t>
    </r>
  </si>
  <si>
    <r>
      <t xml:space="preserve">[Centenário de Camões, 10 de Junho de 1880, cf. Im. 81-86, textos no "Archivo dos Açores", publicação periódica]. - Ponta Delgada : Typ. do Archivo dos Açores, 1880. Reprodução do catálogo dos bispos. </t>
    </r>
    <r>
      <rPr>
        <sz val="11"/>
        <color rgb="FFE97132"/>
        <rFont val="Aptos Narrow"/>
        <family val="2"/>
        <scheme val="minor"/>
      </rPr>
      <t>Se possível, completar o registo no purl: Volume Segundo, N.º VII.</t>
    </r>
  </si>
  <si>
    <r>
      <t xml:space="preserve">[O Tricentenário de Luís de Camões no "Boletim Official do Grande Oriente Lusitano Unido"]. - Lisboa : Imprensa de Joaquim Germano de Sousa Neves, 1880, cf. a partir de Im. 10. Falha gráfica na numeração de página 53. </t>
    </r>
    <r>
      <rPr>
        <sz val="11"/>
        <color rgb="FFE97132"/>
        <rFont val="Aptos Narrow"/>
        <family val="2"/>
        <scheme val="minor"/>
      </rPr>
      <t>Se possível, completar o registo no purl: 3.ª série.</t>
    </r>
  </si>
  <si>
    <r>
      <t xml:space="preserve">[O Tricentenário de Luís de Camões no "Repertorio das Camaras, periodico municipal"]. - Lisboa : Typ. de Salles, 1880. "Recordação à memória do grande poeta Luiz de Camões"; "A festa do tricentenário de Luiz de Camões feita pelas camaras municipaes do paiz". </t>
    </r>
    <r>
      <rPr>
        <sz val="11"/>
        <color rgb="FFE97132"/>
        <rFont val="Aptos Narrow"/>
        <family val="2"/>
        <scheme val="minor"/>
      </rPr>
      <t>Último número parece incompleto: assim no original? Se possível, completar o registo no purl: Décimo terceiro volume, Números 9 e 10.</t>
    </r>
  </si>
  <si>
    <r>
      <t xml:space="preserve">[O Tricentenário de Luís de Camões nos "Annaes do Club Militar Naval"]. - Lisboa : Typ. Universal, 1880. Referência às festas do centenário em "Os navios de Vasco da Gama", com breves menções a Camões e a </t>
    </r>
    <r>
      <rPr>
        <i/>
        <sz val="11"/>
        <color rgb="FF000000"/>
        <rFont val="Aptos Narrow"/>
        <family val="2"/>
        <scheme val="minor"/>
      </rPr>
      <t>Os Lusíadas</t>
    </r>
    <r>
      <rPr>
        <sz val="11"/>
        <color rgb="FF000000"/>
        <rFont val="Aptos Narrow"/>
        <family val="2"/>
        <scheme val="minor"/>
      </rPr>
      <t xml:space="preserve"> nos discursos. Imagens de Navio do século XVI e</t>
    </r>
    <r>
      <rPr>
        <sz val="11"/>
        <color rgb="FF61CBF3"/>
        <rFont val="Aptos Narrow"/>
        <family val="2"/>
        <scheme val="minor"/>
      </rPr>
      <t xml:space="preserve"> Nau S. Gabriel, cf. Im. 11, incluir Iconografia, outros? </t>
    </r>
    <r>
      <rPr>
        <sz val="11"/>
        <color rgb="FFE97132"/>
        <rFont val="Aptos Narrow"/>
        <family val="2"/>
        <scheme val="minor"/>
      </rPr>
      <t>Se possível, completar o registo no purl: N.º 9.</t>
    </r>
  </si>
  <si>
    <r>
      <t xml:space="preserve">[O Tricentenário de Luís de Camões nas páginas da revista "Vespas", de Eduardo de Barros Lobo]. - Porto : Typ. de Antonio José da Silva Teixeira, 1880. Tom polémico e irónico: "Decididamente, não ha nada peor que uma boa epopeia!"; Appareceram n'essa época os charutos á Camões, os cigarros, os sapatos e os chapéos á Camões; pintou-se o seu retrato em caixas de phosphoros, em lenços d'assoar e em pratos sopeiros; publicouse em sua honra uma nuvem de livros, de folhetos, de jornaes, de gravuras e de lithographias; inventou-se os bolos' e os pasteis á Camões;" Honrou-se a memoria de Camões, que determinou a nossa posição autonomica perante o espirito da Europa. Mais nada. O paiz nem seI quer soffreu a minima modificação, pois que subsistem os mesmos erros de antes, simplesmente augmentados talvez." </t>
    </r>
    <r>
      <rPr>
        <sz val="11"/>
        <color rgb="FFE97132"/>
        <rFont val="Aptos Narrow"/>
        <family val="2"/>
        <scheme val="minor"/>
      </rPr>
      <t>Se possível, completar o registo no purl: N.º 3.</t>
    </r>
  </si>
  <si>
    <t>Catálogo de livros, 1892. [cópia pública não abre, consultado PDF via Miguel]  e 1882, Primeira secção Publicações do Tricentenário 1880-1881e segunda secção publicações anteriores ao Tricentenário. Celebrações (1880), catálogos.</t>
  </si>
  <si>
    <t>Inês de Castro. Cantata + Texto de Camões+ Referências a sonetos sobre Inês. Lista.</t>
  </si>
  <si>
    <t>Substituir no registo Manoel de Faria Severim por Manoel Severim de Faria, nome correcto; Incluir no registo bibliográfico o nome de Manoel Severim de Faria (1583-1655). comunicado, não rectificado; Lírica [sonetos, sem comentários; canções, com notas ou comentários?; odes; sextinas; elegias, oitavas, éclogas, motes, glosas, voltas, endechas, tercetos entram em elegias; redondilhas (Salmo); esparsas, convite, disparates, estâncias, trovas, vilancete pastoril, cantigas, abc; carta I] Paratextos vida; Paratextos argumentos; Canto da criação e composição do homem, sem comentários, e Cartas a Amigo?; Carta I, Comédia: apenas Seleuco e Dos Anfitriões parece truncada, cf. última p.: Im. 586.</t>
  </si>
  <si>
    <t>Obra truncada no original? Vida do Poeta no discurso apologético. Começa a meio do C.III e termina no C. 5, Fim da Parte I. Sara: A Ref. Bibl. refere 5 Vols, que não estão disponíveis digitalmente. Não está truncada, verifica-se que, de facto, existe um salto enorme ou na digitalização da obra (o que acho estranho porque o que falta é literalmente cerca de 1/3 do livro) ou até na importação no software e posterior publicação. e termina no C. 5, Fim da Parte I. A Ref. Bibl. refere 5 Vols., que não estão disponíveis digitalmente✅. Paratextos argumentos. Colocar em Obras conjuntas?</t>
  </si>
  <si>
    <t>No mar. Partitura [suplemento ao N.º 35 do jornal A moda ilustrada], com breve explicação no final. A inserir poesia/ recepção criativa, tematização?</t>
  </si>
  <si>
    <t>1759. Tomo I: Os Lusíadas; T. II: Lírica: Sonetos, Canções, sextinas, odes, éclogas, elegias, tradução (paráfrase?) dos versos proféticos da Sibila Eritreia, cf. Im. 370 ; Petição, Capítulo, estância; mote, glosa; T. III [no purl este volume vem a seguir ao I]:  Cont. Lírica (epístolas/oitavas, cantiga; quintilhas; Cartas/prosa; quintilhas/paráfrases do salmo super flumina; redondilhas; esparsas, cartas (mote, glosa, voltas); trovas; convites; vilancete pastoril; endechas; Teatro  (Comédias: R. Seleuco; Os Anfitriões), mais sonetos, elegias e oitavas extraídos da Ed. 1720. Paratextos vida, Paratextos argumentos, Canto da criação e composição do homem; Santa Úrsula (lírica outros). Iconografia figuras históricas.</t>
  </si>
  <si>
    <t>A Camões, 10-6-1880. Celebrações (1880), periódicos [texto sobre versões de Camões; poemas temáticos e de homenagem; textos sobre Jau; a gruta de Camões e Camões, assinados por diferentes autores, um deles da autoria de Camilo Castelo Branco, e textos sobre as festas do tricentenário; sarau literário]</t>
  </si>
  <si>
    <t>1772. Tomo I: Os Lusíadas; TII: Lírica: sonetos, canções, canções/sextinas, odes, éclogas, elegias, Sibila de Eritreia; Petição, Capítulo, a.b.c. motes, estâncias, glosa; TIII: Cont. Lírica: epístolas/oitavas, quintilhas, outras; Cartas/prosa; Quintilhas-paráfrases (salmo super flumina), redondilhas; esparsas, carta, mote, glosa, voltas, cantiga velha e outras, convites; trovas; vilancete pastoril; endechas; Criação e Comp. do Homem; Teatro  (Comédias: R. Seleuco; Os Anfitriões; De Filodemo).  N.B.: erros de impressão cabeçalho p. do Canto II e em algumas pp. referentes às elegias está grafado éclogas no cabeçalho. Iconografia figuras históricas e mapa. Canto da criação e composição do homem. Paratextos vida e paratextos argumentos, Mapa Rota.</t>
  </si>
  <si>
    <t>1779-80. Tomo I: Os Lusíadas, estâncias omitidas e lições várias (variantes); TII: Lírica, Primeira Parte [sonetos, canções, odes, sextinas, elegias, oitavas, éclogas, oitava Úrsula] TIII: Continuação Lírica e Segunda parte [éclogas usurpadas por Bernardes, éclogas; 2.ª redondilhas, sôbolos rios (de pé quebrado e labirinto), esparsas, convites, trovas, glosa, mote, voltas, cantiga velha, outras, endechas, vilancete pastoril, a.b.c. feito em coplas, estâncias], Cartas-prosa; TIV: paratextos gerais, paratextos vida, paratextos argumentos, paratextos teatro, Teatro  [R. Seleuco; Os Anfitriões; Filodemo], Da criação e composição do Homem, elegia, écloga Cintra, com anotações no final)], Úrsula [oitava sétima, cf. Im. 371].</t>
  </si>
  <si>
    <t>Segunda edição da de 1779-80. Tomo I, 1.ª parte [1782]: Os Lusíadas, 1.ª parte até ao Canto V [erro gráfico na indicação do canto II, surge I, cf. Im. 219, 237, entre outras] ; TI, 2.ª parte [1782] : Os Lusíadas , 2.ª parte, até ao Canto X, Estâncias omitidas/desprezadas e lições várias; TII [1783] , Lírica [sonetos, canções, odes, sextinas, elegias, estâncias]: TIII [1783] Cont. Lírica [éclogas, 2.ª parte: redondilhas, sôbolos rios, (de pé quebrado e labirinto), esparsas, convites, trovas, glosa, mote, voltas, cantiga velha, vilancete, outras, endechas, a.b.c. feito em coplas, estâncias] Cartas-prosa; TIV:  [1783] Teatro  [R. Seleuco; Os Anfitriões; Filodemo]. Paratextos vida, paratextos argumentos, Fragmentos de algumas obras de Camões, achados por Manuel de Faria e Sousa [sonetos, et al.; Obras supostas ou atribuídas (tercetos, petição, OUTROS: Da criação e composição do Homem, elegia, écloga Cintra, com anotações)].</t>
  </si>
  <si>
    <t>Os Lusíadas,1800. [ T1: até ao C. VI; T2: até ao X, Estâncias e lições desprezadas e omitidas]. Paratextos vida e paratextos argumentos.</t>
  </si>
  <si>
    <t>Os Lusíadas, 1810. Paratextos vida, paratextos argumentos, paratextos notas (lições várias e breves e várias notas para a ilustração do poema).</t>
  </si>
  <si>
    <t>Reed. 1779-80, 1815. Tomo I: Os Lusíadas, até C.V; T. II: Os Lusíadas, até C. X; estâncias omitidas e lições várias; T. III Lírica: Sonetos, Canções, sextinas, odes, elegias, estâncias, índice dos poemas e alguns argumentos; TIV: éclogas, éclogas usurpadas por Diogo Bernardes; Cont. Lírica: redondilhas, sôbolos rios, (de pé quebrado), esparsas, labirinto, convites, glosas, motes, trovas, voltas, cartas, cantiga velha, outros, endechas, vilancete pastoril, a.b.c. feito em coplas, estâncias, glosa, mote, volta [faltam Img. das pp. 344-345 ou vol. está truncado]; cartas; índice das éclogas, com declaração; TV: Teatro, com paratexto inicial (Comédias: R. Seleuco; Os Anfitriões, Filodemo). Paratextos vida, paratextos argumentos, paratextos notas (lições várias aos cantos) Mapa rota, Fragmento de algumas obras, Obras supostas ou atribuídas [tercetos, petição, OUTROS: Canto da criação e composição do homem; Écloga Cintra, com anotações, Index do que vai nesta Ed.] Iconografia: Figuras históricas, mapa. Sara: Confirma-se: falta a digitalização dessas duas páginas.</t>
  </si>
  <si>
    <t xml:space="preserve">Os Lusíadas, 1820. 2 vols [1.º até ao Canto VI, com catálogo sobre outras obras no final, obra truncada: faltam argumentos dos Cantos III a X e estrofes iniciais do C. I: confirma-se (Sara); 2.º até ao X, mais index nomes próprios]. Paratextos vida e paratextos argumentos. </t>
  </si>
  <si>
    <t>The Lusiad, 1798, Mickle. 2 vols [1.º até ao Canto III, sem argumentos; 2.º até ao X]. Trad. Paratextos gerais, Trad. Paratextos notas aos cantos e Trad. Paratextos vida.</t>
  </si>
  <si>
    <t xml:space="preserve">Os Lusíadas+Rimas, 1818, Lamberto Gil. 3 Vols. [1: Os Lusíadas, até ao Canto V e notas aos cantos; 2: restantes Cantos e notas aos cantos; 3: Lírica: sonetos, éclogas, canções, odes, elegias, sextinas, estâncias, cartas (mote e glosa), redondilhas (endechas, trovas, paráfrase do salmo)]. Trad. Paratextos gerais [Épica, Lírica]. Trad. vida; Trad. Notas; Trad. argumentos; Martírio de S. Úrsula. </t>
  </si>
  <si>
    <t xml:space="preserve">Les Lusiades, D. Castera, 1768, sem argumentos. 3 Vols. [1: até ao C. III, com notas, índice das matérias; 2: até ao C. VII, com notas, índice das matérias; 3: até ao X, com notas, índice das matérias].  Trad. Paratextos gerais; Paratextos vida; Trad. Paratextos notas. </t>
  </si>
  <si>
    <t>La Lusíade, La Harpe, 1776. 2 Vols. [1: até ao Canto V, com notas para cada C.; 2: até ao C. X, com notas para cada C., e faltam as pp. iniciais do mesmo C. VI, cf. Vol. 2] Trad. Paratextos; Trad. Vida; Trad. Paratextos notas; Trad. Paratextos argumentos. Sara: Confirma-se: falta a digitalização dessas páginas, entre outras, no início da obra.</t>
  </si>
  <si>
    <t>J.J. Aubertin, The Lusiads, 1884. 2 Vols. bilingue. [1.º: até ao C.V, com notas, sem argumentos, refere as estâncias, a propósito do tricentenário em Imagem 55 do 1.º volume] ; 2.º: até ao X, com notas] Trad. Paratextos gerais; Paratextos notas cantos e Iconografia: Mapa rota.</t>
  </si>
  <si>
    <t>W. Storck, Sammtliche, 1880-1885. 6 Vols. [1.º: canções, endechas a Bárbara e cartas, cf. im. 30-35, com notas; 2.º: todos os poemas: sonetos, cf. im. 27-38, com notas; 3.º: todos os poemas: elegias, sextinas, odes e oitavas, cf. im. 20-22, com notas e Camões na Alemanha; 4.º: canções e idílios, cf. im. 18-19, com notas; 5.º: Lusíadas, sem argumentos, com notas para cada C., Index nomes; 6.º: Teatro [Os Anfitriões, R. Seleuco e Filodemo], com notas para cada peça e abreviaturas. Trad. Paratextos; Trad. Paratextos notas; Mulheres [dedicatórias: M. Stael; Isabel Burton; Maria Katherina, irmã, esposa do trad.?]; Celebrações, traduções.</t>
  </si>
  <si>
    <t xml:space="preserve">Aubertin, The Lusiads. 2 Vols. bilingue [1.º: até ao C. V, sem argumentos, mas com notas para os C.; 2.º: até ao X, com notas].  Trad. Paratextos gerais; Trad. Paratextos notas; Iconografia: Mapa rota e figuras históricas. </t>
  </si>
  <si>
    <t>Apologia. Adamastor. Contra o Padre Agostinho de Macedo, 1819 &amp; Apologia. Adamastor. Contra o Padre Agostinho de Macedo, 1840. Bibliografia crítica. Polémica.</t>
  </si>
  <si>
    <t>Agostinho de Macedo, Censura das Lusíadas, 1820. 2 Vols.  Bibliografia crítica. Polémica.</t>
  </si>
  <si>
    <t>Felix Pereira, Os Lusíadas do século XIX, 1880, sem argumentos.  Paratextos cortados ou truncados, cf. Im. 11.</t>
  </si>
  <si>
    <t>Ferdinand Denis, Camões et ses contemporains, 1841. Bibliografia crítica, Estudo. Páginas VIII e IX digitalizadas duas vezes.</t>
  </si>
  <si>
    <t>A. Feliciano de Castilho, Camões, 2.ª ed., 1863. 3 Vols.  [2.º Vol., com notas sobre ortografia, pontuação e afins e sobre a trasladação de Camões; no 3.º refere a morada de Camões em Lisboa, cf. Im. 198] Mulheres; e Tradução? Não, apenas traduções de Camões. [3.º Vol. sobre os Castilhos e as suas obras: referência a Francisca de Paula Possolo da Costa, poetisa, cf. Im. 96 e tradução de Os últimos momentos de Camões de Leone Fortis traduzido por Castilho, cf. Im. 163] &amp; Vida, ficção? [referência a Catarina, será a de Ataíde?]. A 2.ª edição não tem gravura. Celebrações (1860), recepção criativa e vida?</t>
  </si>
  <si>
    <t>T. Cannizaro, Camões Petrarchista, 1893 e Joaquim Araújo,  O soneto de Tasso a Camões e Vasco da Gama (carta a António de Portugal Faria), 1898; e outros: "Le estatuo dou Poueto" de Joaquim Araújo, 1893 e Estatutos da sociedade científico-artístico-literária Luigi de Camões em Nápoles, 1902. Trad. Paratextos. Bibliografia crítica, estudo &amp; Outros? [Estatutos]</t>
  </si>
  <si>
    <t>Confrontação minuciosa, 1834. Bibliografia crítica, polémica e Paratextos [notas]</t>
  </si>
  <si>
    <t>Obras Completas, 1843, cf. referência bibliográfica da lista de Excel, que aponta para 1.ª Ed., mas cf. ref. infra, n.º 86. 3 Vols.[1.º: Épica, sem argumentos, mas com notas sobre os cantos no final; 2.º: Lírica: sonetos, éclogas, canções, odes, com notas no final; 3.º: redondilhas [Salmo], esparsas, convites, motes, cantigas, trovas, vilancete, endechas, sextinas, elegias, epístolas, oitavas; Teatro: Seleuco, Anfitriões, Filodemo; Cartas]  A Santa Úrsula; Paratextos vida; Paratextos notas.</t>
  </si>
  <si>
    <t xml:space="preserve">Obras Completas, 1834. 3 Vols. [1.º: Os Lusíadas, sem argumentos, com notas truncadas: até ao C. IV, arrancadas ou sem digitalização: as pp. foram arrancadas (confirmado por Sara); 2.º, com nota manuscrita, cf. Im. 5 e prefacção truncada: Lírica: sonetos, éclogas, canções, odes, com notas no final; 3.º: redondilhas [Salmo], esparsas, convites, motes, cantigas, trovas, vilancete, endechas, sextinas, elegias, epístolas, oitavas; Teatro: Seleuco, Anfitriões, Filodemo; Cartas]  Santa Úrsula; Paratextos vida e paratextos notas. </t>
  </si>
  <si>
    <t>Os Lusíadas. Ignácio Garcês Ferreira, 1731-1732. 2 Vols. [1.º: 4 livros de aparatos preliminares; até ao C. V. com comentários; 2.º: até ao X, com comentários]. Paratextos vida; Paratextos argumentos; Paratextos notas; Iconografia: mapa rota.</t>
  </si>
  <si>
    <t>Os Lusíadas. Morgado de Mateus, 1819, sem argumentos.  Refere catálogos de Os Lusíadas.  Paratextos vida (inclui ainda notas de vida), Paratextos notas e lista.</t>
  </si>
  <si>
    <t>L'appel a la postérité: Hommage a Camoens a l'occasion du centenaire de 1880. Cópia pública não abre, consultado livro físico: poema em duas partes, com apenas 7 pp.. Poema em pt é mais extenso (tem X cantos), mas tradução pode incidir apenas sobre um fragmento do poema de Garrett. Celebrações (1880), recepção criativa, tematização.</t>
  </si>
  <si>
    <t xml:space="preserve">Hipólito Raposo, Heroínas da navegação, separata da revista Brotéria [Filipa de Lencastre;  Isabel de Castro, condessa de Viana; outra Isabel de Castro; Branca Coutinho; Mécia de Monroy; Violante Gonçalves; Maria de Eça; Isabel de Avelar; Antónia Rodrigues; Bárbara Fernandes; Isabel da Veiga; Isabel Madeira; Ana Fernandes; Maria de Mascarenhas;  Beatriz de Lima; Luísa de Melo; Maria de Sequeira; Maria Leonor de Lemos e Meneses] Apenas menciona brevemente Camões, cf. Im. 22.1938. </t>
  </si>
  <si>
    <t xml:space="preserve">Os Lusíadas/Los Portugueses, D. Carlos Soler y Arques, 1873. Bilingue, sem argumentos. Trad. Paratextos; Trad. Paratextos vida; Trad. Paratextos notas. </t>
  </si>
  <si>
    <t>Grémio Faialense, 1880. Fragmentos Épica [frag. cantos: I, II, III, IV, V, VI, IX, X] Fragmentos lírica [sonetos, epístolas "Quem pode no mundo ser tão quieto" (desconcerto do mundo), odes "Já a calma nos deixou", rimas "Um gosto, que hoje se alcança", sete anos de pastor Jacob servia]. Antologia em periódicos? Celebrações (1880), periódicos.</t>
  </si>
  <si>
    <t>Información, Manuel de Faria e Sousa, 1640. Paratextos, outros [salmo, advertência, licenças, Censura de Geronimo Pardo, qualificador da Inquisição; Parecer Padre Ambrósio, Parergon, tabelas, adições, a Geronimo Vilanveva, obra incompleta ou truncada, cf. Im. 90]. Bibliografia crítica, polémica.</t>
  </si>
  <si>
    <t>Centro Republicano. Açores, 1880. Fragmentos épica e canção: Recolha epigráfica?</t>
  </si>
  <si>
    <t>Viana a Camões, 1880.  Publicação Comemorativa: não parece periódico do Tricentenário do Imortal Cantor dos Lusíadas. Figuras Femininas [Zulmira E. A. de Sá, poema em homenagem ao Poeta]. Celebrações (1880), recepção criativa, tematização</t>
  </si>
  <si>
    <t>Os Lusíadas. Gomes de Amorim, 1889, sem argumentos. [Edição crítica e anotada; Introdução; Apêndice; Cota no registo bibliográfico  - e BND - como cam-30-v_2 mas as imagens deste segundo volume estão registadas como cam-31-v(?) (Sara)]</t>
  </si>
  <si>
    <t xml:space="preserve">Os Lusíadas para o povo e as crianças, 1892. Apenas o C. I, com anotações, sem argumentos.  </t>
  </si>
  <si>
    <t xml:space="preserve">Les Lusiades, sem argumentos, François Ragon, 2.ª ed., 1850. Trad. Paratextos gerais e Trad. Paratextos notas. </t>
  </si>
  <si>
    <t>Pernambuco a Camões, 1880. Número único: Publicação feita para comemorar o tricentenário do grande épico Português.</t>
  </si>
  <si>
    <t>Luís Palmeirim, Camões e Vasco da Gama, 1898. No ano 371.º do nascimento do Poeta. A inserir celebrações (1898), recepção criativa</t>
  </si>
  <si>
    <t>Os festejos do centenário da Índia, 1898. 4.º centenário da Índia. A inserir celebrações (1898), iconografia.</t>
  </si>
  <si>
    <t>Homenagem a Camões, 1880, sem referência explícita a Acto público.</t>
  </si>
  <si>
    <t xml:space="preserve">À memória de Luís de Camões, 1880. Excerto do episódio Os doze. In A sentinela, semanário bracarense. </t>
  </si>
  <si>
    <t>Monumentos a Luís de Camões, 1860. Celebrações (1860), periódicos.</t>
  </si>
  <si>
    <t>I Lusiadi, Antonio Nervi, 1821, 2.ª ed. 2 Vols [1.º: até ao C. V, com notas; 2.º até ao C. X, com notas]. Trad. Paratextos; Trad. Paratextos vida; Trad. Paratextos notas; Trad. Paratextos argumentos; Mulheres [M. de Staël].</t>
  </si>
  <si>
    <t xml:space="preserve">Lusiaderne, Uppsala [Pedir rectificação de gralha no registo: Sara], 1838. Canto I. Trad. Paratextos gerais. </t>
  </si>
  <si>
    <t>O episódio da Ilha de Vénus+ 2 versões livres em francês, 1890. Recepção criativa em francês. Tematização. Refere em paratexto as celebrações de 1880: Celebrações (1880), recepção criativa, tematização. Imagem 10 de Vénus parece estar esfumada.</t>
  </si>
  <si>
    <t>Camões, Drama lírico, Pádua, 1857. Inserir Celebrações (1860), textos ficcionais?</t>
  </si>
  <si>
    <t>Os Lusíadas traduzidos por fr. André Baião, 1625. A trad. do Canto II parece não estar terminada. Trad. Paratextos gerais manuscritos; Trad. Paratextos argumentos manuscritos.</t>
  </si>
  <si>
    <t>Francisco Santa Clara, Imitação das estâncias 118 e 119 do livro III, em versos latinos, 1876. Segue o exemplo de Viale. Trad. Frag. Paratextos e Trad. Frag. Paratextos notas.</t>
  </si>
  <si>
    <t>Valsa Azulina. Outros números do Recreio Musical. 1880. Pedir para retirar ponto de interrogação [1880?] do purl</t>
  </si>
  <si>
    <t>A União, 1880  folha semanal dedicada a todos os interesses sociaes. Mais de três cantos inserir em Antologia, agrega-se mesmo sendo um periódico mantém-se?</t>
  </si>
  <si>
    <t>Jornal do Comércio, 1880  Figuras Femininas [Aura? de Castro, soneto, cf. Im. 2]. Recepção criativa, tematização e centão.</t>
  </si>
  <si>
    <t>Os Lusíadas, 1819, sem argumentos.  [cópia digital não abre, página não encontrada: falei com Miguel que confirmou a não disponibilização do PDF, mas ia tentar saber o que se passava] Consultado nos Reservados: Belíssima nótula a lápis de Beatriz Cinatti Batalha Reis sobre a edição: "Foi sobre este exemplar de Camões que Garrett escreveu o seu "Camões", (no estrangeiro, talvez no Havre.) Quando voltou a Portugal deu-o a meu pai". Inclui retrato do poeta, antes da folha de rosto; Aviso ao leitor; A El rei; Advertência sobre as edições do Poema [paratextos]; Paratextos vida; Paratextos notas breves da advertência e aos cantos ; notas da vida de Camões. Obra sem indicação de fim: consultado no original, talvez as pp. tenham sido arrancadas.</t>
  </si>
  <si>
    <t>À memória do imortal cantor, 1880, litografia; Gravura (Sara)</t>
  </si>
  <si>
    <t>Monumento a Camões, 1860. Celebrações (1860), Iconografia.</t>
  </si>
  <si>
    <t>Vasco da Gama e o descobrimento do caminho marítimo da Índia, 1897.  Parece faltar primeira página.</t>
  </si>
  <si>
    <t>À memória de Luís de Camões. O Comércio de Braga, 1880, tri-semanário bracarense [estrofes do Canto VIII e fragmento de tradução/versão de Os Lusíadas espanhola em texto de Pereira-Caldas]</t>
  </si>
  <si>
    <t>Os Lusíadas, 1836. [a obra digitalizada apresenta as estampas referentes a cada Canto e retrato do Poeta, mas sem Os Lusíadas e sem os paratextos referidos na folha de rosto, cf. objecto]</t>
  </si>
  <si>
    <t>Os Lusíadas do século XIX: poema heroi-cómico (paródia), 1883. Só surge a partir do Canto VI, também truncado, assim no original?</t>
  </si>
  <si>
    <t>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t>
  </si>
  <si>
    <t>Obras Completas, 1873-1874. 4 Vols [1.º Vol. T1, vol.1, 1873, sonetos coligidos, com algumas notas de rodapé e com variantes; T2, vol.2 1874: redondilhas (inclui sôbolos rios que vão), carta-poema, convites, canções, motes e voltas, carta a D. Francisco de Aragão, com glosa supra, estâncias, endechas, cantigas, disparates, sentenças, trovas, vilancete, a.b.c. em motes, acrósticos, sextinas, odes e oitavas (Santa Úrsula oitava e estância a S. João) coligidas, com algumas notas de rodapé e com variantes; 2.º Vol., 1874:  T2, Vol. 5:  redondilhas, esparsas, voltas, carta, cantigas, com variantes; T1, vol. 6: Teatro: Filodemo, Anfitriões, Seleuco, Cartas e jogos de canas; 3.º Vol.: T3, Vol. 7, 1874, Os Lusíadas (até meio do C. IV; Vol. 8, continuação Épica até C. IX; Vol. 8A, cont. C. IX até ao final, estâncias omitidas; argumentos apócrifos e variantes; 4.º Vol (devia surgir a seguir ao 1.º) 1874, T1, Vol.3, elegias, com variantes; T1, Vol. 4, 1874, éclogas, com variantes] . Paratextos notas. Paratextos argumentos [apócrifos]. Outros: santa Úrsula.</t>
  </si>
  <si>
    <t>José Leite de Vasconcelos, Críticas bibliográficas, 1883. [cópia digital não abre: diz página não encontrada,  PDF consultado via Miguel] Bibliografia crítica, recensão? sobre um opúsculo de António Vieira Lopes sobre o episódio do Adamastor, cf. Im. 7-11.</t>
  </si>
  <si>
    <t>I Lusiadi, Antonio Nervi, 1828. Trad. Paratextos gerais, Trad. Paratextos vida; Trad. Paratextos argumentos; Trad. Paratextos notas; Mulheres [bio por M. Staël].</t>
  </si>
  <si>
    <t>Quatro chistosas cantigas do fado ao poeta Luís de Camões, 1880. Celebrações (1880), recepção criativa, paródia</t>
  </si>
  <si>
    <t>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t>
  </si>
  <si>
    <t>Les Lusiades. Esquisse biographique. Fernando d'Azevedo, 1877. Bilingue.  [cópia digital não abre: página não encontrada, PDF consultado via Miguel]. Trad. Paratextos gerais; Trad. Paratextos vida; Trad. Paratextos argumentos; Trad. Paratextos notas.</t>
  </si>
  <si>
    <t>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t>
  </si>
  <si>
    <t>Manuel de Moura, Fábula de Narciso, 1886 + inclui ainda Epígrafes Camonianas, 1882. Recepção criativa. Tematização &amp; Epígrafes [Obra, fragmentos outros?: Lírica (odes, sonetos, redondilhas, oitavas, elegias, éclogas; Épica e estâncias omitidas; Teatro: Filodemo) &amp; Paratextos. A inserir na referência da BN: Manuel de Moura, Epigrafia Camoniana ou Colecção de epígrafes de Camões sobre diversos assuntos, Évora: Typ. Minerva, 1882. Recolha Epigráfica.</t>
  </si>
  <si>
    <t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t>
  </si>
  <si>
    <t>Poesie portoghese e sivigliane. 1899-1900. Prospero Peragallo. 2 Vols. Bilingue. [1.º: episódio Adamastor, sem argumento; Lírica: mote, sonetos, voltas e poema sobre Camões de Garrett] Trad. Paratextos gerais. Recepção criativa, Tematização.</t>
  </si>
  <si>
    <t>Tradução do Conde de Cheste, canto III d'Os Lusíadas. Lida numa sessão da Real Academia Española, 1873.  Trad. Paratextos Argumentos.</t>
  </si>
  <si>
    <t>Aires de Sá, Gonçalo Velho. Celebração da viagem, 1899-1900. 2 Vols. [1.º referência ao terceiro centenário de Camões, cf. Im. 260; 2.º Vol.: referências breves a Camões, cf. Im. 43 e Im. 70]  A inserir Celebrações (1898), actos públicos.</t>
  </si>
  <si>
    <t>A festa da Índia. Poema. A inserir Celebrações (1898), recepção criativa, tematização.</t>
  </si>
  <si>
    <t xml:space="preserve">Horácio de Araújo, O pranto de Camões, 1891. </t>
  </si>
  <si>
    <t>Sete anos de pastor Jacob servia. Tradução por Lamberto Gil. 1882 [Tradução em espanhol (Sara). No aniversário 302 do falecimento de Camões.</t>
  </si>
  <si>
    <t>Antoine de Cournand, Épisode de Inès de Castro, imité du portugais de Camões, 1890. Trad. Paratextos gerais: surgem truncados ou em falta, pois só surge a partir da p. 4.</t>
  </si>
  <si>
    <t>Terceiro centenário de Camões. Rio de Janeiro, Botafogo, 1880. Surge a figura de um Poeta laureado: Camões?</t>
  </si>
  <si>
    <t>Rimas, 1614 [obras com partes manuscritas, talvez uma transcrição das partes impressas em falta: sonetos, canções, odes, sextinas, elegias, terceto, capítulo, oitavas, éclogas, a inserir redondilhas, sôbolos rios, esparsas, disparates, mote, voltas, glosas, estância, carta a D. Francisca com glosa, cantiga velha] e cartas manuscritas no final. Cf. se faltam páginas: sonetos iniciam a partir da p. 5 e não surgem as licenças.  Os sonetos iniciam-se na p. 5, talvez pp. tenham sido arrancadas (Sara).</t>
  </si>
  <si>
    <t>Les Lusiades, 189?. Não inclui Os Lusíadas.  Trad. Paratextos gerais; Trad. Paratextos vida.</t>
  </si>
  <si>
    <t>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t>
  </si>
  <si>
    <t>José Viana da Mota, Coro para a tragédia Inês de Castro, 1914. Para o serão de Alcobaça em 12 de Agosto 1914. Actos públicos.</t>
  </si>
  <si>
    <t>Óscar da Silva, Le chant du cygne. Paroles de Camões, c. 1900-1912. Trad. manuscritos fragmentos lírica.</t>
  </si>
  <si>
    <t>Augusto Machado, Frammenti di una cantata a Camoens, 1880. Fragmento em italiano, recepção criativa?</t>
  </si>
  <si>
    <t>Augusto Machado, Camões, 1880.  [Andantino; Allegretto; Allegro: árabes, cristãos; San Thiago; andantino quase allegretto; andante religioso; Cori di donne; vozes?: Tágides e Marinheiros;N.º 2: Allegro; 2.ª volta; N.º 3: Adamastor; N.º 4: A Índia; N.º 5: soneto]. Em italiano.</t>
  </si>
  <si>
    <t>I Lusiadi. Antonio Nervi, 1828. 2 Vols [1.º: até ao C. IV, com notas aos C.; 2.º: até ao X, idem]. Trad. Paratextos gerais; Trad. Paratextos vida; Trad. Paratextos notas; Trad. Paratextos argumentos.</t>
  </si>
  <si>
    <t>Hermínio do Nascimento, Redondilha de Camões, 1936. Partitura música impressa, segundo registo [fotocópia de um manuscrito? Redondilha manuscrita]</t>
  </si>
  <si>
    <t>Augusto Machado, Fragmenti di una cantata a Camoens. 1880. [partitura cantata, coro, marcha triunfial], com nota explicativa inicial.</t>
  </si>
  <si>
    <t>De Lusiade, 1872. Tradução neerlandesa.  Documento só apresenta paratextos gerais e um poema no final anterior a Camões.  Trad. Paratextos gerais.</t>
  </si>
  <si>
    <t xml:space="preserve">Os Lusíadas, Rio de Janeiro, 1958. Edição crítica de F. Silveira Bueno. A inserir Paratextos vida. Paratextos argumentos. Paratextos notas e Celebrações (1860), edições? Iconografia Figuras históricas e outras [sistema planetário]. </t>
  </si>
  <si>
    <t>João Arroyo, Inês de Castro: Cantata. 1880. Música cantata para vozes solo [soprano, tenores], coros, orquestra e órgão/piano [partitura manuscrita, com prelúdio sinfónico im. 118 surge a preto]</t>
  </si>
  <si>
    <t xml:space="preserve">Cancioneiro. 36v-42, redondilhas Sobre os rios cf. Im. 76 [não existe especificação em manuscritos]; 107, soneto rasurado, Sete anos de pastor. Fragmentos manuscritos Lírica. Cartas? E triunfo de Santa Úrsula, glosa? [cf. Im.: 173, mote "Pois tudo tampouco dura como passado prazer" Cartas?; 232: Soneto do triunfo de Santa Úrsula; 253: mote da noite clara, do alegre momento, glosa do soneto de Camões "Eu, vendo-me tão cheio de favores...louvei a hora clara, e a noite escura"]. </t>
  </si>
  <si>
    <t> Homenagem a Camões n'uma poesia esplendida / com anteloquio do prof. Pereira Caldas. - Braga : Imprensa Commercial, 1884.1884. [na referência da BN surge 1881] Corrigido.</t>
  </si>
  <si>
    <t>1898 [na referência bibliográfica surge 1890] Corrigido; Trad. Frag. Paratextos gerais e Celebrações (1880), traduções. Em comemoração do quarto centenário do Descobrimento do Caminho Marítimo para a Índia e do 318.º aniversário do passamento de Camões.</t>
  </si>
  <si>
    <t>Os Lusiadas / de Luiz de Camões. - Nova ed. correcta. - Pernambuco : Typ. de Santos &amp; Companhia, 1834. Paratextos argumentos. Sem paratextos gerais.</t>
  </si>
  <si>
    <t>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t>
  </si>
  <si>
    <t>Três centenários : Camões, Calderon, Pombal / Abílio Maia. - Porto : Typografia Elzeviriana, 1883. Celebrações (1880), recepção criativa, tematização [sobre o naufrágio de Camões, com citações de versos de Os Lusíadas].</t>
  </si>
  <si>
    <t>António de Macedo Papança. Catarina de Ataíde, poema em três cantos. À memória de Camões. Coimbra. 1880. Poema termina com Alma minha.  Celebrações (1880), recepção criativa, tematização.</t>
  </si>
  <si>
    <t>Obras de Luiz de Camoens principe dos poetas portuguezes. - Novamente impressas e dedicadas ao... Marquez de Pombal... por Miguel Rodrigues. - Lisboa : na Officina de Miguel Rodrigues, 1772.  [epístolas, oitavas, quintilhas, a umas suspeitas, redondilhas, sôbolos rios, esparsas labirinto, cantigas, motes, glosas, trovas, voltas, convite, disparates, vilancete, endechas, tenções, Canto e Composição do H.; Cartas I e II; Teatro: Seleuco, Anfitriões e Filodemo]. Erros gráficos na paginação. Salto na paginação: cf. p. 208 para 211, cf. Im. 216-217 e p. 279 para 283, cf. Im. 285-287. Assim no original?</t>
  </si>
  <si>
    <t>Os Lusiadas / poema epico de Luis de Camões. - Nova edição. - Lisboa : na Typographia Rollandiana, 1842. Paratextos argumentos, sem paratextos gerais.</t>
  </si>
  <si>
    <t>Antonia Pusich. Homenagem a Luís de Camões. Lisboa. 1880. [poema, com notas e conclusão, contém epígrafe, Os Lusíadas, Canto I: X]. Celebrações (1880), Recepção criativa, tematização.</t>
  </si>
  <si>
    <t>Os Lusiadas do seculo XIX : poema heroi-comico (parodia) / por F. A. de Almeida. - Lisboa : Typ. da Sociedade Typographica Franco-Portugueza, 1865. Inserir Celebrações (1860), paródia?</t>
  </si>
  <si>
    <t>Os Lusiadas / de Luiz de Camões. - Nova edição feita debaixo das vistas da mais accurada critica em presença das duas edições primordiaes e das posteriores de maior credito e reputação : seguida de annotações criticas, historicas e mythologicas / por Francisco Freire de Carvalho Cónego da Sé Archiepiscopal Metropolitana da Provincia da Extremadura.... - Lisboa : na Typographia Rollandiana, 1843. Paratextos notas [aos cantos], sem argumentos.</t>
  </si>
  <si>
    <t>Augusto Rocha. Origens e carácter da epopeia portuguesa. Conferência proferida em a noite de 10 de Junho do ano corrente no sarau literário promvido pelo Instituto. Celebração do tricentenário de Camões. Coimbra. 1880. [contém epígrafe, Os Lusíadas, Canto X: CLIV]</t>
  </si>
  <si>
    <t>AA.VV. Tricentenário de Luís de Camões. Discursos pronunciados [Joaquim de Vasconcelos, Francisco José Patrício] na Sociedade Nova Euterpa. Sarau lierário-musical. Porto. 1880, com excertos transcritos de notícias saídas em periódicos. Inserir Celebrações (1880), periódicos?</t>
  </si>
  <si>
    <t xml:space="preserve">Teófilo Braga. Bibliografia camoniana. Lisboa. 1880.  [contém bibliografia sobre textos críticos nacionais e internacionais, comentários, traduções, retratos e outras artes, et al.] Faltam pp. 54-55 e pp. 214-215, truncadas no original ou falta digitalização? Ao invés surgem Imagens do C. II e VI, respectivamente. </t>
  </si>
  <si>
    <t>Terceiro Centenário de Camões. Juízo da Imprensa do Rio de Janeiro acerca do relatório da Directoria do Gabinete Português de Leitura em 1880. Rio de Janeiro. 1881. [vários eventos feitos para a celebração e outros a realizar, pp. 3-5]</t>
  </si>
  <si>
    <t>Antonio Roberto Campbell. Soneto ["São quase já três séc'los decorridos!..."]. Lisboa. 1880.  Celebrações (1880), recepção criativa, tematização.</t>
  </si>
  <si>
    <t>António de Macedo Papança. Fragmento do poema "Catarina de Ataíde". Tricentenário de Camões em Coimbra 7 de Maio. Sarau literário-musical: homenagem à Comissão da Imprensa de Lisboa. Coimbra. [1881]. Celebrações (1880), recepção criativa, tematização</t>
  </si>
  <si>
    <t>Luís Osório. [soneto]. Tricentenário de Camões em Coimbra 7 de Maio. Sarau literário musical: homenagem à Comissão da Imprensa de Lisboa. Coimbra. [1881]. Celebrações (1880), recepção criativa, tematização.</t>
  </si>
  <si>
    <t>Cf. referência bibliográfica: Sessão solene para comemorar o 1.º aniversário. Confirmado. Associação Humanitária Camões. Sessão solene para comemorar o 1.º aniversário desta associação no dia 10 de Junho. Admissão para convidado. Lisboa. s.d. </t>
  </si>
  <si>
    <t xml:space="preserve">Cf. referência bibliográfica: Os Aos habitantes de Coimbra | 1881. 11881. Corrigido. Aos habitantes de Coimbra. Convite [homenagem à patriótica comissão académica responsável pelos festejos]. Paços Municipais. Coimbra. 10 de maio de 1881. </t>
  </si>
  <si>
    <t>Cf. referência bibliográfica: David Corazzi$. Corrigido. Folheto com as condições de publicação e assinatura de Os Lusiadas. Edição comemorativa do terceiro centenário do grande poeta. [Lisboa]. David Corazzi [1880].</t>
  </si>
  <si>
    <t>Camoëns : roman / Adolf Stern. - Leipzig : Fr. Wilh. Grunow, 1886. Não sei se conterá episódios sobre a vida do Poeta.</t>
  </si>
  <si>
    <t>O naufragio de Camões : no tricentenario do poeta, / Abilio Maia. - Porto : Typ. Occidental, 1880, com uma citação explícita do Canto X. Celebrações (1880), recepção criativa, tematização. Obra termina na p. 16, sem indicação de fim: truncada?</t>
  </si>
  <si>
    <t>Os Lusiadas / poema epico de Luis de Camões. - Nova edição. - Lisboa : na Typographia Rollandiana, 1850. Paratextos argumentos, sem paratextos gerais.</t>
  </si>
  <si>
    <t>Homenagem de um brazileiro, ao grande representante da nacionalidade portugueza Luiz de Camões / Dr. J. de Paula Souza. - S. Paulo : Typ. da "Constituinte", 1880. Texto aparece truncado na p. 33, estará assim no original?</t>
  </si>
  <si>
    <t>Glosas und voltas des Luis de Camoens / tradução alemã por Wilhelm Storck. - Klausenburg : Zeitschrift für vergleichende Litteratur, 1877. Artigo no jornal de literatura comparada?</t>
  </si>
  <si>
    <t>Os lamentos de Camões / por A. C. Borges de Figueiredo. - Lisboa : Typ. Nova Minerva, 1882. Poema termina na p. 27 sem indicação de fim. Truncado? Não refere Tricentenário.</t>
  </si>
  <si>
    <t>Camoneana / Joaquim de Lemos. - Porto : Imprensa Moderna, 1885. Com citações de Os Lusíadas, por exemplo, de dois versos da estrofe 58 do Canto I do Poema, cf. Imagem 20: "Os furiosos ventos repousavam /Pelas covas escuras peregrinas"; Não refere Tricentenário.</t>
  </si>
  <si>
    <t>Partida de Camões para o desterro d'Africa / Alfredo Carvalhaes. - [Porto] : Typ. Ocidental, 1880. Erro gráfico na paginação: cf. Im. 38. Celebrações (1880), recepção criativa, tematização.</t>
  </si>
  <si>
    <t>Os Lusiadas / poema epico de Luis de Camões. - Nova edição. - Lisboa : na Typographia Rollandiana, 1854. Paratextos argumentos, sem paratextos gerais.</t>
  </si>
  <si>
    <t>Carta ao Sr. António Maria do Couto, na qual se dá breve, séria e terminante resposta ao Manifesto , em que pretende mostrar os erros do Poema Oriente e defender os dos Lusíadas / Joaquim José Pedro Lopes. - Lisboa : Impressão Régia, : vende-se na loja de João Henriques, 1815. Texto termina na p. 29 (Im. 33) e surge truncado: estará assim no original?</t>
  </si>
  <si>
    <t>Poems from the portuguese of Luis de Camoens : with remarks on his life and writings, notes, etc. / by Lord Viscount Strangford. - 5th ed. - London : J. Carpenter : C. Whittingham, 1808. [canções, madrigais, cantigas, estanças, sonetos, 3.ª parte da elegia + fragmento Canto VI de Os Lusíadas]</t>
  </si>
  <si>
    <t>Catálogo de livros antigos e modernos Lisboa. 1890. [Referência a Camões e tricentenário, pp. 9-21]</t>
  </si>
  <si>
    <t>Catálogo dos livros que pertenceram ao falecido ilustre Visconde de Juromenha. [Leilão] Lisboa. 1887. [Camoniana, pp. 44-52; Miscelânea: paródia do canto I de Os Lusíadas pelos estudantes de Évora, cf. p. 56]</t>
  </si>
  <si>
    <t xml:space="preserve">Catalogo das livrarias dos falecidos Srs. Conselheiros José da Silva Mendes Leal e Jorge Cesar de Figaniére. Lisboa. 1889. [Camões vária, pp. 18-26, n.º 237-355; glosas de sonetos de Camões et al., p. 36, n.º 475; de e sobre Inês de Castro, p. 69, n.º 875-893]. </t>
  </si>
  <si>
    <t>Os últimos momentos de Camões : poema dramático / originalmente escrito em versos italianos por Leone Fortis ; vertido em versos portuguezes por Jose da Silva Mendes Leal Junior. - Lisboa : Typographia Universal, 1860. Celebrações (1860), recepção criativa, tematização, Celebrações (1860), textos ficcionais e vida? Referência a Madame Ristori, cf. Im. 11, que apresentou este poema dramático ao tradutor português.</t>
  </si>
  <si>
    <t>A Voz do Povo : canto dedicado ao grande epico o immortal principe dos poetas Luiz de Camões / por um seu compatriota residente no Rio de Janeiro. - Rio de Janeiro : Typ. do Tagarella, 1880. Início do poema na p. 6, mas parece truncado, estará assim no original? Celebrações (1880), recepção criativa, tematização.</t>
  </si>
  <si>
    <t>Luís de Camões. Os Lusíadas. Edição Agra &amp; Irmão. Rio de Janeiro. 1855. Paratextos argumentos, sem paratextos gerais.</t>
  </si>
  <si>
    <t>Os Lusiadas / poema epico de Luis de Camões. - Nova edição. - Lisboa : na Typographia Rollandiana, 1857. Paratextos argumentos, sem paratextos gerais.</t>
  </si>
  <si>
    <t>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t>
  </si>
  <si>
    <t>Os Lusiadas / poema epico de Luis de Camões. - Nova edição. - Lisboa : na Typographia Rollandiana, 1860. Paratextos argumentos, sem paratextos gerais, e Celebrações (1860), edições.</t>
  </si>
  <si>
    <t>António de Macedo Papança (Conde de Monsaraz). Catarina de Ataíde: poema em três cantos. Lisboa. 1894. Poema termina com soneto Alma minha gentil.</t>
  </si>
  <si>
    <t>António Moreira Cabral. A viagem de Luis de Camões: poema comemorativo do aniversário 312 do seu passamento. Porto. 1893. [contém epígrafe de Os Lusíadas, C. VI, o poemeto foi composto para ser recitado pelo autor na Sociedade Nacional Camoniana em 1892]</t>
  </si>
  <si>
    <t>Os Lusiadas / epopea de Luiz de Camões. - Edição popular, conforme a 2ª de 1572, com um prospecto chronologico da vida do poeta, e um retrato. - Porto : Imprensa Portugueza, 1869. Erro na Impressão no cabeçalho referente ao Canto II: onde está Canto I deve ler-se Canto II, cf. pp. 49-63; estrofes omitidas , cf. Im. 67, 167, 210, 299 [não aparece o prospecto, que talvez contivesse o retrato]. Paratextos vida e Paratextos argumentos.</t>
  </si>
  <si>
    <t>Catálogo da Camoniana da Biblioteca Pública Municipal do Porto. 1880. [com nota explicativa e descritiva para cada obra]</t>
  </si>
  <si>
    <t>Suplemento ao catálogo da Camoniana da Biblioteca Pública Municipal do Porto. [Fascículo 2]. 1883. [na referência da BN surge 1891] NOTA de Dr. Pedro Mesquita:  Esta obra é suplemento do referido catálogo, sobre o qual há a dizer: Para o Catalogo da Camoneana da Bibliotheca Publica Municipal do Porto, há 2 bibliográficos: o NCB 197691, com o purl https://purl.pt/44210, e o NCB 66868, com o purl https://purl.pt/44468 - 2 registos com 2 digitalizações para a mesma obra; solicita-se que seja escolhida a melhor das duas digitalizações para que fique agregada ao NCB 66868 (o melhor), para que eu depois possa fundir os registos neste único.</t>
  </si>
  <si>
    <t>1891, com indicação de 1892. [na referência da BN surge 1883]. Corrigido. Suplemento 2.º ao catálogo da Camoniana da Biblioteca Pública Municipal do Porto. Fascículo 3. 1891.</t>
  </si>
  <si>
    <t>[anónimo]. Vida de Luís de Camões. 3 cadernos [manuscritos incompletos]. [sem datação] [manuscrito: o 1.º caderno tem um tom mais histórico; o 2.º caderno tem um tom mais ficcional: refere "escândalo estético" e Os Lusíadas; 3.º caderno refere o editor Manuel de Faria  e mantém o tom ficcional do precedente, referindo a obra lírica e épica do Poeta]</t>
  </si>
  <si>
    <t>Centenário da Índia. Torquato Tasso a [e] Luís de Camões. edição de António de Portugal de Faria. Soneto: Vasco da Gama. Leorne. 1898. [inclui retrato de Tasso, cf. Im. 6 e autógrafo do soneto "A Vasco di Gama" de Tasso, com transcrição, cf. Im. 13, 17]</t>
  </si>
  <si>
    <t>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t>
  </si>
  <si>
    <t>Inês de Castro : épisode des Lusiades / traduction en vers hébreux revue par Mr. le grand-rabbin L. Wogue présentée à la 10 iéme session du Congrés International des Orientalistes par Joseph M. Benoliel. - Lisbonne : Société de Géographie, 1892. Paratextos iniciam-se na p. II, obra truncada e no original?</t>
  </si>
  <si>
    <t>Lusiada de Luís de Camões : estratti del Canto III, con un sunto di tutto il poema, dalla edizione di T. J. de Aquino... - Roma : Ermanno Loescher &amp; C., 1802, em português. Fragmentos. Épica. Paratextos gerais: inserir em paratextos outros.</t>
  </si>
  <si>
    <t>Camoens e i nuovi poeti portoghesi : conferenza tenuta alla III Serata Intellettuale dell` anno secondo il 30 Maggio 1896 nella Sala Ricordi di Napoli. - Napoli : Stab. Tip. Pierro e Veraldi, 1896, contém notas sobre a vida do Poeta, cf. a partir de Im. 9, 10. Sendo uma conferência agrega-se Celebrações (1898), actos públicos?</t>
  </si>
  <si>
    <t>Due conferenze : un re artista; Luigi Camoens / Carlo Catanzaro. - 2ª ed. - Firenze : Tip. di A. Ciardelli, 1891. O autor refere que fez uma conferência para o centenário do Poeta.</t>
  </si>
  <si>
    <t>I Lusiadi e la nostra epica futura : discorso / del Prof. Cav. Gennaro Faucher. - Santamaria C. V. : Stabilimento Tip. Schoeffer, 1892. Sendo um discurso, agrega-se Celebrações (1898), actos públicos, ainda que não as refira?</t>
  </si>
  <si>
    <t>I Lusiadi poema di Luigi di Camoens, tradotto dalla lingua portuguese da Felice Bellotti / Giacomo Zanella. - [S.l. : s.n., 1881?]. Sobre a tradução de Felice, e inclui passagens sobre a vida de Camões, cf. Im. 4 e ss.. Inclui no final uma p. sobre "UN PROCESSO CELEBRE DI VENEFICIO", que não parece pertencer ao texto e surge truncada.</t>
  </si>
  <si>
    <t>Soneto: Sete anos de pastor Jacob servia. [1895] &amp; A S. M. A Rainha a Sra. D. Amélia na Batalha das Flores "Quando ela passa, arcanjo de piedade," Imp. Of. a D. Luís da Câmara Leme.</t>
  </si>
  <si>
    <t xml:space="preserve">1899. [na referência da BN surge 1889]. Corrigido. Teófilo Braga. Os doze de Inglaterra: poema. Excertos. Comemoração Centenária do Nascimento de Garrett. Lisboa. 1899. </t>
  </si>
  <si>
    <t>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t>
  </si>
  <si>
    <t>Tricentenario de Luiz de Camões : discursos, poesias e periódicos em sessão solemne do dia 13 de Junho de 1880. Celebrações (1880), recepção criativa, tematização.</t>
  </si>
  <si>
    <t>Camoens : apuntamientos biográficos / por D. Luis Vidart. - Madrid : Impr. de Aribau y Cª, 1880. Tópico IV: apontamentos sobre Os Lusíadas.</t>
  </si>
  <si>
    <t>A Ilha dos Amores : ... estancias do canto IX dos Lusíadas paraphraseados em versos latinos ... / Luís de Camöes ; [estudo de] Francisco de Paula Santa Clara. - Évora : Typ. Minerva, 1882, com notas sobre outras traduções e apêndice sobre as dificuldades da tradução. Texto truncado, cf. p. VI: assim no original?</t>
  </si>
  <si>
    <t>Lux et umbra : (sonetos camoneanos) / Oliveira Passos ; com um preambulo do Dr. Alves Mendes. - Porto : M. Gomes, 1892. Pequena magem de uma figura, mas que não consigo identificar, cf. Im. 21, epígrafe de Camões. Os poemas apontam para a paixão do poeta, Catarina, e para os dias tristes que viveu. Menções centónicas aos poemas: Brandas águas do Tejo; Alma minha gentil; Quem pode livre ser, gentil senhora?; Que poderei do mundo já querer?; Os meus alegres, venturosos dias; Lembranças de meu bem, doces lembranças; Um morrer de olhos, brando e piedoso; Aquela triste e leda madrugada; Que pode já fazer minha ventura; Eu vivia de lágrimas isento; Quão cedo te roubou a morte dura; Ausente dessa vista pura e bela; Pois meus olhos não cansam de chorar; A chaga que, Senhora, me fizestes [sic]; Quem diz que Amor é falso e enganoso; Com grandes esperanças já cantei; Quando os olhos emprego no passado; Se me vem tanta glória só de olhar-te; Quando descansareis, olhos cansados; entre outros.</t>
  </si>
  <si>
    <t>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t>
  </si>
  <si>
    <t>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t>
  </si>
  <si>
    <t>Camoens : dramatisches gedicht in einem aufzuge / von Friedrich Halm. - 2ª ed. - Wien : Carl Gerold 1843. Salto na paginação: p. 36 para p. 39, cf. Im. 38-39. Assim no original?</t>
  </si>
  <si>
    <t>Homenagem a Camões / José Ramos-Coelho. - Lisboa : typ. da Academia Real das Sciencias, 1890, um dos poemas é dedicado à inauguração do monumento a Camões, cf. Im. 27; versão livre do soneto de Tasso. Comemoração do 310.º ano do falecimento do Poeta: Celebrações (1880), recepção criativa, tematização.</t>
  </si>
  <si>
    <t>Luciano Cordeiro. Batalhas da Índia: como se perdeu Ormuz. Processo inédito do Séc. XVII. Contribuições da Sociedade de Geografia. Lisboa. 1896.  [menção a Camões, p. VIII, comissão executiva do IV centenário da Índia]</t>
  </si>
  <si>
    <t>Wenceslau de Moraes. Dai-Nippon (o grande Japão). À memória dos viajantes portugueses do séc. XVI e especialmente à de Fernão Mendes Pinto. [pref. José de Sousa Monteiro]. Lisboa. 1897. [menção a Camões, p. 156;  comissão executiva do IV centenário da Índia]</t>
  </si>
  <si>
    <t>Crónica dos reis de Bisnaga: manuscrito inédito do século XVI. publicado por David Lopes. Sociedade de Geografia de Lisboa. Lisboa. 1897.  [numa leitura transversal sem menção a Camões;  comissão executiva do IV centenário da Índia]</t>
  </si>
  <si>
    <t>A inepcia em acção ou uma pagina para a historia dos festejos promovidos em HongKong pela Commissão do Tricentenário de Camões / por A. Bastos Jr.. - Macau : Typographia Mercantil, 1880. Inicia na p. 4: assim no original? Faltam pp. 5 e 8.</t>
  </si>
  <si>
    <t>A Luís de Camões: cantata. Letra de F. Bernardo Braga Junior; música de Miguel Ângelo. Porto. 1880. Celebrações (1880), recepção criativa, tematização</t>
  </si>
  <si>
    <t xml:space="preserve">Lettera di E. Teza all'amico suo G. de Araujo. Giudizi del Baretti e del Voltaire sopra alcuni versi dei Lusiadas. Livorno. 1899. Agregar nótulas 1898? </t>
  </si>
  <si>
    <t>[José Afonso Botelho-Andrade]. Bibliografia periódica camoniana dos Açores por ocasião e posterior ao Centenário. Ponta Delgada. [1883].</t>
  </si>
  <si>
    <t>[José Afonso Botelho-Andrade]. Aditamento à bibliografia periódica Camoniana dos Açores por ocasião e posterior ao Centenário. Ponta Delgada. 1882.</t>
  </si>
  <si>
    <t>D. G. Dalgado. Flora de Goa e Savantvadi: catálogo metódico das plantas medicinais, alimentares e industriais. Contribuições da Sociedade de Geografia de Lisboa. Lisboa. 1898. [Introd. Epígrafe de Os Lusíadas, Canto IV, que recupera ao longo do texto, e conclusão resgata o Canto I.; comissão executiva do IV centenário do descobrimento da Índia.  A inserir Celebrações (1898), textos críticos?</t>
  </si>
  <si>
    <t>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t>
  </si>
  <si>
    <t>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t>
  </si>
  <si>
    <t>Artur Lobo D'Ávila. A descoberta da Índia ou o reinado de D. Manuel: drama histórico em 5 actos. Concurso para um drama aberto pela Comissão Central Executiva. Lisboa. 1898.  [memória justificativa e personagem o ancião do Restelo, no final do Acto I] . A inserir Celebrações (1898), recepção criativa, tematização.</t>
  </si>
  <si>
    <t>José de Sousa Monteiro. O auto dos esquecidos. Drama premiado. Concurso para um drama aberto pela Comissão Central Executiva. Lisboa. 1898. [Aviso prévio:  Epopeia de Camões e Bárbara]. A inserir Celebrações (1898), recepção criativa, tematização.</t>
  </si>
  <si>
    <t xml:space="preserve">A voz do povo [sexta-feira, 11 de Junho de 1880. 1580-Camões-1880]. N.º 131. III Ano. Propr. e red. Francisco José Cardoso. Ed. João Arnaldo de Almeida. Porto: 1880.  [O símbolo da nacionalidade portuguesa; Camões realista; O centenário e o Futuro; O centenário no Porto, poemas; Camões e Voltaire (esboço humorístico)] </t>
  </si>
  <si>
    <t xml:space="preserve">Fernandes Costa. A viagem da Índia: poemeto em dois cantos. Contribuições da Sociedade de Geografia de Lisboa. Lisboa. 1896. ["A lyra inimitável de Camões!" única menção a Camões] </t>
  </si>
  <si>
    <t xml:space="preserve">As Novidades Noviddaes. Nº 130 (10 Junho 1880). Porto. 1880. ["Ao Tricentenário do Poeta Luís de Camões", "Cálculo"; "Os Lusíadas"; "Sociedade de Geografia Comercial do Porto"; "Palácio de Cristal.." "J.S.P Luís de Camões"] </t>
  </si>
  <si>
    <t>O centenário da Índia pela colónia portuguesa da Bahia: comemoração da descoberta do caminho maritimo das Índias em 1498 pelo famoso navegador Vasco da Gama. Bahia. 1898. [epígrafe de Camões, Canto I, E. XLIV, referências a Camões e a Os Lusíadas].</t>
  </si>
  <si>
    <t>[José Alves de Mariz, Bispo de Bragança e Miranda]. Provisão relativa ao quarto centenário do descobrimento do caminho marítimo para a Índia. Coimbra. 1898. [referência ao Poeta: p. 7; referências a Vasco da Gama: pp. 4-7; 10]. A inserir Celebrações (1898], Actos públicos.</t>
  </si>
  <si>
    <t>Vicente Almeida D'Eça. O marinheiro português através da história [resumo da conferência]. Academia de Estudos Livres. Quarto centenário do Descobrimento do caminho marítimo para a Índia. Lisboa. 1898.  [menções ao Poeta]. A inserir Celebrações (1898), Actos públicos.</t>
  </si>
  <si>
    <t>Catálogo da biblioteca do conselheiro João Felix Alves de Minhava. N.º 1. [Lisboa.1885].</t>
  </si>
  <si>
    <t xml:space="preserve">Costa Goodolfim. O monumento a Camões e o caso espantoso sucedido na noite de 20 de Outubro. Opúsculo em verso satírico  ["O monumento" do Autor e "A voz do Jau" de Costa Godolfim] com um prefácio a sério. Lisboa. 1867. </t>
  </si>
  <si>
    <t>Die Lusiade / des Camoens ; aus dem Portugiesischen in Deutsche Ottavereime übersetzt [von Friedrich Adolph Kuhn und Carl Theodor Winkler].... - Wien : Gedruckt und verlegt bey Thr. Fr.Schade, 1828. Sem argumentos. Existe Im. do terceiro Canto deslocada, cf. Im. 81, falta p. 81</t>
  </si>
  <si>
    <t>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t>
  </si>
  <si>
    <t>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t>
  </si>
  <si>
    <t>Excerptos das obras de Luis de Camões publicados por subscripção promovida entre a classe académica de Lisboa / [pref. de Affonso Vargas]. - Lisboa : Typographia Editora de Mattos Moreira &amp; C.a, 1880 [estrofes Canto I, Invocação; Fala de Vasco da Gama; Episódio Inês de Castro; Descrição da batalha de Aljubarrota; Fala do Velho do Restelo; Adamastor; Os doze] Lírica: sonetos; canções; odes; elegias; redondilhas; carta a uma dama; voltas; motes; cantigas; piscatória; endechas a Bárbara]. A inserir Antologia, Paratextos gerais, lírica e épica, outros.</t>
  </si>
  <si>
    <t>Poesias lyricas selectas / publicadas pela V. de V. M. [Viscondessa de Vila Maior]. - Coimbra : Imp. da Universidade, 1876 [sonetos, canções, odes, elegias, éclogas, redondilhas (cartas), estanças, voltas, motes, cantiga velha, endechas]. A inserir Antologia, Paratextos vida e paratextos notas: uma extraída de Faria e Sousa, as outras duas são da autora sobre a edição.</t>
  </si>
  <si>
    <t>O Adamastor. - Lisboa : Typographia Casa Portugueza, 1897. Imagem 4 do cruzador intitulado "Adamastor", mas inclui tradução bilingue do episódio. Os paratextos gerais versam sobre o cruzador.</t>
  </si>
  <si>
    <t>Selecta camoniana ou excerptos dos Lusiadas / com summarios e notas explicativas por Antonio José Viale.... - Lisboa : Liv. da V. Bertrand &amp; Filhos, 1863. A inserir Frag. Paratextos argumentos e Paratextos notas. Parece existir salto na paginação: p. 271 para 278, cf. Im. 284-286. Truncada ou assim no original?</t>
  </si>
  <si>
    <t>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t>
  </si>
  <si>
    <t xml:space="preserve">Os Lusíadas... / Luís de Camões ; ed. Morgado de Mateus, Fermino Didot. - Nova edição correcta, e dada à luz, conforme à de 1817, sem argumentos. Paratextos vida e Paratextos notas. Faltam duas pp. na advertência: cf. Im. 49-50: truncada ou assim no original? </t>
  </si>
  <si>
    <t>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t>
  </si>
  <si>
    <t>Destinado a ser um prefácio de uma tradução de Os Lusíadas  a ser publicada pelo Gabinete Português de Leitura. 1880.</t>
  </si>
  <si>
    <t>O centenário de Camões em Pernambuco / festas promovidas pela directoria do Gabinete Portuguez de Leitura. - Porto : Imprensa Portuguesa, 1880. Imagens: Instituto de Pernambuco, 10. Celebrações (1880), recepção criativa, tematização e contém uma espécie de programa.</t>
  </si>
  <si>
    <t>Sonetos de amor de Luís de Camões : com uma notícia biográfica do poeta. - Lisboa : Companhia Nacional Editora, 1890. A inserir Antologia, paratextos vida.</t>
  </si>
  <si>
    <t>Memórias do principe dos poetas Luis de Camões cantor das glórias portuguesas. - Lisboa : Typ. de Gonçalves, 1880. A inserir Paratextos gerais, fragmentos, épica: fica em paratextos, outros.</t>
  </si>
  <si>
    <t>Homenagem a Camões por occasião do seu tricentenario... / Soares Romeo Junior. - Lisboa : Typ. Nova Minerva, 1880. Falta continuação da III Parte: Obra truncada ou assim no original?, cf. Im. 13.</t>
  </si>
  <si>
    <t>Conferencia sobre Camões ou dissertação didactica em que a uma ligeira analyse das bellezas do poema Os Lusiadas se junta o parallelo entre os dois famosos epicos Torquato Tasso e Camões... / por Manuel Martiniano Marrecas.... - Lisboa : Typ. de Ximenes Leopoldino Corrêa, 1880. Para desafrontar o poeta português da injusta apreciação que da sua epopeia fez Voltaire. O tom não é polémico, ainda assim Inserir polémica?</t>
  </si>
  <si>
    <t>Folheto dedicado à memoria do grande Luiz de Camões... / por Gaspar d'Azevedo. - Lisboa : Typ. Portugueza, 1880. Celebrações (1880), recepção criativa, tematização. Contém excertos de episódio e oitavas de Camões que sustentam as qualidades, a vida (oitavas sobre a paixão do Poeta por Catarina de Ataíde) e as acções do Poeta.</t>
  </si>
  <si>
    <t xml:space="preserve">A alma de Camões / Ernesto Pires. - Porto : Liv. Portuense de Cavel, 1882, sem referência ao Tricentenário.  Termina na p. 24, sem indicação de fim: Obra incompleta ou truncada? </t>
  </si>
  <si>
    <t>A consciencia dos seculos : poema no terceiro centenario de Camões / J. Leite de Vasconcellos. - Porto : Liv. Encadernação de J.P. Vaz, 1880, com nota final. Recorre a algumas citações de versos camonianos. Celebrações (1880), recepção criativa, tematização.</t>
  </si>
  <si>
    <t>Os Lusiadas de Camoens y sus traducciones al castellano. - Madrid : Tip. de Manuel G. Hernandez, 1880 e "Del valor literário de los Lusíadas y de las demás obras poética del inmortal Camoens" em Revista Contemporânea.</t>
  </si>
  <si>
    <t>Vasco da Gama e Luiz de Camões.. esboços biográficos / por Silva Viana. - Belem : Typ. Belenense, 1880. Erro na abertura da cópia pública, PDF consultado via Miguel.</t>
  </si>
  <si>
    <t>[Notas biográficas e bibliográficas e relação das obras de Luís de Camões] / Tomás Norton. Manuscrito. Contém traduções de estrofes de Os Lusíadas, cf. Im. 113-114.</t>
  </si>
  <si>
    <t>A obra monumental de Luiz de Camões : estudos biographicos / de Pedro Wenceslau de Brito Aranha.... - Lisboa : Impr. Nacional, 1888. Refere Tricentenário e apresenta descrição de documentos sobre a ocasião e sobre a trasladação.Imagens: estandarte, 104; carros triunfais: 101, 106, 109   No subtítulo, ao invés de "estudos biográficos", deve ler-se "estudos bibliográficos". Corrigido. Referência a Perpétua Pereira Marques e a Maria Sanches de Jesus Barbosa, responsáveis por edições de Os Lusíadas, a partir da de Corazzi, cf. Im. 438. Lugares de Memória.</t>
  </si>
  <si>
    <t>A velhice de Camoes / G. de la Landelle ; trad. de J. L. Rodrigues Trigueiros. - 2.a ed.. - Lisboa : Francisco Artur da Silva, 1880. Celebrações (1880), recepção criatva, tematização.</t>
  </si>
  <si>
    <t>Luiz de Camoens der sänger der Lusiaden : biographische Skizze / von Dr. Carl von Reinhardstoettner.... - Zweite auflage. - Leipzig : Verlag des Hausfreudes, 1879, com notas finais. Associar a Celebrações (1880), vida? Sim.</t>
  </si>
  <si>
    <t>Paródia ao primeiro canto dos Lusiadas de Camões. - Porto : Typ. da E. Formosa, 1845. Salto na paginação: cf. pp. V e VIII, cf. Im. 6-7: obra truncada ou assim no original?</t>
  </si>
  <si>
    <t>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t>
  </si>
  <si>
    <t>Almanach Vasco da Gama para o anno de 1897 / por Eduardo Braga. - A. 1 (1897). Epígrafes de Camões: Canto X; Canto III; Canto I; Fragmentos: Canto VIII; Canto I; C. X;  Nota sobre o valor que o Poeta recebia do Estado, cf. Im. 63. Insere-se em periódicos (1898)?</t>
  </si>
  <si>
    <t>Album italo portuguez / A. Galleno Ravara ; introd. de A. F. de Castilho. - Lisboa : Imp. Nacional, 1853. Introdução começa na p. VIII, cf. Im. 10: obra truncada ou assim no original? Em nota de rodapé existe referência a Miss Coton, que traduziu para inglês um poema intitulado "Bardo", cf. Im. 76. Existe poema ("Saudade") de Ravara em homenagem a Camões, cf. Im. 242-243. Tradução do episódio de Inês de Castro, acompanhada da versão em português, cf. Im. 30-41.</t>
  </si>
  <si>
    <t>José Joaquim da Silva Pereira Caldas. Versão latina do soneto de Camões "Alma minha gentil, que te partiste". Braga. 1890. [na referência da BN surge 1892]. CORRIGIDO</t>
  </si>
  <si>
    <t>[AA.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t>
  </si>
  <si>
    <t>Luís de Camões. Alma minha gentil. Rev. Xavier da Cunha; ed. lit. Alfredo de Carvalho. [tradutores: J .L. Vasconcelos Lamberto Gil; Matilde Perry Coronado; Ramon del Valle; anónimo; A. J. Viale; Prospero Peragallo (traduz e faz diferentes versões, com variantes nos tercetos); Cuzzo Crea, Salvatores Minutilla; Alfredo Testoni; Giulio Cesare; Fragulia; G. B. Cereseto, F. Matheu; Charles Magnin, Ferdinand Denis; Léonce Cazaubon; Hayley, R. Southey, Felicia Hemans; J. J. Auberlin; R. Burton; I. Manefeld; Louis von Arentsschildt; Friedrich Notter; Wihelm Storck; Friedrich Wilhelm Hoffmann; R. Azcarate; Francisco M. Esteves Pereira] Lisboa. 1886.</t>
  </si>
  <si>
    <t>O centenário de Luís de Camões em Porto Alegre capital da Provincia de S. Pedro do Rio Grande do Sul 1880, Brasil. Porto Alegre. 1882. CORRIGIDO Figuras Femininas [Teresa Questa Rondelli, comissão musical; cantoras: Herminia Rondelli; Honorina da Câmara Canto; Júlia pereira da Silva; Alayde Pereira da Silva, Margarida de Abreu Salgado; Agueda Francelina Salgado; Isabel Dias Soares; Elmira Dias Soares; Júlia Dias Castro; Emilia R. Lepert; Rose de Repat; VIcentina Franco; Francisca Horta; Alzira Lopes, Hermínia Lopes, Josefina Ferreira Chagas, Josefina Freire Pereira, Elisa Viegelmann, Adelaide Vieira Guimarães, Palmira Lara, Emília Paranhos, Maria Anunciada Muniz de Bettencourt, Francisca Cordeiro, Maria. L. Fernd. Barcelos, Maria A. de Abreu Queima, Antoinette Paradeda; Teresa Horta, Luciana A. de Carvalho, Guilhermina Meister, Carlota Becker, Luísa Osório Bordini, Palmira de Araújo, Clara Ubatuba, Francisca Soares, Georgina Soares, Julieta de Oliveira] Celebrações (1880), recepção criativa, tematização.</t>
  </si>
  <si>
    <t>La Lusiada / de el famoso poeta Luys de Camões ; traduzida en verso castellano de portugues, por el Maestro Luys Gomez de Tapia vezino de Seuilla ; dirigida al illustrissimo Aeñor Ascanio Colona, Abbad de Sancta Sophia. - En Salamanca : en casa de Ioan Perier, Impressor de Libros, 1580. Erros gráficos na paginação e na numeração dos Cantos cf. Im. 360. Faltam estrofes finais do Canto X e anotações: obra truncada, mas está assim no original, pois surge nota a lápis com essa informação.</t>
  </si>
  <si>
    <t>Os Lusiadas / poema epico de Luis de Camões. - Nova edição. - Lisboa : na Typographia Rollandiana, 1846. Paratextos argumentos, sem paratextos gerais.</t>
  </si>
  <si>
    <t>Lusiada italiana / di Carlo Antonio Paggi nobile genovese ; poema eroico del grande Luigi de Camoens : alla Santita di Nostro Signore Papa Alessandro Settimo. - Lisbona : per Henrico Valente de Oliveira, 1658, prefácio com menções à vida do Poeta. Canto III com 144 estrofes e Canto X com 166 estrofes, talvez seja comum nas traduções italianas.</t>
  </si>
  <si>
    <t>Die Lusiade : Heldengedicht / von Camoens ; aus dem Portugiesischen übersetzt von Dr. C. C. Heise. - Hamburg. - und Altona : bei Gottried Vollmer, [1806-1807]. - 4 tomos em 1 vol. Canto V faltam últimas estrofes, embora paginação seja contínua, cf. Im. 321 e notas finais sobre os cantos também parecem estar incompletas e/ou truncadas.</t>
  </si>
  <si>
    <t>Seventy sonnets of Camoens / portuguese text and translation with original poems by J. J. Aubertin.... - London : C. Kegan Paul &amp; Co., 1881. Inclui poemas do tradutor e miscelânea de outros poemas traduzidos (Bocage e outros): Recepção criativa: Tematização?. Refere tricentenário. Nota sobre a tradução de Os Lusíadas por Aubertin.</t>
  </si>
  <si>
    <t>A translation of the episode of Inez de Castro from the Lusiad of the Camoes / with prefatory remarks [by A.]. - Porto : Typographia da Revista, 1844. Bilingue. Faltam pp. iniciais dos paratextos: obra truncada ou assim no original?</t>
  </si>
  <si>
    <t>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t>
  </si>
  <si>
    <t>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t>
  </si>
  <si>
    <t>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t>
  </si>
  <si>
    <t>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t>
  </si>
  <si>
    <t>Rimas / de Luis de Camoens, principe dos poetas de seu tempo ; dedicadas ao Illustrissimo Senhor Andre Furtado de Mendoça Deão, &amp; Conego dignissimo da S. Sé de Lisboa, Doutor em a Sagrada Theologia, Deputado da Junta dos Tres Estados do Reyno, &amp;c.. - Em Lisboa impressas : na Officina de Antonio Craesbeeck de Mello, impressor de Sva Alteza, e à sua custa, 1663. Erros gráficos na paginação, cf. Im. 262, 320, entre outras.  [sonetos, canções, odes, sextinas, elegias, capítulo, oitavas, éclogas, redondilhas, sôbolos rios, sem explicitação de esparsas, carta, labirinto, convite, mote, disparates, glosa, trovas, voltas, cantiga, endechas, ficção de umas festas em Goa]. Final de Seleuco surge manuscrito.  Parece faltar parte das licenças: truncada ou assim no original?</t>
  </si>
  <si>
    <t>Os Lusiadas / Luiz de Camões ; edição ilustrada com vinte heliogravuras... por Alfred Bramtot e cincoenta e cinco desenhos por Paulin Bord. - Paris ;. - Lisboa : Guillard Aillaud &amp; Cª editores, 1890, com notas sobre a ilustrações. Paratextos argumentos.</t>
  </si>
  <si>
    <t>The Lusiad : [or] the discovery of India : an epic poem / translated ... by William Julius Mickle. - Oxford : printed by Jackson and Lister, 1776, sem argumentos, erros gráficos na paginação, cf. Im. 426, 476, 562, 563. Salto na paginação 152 para 155, cf. Im. 334-335: truncada ou assim no original?</t>
  </si>
  <si>
    <t>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t>
  </si>
  <si>
    <t>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t>
  </si>
  <si>
    <t>Um verso de Camões nas Rhythmas / Luís de Camöes ; [pref.] Braulio Caldas. - Braga : Typ. Bernardo A. de Sá Pereira, 1885. O soneto não é de Camões, embora no final surja um verso do Poeta mas não chega a ser centão.</t>
  </si>
  <si>
    <t>Lusiadas de Luis de Camões. Canto terceiro. - [Lisboa : s.n., 1880?]. A inserir Obra, fragmentos, épica, paratextos gerais: fica em paratextos gerais épica, outros.</t>
  </si>
  <si>
    <t>G. de la Landelle. A velhice de Camões. Trad. e ed. de J. L. Rodrigues Trigueiros. Lisboa. 1860. A inserir Celebrações (1860), recepção criativa, tematização e vida</t>
  </si>
  <si>
    <t>Camoens and the man of Java / Casimiro José Marques de Abreu ; prologue and an introd. by Edgar C. Knowlton Jr.. - Macau : Imp. Nacional, 1972. Consultada cópia interna. Estreia da cena dramática na noite de 18 de Janeiro de 1856. Celebrações (1972), recepção criativa.</t>
  </si>
  <si>
    <t>Rimas / de Luis de Camoens ; segunda parte. - [B]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 - Em Lisboa : na officina de Pedro Crasbeeck : a custa de Domingos Fernandez mercador de livros, 1616. [sonetos, elegias, ode, canções, sextina, redondilhas, esparsas, não inclui sôbolos rios, cantigas, motes, vilancete, petição, voltas, trovas, epístolas]. Não surgem nesta 2.ª parte nem as Comédias, nem o Canto da Criação e Composição do Homem, tal como indicado no índice [digitalização conforme o original], mantém-se obra conjunta? Paratextos vida.</t>
  </si>
  <si>
    <t>Lusiadum libri decem / authore domino fratre Thoma de Faria, Episcopo Targensi, Regioque consiliario, Ordinis Virginis Mariae de Monte Carmeli, Doctore Theologo, ulyssiponensi. - Ulyssipone : ex officina Gerardi de Vinca, 1622. Alguns Cantos parecem estar incompletos: cf. exemplo final do C. II, Im. 80; final C. VII, cf. 225. Truncado ou assim no original? Confirmado por Sara: (Está correto. Pela verificação dos reclamos [palavra no final de uma página igual à palavra do início da página seguinte, de forma a mostrar a sua sequência], os referidos cantos estão completos).</t>
  </si>
  <si>
    <t>Camoens : Gedicht in zehn Gesängen / von J. B. Almeida Garrett ; Nach dem Portugiesischen von Adolf Friederich Graf von Schack. - Stuttgart : J. G. Cotta'schen, 1890. A inserir Celebrações (1880), recepção criativa? Salto na paginação entre pp. 33 a 35: truncada ou assim no original?  cf. Im. 58-59. Confirmado por Sara: Confirma-se: a pág. 32 está repetida, faltando-lhe a pág. 34)</t>
  </si>
  <si>
    <t>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t>
  </si>
  <si>
    <t>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t>
  </si>
  <si>
    <t>Lusiada / de Luis de Camoens : acrescentam-se as estancias despresadas por o Poeta, as lições várias e breves notas para a illustração do poema. - [S.l.] : I. E. Hitzig, [18--]. Sem comentários de Inácio Ferreira. Paratextos vida, Paratextos notas e Paratextos argumentos.</t>
  </si>
  <si>
    <t>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t>
  </si>
  <si>
    <t>Uma glosa camoniana do seculo XVIII / Joaquim de Araujo. - Pádua : Fratelli Gaelina, 1895. Repetição da digitalização da p. 15, cf. Im. 17 e 19.</t>
  </si>
  <si>
    <t>O grande D. João de Castro julgado nos "Lusiadas". - Porto : Tip. Central de Antonio Mendes Cerdeira, 1884. A inserir obra, impressos, fragmentos, épica, paratextos gerais: fica em paratextos gerais épica, outros.</t>
  </si>
  <si>
    <t>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t>
  </si>
  <si>
    <t xml:space="preserve">Rimas / de Luis de Camoens. - Acrescentadas nesta terceyra impressaõ. Dirigidas a Inclyta Universidade de Coimbra. - Em Lisboa : por Pedro Crasbeeck : a custa de Domingos Fernandez mercador de libros, 1607 [cartas, cantigas, voltas, sonetos, canções, odes, sextinas, elegias, tercetos, capítulos, oitavas, éclogas, redondilhas, sôbolos rios, esparsas, disparates, mote, cartas, glosa, voltas, endechas] + Cartas. </t>
  </si>
  <si>
    <t>[Miscelânea camoniana : artigos de imprensa sobre Camões, 1867]. - Lisboa, 1867, inclui ainda imagem de G. Garibaldi, não inserida, recepção criativa, tematização, artigo sobre a vida do Poeta, sobre as oito estátuas do monumento do Poeta, entre outros. Celebrações (1860), periódicos.</t>
  </si>
  <si>
    <t>[Camões e as festas : folhetim do centenário camoniano / Júlio César Machado]. - Lisboa, 1880. - 4 p. [artigo sobre a vida de Camões e Carta do Poeta; rebuçados com versos de Os Lusíadas e pastéis Lusíadas!] Se possível, completar registo: Diário de Notícias, N.º 5:153, 16.º anno, 1880, quinta-feira, 10 de Junho.</t>
  </si>
  <si>
    <t>[Textos sobre Camões e a sua obra, no tricentenário camoniano]. - Lisboa : [Typ. do Futuro], 1880. Se possível, completar registo: Democracia, N.º 1:955, VIII anno, 1880, quinta-feira, 10 de Junho.</t>
  </si>
  <si>
    <t>[Luís de Camões : número camoniano da "Correspondencia de Coimbra"]. - Coimbra : Imprensa Academica, 1880, com transcrição de um fragmento do episódio de Inês de Castro. Se possível, completar registo: N.º 45, IX Anno, quinta-feira, 10 de Junho.</t>
  </si>
  <si>
    <t>[Luís de Camões : número camoniano do "Ecco Michaelense"]. - Ponta Delgada : Typ. do Defensor da Patria, 1880, com carta do Poeta. Se possível, completar registo: Diário de Notícias, N.º 512, 10.º anno, 1880, quinta-feira, 10 de Junho.</t>
  </si>
  <si>
    <t>Camões pelo Visconde de Almeida Garrett, com notas, entre outras obras: um dos volumes das suas obras completas; prefaciado por Camilo Castelo Branco. - 7a. ed.. - Porto. - Braga : Liv. de Ernesto Chardron, imp. 1880. Celebrações (1880), recepção criativa, tematização. Digitalização: antes do poema, que surge apenas depois da p.  LXXXIV, existem excertos das obras completas de Garrett: completar informação no registo bibliográfico (Obras de J. B. de A. Garrett ; 1), tal como se encontra na referência infra.</t>
  </si>
  <si>
    <t>Camões / por J. B. de Almeida Garrett. - 3 a. ed.. - Lisboa : Imprensa Nacional, 1844.  Digitalização: falta digitalização da p. 2 e há repetição da digitalização da p. 6. Assim no original?</t>
  </si>
  <si>
    <t>Poesias lyricas / de Luiz de Camões. - Rio de Janeiro : [s.n., 1880]. [sonetos, elegias, odes, canções, oitavas, sextinas] Obra não tem indicação de fim e, por isso, parece estar incompleta, assim no original?</t>
  </si>
  <si>
    <t>Sämmthiche gedichte / zum ersten Male deutsch von Wilhelm Storck.... - Paderborn : Druck und Verlag von Ferdinand Schöningh, 1885, com notas no final. Não refere tricentenário. Teatro [Anfitriões, Seleuco e Filodemo]. Obra dedicada ao casal Burton [Isabel Burton, editou e prefaciou obra de tradução de Camões]. No prefácio, o tradutor refere ser o sexto volume das obras: colocar em obras conjuntas, mesmo que surja apenas este volume?</t>
  </si>
  <si>
    <t>Os Lusíadas : poema epico ... / Luís de Camöes. - Rio de Janeiro : Domingos José Gomes Brandäo, 1861. Paratextos, argumentos e Celebrações (1860), edições. Faltam argumento e estrofes I e II do Canto I, cf. p. 6: truncada ou assim no original? Confirmar p. 79 e 86, não parece existir salto na sequência das estrofes e pode ser erro gráfico na paginação. Página que antecede a 244 está deslocada, pois o argumento precede o Canto: assim no original?</t>
  </si>
  <si>
    <t>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t>
  </si>
  <si>
    <t>Uma traducção hollandeza de Camões / trad. Theodorus Johannes Kerkhoven, Anibal Fernandes Tomás. - Porto : Circulo Camoniano : Imprensa Moderna, 1890. Sem indicação de fim: truncada ou assim no original?</t>
  </si>
  <si>
    <t>Glosa de Bernardo Vieira Ravasco, irmão... do Padre Antonio Vieira, ao soneto de Camões Horas breves do meu contentamento com anteloquio do professor... Pereira Caldas. - Braga : Tip. de Gouveia, 10 de Junho de 1884. Antelóquio iniciado na p. 4, faltam páginas e/ou página antecedentes, cf. no original. Celebrações (1880), recepção criativa, tematização.</t>
  </si>
  <si>
    <t>A Camões. - Porto : Typ. Alliança, 1885. In "A CARTEIRA DO VIAJANTE", periódico? completar registo bibliográfico, se assim for.  Celebrações (1880), recepção criativa, tematização e centão, inclui ainda vários textos em prosa sobre Os Lusíadas.</t>
  </si>
  <si>
    <t>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t>
  </si>
  <si>
    <t>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t>
  </si>
  <si>
    <t xml:space="preserve">Anthologie universelle : choix des meilleures poésies lyriques de diverses nations dans les langues originales / par Joaquim Gomes de Souza. [Inês de Castro, Intercessão de Vénus, Adamastor e soneto Alma minha gentil pp. 650]. 1859. A inserir Antologia, paratextos gerais: fica em paratextos gerais lírica, outros. Paginação desordenada, cf. a partir da p. 465; pp. 906-907 repetidas, surgindo após p. 915; faltam pp. 916-917: Assim no original? </t>
  </si>
  <si>
    <t>Art camonien : lettre a Mr. Joaquim de Araujo / Platon Waxel. - Porto : Redacção do Circulo Camoniano, 1892. Texto truncado, cf. p. 11.</t>
  </si>
  <si>
    <t>La Lusiada / de el famoso poeta Luys de Camões ; traduzida en verso castellano de portugues, por el Maestro Luys Gomez de Tapia vezino de Seuilla ; dirigida al illustrissimo Aeñor Ascanio Colona, Abbad de Sancta Sophia. - En Salamanca : en casa de Ioan Perier, Impressor de Libros, 1580. Trad. Épica, Trad. Paratextos gerais, trad. argumentos e notas. Obra com erros de paginação e trocas de página. Ainda que a paginação seja irregular, existe um salto na p. 48 para a p. 59 [anotações do Canto II]; faltam estrofes finais do Canto X e notas do mesmo canto, assim no original, conforme escrito a lápis no fim da obra.</t>
  </si>
  <si>
    <t>Camões / dir. Oscar Lopes. - Nº 1 (Julho-Agosto 1980), este exemplar corresponde aos números 2/3 (Setembro/Outubro e Novembro/Dezembro, 1980)-. - Lisboa : Caminho, 1980. Consultada cópia interna. Tematização de Melo e Castro e entrevista-centão de Baptista-Bastos, entre outras pérolas.</t>
  </si>
  <si>
    <t>O bilinguismo castelhano-português na época de Camões / Pilar Vásquez Cuesta. - Paris : Fund. Calouste Gulbenkian - Centro Cult. Port., 1981. Arquivos do Centro Cultural Português, XVI, separata. Consultada cópia interna: apresenta índice geral do volume, que contempla um conjunto de ensaios dedicados a Camões.</t>
  </si>
  <si>
    <t>Os Dois Mundos : illustração para Portugal e Brazil / dir. e propr. Salomon Saragga. - V. 1, n.º 1 (31 ag. 1877) - v. 3, n.º 36 (abr. 1881). - Paris : Salomon Saragga, 1877-1881. Anúncio de Parnaso Português Moderno por Teófilo Braga?, cf. Im. 13.</t>
  </si>
  <si>
    <t>O biógrafo de Camões Pedro de Mariz e os seus "Diálogos de vária história" / A. Saraiva de Carvalho. - Guimaräes : Cadernos Gil Vicente, separata da Revista Gil Vicente, Vol. XXIV, 1973. Consultada cópia interna. Primeiro texto refere celebrações do centenário.</t>
  </si>
  <si>
    <t>Os Lusíadas e a botânica / Carlos das Neves Tavares. - Lisboa : Junta de Investigações do Ultramar, 1972. Separata de Garcia de Orta, Revista da Junta de Investigações do Ultramar, número especial comemorativo do IV centenário da publicação de Os Lusíadas (1972). Consultada cópia interna.</t>
  </si>
  <si>
    <t>Descripção do Reino de Portugal / per Duarte Nunez do Leão, desembargador da casa da supplicação : dirigido ao... Sñor Dom Diogo da Sylva, Duque de Francavilla.... - Em Lisboa : impresso com licença, por Iorge Rodriguez, 1610. Excluir da Camoniana?</t>
  </si>
  <si>
    <t>Lisboa antiga : bairros orientais / Júlio de Castilho ; anot. Augusto Vieira da Silva. - 2ª ed. rev. e ampl. - Lisboa : S. Industriais da Câmara Municipal de Lisboa, 1934-1938. Vol. 1: única ref. a Camões, cf. Im. 65, 366 em bibliografia/ Imagem plano de Lisboa e monumentos romanos, cf. Im. 115, planta Lisboa Im. 261 e 287; Vol. 2: oitava de Camões, cf. Im. 134 "Lá do Germânico Aibis e do Reno,", imagens alusivas a Martim Moniz; Vol. 3: referência ao Tricentenário de Camões: cf. Im. 306/ Im. 151 planta do Rossio; Vol. 4: versos atribuídos a Camões, mas cuja autoria é de Bocage, cf. Im. 106, referência ao cortejo do Tricentenário, cf. Im. 117, cf. Im. 355; referência à casa onde se crê ter falecido Camões, cf. Im. 281/ Im. 38, 39, 45, 59, 153, 215, 227, 229, 231, 241 plantas Lisboa antiga e igrejas Santa Justa e Rufina; Vol. 5 [plantas da Sé e outras], Vol. 7, Vol. 8, Vol. 9, Vol. 10, Vol. 11, Vol. 12: sem menções ao Poeta ou à obra épica; Vol. 6: Im. 258, referência à Sé como Lusíadas de pedra [várias imagens da Sé].</t>
  </si>
  <si>
    <t>A família flaviense de Camões / José Guilherme Calväo Borges. - Lisboa : Real Assoc. dos Arquitectos Civis e Arqueol. Portugueses, 1974, com notas e anexos. Separata de Arqueologia e História, Vol. V. Consultada cópia interna.</t>
  </si>
  <si>
    <t>Os Lusiadas / do grande Luis de Camoens, princepe dos poetas de Hespanha ; com os argumentos do Licenciado Ioaõ Franco Barretto, &amp; index de todos os Nomes proprios ; offerecidas ao Illustrissimo Senhor Andre Furtado de Mendoça, por Antonio Craesbeeck de Mello, impressor da Caza Real. - Lisboa : por Antonio Craesbeeck de Mello, 1670, com index: Canto V, 92 estrofes ao invés de 100, mas a sequência de pp. e da numeração das est. mantêm-se.  Paratextos argumentos e Paratextos vida.</t>
  </si>
  <si>
    <t>Rimas varias / de Luis de Camoens principe de los poetas heroycos, e lyricos de España ; ofrecidas al muy ilustre Señor D. Ivan da Sylva Marquez de Gouvea, Presidente del Dezembargo del Paço. y Mayordomo Mayor de la Casa Real, &amp;c. ; commentadas por Manuel de Faria, y Sousa, Cavallero de la Orden de Christo ; Tomo I e II que contienem la primera, segunda, y tercera Centuria de los Sonetos. - Lisboa : en la imprenta de Theotonio Damaso de Mello impressor de la Casa Real, 1685. A inserir Antologia, Paratextos gerais e vida: fica em paratextos gerais lírica, outros?</t>
  </si>
  <si>
    <t>Gigantomachia de Manuel de Gallegos a don Antonio de Menezes. - En Lisboa : por Pedro Crasbeeck, 1626. Refere Lusitano Apolo, cf. Im. 9, obra com algumas referências a Camões e ao episódio de Adamastor no prelúdio. Recepção criativa, tematização? Obra incompleta, cf. p. [81] , assim no original?</t>
  </si>
  <si>
    <t>Sonetos / cordenados e acompanhados com um escorço biográfico ... por Teófilo Braga. I parte. - Lisboa : A Educadora- Empresa Editora, 1913, contém lista de sonetos apócrifos e duvidosos.  Im. 7: Teófilo. rectificação: II Parte. Falta consultar Parte I.</t>
  </si>
  <si>
    <t xml:space="preserve">O Cancioneiro Fernandes Tomás : índices, nótulas e textos inéditos / Carolina Michaëlis de Vasconcelos. - Coimbra : Imprensa da Universidade de Coimbra, 1922 [elegias, canção, sonetos, epigramas, capítulo]. </t>
  </si>
  <si>
    <t>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t>
  </si>
  <si>
    <t>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t>
  </si>
  <si>
    <t>Fragmentos d'uma tentativa de estudo scoliastico da epopeia portugueza / por G. de Vasconcellos Abreu. - Lisboa : Livreiros Depositários, 1880. Um dos capítulos inclui um "bosquejo auto-biográfico de Camões".</t>
  </si>
  <si>
    <t>Summula noticiosa das especies de chás / Pereira-Caldas. - [Braga : s.n., 1888]. Epígrafe de Camões e duas menções a Os Lusíadas, cf. Im. 1, 9, 13. Recepção, citação.</t>
  </si>
  <si>
    <t>Simão Vaz de Camões no Porto / Artur de Magalhães Basto. - Porto : Emp. Indust. Gráfica do Porto, 1927. Consultada cópia interna. Separata de A Águia, n.º 59 (3.ª série). Artigo sobre a existência de homónimos do pai de Camões, contrariando a leitura de alguns biógrafos/ críticos de Camões, documento fac-simile da passagem do ms. de Francisco Dias referido no texto, cf. Im. 5.</t>
  </si>
  <si>
    <t>O lirismo de Camões : conferência feita no Liceu de Aveiro, a 10 de Junho de 1925 = Hernani Cidade. - Porto : Emp. Indust. Gráfica do Porto, L.da, 1925. Separata de A Águia, n.º 58 (3.ª série). Consultada cópia interna, com menções iniciais e muito breves à vida do Poeta.</t>
  </si>
  <si>
    <t>O correio michaelense, 24 maio 1853: carta de António Feliciano Castilho em que refere Camões, cf. Im. 3; O correio michaelense, 22 agosto 1857: "língua que imortalizou Camões", cf. Im. 3; O correio michaelense, 5 setembro 1857, cf. Im. 2: "Camões teria por certo mais um nome a ajuntar". Estas são as únicas menções a Camões presentes nos números disponibilizados em cópia pública. N.B.: Colocar em “Notas” [página Camoniana digital] a indicação relativa ao número.</t>
  </si>
  <si>
    <t>Dispersos originais portugueses / Carolina Michaelis de Vasconcelos ; [org. J. P. M.]. - Lisboa : Revista "Ocidente", [197-]-. No final surge a data da edição dos dispersos: 1972.</t>
  </si>
  <si>
    <t>Os Lvsiadas / de Lvys de Camões. - Em Lisboa : por Pedro Crasbeeck impressor delRey, 1626, sem argumentos. Páginas em branco, com falta de estrofes, cf. Canto IV, estrofe 16 para estrofe 24; faltando ainda a última estrofe deste Canto; estrofes 1-11 do Canto V em falta, com folhas em branco; últimas sete estrofes do Canto VII em falta, com folhas em branco: assim no original?</t>
  </si>
  <si>
    <t>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t>
  </si>
  <si>
    <t>Camões : conferência feita na Faculdade de Letras do Porto em Junho de 1924 / Hernani Cidade. - Porto : Empresa Industrial Gráfica do Porto, 1924. Consultada cópia interna. Separata da Revista A Águia., Vol. V., 3.ª série, N.os 25-26, 27, Julho a Setembro de 1924, com algumas menções biográficas, cf. Im. 12</t>
  </si>
  <si>
    <t>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t>
  </si>
  <si>
    <t>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t>
  </si>
  <si>
    <t>Camões e a fisionomia espiritual da Pátria : separata de Camões : discurso pronunciado no Teatro Águia de Ouro no dia 10 de Junho de 1920 / Leonardo Coimbra. - Porto. Incluir Actos Públicos (1924)?</t>
  </si>
  <si>
    <t xml:space="preserve">Memórias / Raul Brandão. - Lisboa : Seara Nova. Im. 99: Sidónio Pais. Duas menções a Camões, cf. Im. 262 e 277 e uma outra a Os Lusíadas, cf. Im. 256. </t>
  </si>
  <si>
    <t>[A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t>
  </si>
  <si>
    <t>[Notícias nacionais e internacionais sobre o tricentenário de Camões, se possível completar o registo no purl: Commercio de Lisboa, 2.º Anno, N.º 428, 10 de Junho de 1880, Luciano Cordeiro (Redactor Principal)]. - Lisboa : J. A. Santos, 1880. Textos e recepção criativa.</t>
  </si>
  <si>
    <t>[Homenagem a Camões, 1580-1880, se possível completar o registo no purl: Commercio de Portugal, orgão do commercio e industria portugueza, [II.] Anno, N.º 287, quinta-feira, 10 de Junho de 1880]. - Lisboa : A. J. Rodrigues Loureiro, 1880. Textos, festejos e recepção criativa; anúncio de edição crítica de Os Lusíadas.</t>
  </si>
  <si>
    <t>[Homenagem a Camões : número inaugural do "Diario Civilisador", N.º 1, 1.º Anno, 10 de Junho de 1880,  José Fortunato Barreto (Admn.)]. - Lisboa : João Wager Russell Junior, 1880. Sobre os festejos.</t>
  </si>
  <si>
    <t>LEAL, Gomes, 1848-1921. [Tricentenário de Camões, se possível completar o registo no purl: Diario do Commercio, folha democrática e imparcial, X Anno, N.º 1516, quinta-feira, 10 de Junho 1880 ]. - Lisboa : Typographia Largo dos Canos, 1880. Prosa de vários autores.</t>
  </si>
  <si>
    <t>[O Centenário de Camões, se possível completar o registo no purl: In Diário da Manhã, 6.º anno, N.º 1466, quinta-feira 10 de Junho de 1880, M. Pinheiro Chagas (Redactor Principal)]. - Lisboa : [Typ. J. G. de Sousa Neves], 1880. Sobre os festejos.</t>
  </si>
  <si>
    <t>[Luís de Camões : centenário, se possível completar o registo no purl: In O Diário Popular, 15.º anno, N.º 4: 806, quinta-feira, 10 de Junho de 1880]. - Lisboa : Typographia Lusitana, 1880. Prosa e festejos.</t>
  </si>
  <si>
    <t>[Tricentenário de Camões : número dedicado do "Diario de Portugal", Anno IV, N.º 769, quinta-feira, 10 de Junho de 1880]. - Lisboa : Typ. de Cristovão A. Rodrigues, 1880. Prosa.</t>
  </si>
  <si>
    <t>[Tricentenário de Camões, se possível completar o registo no purl: In Jornal do Commercio, 27.º Anno, N.º 7: 970, quinta-feira, 10 de Junho 1880, Luís de Almeida e Albuquerque (Propr.)]. - Lisboa : Typographia do Jornal do Comercio, 1880. Textos sobre a epopeia e os festejos. Cf. 2 página do jornal invertida.</t>
  </si>
  <si>
    <t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t>
  </si>
  <si>
    <t>[Homenagem a Luís de Camões, o imortal cantor das glórias portuguesas, por ocasião do tricentenário em 10 de Junho de 1880 : folha extraordinária de "Rebeca do Diabo Junior", N.º 22, 1880]. - Lisboa : Typographia rua do Norte, 1880. Poema-acróstico de homenagem e paródia, com menção à vida, entre outros textos e recepções criativas.</t>
  </si>
  <si>
    <t>[Centenário de Camões, 10 de Junho de 1880, se possível completar o registo no purl: In Biblioteca Republicana República, Jornal político e de propaganda, Moura B. Feio Terenas (Dir. secção política)]. - Lisboa : Typ. Luso-Hespanhola, 1880. Inclui texto com biografia do poeta; recepção criativa. Antologia em periódicos?: Lusiadas, Fragmentos Cantos, VIII, IX, X, XI; est. 85, 4l, 28, 23, 93. Canção XI.</t>
  </si>
  <si>
    <t>BRAGA, Teófilo, 1843-1924. [Ao Centenário de Luís de Camões, festa da nacionalidade portuguesa se possível completar o registo no purl: In A Artualidade,  7.º anno, N.º 130, 10 de Junho de 1880]. - Porto : Imprensa Portugueza, 1880. Inclui Camões, drama histórico em cinco actos.</t>
  </si>
  <si>
    <t>[Luís de Camões, 1580-1880 se possível completar o registo no purl: In A Aurora do Lima, Anno XXV, N.º 3672, quinta-feira, 10 de Junho de 1880]. - Viana do Castelo : A. P. de Sousa, 1880. Artigo sobre a vida do Poeta. Fragmento do episódio Adamastor; recepção criativa e publicações sobre o Poeta.</t>
  </si>
  <si>
    <t>[Luís de Camões, 1580-1880 se possível completar o registo no purl: In O Conimbricense, Anno XXXIII, N.º  3428, sábado, 12 de Junho de 1880, Joaquim Martins de Carvalho (Red. e Resp.]. - Coimbra : Imprensa de E. Trovão, 1880.</t>
  </si>
  <si>
    <t xml:space="preserve">[Centenário de Camões por J. C. Rodrigues da Costa, se possível completar o registo no purl: In O Fayalense, Anno 32, N.º 41, domingo, 16 de Maio de 1880, Luís da Terra (Ed.)]. - Horta : Typ. de J. J. da Graça, 1880. </t>
  </si>
  <si>
    <t>À memoria do immortal Luiz de Camões em 10 de Junho de 1880 : O Povo de Braga, semanario bracarense. - Braga : Typographia Lealdade, 1880. Episódio: Excerto Canto VI. Redondilhas [A uma senhora rezando por umas contas] e dois sonetos [O gloriosa Cruz, Ó victorioso; Amor é um fogo que arde sem se ver]: Antologia em periódicos?</t>
  </si>
  <si>
    <t>À memoria de Luiz de Camões no seu tricentenario em 10 de Junho de 1880 : A Sentinella, semanario bracarense. - Braga : Typographia de Gonçalves Gouvea, 1880. Episódio: Excerto Canto VI, episódio Os doze de Inglaterra e versão livre espanhola do episódio de Inês de Castro.</t>
  </si>
  <si>
    <t>[Tricentenário de Luís de Camões]. - Coimbra : Bento Leão da Cunha Carvalhaes, 1880. Poema "A Luís de Camões", Amélia Janny. Se possível, completar o registo no purl: O Tribuno Popular, N.º 2: 540, Anno XXV, Sábado, 12 de Junho de 1880.</t>
  </si>
  <si>
    <t>[Tricentenário de Luís de Camões]. - [Velas] : Typ. do Velense, 1880. Se possível, completar o registo no purl: O Velense, jornal político, agrícola, comercial e noticioso, S. Jorge,  N.º 13, I Anno, quinta-feira, 10 de Junho de 1880.</t>
  </si>
  <si>
    <t>O Sorvete á Camões. - [Porto : Imprensa Litterario-Commercial], 1880. Se possível, completar o registo no purl: N.º 107, 3.º Anno, 10 de Junho de 1880. Lugares da memória [Praça de Camões]</t>
  </si>
  <si>
    <t>[Tricentenário de Luís de Camões : número dedicado de "O Commercio do Porto"]. - Porto : Typographia do Commercio, 1880. Vários textos nacionais e internacionais [sobre vida, obra e traduções] sobre Camões e o Tricentenário. Se possível, completar o registo no purl: XXVII Ano, N.º 152, quinta-feira, 10 de Junho.</t>
  </si>
  <si>
    <t>[Tricentenário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t>
  </si>
  <si>
    <t>Almanach dos Teatros para 1881 : 6.º anno / por Mendonça e Costa. - Lisboa : dep. Livraria Pacheco &amp; Carmo, 1880 (Lisboa Typographia Minerva). Secção camoniana, cf. Im. 35; poesia inédita de Camões por Teófilo B.: Mote "Fruito que aves não puderam" e Glosa "Num valle florido e verde"; vários textos sobre as festas e trecho de um discurso; recepção criativa; participação de Graça Barreto, mas não sobre Camões. Periódico termina na p. 48, sem indicação de fim, assim no original?</t>
  </si>
  <si>
    <t>[Centenário de Camões, 10 de Junho de 1880, cf. Im. 81-86, textos no "Archivo dos Açores", publicação periódica]. - Ponta Delgada : Typ. do Archivo dos Açores, 1880. Reprodução do catálogo dos bispos. Se possível, completar o registo no purl: Volume Segundo, N.º VII.</t>
  </si>
  <si>
    <t>[O Tricentenário de Luís de Camões no "Boletim Official do Grande Oriente Lusitano Unido"]. - Lisboa : Imprensa de Joaquim Germano de Sousa Neves, 1880, cf. a partir de Im. 10. Falha gráfica na numeração de página 53. Se possível, completar o registo no purl: 3.ª série.</t>
  </si>
  <si>
    <t>[O Tricentenário de Luís de Camões no "Repertorio das Camaras, periodico municipal"]. - Lisboa : Typ. de Salles, 1880. "Recordação à memória do grande poeta Luiz de Camões"; "A festa do tricentenário de Luiz de Camões feita pelas camaras municipaes do paiz". Último número parece incompleto: assim no original? Se possível, completar o registo no purl: Décimo terceiro volume, Números 9 e 10.</t>
  </si>
  <si>
    <t>[O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t>
  </si>
  <si>
    <t>[O Tricentenário de Luís de Camões nas páginas da revista "Vespas", de Eduardo de Barros Lobo]. - Porto : Typ. de Antonio José da Silva Teixeira, 1880. Tom polémico e irónico: "Decididamente, não ha nada peor que uma boa epopeia!"; Appareceram n'essa época os charutos á Camões, os cigarros, os sapatos e os chapéos á Camões; pintou-se o seu retrato em caixas de phosphoros, em lenços d'assoar e em pratos sopeiros; publicouse em sua honra uma nuvem de livros, de folhetos, de jornaes, de gravuras e de lithographias; inventou-se os bolos' e os pasteis á Camões;" Honrou-se a memoria de Camões, que determinou a nossa posição autonomica perante o espirito da Europa. Mais nada. O paiz nem seI quer soffreu a minima modificação, pois que subsistem os mesmos erros de antes, simplesmente augmentados talvez." Se possível, completar o registo no purl: N.º 3.</t>
  </si>
  <si>
    <t>Notas</t>
  </si>
  <si>
    <t>Camoens : Dramma Storico in quatro atti in versi / di Domenico Bolognese. - Napoli : Editori Vincenzo e Salvatore de Angelis, 1873. Celebrações (1872), recepção criativa, tematização. Rappresentado la prima voila in Napoli: Teatro dei Florentin dalla drammatica comp'agnia Alberti, la'sera degli IL novembre 1872.</t>
  </si>
  <si>
    <t>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t>
  </si>
  <si>
    <t>O Doutor Halliday em Lisboa impugnado até à evidência : Carta ... a um seu amigo. - Lisboa : na Officina de Joaquim Rodrigues d'Andrade, 1812, a propósito da publicação de "Carta crítica sobre as incoherencias de Luiz de Camões no Episodio de Adamastor"</t>
  </si>
  <si>
    <t>Notas - Isabel Almeida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</si>
</sst>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11"/>
      <color rgb="FFFF0000"/>
      <name val="Aptos Narrow"/>
      <family val="2"/>
      <scheme val="minor"/>
    </font>
    <font>
      <b/>
      <sz val="12"/>
      <color rgb="FF000000"/>
      <name val="Aptos Narrow"/>
      <family val="2"/>
      <scheme val="minor"/>
    </font>
    <font>
      <b/>
      <sz val="12"/>
      <name val="Aptos Narrow"/>
      <family val="2"/>
      <scheme val="minor"/>
    </font>
    <font>
      <sz val="11"/>
      <color rgb="FF000000"/>
      <name val="Aptos Narrow"/>
      <family val="2"/>
      <scheme val="minor"/>
    </font>
    <font>
      <u/>
      <sz val="11"/>
      <color rgb="FF467886"/>
      <name val="Aptos Narrow"/>
      <family val="2"/>
      <scheme val="minor"/>
    </font>
    <font>
      <sz val="11"/>
      <name val="Aptos Narrow"/>
      <family val="2"/>
      <scheme val="minor"/>
    </font>
    <font>
      <sz val="11"/>
      <color rgb="FFFFFF00"/>
      <name val="Aptos Narrow"/>
      <family val="2"/>
      <scheme val="minor"/>
    </font>
    <font>
      <u/>
      <sz val="11"/>
      <color theme="10"/>
      <name val="Aptos Narrow"/>
      <family val="2"/>
      <scheme val="minor"/>
    </font>
    <font>
      <sz val="11"/>
      <color rgb="FF0F9ED5"/>
      <name val="Aptos Narrow"/>
      <family val="2"/>
      <scheme val="minor"/>
    </font>
    <font>
      <i/>
      <sz val="11"/>
      <color rgb="FF000000"/>
      <name val="Aptos Narrow"/>
      <family val="2"/>
      <scheme val="minor"/>
    </font>
    <font>
      <sz val="11"/>
      <color rgb="FF0C769E"/>
      <name val="Aptos Narrow"/>
      <family val="2"/>
      <scheme val="minor"/>
    </font>
    <font>
      <sz val="11"/>
      <color rgb="FF4EA72E"/>
      <name val="Aptos Narrow"/>
      <family val="2"/>
      <scheme val="minor"/>
    </font>
    <font>
      <sz val="11"/>
      <color rgb="FFE97132"/>
      <name val="Aptos Narrow"/>
      <family val="2"/>
      <scheme val="minor"/>
    </font>
    <font>
      <sz val="11"/>
      <color rgb="FFC11AF0"/>
      <name val="Aptos Narrow"/>
      <family val="2"/>
      <scheme val="minor"/>
    </font>
    <font>
      <i/>
      <sz val="11"/>
      <color rgb="FFE97132"/>
      <name val="Aptos Narrow"/>
      <family val="2"/>
      <scheme val="minor"/>
    </font>
    <font>
      <sz val="11"/>
      <color rgb="FF61CBF3"/>
      <name val="Aptos Narrow"/>
      <family val="2"/>
      <scheme val="minor"/>
    </font>
    <font>
      <sz val="11"/>
      <color rgb="FF0E2841"/>
      <name val="Aptos Narrow"/>
      <family val="2"/>
      <scheme val="minor"/>
    </font>
    <font>
      <sz val="11"/>
      <color rgb="FF00BAEE"/>
      <name val="Aptos Narrow"/>
      <family val="2"/>
      <scheme val="minor"/>
    </font>
    <font>
      <i/>
      <sz val="11"/>
      <color rgb="FF4EA72E"/>
      <name val="Aptos Narrow"/>
      <family val="2"/>
      <scheme val="minor"/>
    </font>
    <font>
      <sz val="11"/>
      <color rgb="FF156082"/>
      <name val="Aptos Narrow"/>
      <family val="2"/>
      <scheme val="minor"/>
    </font>
    <font>
      <i/>
      <sz val="11"/>
      <color rgb="FF0F9ED5"/>
      <name val="Aptos Narrow"/>
      <family val="2"/>
      <scheme val="minor"/>
    </font>
    <font>
      <sz val="11"/>
      <color rgb="FF8ED973"/>
      <name val="Aptos Narrow"/>
      <family val="2"/>
      <scheme val="minor"/>
    </font>
    <font>
      <sz val="11"/>
      <color rgb="FFD86DCD"/>
      <name val="Aptos Narrow"/>
      <family val="2"/>
      <scheme val="minor"/>
    </font>
    <font>
      <b/>
      <sz val="11"/>
      <color rgb="FF000000"/>
      <name val="Aptos Narrow"/>
      <family val="2"/>
      <scheme val="minor"/>
    </font>
    <font>
      <b/>
      <sz val="11"/>
      <name val="Calibri"/>
    </font>
    <font>
      <sz val="8"/>
      <color rgb="FF4EA72E"/>
      <name val="Geneva"/>
    </font>
    <font>
      <sz val="11"/>
      <color rgb="FF000000"/>
      <name val="Calibri"/>
    </font>
    <font>
      <sz val="10"/>
      <color rgb="FFFFFFFF"/>
      <name val="Muli"/>
      <charset val="1"/>
    </font>
    <font>
      <sz val="11"/>
      <color rgb="FF212121"/>
      <name val="Aptos Narrow"/>
      <family val="2"/>
      <scheme val="minor"/>
    </font>
    <font>
      <sz val="11"/>
      <color rgb="FF242424"/>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FFFF"/>
        <bgColor rgb="FF000000"/>
      </patternFill>
    </fill>
    <fill>
      <patternFill patternType="solid">
        <fgColor rgb="FFDAE9F8"/>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46">
    <xf numFmtId="0" fontId="0" fillId="0" borderId="0" xfId="0"/>
    <xf numFmtId="0" fontId="4"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8" fillId="0" borderId="1" xfId="1" applyFill="1" applyBorder="1" applyAlignment="1">
      <alignment wrapText="1"/>
    </xf>
    <xf numFmtId="0" fontId="0" fillId="0" borderId="1" xfId="0" applyBorder="1"/>
    <xf numFmtId="0" fontId="8" fillId="2" borderId="1" xfId="1" applyFill="1" applyBorder="1" applyAlignment="1">
      <alignment wrapText="1"/>
    </xf>
    <xf numFmtId="0" fontId="0" fillId="2" borderId="0" xfId="0" applyFill="1"/>
    <xf numFmtId="0" fontId="2" fillId="0" borderId="1" xfId="0" applyFont="1" applyBorder="1"/>
    <xf numFmtId="0" fontId="3" fillId="2" borderId="1" xfId="0" applyFont="1" applyFill="1" applyBorder="1"/>
    <xf numFmtId="0" fontId="3" fillId="0" borderId="1" xfId="0" applyFont="1" applyBorder="1"/>
    <xf numFmtId="0" fontId="0" fillId="3" borderId="1" xfId="0" applyFill="1" applyBorder="1"/>
    <xf numFmtId="0" fontId="8" fillId="0" borderId="1" xfId="1" applyBorder="1" applyAlignment="1">
      <alignment wrapText="1"/>
    </xf>
    <xf numFmtId="0" fontId="1" fillId="0" borderId="1" xfId="0" applyFont="1" applyBorder="1" applyAlignment="1">
      <alignment wrapText="1"/>
    </xf>
    <xf numFmtId="0" fontId="4" fillId="0" borderId="1" xfId="0" applyFont="1" applyBorder="1"/>
    <xf numFmtId="0" fontId="7" fillId="0" borderId="1" xfId="0" applyFont="1" applyBorder="1" applyAlignment="1">
      <alignment wrapText="1"/>
    </xf>
    <xf numFmtId="0" fontId="4" fillId="0" borderId="5" xfId="0" applyFont="1" applyBorder="1" applyAlignment="1">
      <alignment horizontal="left" vertical="center"/>
    </xf>
    <xf numFmtId="0" fontId="4" fillId="0" borderId="5" xfId="0" applyFont="1" applyBorder="1" applyAlignment="1">
      <alignment vertical="center"/>
    </xf>
    <xf numFmtId="0" fontId="4" fillId="0" borderId="3" xfId="0" applyFont="1" applyBorder="1" applyAlignment="1">
      <alignment wrapText="1"/>
    </xf>
    <xf numFmtId="0" fontId="4" fillId="0" borderId="5" xfId="0" applyFont="1" applyBorder="1"/>
    <xf numFmtId="0" fontId="4" fillId="0" borderId="3" xfId="0" applyFont="1" applyBorder="1"/>
    <xf numFmtId="0" fontId="12" fillId="0" borderId="3" xfId="0" applyFont="1" applyBorder="1" applyAlignment="1">
      <alignment wrapText="1"/>
    </xf>
    <xf numFmtId="0" fontId="6" fillId="0" borderId="3" xfId="0" applyFont="1" applyBorder="1" applyAlignment="1">
      <alignment wrapText="1"/>
    </xf>
    <xf numFmtId="0" fontId="26" fillId="0" borderId="3" xfId="0" applyFont="1" applyBorder="1" applyAlignment="1">
      <alignment wrapText="1"/>
    </xf>
    <xf numFmtId="0" fontId="6" fillId="0" borderId="3" xfId="0" applyFont="1" applyBorder="1"/>
    <xf numFmtId="0" fontId="4" fillId="0" borderId="2" xfId="0" applyFont="1" applyBorder="1" applyAlignment="1">
      <alignment vertical="center"/>
    </xf>
    <xf numFmtId="0" fontId="4" fillId="0" borderId="6" xfId="0" applyFont="1" applyBorder="1" applyAlignment="1">
      <alignment wrapText="1"/>
    </xf>
    <xf numFmtId="0" fontId="9" fillId="0" borderId="3" xfId="0" applyFont="1" applyBorder="1" applyAlignment="1">
      <alignment wrapText="1"/>
    </xf>
    <xf numFmtId="0" fontId="10" fillId="0" borderId="3" xfId="0" applyFont="1" applyBorder="1" applyAlignment="1">
      <alignment wrapText="1"/>
    </xf>
    <xf numFmtId="0" fontId="13" fillId="0" borderId="3" xfId="0" applyFont="1" applyBorder="1" applyAlignment="1">
      <alignment wrapText="1"/>
    </xf>
    <xf numFmtId="0" fontId="28" fillId="4" borderId="3" xfId="0" applyFont="1" applyFill="1" applyBorder="1" applyAlignment="1">
      <alignment wrapText="1"/>
    </xf>
    <xf numFmtId="0" fontId="4" fillId="5" borderId="5" xfId="0" applyFont="1" applyFill="1" applyBorder="1" applyAlignment="1">
      <alignment vertical="center"/>
    </xf>
    <xf numFmtId="0" fontId="4" fillId="5" borderId="3" xfId="0" applyFont="1" applyFill="1" applyBorder="1" applyAlignment="1">
      <alignment wrapText="1"/>
    </xf>
    <xf numFmtId="0" fontId="0" fillId="5" borderId="3" xfId="0" applyFill="1" applyBorder="1" applyAlignment="1">
      <alignment wrapText="1"/>
    </xf>
    <xf numFmtId="0" fontId="29" fillId="0" borderId="3" xfId="0" applyFont="1" applyBorder="1" applyAlignment="1">
      <alignment wrapText="1"/>
    </xf>
    <xf numFmtId="0" fontId="0" fillId="0" borderId="5" xfId="0" applyBorder="1" applyAlignment="1">
      <alignment horizontal="left" wrapText="1"/>
    </xf>
    <xf numFmtId="0" fontId="25" fillId="0" borderId="7" xfId="0" applyFont="1" applyBorder="1" applyAlignment="1">
      <alignment wrapText="1"/>
    </xf>
    <xf numFmtId="0" fontId="24" fillId="0" borderId="2" xfId="0" applyFont="1" applyBorder="1" applyAlignment="1">
      <alignment vertical="center"/>
    </xf>
    <xf numFmtId="0" fontId="30" fillId="0" borderId="5" xfId="0" applyFont="1" applyBorder="1"/>
    <xf numFmtId="0" fontId="4" fillId="0" borderId="0" xfId="0" applyFont="1" applyBorder="1" applyAlignment="1">
      <alignment horizontal="left" vertical="center"/>
    </xf>
    <xf numFmtId="0" fontId="4" fillId="5" borderId="2" xfId="0" applyFont="1" applyFill="1" applyBorder="1" applyAlignment="1">
      <alignment vertical="center"/>
    </xf>
    <xf numFmtId="0" fontId="27" fillId="0" borderId="5" xfId="0" applyFont="1" applyBorder="1"/>
    <xf numFmtId="0" fontId="4" fillId="0" borderId="4" xfId="0" applyFont="1" applyBorder="1" applyAlignment="1">
      <alignment horizontal="left" vertical="center"/>
    </xf>
    <xf numFmtId="0" fontId="4" fillId="5" borderId="4" xfId="0" applyFont="1" applyFill="1" applyBorder="1" applyAlignment="1">
      <alignment vertical="center"/>
    </xf>
    <xf numFmtId="0" fontId="27" fillId="0" borderId="3" xfId="0" applyFont="1" applyBorder="1" applyAlignment="1">
      <alignment wrapText="1"/>
    </xf>
    <xf numFmtId="0" fontId="4" fillId="0" borderId="4" xfId="0" applyFont="1" applyBorder="1" applyAlignment="1">
      <alignment wrapText="1"/>
    </xf>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ermalinkbnd.bnportugal.gov.pt/viewer/270350/?offset=" TargetMode="External"/><Relationship Id="rId671" Type="http://schemas.openxmlformats.org/officeDocument/2006/relationships/hyperlink" Target="https://permalinkbnd.bnportugal.gov.pt/viewer/272640/?offset=" TargetMode="External"/><Relationship Id="rId769" Type="http://schemas.openxmlformats.org/officeDocument/2006/relationships/hyperlink" Target="https://permalinkbnd.bnportugal.gov.pt/viewer/86824/?offset=" TargetMode="External"/><Relationship Id="rId21" Type="http://schemas.openxmlformats.org/officeDocument/2006/relationships/hyperlink" Target="https://permalinkbnd.bnportugal.gov.pt/viewer/273122/?offset=" TargetMode="External"/><Relationship Id="rId324" Type="http://schemas.openxmlformats.org/officeDocument/2006/relationships/hyperlink" Target="https://permalinkbnd.bnportugal.gov.pt/viewer/272627/?offset=" TargetMode="External"/><Relationship Id="rId531" Type="http://schemas.openxmlformats.org/officeDocument/2006/relationships/hyperlink" Target="https://permalinkbnd.bnportugal.gov.pt/viewer/14629/?offset=" TargetMode="External"/><Relationship Id="rId629" Type="http://schemas.openxmlformats.org/officeDocument/2006/relationships/hyperlink" Target="https://permalinkbnd.bnportugal.gov.pt/viewer/14622/?offset=" TargetMode="External"/><Relationship Id="rId170" Type="http://schemas.openxmlformats.org/officeDocument/2006/relationships/hyperlink" Target="https://permalinkbnd.bnportugal.gov.pt/viewer/88185/?offset=" TargetMode="External"/><Relationship Id="rId836" Type="http://schemas.openxmlformats.org/officeDocument/2006/relationships/hyperlink" Target="https://permalinkbnd.bnportugal.gov.pt/viewer/14581/?offset=" TargetMode="External"/><Relationship Id="rId268" Type="http://schemas.openxmlformats.org/officeDocument/2006/relationships/hyperlink" Target="https://permalinkbnd.bnportugal.gov.pt/viewer/275168/?offset=" TargetMode="External"/><Relationship Id="rId475" Type="http://schemas.openxmlformats.org/officeDocument/2006/relationships/hyperlink" Target="https://permalinkbnd.bnportugal.gov.pt/viewer/273178/?offset=" TargetMode="External"/><Relationship Id="rId682" Type="http://schemas.openxmlformats.org/officeDocument/2006/relationships/hyperlink" Target="https://permalinkbnd.bnportugal.gov.pt/viewer/279630/?offset=" TargetMode="External"/><Relationship Id="rId32" Type="http://schemas.openxmlformats.org/officeDocument/2006/relationships/hyperlink" Target="https://permalinkbnd.bnportugal.gov.pt/viewer/3/?offset=" TargetMode="External"/><Relationship Id="rId128" Type="http://schemas.openxmlformats.org/officeDocument/2006/relationships/hyperlink" Target="https://permalinkbnd.bnportugal.gov.pt/viewer/270047/?offset=" TargetMode="External"/><Relationship Id="rId335" Type="http://schemas.openxmlformats.org/officeDocument/2006/relationships/hyperlink" Target="https://permalinkbnd.bnportugal.gov.pt/viewer/277151/?offset=" TargetMode="External"/><Relationship Id="rId542" Type="http://schemas.openxmlformats.org/officeDocument/2006/relationships/hyperlink" Target="https://permalinkbnd.bnportugal.gov.pt/viewer/14639/?offset=" TargetMode="External"/><Relationship Id="rId181" Type="http://schemas.openxmlformats.org/officeDocument/2006/relationships/hyperlink" Target="https://permalinkbnd.bnportugal.gov.pt/viewer/272736/?offset=" TargetMode="External"/><Relationship Id="rId402" Type="http://schemas.openxmlformats.org/officeDocument/2006/relationships/hyperlink" Target="https://permalinkbnd.bnportugal.gov.pt/viewer/273117/?offset=" TargetMode="External"/><Relationship Id="rId847" Type="http://schemas.openxmlformats.org/officeDocument/2006/relationships/hyperlink" Target="https://permalinkbnd.bnportugal.gov.pt/viewer/14613/?offset=" TargetMode="External"/><Relationship Id="rId279" Type="http://schemas.openxmlformats.org/officeDocument/2006/relationships/hyperlink" Target="https://permalinkbnd.bnportugal.gov.pt/viewer/280465/?offset=" TargetMode="External"/><Relationship Id="rId486" Type="http://schemas.openxmlformats.org/officeDocument/2006/relationships/hyperlink" Target="https://permalinkbnd.bnportugal.gov.pt/viewer/273944/?offset=" TargetMode="External"/><Relationship Id="rId693" Type="http://schemas.openxmlformats.org/officeDocument/2006/relationships/hyperlink" Target="https://permalinkbnd.bnportugal.gov.pt/viewer/14594/?offset=" TargetMode="External"/><Relationship Id="rId707" Type="http://schemas.openxmlformats.org/officeDocument/2006/relationships/hyperlink" Target="https://permalinkbnd.bnportugal.gov.pt/viewer/279095/?offset=" TargetMode="External"/><Relationship Id="rId43" Type="http://schemas.openxmlformats.org/officeDocument/2006/relationships/hyperlink" Target="https://permalinkbnd.bnportugal.gov.pt/viewer/1880/?offset=" TargetMode="External"/><Relationship Id="rId139" Type="http://schemas.openxmlformats.org/officeDocument/2006/relationships/hyperlink" Target="https://permalinkbnd.bnportugal.gov.pt/viewer/270087/?offset=" TargetMode="External"/><Relationship Id="rId346" Type="http://schemas.openxmlformats.org/officeDocument/2006/relationships/hyperlink" Target="https://permalinkbnd.bnportugal.gov.pt/viewer/277150/?offset=" TargetMode="External"/><Relationship Id="rId553" Type="http://schemas.openxmlformats.org/officeDocument/2006/relationships/hyperlink" Target="https://permalinkbnd.bnportugal.gov.pt/viewer/14621/?offset=" TargetMode="External"/><Relationship Id="rId760" Type="http://schemas.openxmlformats.org/officeDocument/2006/relationships/hyperlink" Target="https://permalinkbnd.bnportugal.gov.pt/viewer/14597/?offset=" TargetMode="External"/><Relationship Id="rId192" Type="http://schemas.openxmlformats.org/officeDocument/2006/relationships/hyperlink" Target="https://permalinkbnd.bnportugal.gov.pt/viewer/272786/?offset=" TargetMode="External"/><Relationship Id="rId206" Type="http://schemas.openxmlformats.org/officeDocument/2006/relationships/hyperlink" Target="https://permalinkbnd.bnportugal.gov.pt/viewer/272786/?offset=" TargetMode="External"/><Relationship Id="rId413" Type="http://schemas.openxmlformats.org/officeDocument/2006/relationships/hyperlink" Target="https://permalinkbnd.bnportugal.gov.pt/viewer/277452/?offset=" TargetMode="External"/><Relationship Id="rId858" Type="http://schemas.openxmlformats.org/officeDocument/2006/relationships/hyperlink" Target="https://permalinkbnd.bnportugal.gov.pt/viewer/273688/?offset=" TargetMode="External"/><Relationship Id="rId497" Type="http://schemas.openxmlformats.org/officeDocument/2006/relationships/hyperlink" Target="https://permalinkbnd.bnportugal.gov.pt/viewer/273944/?offset=" TargetMode="External"/><Relationship Id="rId620" Type="http://schemas.openxmlformats.org/officeDocument/2006/relationships/hyperlink" Target="https://permalinkbnd.bnportugal.gov.pt/viewer/14650/?offset=" TargetMode="External"/><Relationship Id="rId718" Type="http://schemas.openxmlformats.org/officeDocument/2006/relationships/hyperlink" Target="https://permalinkbnd.bnportugal.gov.pt/viewer/279637/?offset=" TargetMode="External"/><Relationship Id="rId357" Type="http://schemas.openxmlformats.org/officeDocument/2006/relationships/hyperlink" Target="https://permalinkbnd.bnportugal.gov.pt/viewer/277143/?offset=" TargetMode="External"/><Relationship Id="rId54" Type="http://schemas.openxmlformats.org/officeDocument/2006/relationships/hyperlink" Target="https://permalinkbnd.bnportugal.gov.pt/viewer/270116/?offset=" TargetMode="External"/><Relationship Id="rId217" Type="http://schemas.openxmlformats.org/officeDocument/2006/relationships/hyperlink" Target="https://permalinkbnd.bnportugal.gov.pt/viewer/272786/?offset=" TargetMode="External"/><Relationship Id="rId564" Type="http://schemas.openxmlformats.org/officeDocument/2006/relationships/hyperlink" Target="https://permalinkbnd.bnportugal.gov.pt/viewer/14592/?offset=" TargetMode="External"/><Relationship Id="rId771" Type="http://schemas.openxmlformats.org/officeDocument/2006/relationships/hyperlink" Target="https://permalinkbnd.bnportugal.gov.pt/viewer/86824/?offset=" TargetMode="External"/><Relationship Id="rId869" Type="http://schemas.openxmlformats.org/officeDocument/2006/relationships/hyperlink" Target="https://purl.pt/44140" TargetMode="External"/><Relationship Id="rId424" Type="http://schemas.openxmlformats.org/officeDocument/2006/relationships/hyperlink" Target="https://permalinkbnd.bnportugal.gov.pt/viewer/273872/?offset=" TargetMode="External"/><Relationship Id="rId631" Type="http://schemas.openxmlformats.org/officeDocument/2006/relationships/hyperlink" Target="https://permalinkbnd.bnportugal.gov.pt/viewer/86723/?offset=" TargetMode="External"/><Relationship Id="rId729" Type="http://schemas.openxmlformats.org/officeDocument/2006/relationships/hyperlink" Target="https://permalinkbnd.bnportugal.gov.pt/viewer/278795/?offset=" TargetMode="External"/><Relationship Id="rId270" Type="http://schemas.openxmlformats.org/officeDocument/2006/relationships/hyperlink" Target="https://permalinkbnd.bnportugal.gov.pt/viewer/275167/?offset=" TargetMode="External"/><Relationship Id="rId65" Type="http://schemas.openxmlformats.org/officeDocument/2006/relationships/hyperlink" Target="https://permalinkbnd.bnportugal.gov.pt/viewer/270341/?offset=" TargetMode="External"/><Relationship Id="rId130" Type="http://schemas.openxmlformats.org/officeDocument/2006/relationships/hyperlink" Target="https://permalinkbnd.bnportugal.gov.pt/viewer/270089/?offset=" TargetMode="External"/><Relationship Id="rId368" Type="http://schemas.openxmlformats.org/officeDocument/2006/relationships/hyperlink" Target="https://permalinkbnd.bnportugal.gov.pt/viewer/272668/?offset=" TargetMode="External"/><Relationship Id="rId575" Type="http://schemas.openxmlformats.org/officeDocument/2006/relationships/hyperlink" Target="https://permalinkbnd.bnportugal.gov.pt/viewer/14624/?offset=" TargetMode="External"/><Relationship Id="rId782" Type="http://schemas.openxmlformats.org/officeDocument/2006/relationships/hyperlink" Target="https://permalinkbnd.bnportugal.gov.pt/viewer/14628/?offset=" TargetMode="External"/><Relationship Id="rId228" Type="http://schemas.openxmlformats.org/officeDocument/2006/relationships/hyperlink" Target="https://permalinkbnd.bnportugal.gov.pt/viewer/67153/?offset=" TargetMode="External"/><Relationship Id="rId435" Type="http://schemas.openxmlformats.org/officeDocument/2006/relationships/hyperlink" Target="https://permalinkbnd.bnportugal.gov.pt/viewer/273869/?offset=" TargetMode="External"/><Relationship Id="rId642" Type="http://schemas.openxmlformats.org/officeDocument/2006/relationships/hyperlink" Target="https://permalinkbnd.bnportugal.gov.pt/viewer/6839/?offset=" TargetMode="External"/><Relationship Id="rId281" Type="http://schemas.openxmlformats.org/officeDocument/2006/relationships/hyperlink" Target="https://permalinkbnd.bnportugal.gov.pt/viewer/280465/?offset=" TargetMode="External"/><Relationship Id="rId502" Type="http://schemas.openxmlformats.org/officeDocument/2006/relationships/hyperlink" Target="https://permalinkbnd.bnportugal.gov.pt/viewer/255848/?offset=" TargetMode="External"/><Relationship Id="rId76" Type="http://schemas.openxmlformats.org/officeDocument/2006/relationships/hyperlink" Target="https://permalinkbnd.bnportugal.gov.pt/viewer/1880/?offset=" TargetMode="External"/><Relationship Id="rId141" Type="http://schemas.openxmlformats.org/officeDocument/2006/relationships/hyperlink" Target="https://permalinkbnd.bnportugal.gov.pt/viewer/270087/?offset=" TargetMode="External"/><Relationship Id="rId379" Type="http://schemas.openxmlformats.org/officeDocument/2006/relationships/hyperlink" Target="https://permalinkbnd.bnportugal.gov.pt/viewer/279509/?offset=" TargetMode="External"/><Relationship Id="rId586" Type="http://schemas.openxmlformats.org/officeDocument/2006/relationships/hyperlink" Target="https://permalinkbnd.bnportugal.gov.pt/viewer/14624/?offset=" TargetMode="External"/><Relationship Id="rId793" Type="http://schemas.openxmlformats.org/officeDocument/2006/relationships/hyperlink" Target="https://permalinkbnd.bnportugal.gov.pt/viewer/14628/?offset=" TargetMode="External"/><Relationship Id="rId807" Type="http://schemas.openxmlformats.org/officeDocument/2006/relationships/hyperlink" Target="https://permalinkbnd.bnportugal.gov.pt/viewer/14628/?offset=" TargetMode="External"/><Relationship Id="rId7" Type="http://schemas.openxmlformats.org/officeDocument/2006/relationships/hyperlink" Target="https://permalinkbnd.bnportugal.gov.pt/viewer/270037/?offset=" TargetMode="External"/><Relationship Id="rId239" Type="http://schemas.openxmlformats.org/officeDocument/2006/relationships/hyperlink" Target="https://permalinkbnd.bnportugal.gov.pt/viewer/272626/?offset=" TargetMode="External"/><Relationship Id="rId446" Type="http://schemas.openxmlformats.org/officeDocument/2006/relationships/hyperlink" Target="https://permalinkbnd.bnportugal.gov.pt/viewer/277820/?offset=" TargetMode="External"/><Relationship Id="rId653" Type="http://schemas.openxmlformats.org/officeDocument/2006/relationships/hyperlink" Target="https://permalinkbnd.bnportugal.gov.pt/viewer/278793/?offset=" TargetMode="External"/><Relationship Id="rId292" Type="http://schemas.openxmlformats.org/officeDocument/2006/relationships/hyperlink" Target="https://permalinkbnd.bnportugal.gov.pt/viewer/276120/?offset=" TargetMode="External"/><Relationship Id="rId306" Type="http://schemas.openxmlformats.org/officeDocument/2006/relationships/hyperlink" Target="https://permalinkbnd.bnportugal.gov.pt/viewer/273782/?offset=" TargetMode="External"/><Relationship Id="rId860" Type="http://schemas.openxmlformats.org/officeDocument/2006/relationships/hyperlink" Target="https://permalinkbnd.bnportugal.gov.pt/viewer/277330/?offset=" TargetMode="External"/><Relationship Id="rId87" Type="http://schemas.openxmlformats.org/officeDocument/2006/relationships/hyperlink" Target="https://permalinkbnd.bnportugal.gov.pt/viewer/36554/?offset=" TargetMode="External"/><Relationship Id="rId513" Type="http://schemas.openxmlformats.org/officeDocument/2006/relationships/hyperlink" Target="https://permalinkbnd.bnportugal.gov.pt/viewer/255848/?offset=" TargetMode="External"/><Relationship Id="rId597" Type="http://schemas.openxmlformats.org/officeDocument/2006/relationships/hyperlink" Target="https://permalinkbnd.bnportugal.gov.pt/viewer/14624/?offset=" TargetMode="External"/><Relationship Id="rId720" Type="http://schemas.openxmlformats.org/officeDocument/2006/relationships/hyperlink" Target="https://permalinkbnd.bnportugal.gov.pt/viewer/279637/?offset=" TargetMode="External"/><Relationship Id="rId818" Type="http://schemas.openxmlformats.org/officeDocument/2006/relationships/hyperlink" Target="https://permalinkbnd.bnportugal.gov.pt/viewer/14598/?offset=" TargetMode="External"/><Relationship Id="rId152" Type="http://schemas.openxmlformats.org/officeDocument/2006/relationships/hyperlink" Target="https://permalinkbnd.bnportugal.gov.pt/viewer/272628/?offset=" TargetMode="External"/><Relationship Id="rId457" Type="http://schemas.openxmlformats.org/officeDocument/2006/relationships/hyperlink" Target="https://permalinkbnd.bnportugal.gov.pt/viewer/278097/?offset=" TargetMode="External"/><Relationship Id="rId664" Type="http://schemas.openxmlformats.org/officeDocument/2006/relationships/hyperlink" Target="https://permalinkbnd.bnportugal.gov.pt/viewer/272640/?offset=" TargetMode="External"/><Relationship Id="rId871" Type="http://schemas.openxmlformats.org/officeDocument/2006/relationships/hyperlink" Target="https://purl.pt/44140" TargetMode="External"/><Relationship Id="rId14" Type="http://schemas.openxmlformats.org/officeDocument/2006/relationships/hyperlink" Target="https://permalinkbnd.bnportugal.gov.pt/viewer/274229/?offset=" TargetMode="External"/><Relationship Id="rId317" Type="http://schemas.openxmlformats.org/officeDocument/2006/relationships/hyperlink" Target="https://permalinkbnd.bnportugal.gov.pt/viewer/272627/?offset=" TargetMode="External"/><Relationship Id="rId524" Type="http://schemas.openxmlformats.org/officeDocument/2006/relationships/hyperlink" Target="https://permalinkbnd.bnportugal.gov.pt/viewer/14629/?offset=" TargetMode="External"/><Relationship Id="rId731" Type="http://schemas.openxmlformats.org/officeDocument/2006/relationships/hyperlink" Target="https://permalinkbnd.bnportugal.gov.pt/viewer/278795/?offset=" TargetMode="External"/><Relationship Id="rId98" Type="http://schemas.openxmlformats.org/officeDocument/2006/relationships/hyperlink" Target="https://permalinkbnd.bnportugal.gov.pt/viewer/272381/?offset=" TargetMode="External"/><Relationship Id="rId163" Type="http://schemas.openxmlformats.org/officeDocument/2006/relationships/hyperlink" Target="https://permalinkbnd.bnportugal.gov.pt/viewer/274092/?offset=" TargetMode="External"/><Relationship Id="rId370" Type="http://schemas.openxmlformats.org/officeDocument/2006/relationships/hyperlink" Target="https://permalinkbnd.bnportugal.gov.pt/viewer/272668/?offset=" TargetMode="External"/><Relationship Id="rId829" Type="http://schemas.openxmlformats.org/officeDocument/2006/relationships/hyperlink" Target="https://permalinkbnd.bnportugal.gov.pt/viewer/14581/?offset=" TargetMode="External"/><Relationship Id="rId230" Type="http://schemas.openxmlformats.org/officeDocument/2006/relationships/hyperlink" Target="https://permalinkbnd.bnportugal.gov.pt/viewer/272811/?offset=" TargetMode="External"/><Relationship Id="rId468" Type="http://schemas.openxmlformats.org/officeDocument/2006/relationships/hyperlink" Target="https://permalinkbnd.bnportugal.gov.pt/viewer/278166/?offset=" TargetMode="External"/><Relationship Id="rId675" Type="http://schemas.openxmlformats.org/officeDocument/2006/relationships/hyperlink" Target="https://permalinkbnd.bnportugal.gov.pt/viewer/272640/?offset=" TargetMode="External"/><Relationship Id="rId882" Type="http://schemas.openxmlformats.org/officeDocument/2006/relationships/hyperlink" Target="https://purl.pt/44344" TargetMode="External"/><Relationship Id="rId25" Type="http://schemas.openxmlformats.org/officeDocument/2006/relationships/hyperlink" Target="https://permalinkbnd.bnportugal.gov.pt/viewer/272368/?offset=" TargetMode="External"/><Relationship Id="rId328" Type="http://schemas.openxmlformats.org/officeDocument/2006/relationships/hyperlink" Target="https://permalinkbnd.bnportugal.gov.pt/viewer/277151/?offset=" TargetMode="External"/><Relationship Id="rId535" Type="http://schemas.openxmlformats.org/officeDocument/2006/relationships/hyperlink" Target="https://permalinkbnd.bnportugal.gov.pt/viewer/14639/?offset=" TargetMode="External"/><Relationship Id="rId742" Type="http://schemas.openxmlformats.org/officeDocument/2006/relationships/hyperlink" Target="https://permalinkbnd.bnportugal.gov.pt/viewer/278495/?offset=" TargetMode="External"/><Relationship Id="rId174" Type="http://schemas.openxmlformats.org/officeDocument/2006/relationships/hyperlink" Target="https://permalinkbnd.bnportugal.gov.pt/viewer/1843/?offset=" TargetMode="External"/><Relationship Id="rId381" Type="http://schemas.openxmlformats.org/officeDocument/2006/relationships/hyperlink" Target="https://permalinkbnd.bnportugal.gov.pt/viewer/279513/?offset=" TargetMode="External"/><Relationship Id="rId602" Type="http://schemas.openxmlformats.org/officeDocument/2006/relationships/hyperlink" Target="https://permalinkbnd.bnportugal.gov.pt/viewer/14587/?offset=" TargetMode="External"/><Relationship Id="rId241" Type="http://schemas.openxmlformats.org/officeDocument/2006/relationships/hyperlink" Target="https://permalinkbnd.bnportugal.gov.pt/viewer/272626/?offset=" TargetMode="External"/><Relationship Id="rId479" Type="http://schemas.openxmlformats.org/officeDocument/2006/relationships/hyperlink" Target="https://permalinkbnd.bnportugal.gov.pt/viewer/273317/?offset=" TargetMode="External"/><Relationship Id="rId686" Type="http://schemas.openxmlformats.org/officeDocument/2006/relationships/hyperlink" Target="https://permalinkbnd.bnportugal.gov.pt/viewer/17516/?offset=" TargetMode="External"/><Relationship Id="rId36" Type="http://schemas.openxmlformats.org/officeDocument/2006/relationships/hyperlink" Target="https://permalinkbnd.bnportugal.gov.pt/viewer/273560/?offset=" TargetMode="External"/><Relationship Id="rId339" Type="http://schemas.openxmlformats.org/officeDocument/2006/relationships/hyperlink" Target="https://permalinkbnd.bnportugal.gov.pt/viewer/277145/?offset=" TargetMode="External"/><Relationship Id="rId546" Type="http://schemas.openxmlformats.org/officeDocument/2006/relationships/hyperlink" Target="https://permalinkbnd.bnportugal.gov.pt/viewer/14621/?offset=" TargetMode="External"/><Relationship Id="rId753" Type="http://schemas.openxmlformats.org/officeDocument/2006/relationships/hyperlink" Target="https://permalinkbnd.bnportugal.gov.pt/viewer/256552/?offset=" TargetMode="External"/><Relationship Id="rId101" Type="http://schemas.openxmlformats.org/officeDocument/2006/relationships/hyperlink" Target="https://permalinkbnd.bnportugal.gov.pt/viewer/272381/?offset=" TargetMode="External"/><Relationship Id="rId185" Type="http://schemas.openxmlformats.org/officeDocument/2006/relationships/hyperlink" Target="https://permalinkbnd.bnportugal.gov.pt/viewer/33216/?offset=" TargetMode="External"/><Relationship Id="rId406" Type="http://schemas.openxmlformats.org/officeDocument/2006/relationships/hyperlink" Target="https://permalinkbnd.bnportugal.gov.pt/viewer/273117/?offset=" TargetMode="External"/><Relationship Id="rId392" Type="http://schemas.openxmlformats.org/officeDocument/2006/relationships/hyperlink" Target="https://permalinkbnd.bnportugal.gov.pt/viewer/273811/?offset=" TargetMode="External"/><Relationship Id="rId613" Type="http://schemas.openxmlformats.org/officeDocument/2006/relationships/hyperlink" Target="https://permalinkbnd.bnportugal.gov.pt/viewer/14587/?offset=" TargetMode="External"/><Relationship Id="rId697" Type="http://schemas.openxmlformats.org/officeDocument/2006/relationships/hyperlink" Target="https://permalinkbnd.bnportugal.gov.pt/viewer/14594/?offset=" TargetMode="External"/><Relationship Id="rId820" Type="http://schemas.openxmlformats.org/officeDocument/2006/relationships/hyperlink" Target="https://permalinkbnd.bnportugal.gov.pt/viewer/14598/?offset=" TargetMode="External"/><Relationship Id="rId252" Type="http://schemas.openxmlformats.org/officeDocument/2006/relationships/hyperlink" Target="https://permalinkbnd.bnportugal.gov.pt/viewer/272626/?offset=" TargetMode="External"/><Relationship Id="rId47" Type="http://schemas.openxmlformats.org/officeDocument/2006/relationships/hyperlink" Target="https://permalinkbnd.bnportugal.gov.pt/viewer/270331/?offset=" TargetMode="External"/><Relationship Id="rId112" Type="http://schemas.openxmlformats.org/officeDocument/2006/relationships/hyperlink" Target="https://permalinkbnd.bnportugal.gov.pt/viewer/272383/?offset=" TargetMode="External"/><Relationship Id="rId557" Type="http://schemas.openxmlformats.org/officeDocument/2006/relationships/hyperlink" Target="https://permalinkbnd.bnportugal.gov.pt/viewer/14605/?offset=" TargetMode="External"/><Relationship Id="rId764" Type="http://schemas.openxmlformats.org/officeDocument/2006/relationships/hyperlink" Target="https://permalinkbnd.bnportugal.gov.pt/viewer/255741/?offset=" TargetMode="External"/><Relationship Id="rId196" Type="http://schemas.openxmlformats.org/officeDocument/2006/relationships/hyperlink" Target="https://permalinkbnd.bnportugal.gov.pt/viewer/272786/?offset=" TargetMode="External"/><Relationship Id="rId417" Type="http://schemas.openxmlformats.org/officeDocument/2006/relationships/hyperlink" Target="https://permalinkbnd.bnportugal.gov.pt/viewer/277452/?offset=" TargetMode="External"/><Relationship Id="rId624" Type="http://schemas.openxmlformats.org/officeDocument/2006/relationships/hyperlink" Target="https://permalinkbnd.bnportugal.gov.pt/viewer/14604/?offset=" TargetMode="External"/><Relationship Id="rId831" Type="http://schemas.openxmlformats.org/officeDocument/2006/relationships/hyperlink" Target="https://permalinkbnd.bnportugal.gov.pt/viewer/14581/?offset=" TargetMode="External"/><Relationship Id="rId263" Type="http://schemas.openxmlformats.org/officeDocument/2006/relationships/hyperlink" Target="https://permalinkbnd.bnportugal.gov.pt/viewer/274951/?offset=" TargetMode="External"/><Relationship Id="rId470" Type="http://schemas.openxmlformats.org/officeDocument/2006/relationships/hyperlink" Target="https://permalinkbnd.bnportugal.gov.pt/viewer/278325/?offset=" TargetMode="External"/><Relationship Id="rId58" Type="http://schemas.openxmlformats.org/officeDocument/2006/relationships/hyperlink" Target="https://permalinkbnd.bnportugal.gov.pt/viewer/274117/?offset=" TargetMode="External"/><Relationship Id="rId123" Type="http://schemas.openxmlformats.org/officeDocument/2006/relationships/hyperlink" Target="https://permalinkbnd.bnportugal.gov.pt/viewer/270138/?offset=" TargetMode="External"/><Relationship Id="rId330" Type="http://schemas.openxmlformats.org/officeDocument/2006/relationships/hyperlink" Target="https://permalinkbnd.bnportugal.gov.pt/viewer/277151/?offset=" TargetMode="External"/><Relationship Id="rId568" Type="http://schemas.openxmlformats.org/officeDocument/2006/relationships/hyperlink" Target="https://permalinkbnd.bnportugal.gov.pt/viewer/14566/?offset=" TargetMode="External"/><Relationship Id="rId775" Type="http://schemas.openxmlformats.org/officeDocument/2006/relationships/hyperlink" Target="https://permalinkbnd.bnportugal.gov.pt/viewer/14628/?offset=" TargetMode="External"/><Relationship Id="rId428" Type="http://schemas.openxmlformats.org/officeDocument/2006/relationships/hyperlink" Target="https://permalinkbnd.bnportugal.gov.pt/viewer/273869/?offset=" TargetMode="External"/><Relationship Id="rId635" Type="http://schemas.openxmlformats.org/officeDocument/2006/relationships/hyperlink" Target="https://permalinkbnd.bnportugal.gov.pt/viewer/274032/?offset=" TargetMode="External"/><Relationship Id="rId842" Type="http://schemas.openxmlformats.org/officeDocument/2006/relationships/hyperlink" Target="https://permalinkbnd.bnportugal.gov.pt/viewer/86483/?offset=" TargetMode="External"/><Relationship Id="rId274" Type="http://schemas.openxmlformats.org/officeDocument/2006/relationships/hyperlink" Target="https://permalinkbnd.bnportugal.gov.pt/viewer/280465/?offset=" TargetMode="External"/><Relationship Id="rId481" Type="http://schemas.openxmlformats.org/officeDocument/2006/relationships/hyperlink" Target="https://permalinkbnd.bnportugal.gov.pt/viewer/273944/?offset=" TargetMode="External"/><Relationship Id="rId702" Type="http://schemas.openxmlformats.org/officeDocument/2006/relationships/hyperlink" Target="https://permalinkbnd.bnportugal.gov.pt/viewer/14594/?offset=" TargetMode="External"/><Relationship Id="rId69" Type="http://schemas.openxmlformats.org/officeDocument/2006/relationships/hyperlink" Target="https://permalinkbnd.bnportugal.gov.pt/viewer/36540/?offset=" TargetMode="External"/><Relationship Id="rId134" Type="http://schemas.openxmlformats.org/officeDocument/2006/relationships/hyperlink" Target="https://permalinkbnd.bnportugal.gov.pt/viewer/274252/?offset=" TargetMode="External"/><Relationship Id="rId579" Type="http://schemas.openxmlformats.org/officeDocument/2006/relationships/hyperlink" Target="https://permalinkbnd.bnportugal.gov.pt/viewer/14624/?offset=" TargetMode="External"/><Relationship Id="rId786" Type="http://schemas.openxmlformats.org/officeDocument/2006/relationships/hyperlink" Target="https://permalinkbnd.bnportugal.gov.pt/viewer/14628/?offset=" TargetMode="External"/><Relationship Id="rId341" Type="http://schemas.openxmlformats.org/officeDocument/2006/relationships/hyperlink" Target="https://permalinkbnd.bnportugal.gov.pt/viewer/273814/?offset=" TargetMode="External"/><Relationship Id="rId439" Type="http://schemas.openxmlformats.org/officeDocument/2006/relationships/hyperlink" Target="https://permalinkbnd.bnportugal.gov.pt/viewer/273912/?offset=" TargetMode="External"/><Relationship Id="rId646" Type="http://schemas.openxmlformats.org/officeDocument/2006/relationships/hyperlink" Target="https://permalinkbnd.bnportugal.gov.pt/viewer/14630/?offset=" TargetMode="External"/><Relationship Id="rId201" Type="http://schemas.openxmlformats.org/officeDocument/2006/relationships/hyperlink" Target="https://permalinkbnd.bnportugal.gov.pt/viewer/272786/?offset=" TargetMode="External"/><Relationship Id="rId285" Type="http://schemas.openxmlformats.org/officeDocument/2006/relationships/hyperlink" Target="https://permalinkbnd.bnportugal.gov.pt/viewer/280465/?offset=" TargetMode="External"/><Relationship Id="rId506" Type="http://schemas.openxmlformats.org/officeDocument/2006/relationships/hyperlink" Target="https://permalinkbnd.bnportugal.gov.pt/viewer/255848/?offset=" TargetMode="External"/><Relationship Id="rId853" Type="http://schemas.openxmlformats.org/officeDocument/2006/relationships/hyperlink" Target="https://permalinkbnd.bnportugal.gov.pt/viewer/275033/?offset=" TargetMode="External"/><Relationship Id="rId492" Type="http://schemas.openxmlformats.org/officeDocument/2006/relationships/hyperlink" Target="https://permalinkbnd.bnportugal.gov.pt/viewer/273944/?offset=" TargetMode="External"/><Relationship Id="rId713" Type="http://schemas.openxmlformats.org/officeDocument/2006/relationships/hyperlink" Target="https://permalinkbnd.bnportugal.gov.pt/viewer/278400/?offset=" TargetMode="External"/><Relationship Id="rId797" Type="http://schemas.openxmlformats.org/officeDocument/2006/relationships/hyperlink" Target="https://permalinkbnd.bnportugal.gov.pt/viewer/14628/?offset=" TargetMode="External"/><Relationship Id="rId145" Type="http://schemas.openxmlformats.org/officeDocument/2006/relationships/hyperlink" Target="https://permalinkbnd.bnportugal.gov.pt/viewer/273316/?offset=" TargetMode="External"/><Relationship Id="rId352" Type="http://schemas.openxmlformats.org/officeDocument/2006/relationships/hyperlink" Target="https://permalinkbnd.bnportugal.gov.pt/viewer/277150/?offset=" TargetMode="External"/><Relationship Id="rId212" Type="http://schemas.openxmlformats.org/officeDocument/2006/relationships/hyperlink" Target="https://permalinkbnd.bnportugal.gov.pt/viewer/272786/?offset=" TargetMode="External"/><Relationship Id="rId657" Type="http://schemas.openxmlformats.org/officeDocument/2006/relationships/hyperlink" Target="https://permalinkbnd.bnportugal.gov.pt/viewer/272640/?offset=" TargetMode="External"/><Relationship Id="rId864" Type="http://schemas.openxmlformats.org/officeDocument/2006/relationships/hyperlink" Target="https://permalinkbnd.bnportugal.gov.pt/viewer/277330/?offset=" TargetMode="External"/><Relationship Id="rId296" Type="http://schemas.openxmlformats.org/officeDocument/2006/relationships/hyperlink" Target="https://permalinkbnd.bnportugal.gov.pt/viewer/273100/?offset=" TargetMode="External"/><Relationship Id="rId517" Type="http://schemas.openxmlformats.org/officeDocument/2006/relationships/hyperlink" Target="https://permalinkbnd.bnportugal.gov.pt/viewer/255848/?offset=" TargetMode="External"/><Relationship Id="rId724" Type="http://schemas.openxmlformats.org/officeDocument/2006/relationships/hyperlink" Target="https://permalinkbnd.bnportugal.gov.pt/viewer/278597/?offset=" TargetMode="External"/><Relationship Id="rId60" Type="http://schemas.openxmlformats.org/officeDocument/2006/relationships/hyperlink" Target="https://permalinkbnd.bnportugal.gov.pt/viewer/272371/?offset=" TargetMode="External"/><Relationship Id="rId156" Type="http://schemas.openxmlformats.org/officeDocument/2006/relationships/hyperlink" Target="https://permalinkbnd.bnportugal.gov.pt/viewer/272733/?offset=" TargetMode="External"/><Relationship Id="rId363" Type="http://schemas.openxmlformats.org/officeDocument/2006/relationships/hyperlink" Target="https://permalinkbnd.bnportugal.gov.pt/viewer/272672/?offset=" TargetMode="External"/><Relationship Id="rId570" Type="http://schemas.openxmlformats.org/officeDocument/2006/relationships/hyperlink" Target="https://permalinkbnd.bnportugal.gov.pt/viewer/274466/?offset=" TargetMode="External"/><Relationship Id="rId223" Type="http://schemas.openxmlformats.org/officeDocument/2006/relationships/hyperlink" Target="https://permalinkbnd.bnportugal.gov.pt/viewer/272786/?offset=" TargetMode="External"/><Relationship Id="rId430" Type="http://schemas.openxmlformats.org/officeDocument/2006/relationships/hyperlink" Target="https://permalinkbnd.bnportugal.gov.pt/viewer/273869/?offset=" TargetMode="External"/><Relationship Id="rId668" Type="http://schemas.openxmlformats.org/officeDocument/2006/relationships/hyperlink" Target="https://permalinkbnd.bnportugal.gov.pt/viewer/272640/?offset=" TargetMode="External"/><Relationship Id="rId875" Type="http://schemas.openxmlformats.org/officeDocument/2006/relationships/hyperlink" Target="https://purl.pt/44140" TargetMode="External"/><Relationship Id="rId18" Type="http://schemas.openxmlformats.org/officeDocument/2006/relationships/hyperlink" Target="https://permalinkbnd.bnportugal.gov.pt/viewer/1880/?offset=" TargetMode="External"/><Relationship Id="rId528" Type="http://schemas.openxmlformats.org/officeDocument/2006/relationships/hyperlink" Target="https://permalinkbnd.bnportugal.gov.pt/viewer/14629/?offset=" TargetMode="External"/><Relationship Id="rId735" Type="http://schemas.openxmlformats.org/officeDocument/2006/relationships/hyperlink" Target="https://permalinkbnd.bnportugal.gov.pt/viewer/278795/?offset=" TargetMode="External"/><Relationship Id="rId167" Type="http://schemas.openxmlformats.org/officeDocument/2006/relationships/hyperlink" Target="https://permalinkbnd.bnportugal.gov.pt/viewer/280467/?offset=" TargetMode="External"/><Relationship Id="rId374" Type="http://schemas.openxmlformats.org/officeDocument/2006/relationships/hyperlink" Target="https://permalinkbnd.bnportugal.gov.pt/viewer/276790/?offset=" TargetMode="External"/><Relationship Id="rId581" Type="http://schemas.openxmlformats.org/officeDocument/2006/relationships/hyperlink" Target="https://permalinkbnd.bnportugal.gov.pt/viewer/14624/?offset=" TargetMode="External"/><Relationship Id="rId71" Type="http://schemas.openxmlformats.org/officeDocument/2006/relationships/hyperlink" Target="https://permalinkbnd.bnportugal.gov.pt/viewer/272734/?offset=" TargetMode="External"/><Relationship Id="rId234" Type="http://schemas.openxmlformats.org/officeDocument/2006/relationships/hyperlink" Target="https://permalinkbnd.bnportugal.gov.pt/viewer/276786/?offset=" TargetMode="External"/><Relationship Id="rId679" Type="http://schemas.openxmlformats.org/officeDocument/2006/relationships/hyperlink" Target="https://permalinkbnd.bnportugal.gov.pt/viewer/272640/?offset=" TargetMode="External"/><Relationship Id="rId802" Type="http://schemas.openxmlformats.org/officeDocument/2006/relationships/hyperlink" Target="https://permalinkbnd.bnportugal.gov.pt/viewer/14628/?offset=" TargetMode="External"/><Relationship Id="rId2" Type="http://schemas.openxmlformats.org/officeDocument/2006/relationships/hyperlink" Target="https://permalinkbnd.bnportugal.gov.pt/viewer/274089/?offset=" TargetMode="External"/><Relationship Id="rId29" Type="http://schemas.openxmlformats.org/officeDocument/2006/relationships/hyperlink" Target="https://permalinkbnd.bnportugal.gov.pt/viewer/274230/?offset=" TargetMode="External"/><Relationship Id="rId441" Type="http://schemas.openxmlformats.org/officeDocument/2006/relationships/hyperlink" Target="https://permalinkbnd.bnportugal.gov.pt/viewer/272639/?offset=" TargetMode="External"/><Relationship Id="rId539" Type="http://schemas.openxmlformats.org/officeDocument/2006/relationships/hyperlink" Target="https://permalinkbnd.bnportugal.gov.pt/viewer/14639/?offset=" TargetMode="External"/><Relationship Id="rId746" Type="http://schemas.openxmlformats.org/officeDocument/2006/relationships/hyperlink" Target="https://permalinkbnd.bnportugal.gov.pt/viewer/256552/?offset=" TargetMode="External"/><Relationship Id="rId178" Type="http://schemas.openxmlformats.org/officeDocument/2006/relationships/hyperlink" Target="https://permalinkbnd.bnportugal.gov.pt/viewer/272735/?offset=" TargetMode="External"/><Relationship Id="rId301" Type="http://schemas.openxmlformats.org/officeDocument/2006/relationships/hyperlink" Target="https://permalinkbnd.bnportugal.gov.pt/viewer/273782/?offset=" TargetMode="External"/><Relationship Id="rId82" Type="http://schemas.openxmlformats.org/officeDocument/2006/relationships/hyperlink" Target="https://permalinkbnd.bnportugal.gov.pt/viewer/34623/?offset=" TargetMode="External"/><Relationship Id="rId385" Type="http://schemas.openxmlformats.org/officeDocument/2006/relationships/hyperlink" Target="https://permalinkbnd.bnportugal.gov.pt/viewer/275409/?offset=" TargetMode="External"/><Relationship Id="rId592" Type="http://schemas.openxmlformats.org/officeDocument/2006/relationships/hyperlink" Target="https://permalinkbnd.bnportugal.gov.pt/viewer/14624/?offset=" TargetMode="External"/><Relationship Id="rId606" Type="http://schemas.openxmlformats.org/officeDocument/2006/relationships/hyperlink" Target="https://permalinkbnd.bnportugal.gov.pt/viewer/14587/?offset=" TargetMode="External"/><Relationship Id="rId813" Type="http://schemas.openxmlformats.org/officeDocument/2006/relationships/hyperlink" Target="https://permalinkbnd.bnportugal.gov.pt/viewer/14628/?offset=" TargetMode="External"/><Relationship Id="rId245" Type="http://schemas.openxmlformats.org/officeDocument/2006/relationships/hyperlink" Target="https://permalinkbnd.bnportugal.gov.pt/viewer/272626/?offset=" TargetMode="External"/><Relationship Id="rId452" Type="http://schemas.openxmlformats.org/officeDocument/2006/relationships/hyperlink" Target="https://permalinkbnd.bnportugal.gov.pt/viewer/278031/?offset=" TargetMode="External"/><Relationship Id="rId105" Type="http://schemas.openxmlformats.org/officeDocument/2006/relationships/hyperlink" Target="https://permalinkbnd.bnportugal.gov.pt/viewer/272381/?offset=" TargetMode="External"/><Relationship Id="rId312" Type="http://schemas.openxmlformats.org/officeDocument/2006/relationships/hyperlink" Target="https://permalinkbnd.bnportugal.gov.pt/viewer/273782/?offset=" TargetMode="External"/><Relationship Id="rId757" Type="http://schemas.openxmlformats.org/officeDocument/2006/relationships/hyperlink" Target="https://permalinkbnd.bnportugal.gov.pt/viewer/3/?offset=" TargetMode="External"/><Relationship Id="rId93" Type="http://schemas.openxmlformats.org/officeDocument/2006/relationships/hyperlink" Target="https://permalinkbnd.bnportugal.gov.pt/viewer/270042/?offset=" TargetMode="External"/><Relationship Id="rId189" Type="http://schemas.openxmlformats.org/officeDocument/2006/relationships/hyperlink" Target="https://permalinkbnd.bnportugal.gov.pt/viewer/272786/?offset=" TargetMode="External"/><Relationship Id="rId396" Type="http://schemas.openxmlformats.org/officeDocument/2006/relationships/hyperlink" Target="https://permalinkbnd.bnportugal.gov.pt/viewer/277366/?offset=" TargetMode="External"/><Relationship Id="rId617" Type="http://schemas.openxmlformats.org/officeDocument/2006/relationships/hyperlink" Target="https://permalinkbnd.bnportugal.gov.pt/viewer/14587/?offset=" TargetMode="External"/><Relationship Id="rId824" Type="http://schemas.openxmlformats.org/officeDocument/2006/relationships/hyperlink" Target="https://permalinkbnd.bnportugal.gov.pt/viewer/14598/?offset=" TargetMode="External"/><Relationship Id="rId256" Type="http://schemas.openxmlformats.org/officeDocument/2006/relationships/hyperlink" Target="https://permalinkbnd.bnportugal.gov.pt/viewer/279168/?offset=" TargetMode="External"/><Relationship Id="rId463" Type="http://schemas.openxmlformats.org/officeDocument/2006/relationships/hyperlink" Target="https://permalinkbnd.bnportugal.gov.pt/viewer/1897/?offset=" TargetMode="External"/><Relationship Id="rId670" Type="http://schemas.openxmlformats.org/officeDocument/2006/relationships/hyperlink" Target="https://permalinkbnd.bnportugal.gov.pt/viewer/272640/?offset=" TargetMode="External"/><Relationship Id="rId116" Type="http://schemas.openxmlformats.org/officeDocument/2006/relationships/hyperlink" Target="https://permalinkbnd.bnportugal.gov.pt/viewer/272392/?offset=" TargetMode="External"/><Relationship Id="rId323" Type="http://schemas.openxmlformats.org/officeDocument/2006/relationships/hyperlink" Target="https://permalinkbnd.bnportugal.gov.pt/viewer/272627/?offset=" TargetMode="External"/><Relationship Id="rId530" Type="http://schemas.openxmlformats.org/officeDocument/2006/relationships/hyperlink" Target="https://permalinkbnd.bnportugal.gov.pt/viewer/14629/?offset=" TargetMode="External"/><Relationship Id="rId768" Type="http://schemas.openxmlformats.org/officeDocument/2006/relationships/hyperlink" Target="https://permalinkbnd.bnportugal.gov.pt/viewer/86824/?offset=" TargetMode="External"/><Relationship Id="rId20" Type="http://schemas.openxmlformats.org/officeDocument/2006/relationships/hyperlink" Target="https://permalinkbnd.bnportugal.gov.pt/viewer/274256/?offset=" TargetMode="External"/><Relationship Id="rId628" Type="http://schemas.openxmlformats.org/officeDocument/2006/relationships/hyperlink" Target="https://permalinkbnd.bnportugal.gov.pt/viewer/14622/?offset=" TargetMode="External"/><Relationship Id="rId835" Type="http://schemas.openxmlformats.org/officeDocument/2006/relationships/hyperlink" Target="https://permalinkbnd.bnportugal.gov.pt/viewer/14581/?offset=" TargetMode="External"/><Relationship Id="rId267" Type="http://schemas.openxmlformats.org/officeDocument/2006/relationships/hyperlink" Target="https://permalinkbnd.bnportugal.gov.pt/viewer/273524/?offset=" TargetMode="External"/><Relationship Id="rId474" Type="http://schemas.openxmlformats.org/officeDocument/2006/relationships/hyperlink" Target="https://permalinkbnd.bnportugal.gov.pt/viewer/273178/?offset=" TargetMode="External"/><Relationship Id="rId127" Type="http://schemas.openxmlformats.org/officeDocument/2006/relationships/hyperlink" Target="https://permalinkbnd.bnportugal.gov.pt/viewer/270138/?offset=" TargetMode="External"/><Relationship Id="rId681" Type="http://schemas.openxmlformats.org/officeDocument/2006/relationships/hyperlink" Target="https://permalinkbnd.bnportugal.gov.pt/viewer/279630/?offset=" TargetMode="External"/><Relationship Id="rId779" Type="http://schemas.openxmlformats.org/officeDocument/2006/relationships/hyperlink" Target="https://permalinkbnd.bnportugal.gov.pt/viewer/14628/?offset=" TargetMode="External"/><Relationship Id="rId31" Type="http://schemas.openxmlformats.org/officeDocument/2006/relationships/hyperlink" Target="https://permalinkbnd.bnportugal.gov.pt/viewer/273125/?offset=" TargetMode="External"/><Relationship Id="rId334" Type="http://schemas.openxmlformats.org/officeDocument/2006/relationships/hyperlink" Target="https://permalinkbnd.bnportugal.gov.pt/viewer/277151/?offset=" TargetMode="External"/><Relationship Id="rId541" Type="http://schemas.openxmlformats.org/officeDocument/2006/relationships/hyperlink" Target="https://permalinkbnd.bnportugal.gov.pt/viewer/14639/?offset=" TargetMode="External"/><Relationship Id="rId639" Type="http://schemas.openxmlformats.org/officeDocument/2006/relationships/hyperlink" Target="https://permalinkbnd.bnportugal.gov.pt/viewer/6839/?offset=" TargetMode="External"/><Relationship Id="rId180" Type="http://schemas.openxmlformats.org/officeDocument/2006/relationships/hyperlink" Target="https://permalinkbnd.bnportugal.gov.pt/viewer/272727/?offset=" TargetMode="External"/><Relationship Id="rId278" Type="http://schemas.openxmlformats.org/officeDocument/2006/relationships/hyperlink" Target="https://permalinkbnd.bnportugal.gov.pt/viewer/280465/?offset=" TargetMode="External"/><Relationship Id="rId401" Type="http://schemas.openxmlformats.org/officeDocument/2006/relationships/hyperlink" Target="https://permalinkbnd.bnportugal.gov.pt/viewer/273117/?offset=" TargetMode="External"/><Relationship Id="rId846" Type="http://schemas.openxmlformats.org/officeDocument/2006/relationships/hyperlink" Target="https://permalinkbnd.bnportugal.gov.pt/viewer/14613/?offset=" TargetMode="External"/><Relationship Id="rId485" Type="http://schemas.openxmlformats.org/officeDocument/2006/relationships/hyperlink" Target="https://permalinkbnd.bnportugal.gov.pt/viewer/273944/?offset=" TargetMode="External"/><Relationship Id="rId692" Type="http://schemas.openxmlformats.org/officeDocument/2006/relationships/hyperlink" Target="https://permalinkbnd.bnportugal.gov.pt/viewer/14594/?offset=" TargetMode="External"/><Relationship Id="rId706" Type="http://schemas.openxmlformats.org/officeDocument/2006/relationships/hyperlink" Target="https://permalinkbnd.bnportugal.gov.pt/viewer/272813/?offset=" TargetMode="External"/><Relationship Id="rId42" Type="http://schemas.openxmlformats.org/officeDocument/2006/relationships/hyperlink" Target="https://permalinkbnd.bnportugal.gov.pt/viewer/272882/?offset=" TargetMode="External"/><Relationship Id="rId138" Type="http://schemas.openxmlformats.org/officeDocument/2006/relationships/hyperlink" Target="https://permalinkbnd.bnportugal.gov.pt/viewer/270087/?offset=" TargetMode="External"/><Relationship Id="rId345" Type="http://schemas.openxmlformats.org/officeDocument/2006/relationships/hyperlink" Target="https://permalinkbnd.bnportugal.gov.pt/viewer/277150/?offset=" TargetMode="External"/><Relationship Id="rId552" Type="http://schemas.openxmlformats.org/officeDocument/2006/relationships/hyperlink" Target="https://permalinkbnd.bnportugal.gov.pt/viewer/14621/?offset=" TargetMode="External"/><Relationship Id="rId191" Type="http://schemas.openxmlformats.org/officeDocument/2006/relationships/hyperlink" Target="https://permalinkbnd.bnportugal.gov.pt/viewer/272786/?offset=" TargetMode="External"/><Relationship Id="rId205" Type="http://schemas.openxmlformats.org/officeDocument/2006/relationships/hyperlink" Target="https://permalinkbnd.bnportugal.gov.pt/viewer/272786/?offset=" TargetMode="External"/><Relationship Id="rId412" Type="http://schemas.openxmlformats.org/officeDocument/2006/relationships/hyperlink" Target="https://permalinkbnd.bnportugal.gov.pt/viewer/277452/?offset=" TargetMode="External"/><Relationship Id="rId857" Type="http://schemas.openxmlformats.org/officeDocument/2006/relationships/hyperlink" Target="https://permalinkbnd.bnportugal.gov.pt/viewer/273687/?offset=" TargetMode="External"/><Relationship Id="rId289" Type="http://schemas.openxmlformats.org/officeDocument/2006/relationships/hyperlink" Target="https://permalinkbnd.bnportugal.gov.pt/viewer/275364/?offset=" TargetMode="External"/><Relationship Id="rId496" Type="http://schemas.openxmlformats.org/officeDocument/2006/relationships/hyperlink" Target="https://permalinkbnd.bnportugal.gov.pt/viewer/273944/?offset=" TargetMode="External"/><Relationship Id="rId717" Type="http://schemas.openxmlformats.org/officeDocument/2006/relationships/hyperlink" Target="https://permalinkbnd.bnportugal.gov.pt/viewer/278670/?offset=" TargetMode="External"/><Relationship Id="rId53" Type="http://schemas.openxmlformats.org/officeDocument/2006/relationships/hyperlink" Target="https://permalinkbnd.bnportugal.gov.pt/viewer/270116/?offset=" TargetMode="External"/><Relationship Id="rId149" Type="http://schemas.openxmlformats.org/officeDocument/2006/relationships/hyperlink" Target="https://permalinkbnd.bnportugal.gov.pt/viewer/273439/?offset=" TargetMode="External"/><Relationship Id="rId356" Type="http://schemas.openxmlformats.org/officeDocument/2006/relationships/hyperlink" Target="https://permalinkbnd.bnportugal.gov.pt/viewer/1892/?offset=" TargetMode="External"/><Relationship Id="rId563" Type="http://schemas.openxmlformats.org/officeDocument/2006/relationships/hyperlink" Target="https://permalinkbnd.bnportugal.gov.pt/viewer/14576/?offset=" TargetMode="External"/><Relationship Id="rId770" Type="http://schemas.openxmlformats.org/officeDocument/2006/relationships/hyperlink" Target="https://permalinkbnd.bnportugal.gov.pt/viewer/86824/?offset=" TargetMode="External"/><Relationship Id="rId216" Type="http://schemas.openxmlformats.org/officeDocument/2006/relationships/hyperlink" Target="https://permalinkbnd.bnportugal.gov.pt/viewer/272786/?offset=" TargetMode="External"/><Relationship Id="rId423" Type="http://schemas.openxmlformats.org/officeDocument/2006/relationships/hyperlink" Target="https://permalinkbnd.bnportugal.gov.pt/viewer/272638/?offset=" TargetMode="External"/><Relationship Id="rId868" Type="http://schemas.openxmlformats.org/officeDocument/2006/relationships/hyperlink" Target="https://purl.pt/44140" TargetMode="External"/><Relationship Id="rId630" Type="http://schemas.openxmlformats.org/officeDocument/2006/relationships/hyperlink" Target="https://permalinkbnd.bnportugal.gov.pt/viewer/86723/?offset=" TargetMode="External"/><Relationship Id="rId728" Type="http://schemas.openxmlformats.org/officeDocument/2006/relationships/hyperlink" Target="https://permalinkbnd.bnportugal.gov.pt/viewer/278795/?offset=" TargetMode="External"/><Relationship Id="rId64" Type="http://schemas.openxmlformats.org/officeDocument/2006/relationships/hyperlink" Target="https://permalinkbnd.bnportugal.gov.pt/viewer/273102/?offset=" TargetMode="External"/><Relationship Id="rId367" Type="http://schemas.openxmlformats.org/officeDocument/2006/relationships/hyperlink" Target="https://permalinkbnd.bnportugal.gov.pt/viewer/272668/?offset=" TargetMode="External"/><Relationship Id="rId574" Type="http://schemas.openxmlformats.org/officeDocument/2006/relationships/hyperlink" Target="https://permalinkbnd.bnportugal.gov.pt/viewer/14624/?offset=" TargetMode="External"/><Relationship Id="rId227" Type="http://schemas.openxmlformats.org/officeDocument/2006/relationships/hyperlink" Target="https://permalinkbnd.bnportugal.gov.pt/viewer/272730/?offset=" TargetMode="External"/><Relationship Id="rId781" Type="http://schemas.openxmlformats.org/officeDocument/2006/relationships/hyperlink" Target="https://permalinkbnd.bnportugal.gov.pt/viewer/14628/?offset=" TargetMode="External"/><Relationship Id="rId879" Type="http://schemas.openxmlformats.org/officeDocument/2006/relationships/hyperlink" Target="https://purl.pt/44140" TargetMode="External"/><Relationship Id="rId434" Type="http://schemas.openxmlformats.org/officeDocument/2006/relationships/hyperlink" Target="https://permalinkbnd.bnportugal.gov.pt/viewer/273869/?offset=" TargetMode="External"/><Relationship Id="rId641" Type="http://schemas.openxmlformats.org/officeDocument/2006/relationships/hyperlink" Target="https://permalinkbnd.bnportugal.gov.pt/viewer/6839/?offset=" TargetMode="External"/><Relationship Id="rId739" Type="http://schemas.openxmlformats.org/officeDocument/2006/relationships/hyperlink" Target="https://permalinkbnd.bnportugal.gov.pt/viewer/279624/?offset=" TargetMode="External"/><Relationship Id="rId280" Type="http://schemas.openxmlformats.org/officeDocument/2006/relationships/hyperlink" Target="https://permalinkbnd.bnportugal.gov.pt/viewer/280465/?offset=" TargetMode="External"/><Relationship Id="rId501" Type="http://schemas.openxmlformats.org/officeDocument/2006/relationships/hyperlink" Target="https://permalinkbnd.bnportugal.gov.pt/viewer/255848/?offset=" TargetMode="External"/><Relationship Id="rId75" Type="http://schemas.openxmlformats.org/officeDocument/2006/relationships/hyperlink" Target="https://permalinkbnd.bnportugal.gov.pt/viewer/35147/?offset=" TargetMode="External"/><Relationship Id="rId140" Type="http://schemas.openxmlformats.org/officeDocument/2006/relationships/hyperlink" Target="https://permalinkbnd.bnportugal.gov.pt/viewer/270087/?offset=" TargetMode="External"/><Relationship Id="rId378" Type="http://schemas.openxmlformats.org/officeDocument/2006/relationships/hyperlink" Target="https://permalinkbnd.bnportugal.gov.pt/viewer/276792/?offset=" TargetMode="External"/><Relationship Id="rId585" Type="http://schemas.openxmlformats.org/officeDocument/2006/relationships/hyperlink" Target="https://permalinkbnd.bnportugal.gov.pt/viewer/14624/?offset=" TargetMode="External"/><Relationship Id="rId792" Type="http://schemas.openxmlformats.org/officeDocument/2006/relationships/hyperlink" Target="https://permalinkbnd.bnportugal.gov.pt/viewer/14628/?offset=" TargetMode="External"/><Relationship Id="rId806" Type="http://schemas.openxmlformats.org/officeDocument/2006/relationships/hyperlink" Target="https://permalinkbnd.bnportugal.gov.pt/viewer/14628/?offset=" TargetMode="External"/><Relationship Id="rId6" Type="http://schemas.openxmlformats.org/officeDocument/2006/relationships/hyperlink" Target="https://permalinkbnd.bnportugal.gov.pt/viewer/273118/?offset=" TargetMode="External"/><Relationship Id="rId238" Type="http://schemas.openxmlformats.org/officeDocument/2006/relationships/hyperlink" Target="https://permalinkbnd.bnportugal.gov.pt/viewer/274957/?offset=" TargetMode="External"/><Relationship Id="rId445" Type="http://schemas.openxmlformats.org/officeDocument/2006/relationships/hyperlink" Target="https://permalinkbnd.bnportugal.gov.pt/viewer/277836/?offset=" TargetMode="External"/><Relationship Id="rId652" Type="http://schemas.openxmlformats.org/officeDocument/2006/relationships/hyperlink" Target="https://permalinkbnd.bnportugal.gov.pt/viewer/278784/?offset=" TargetMode="External"/><Relationship Id="rId291" Type="http://schemas.openxmlformats.org/officeDocument/2006/relationships/hyperlink" Target="https://permalinkbnd.bnportugal.gov.pt/viewer/279232/?offset=" TargetMode="External"/><Relationship Id="rId305" Type="http://schemas.openxmlformats.org/officeDocument/2006/relationships/hyperlink" Target="https://permalinkbnd.bnportugal.gov.pt/viewer/273782/?offset=" TargetMode="External"/><Relationship Id="rId512" Type="http://schemas.openxmlformats.org/officeDocument/2006/relationships/hyperlink" Target="https://permalinkbnd.bnportugal.gov.pt/viewer/255848/?offset=" TargetMode="External"/><Relationship Id="rId86" Type="http://schemas.openxmlformats.org/officeDocument/2006/relationships/hyperlink" Target="https://permalinkbnd.bnportugal.gov.pt/viewer/36374/?offset=" TargetMode="External"/><Relationship Id="rId151" Type="http://schemas.openxmlformats.org/officeDocument/2006/relationships/hyperlink" Target="https://permalinkbnd.bnportugal.gov.pt/viewer/273731/?offset=" TargetMode="External"/><Relationship Id="rId389" Type="http://schemas.openxmlformats.org/officeDocument/2006/relationships/hyperlink" Target="https://permalinkbnd.bnportugal.gov.pt/viewer/273746/?offset=" TargetMode="External"/><Relationship Id="rId596" Type="http://schemas.openxmlformats.org/officeDocument/2006/relationships/hyperlink" Target="https://permalinkbnd.bnportugal.gov.pt/viewer/14624/?offset=" TargetMode="External"/><Relationship Id="rId817" Type="http://schemas.openxmlformats.org/officeDocument/2006/relationships/hyperlink" Target="https://permalinkbnd.bnportugal.gov.pt/viewer/14598/?offset=" TargetMode="External"/><Relationship Id="rId249" Type="http://schemas.openxmlformats.org/officeDocument/2006/relationships/hyperlink" Target="https://permalinkbnd.bnportugal.gov.pt/viewer/272626/?offset=" TargetMode="External"/><Relationship Id="rId456" Type="http://schemas.openxmlformats.org/officeDocument/2006/relationships/hyperlink" Target="https://permalinkbnd.bnportugal.gov.pt/viewer/278097/?offset=" TargetMode="External"/><Relationship Id="rId663" Type="http://schemas.openxmlformats.org/officeDocument/2006/relationships/hyperlink" Target="https://permalinkbnd.bnportugal.gov.pt/viewer/272640/?offset=" TargetMode="External"/><Relationship Id="rId870" Type="http://schemas.openxmlformats.org/officeDocument/2006/relationships/hyperlink" Target="https://purl.pt/44140" TargetMode="External"/><Relationship Id="rId13" Type="http://schemas.openxmlformats.org/officeDocument/2006/relationships/hyperlink" Target="https://permalinkbnd.bnportugal.gov.pt/viewer/274171/?offset=" TargetMode="External"/><Relationship Id="rId109" Type="http://schemas.openxmlformats.org/officeDocument/2006/relationships/hyperlink" Target="https://permalinkbnd.bnportugal.gov.pt/viewer/272359/?offset=" TargetMode="External"/><Relationship Id="rId316" Type="http://schemas.openxmlformats.org/officeDocument/2006/relationships/hyperlink" Target="https://permalinkbnd.bnportugal.gov.pt/viewer/272627/?offset=" TargetMode="External"/><Relationship Id="rId523" Type="http://schemas.openxmlformats.org/officeDocument/2006/relationships/hyperlink" Target="https://permalinkbnd.bnportugal.gov.pt/viewer/274463/?offset=" TargetMode="External"/><Relationship Id="rId97" Type="http://schemas.openxmlformats.org/officeDocument/2006/relationships/hyperlink" Target="https://permalinkbnd.bnportugal.gov.pt/viewer/272381/?offset=" TargetMode="External"/><Relationship Id="rId730" Type="http://schemas.openxmlformats.org/officeDocument/2006/relationships/hyperlink" Target="https://permalinkbnd.bnportugal.gov.pt/viewer/278795/?offset=" TargetMode="External"/><Relationship Id="rId828" Type="http://schemas.openxmlformats.org/officeDocument/2006/relationships/hyperlink" Target="https://permalinkbnd.bnportugal.gov.pt/viewer/14581/?offset=" TargetMode="External"/><Relationship Id="rId162" Type="http://schemas.openxmlformats.org/officeDocument/2006/relationships/hyperlink" Target="https://permalinkbnd.bnportugal.gov.pt/viewer/274092/?offset=" TargetMode="External"/><Relationship Id="rId467" Type="http://schemas.openxmlformats.org/officeDocument/2006/relationships/hyperlink" Target="https://permalinkbnd.bnportugal.gov.pt/viewer/278166/?offset=" TargetMode="External"/><Relationship Id="rId674" Type="http://schemas.openxmlformats.org/officeDocument/2006/relationships/hyperlink" Target="https://permalinkbnd.bnportugal.gov.pt/viewer/272640/?offset=" TargetMode="External"/><Relationship Id="rId881" Type="http://schemas.openxmlformats.org/officeDocument/2006/relationships/hyperlink" Target="https://purl.pt/44140" TargetMode="External"/><Relationship Id="rId24" Type="http://schemas.openxmlformats.org/officeDocument/2006/relationships/hyperlink" Target="https://permalinkbnd.bnportugal.gov.pt/viewer/273150/?offset=" TargetMode="External"/><Relationship Id="rId327" Type="http://schemas.openxmlformats.org/officeDocument/2006/relationships/hyperlink" Target="https://permalinkbnd.bnportugal.gov.pt/viewer/277151/?offset=" TargetMode="External"/><Relationship Id="rId534" Type="http://schemas.openxmlformats.org/officeDocument/2006/relationships/hyperlink" Target="https://permalinkbnd.bnportugal.gov.pt/viewer/14639/?offset=" TargetMode="External"/><Relationship Id="rId741" Type="http://schemas.openxmlformats.org/officeDocument/2006/relationships/hyperlink" Target="https://permalinkbnd.bnportugal.gov.pt/viewer/279100/?offset=" TargetMode="External"/><Relationship Id="rId839" Type="http://schemas.openxmlformats.org/officeDocument/2006/relationships/hyperlink" Target="https://permalinkbnd.bnportugal.gov.pt/viewer/86181/?offset=" TargetMode="External"/><Relationship Id="rId173" Type="http://schemas.openxmlformats.org/officeDocument/2006/relationships/hyperlink" Target="https://permalinkbnd.bnportugal.gov.pt/viewer/38591/?offset=" TargetMode="External"/><Relationship Id="rId380" Type="http://schemas.openxmlformats.org/officeDocument/2006/relationships/hyperlink" Target="https://permalinkbnd.bnportugal.gov.pt/viewer/279502/?offset=" TargetMode="External"/><Relationship Id="rId601" Type="http://schemas.openxmlformats.org/officeDocument/2006/relationships/hyperlink" Target="https://permalinkbnd.bnportugal.gov.pt/viewer/14587/?offset=" TargetMode="External"/><Relationship Id="rId240" Type="http://schemas.openxmlformats.org/officeDocument/2006/relationships/hyperlink" Target="https://permalinkbnd.bnportugal.gov.pt/viewer/272626/?offset=" TargetMode="External"/><Relationship Id="rId478" Type="http://schemas.openxmlformats.org/officeDocument/2006/relationships/hyperlink" Target="https://permalinkbnd.bnportugal.gov.pt/viewer/273178/?offset=" TargetMode="External"/><Relationship Id="rId685" Type="http://schemas.openxmlformats.org/officeDocument/2006/relationships/hyperlink" Target="https://permalinkbnd.bnportugal.gov.pt/viewer/20471/?offset=" TargetMode="External"/><Relationship Id="rId35" Type="http://schemas.openxmlformats.org/officeDocument/2006/relationships/hyperlink" Target="https://permalinkbnd.bnportugal.gov.pt/viewer/274280/?offset=" TargetMode="External"/><Relationship Id="rId100" Type="http://schemas.openxmlformats.org/officeDocument/2006/relationships/hyperlink" Target="https://permalinkbnd.bnportugal.gov.pt/viewer/272381/?offset=" TargetMode="External"/><Relationship Id="rId338" Type="http://schemas.openxmlformats.org/officeDocument/2006/relationships/hyperlink" Target="https://permalinkbnd.bnportugal.gov.pt/viewer/277145/?offset=" TargetMode="External"/><Relationship Id="rId545" Type="http://schemas.openxmlformats.org/officeDocument/2006/relationships/hyperlink" Target="https://permalinkbnd.bnportugal.gov.pt/viewer/14621/?offset=" TargetMode="External"/><Relationship Id="rId752" Type="http://schemas.openxmlformats.org/officeDocument/2006/relationships/hyperlink" Target="https://permalinkbnd.bnportugal.gov.pt/viewer/256552/?offset=" TargetMode="External"/><Relationship Id="rId184" Type="http://schemas.openxmlformats.org/officeDocument/2006/relationships/hyperlink" Target="https://permalinkbnd.bnportugal.gov.pt/viewer/268841/?offset=" TargetMode="External"/><Relationship Id="rId391" Type="http://schemas.openxmlformats.org/officeDocument/2006/relationships/hyperlink" Target="https://permalinkbnd.bnportugal.gov.pt/viewer/277335/?offset=" TargetMode="External"/><Relationship Id="rId405" Type="http://schemas.openxmlformats.org/officeDocument/2006/relationships/hyperlink" Target="https://permalinkbnd.bnportugal.gov.pt/viewer/273117/?offset=" TargetMode="External"/><Relationship Id="rId612" Type="http://schemas.openxmlformats.org/officeDocument/2006/relationships/hyperlink" Target="https://permalinkbnd.bnportugal.gov.pt/viewer/14587/?offset=" TargetMode="External"/><Relationship Id="rId251" Type="http://schemas.openxmlformats.org/officeDocument/2006/relationships/hyperlink" Target="https://permalinkbnd.bnportugal.gov.pt/viewer/272626/?offset=" TargetMode="External"/><Relationship Id="rId489" Type="http://schemas.openxmlformats.org/officeDocument/2006/relationships/hyperlink" Target="https://permalinkbnd.bnportugal.gov.pt/viewer/273944/?offset=" TargetMode="External"/><Relationship Id="rId696" Type="http://schemas.openxmlformats.org/officeDocument/2006/relationships/hyperlink" Target="https://permalinkbnd.bnportugal.gov.pt/viewer/14594/?offset=" TargetMode="External"/><Relationship Id="rId46" Type="http://schemas.openxmlformats.org/officeDocument/2006/relationships/hyperlink" Target="https://permalinkbnd.bnportugal.gov.pt/viewer/273923/?offset=" TargetMode="External"/><Relationship Id="rId349" Type="http://schemas.openxmlformats.org/officeDocument/2006/relationships/hyperlink" Target="https://permalinkbnd.bnportugal.gov.pt/viewer/277150/?offset=" TargetMode="External"/><Relationship Id="rId556" Type="http://schemas.openxmlformats.org/officeDocument/2006/relationships/hyperlink" Target="https://permalinkbnd.bnportugal.gov.pt/viewer/14573/?offset=" TargetMode="External"/><Relationship Id="rId763" Type="http://schemas.openxmlformats.org/officeDocument/2006/relationships/hyperlink" Target="https://permalinkbnd.bnportugal.gov.pt/viewer/255741/?offset=" TargetMode="External"/><Relationship Id="rId111" Type="http://schemas.openxmlformats.org/officeDocument/2006/relationships/hyperlink" Target="https://permalinkbnd.bnportugal.gov.pt/viewer/272379/?offset=" TargetMode="External"/><Relationship Id="rId195" Type="http://schemas.openxmlformats.org/officeDocument/2006/relationships/hyperlink" Target="https://permalinkbnd.bnportugal.gov.pt/viewer/272786/?offset=" TargetMode="External"/><Relationship Id="rId209" Type="http://schemas.openxmlformats.org/officeDocument/2006/relationships/hyperlink" Target="https://permalinkbnd.bnportugal.gov.pt/viewer/272786/?offset=" TargetMode="External"/><Relationship Id="rId416" Type="http://schemas.openxmlformats.org/officeDocument/2006/relationships/hyperlink" Target="https://permalinkbnd.bnportugal.gov.pt/viewer/277452/?offset=" TargetMode="External"/><Relationship Id="rId623" Type="http://schemas.openxmlformats.org/officeDocument/2006/relationships/hyperlink" Target="https://permalinkbnd.bnportugal.gov.pt/viewer/14604/?offset=" TargetMode="External"/><Relationship Id="rId830" Type="http://schemas.openxmlformats.org/officeDocument/2006/relationships/hyperlink" Target="https://permalinkbnd.bnportugal.gov.pt/viewer/14581/?offset=" TargetMode="External"/><Relationship Id="rId15" Type="http://schemas.openxmlformats.org/officeDocument/2006/relationships/hyperlink" Target="https://permalinkbnd.bnportugal.gov.pt/viewer/274235/?offset=" TargetMode="External"/><Relationship Id="rId57" Type="http://schemas.openxmlformats.org/officeDocument/2006/relationships/hyperlink" Target="https://permalinkbnd.bnportugal.gov.pt/viewer/270116/?offset=" TargetMode="External"/><Relationship Id="rId262" Type="http://schemas.openxmlformats.org/officeDocument/2006/relationships/hyperlink" Target="https://permalinkbnd.bnportugal.gov.pt/viewer/273511/?offset=" TargetMode="External"/><Relationship Id="rId318" Type="http://schemas.openxmlformats.org/officeDocument/2006/relationships/hyperlink" Target="https://permalinkbnd.bnportugal.gov.pt/viewer/272627/?offset=" TargetMode="External"/><Relationship Id="rId525" Type="http://schemas.openxmlformats.org/officeDocument/2006/relationships/hyperlink" Target="https://permalinkbnd.bnportugal.gov.pt/viewer/14629/?offset=" TargetMode="External"/><Relationship Id="rId567" Type="http://schemas.openxmlformats.org/officeDocument/2006/relationships/hyperlink" Target="https://permalinkbnd.bnportugal.gov.pt/viewer/14566/?offset=" TargetMode="External"/><Relationship Id="rId732" Type="http://schemas.openxmlformats.org/officeDocument/2006/relationships/hyperlink" Target="https://permalinkbnd.bnportugal.gov.pt/viewer/278795/?offset=" TargetMode="External"/><Relationship Id="rId99" Type="http://schemas.openxmlformats.org/officeDocument/2006/relationships/hyperlink" Target="https://permalinkbnd.bnportugal.gov.pt/viewer/272381/?offset=" TargetMode="External"/><Relationship Id="rId122" Type="http://schemas.openxmlformats.org/officeDocument/2006/relationships/hyperlink" Target="https://permalinkbnd.bnportugal.gov.pt/viewer/272355/?offset=" TargetMode="External"/><Relationship Id="rId164" Type="http://schemas.openxmlformats.org/officeDocument/2006/relationships/hyperlink" Target="https://permalinkbnd.bnportugal.gov.pt/viewer/272390/?offset=" TargetMode="External"/><Relationship Id="rId371" Type="http://schemas.openxmlformats.org/officeDocument/2006/relationships/hyperlink" Target="https://permalinkbnd.bnportugal.gov.pt/viewer/277147/?offset=" TargetMode="External"/><Relationship Id="rId774" Type="http://schemas.openxmlformats.org/officeDocument/2006/relationships/hyperlink" Target="https://permalinkbnd.bnportugal.gov.pt/viewer/14628/?offset=" TargetMode="External"/><Relationship Id="rId427" Type="http://schemas.openxmlformats.org/officeDocument/2006/relationships/hyperlink" Target="https://permalinkbnd.bnportugal.gov.pt/viewer/273869/?offset=" TargetMode="External"/><Relationship Id="rId469" Type="http://schemas.openxmlformats.org/officeDocument/2006/relationships/hyperlink" Target="https://permalinkbnd.bnportugal.gov.pt/viewer/278323/?offset=" TargetMode="External"/><Relationship Id="rId634" Type="http://schemas.openxmlformats.org/officeDocument/2006/relationships/hyperlink" Target="https://permalinkbnd.bnportugal.gov.pt/viewer/274032/?offset=" TargetMode="External"/><Relationship Id="rId676" Type="http://schemas.openxmlformats.org/officeDocument/2006/relationships/hyperlink" Target="https://permalinkbnd.bnportugal.gov.pt/viewer/272640/?offset=" TargetMode="External"/><Relationship Id="rId841" Type="http://schemas.openxmlformats.org/officeDocument/2006/relationships/hyperlink" Target="https://permalinkbnd.bnportugal.gov.pt/viewer/14678/?offset=" TargetMode="External"/><Relationship Id="rId883" Type="http://schemas.openxmlformats.org/officeDocument/2006/relationships/hyperlink" Target="https://purl.pt/37883" TargetMode="External"/><Relationship Id="rId26" Type="http://schemas.openxmlformats.org/officeDocument/2006/relationships/hyperlink" Target="https://permalinkbnd.bnportugal.gov.pt/viewer/274090/?offset=" TargetMode="External"/><Relationship Id="rId231" Type="http://schemas.openxmlformats.org/officeDocument/2006/relationships/hyperlink" Target="https://permalinkbnd.bnportugal.gov.pt/viewer/272812/?offset=" TargetMode="External"/><Relationship Id="rId273" Type="http://schemas.openxmlformats.org/officeDocument/2006/relationships/hyperlink" Target="https://permalinkbnd.bnportugal.gov.pt/viewer/280465/?offset=" TargetMode="External"/><Relationship Id="rId329" Type="http://schemas.openxmlformats.org/officeDocument/2006/relationships/hyperlink" Target="https://permalinkbnd.bnportugal.gov.pt/viewer/277151/?offset=" TargetMode="External"/><Relationship Id="rId480" Type="http://schemas.openxmlformats.org/officeDocument/2006/relationships/hyperlink" Target="https://permalinkbnd.bnportugal.gov.pt/viewer/1/?offset=" TargetMode="External"/><Relationship Id="rId536" Type="http://schemas.openxmlformats.org/officeDocument/2006/relationships/hyperlink" Target="https://permalinkbnd.bnportugal.gov.pt/viewer/14639/?offset=" TargetMode="External"/><Relationship Id="rId701" Type="http://schemas.openxmlformats.org/officeDocument/2006/relationships/hyperlink" Target="https://permalinkbnd.bnportugal.gov.pt/viewer/14594/?offset=" TargetMode="External"/><Relationship Id="rId68" Type="http://schemas.openxmlformats.org/officeDocument/2006/relationships/hyperlink" Target="https://permalinkbnd.bnportugal.gov.pt/viewer/281908/?offset=" TargetMode="External"/><Relationship Id="rId133" Type="http://schemas.openxmlformats.org/officeDocument/2006/relationships/hyperlink" Target="https://permalinkbnd.bnportugal.gov.pt/viewer/274252/?offset=" TargetMode="External"/><Relationship Id="rId175" Type="http://schemas.openxmlformats.org/officeDocument/2006/relationships/hyperlink" Target="https://permalinkbnd.bnportugal.gov.pt/viewer/37955/?offset=" TargetMode="External"/><Relationship Id="rId340" Type="http://schemas.openxmlformats.org/officeDocument/2006/relationships/hyperlink" Target="https://permalinkbnd.bnportugal.gov.pt/viewer/277145/?offset=" TargetMode="External"/><Relationship Id="rId578" Type="http://schemas.openxmlformats.org/officeDocument/2006/relationships/hyperlink" Target="https://permalinkbnd.bnportugal.gov.pt/viewer/14624/?offset=" TargetMode="External"/><Relationship Id="rId743" Type="http://schemas.openxmlformats.org/officeDocument/2006/relationships/hyperlink" Target="https://permalinkbnd.bnportugal.gov.pt/viewer/14663/?offset=" TargetMode="External"/><Relationship Id="rId785" Type="http://schemas.openxmlformats.org/officeDocument/2006/relationships/hyperlink" Target="https://permalinkbnd.bnportugal.gov.pt/viewer/14628/?offset=" TargetMode="External"/><Relationship Id="rId200" Type="http://schemas.openxmlformats.org/officeDocument/2006/relationships/hyperlink" Target="https://permalinkbnd.bnportugal.gov.pt/viewer/272786/?offset=" TargetMode="External"/><Relationship Id="rId382" Type="http://schemas.openxmlformats.org/officeDocument/2006/relationships/hyperlink" Target="https://permalinkbnd.bnportugal.gov.pt/viewer/279513/?offset=" TargetMode="External"/><Relationship Id="rId438" Type="http://schemas.openxmlformats.org/officeDocument/2006/relationships/hyperlink" Target="https://permalinkbnd.bnportugal.gov.pt/viewer/277738/?offset=" TargetMode="External"/><Relationship Id="rId603" Type="http://schemas.openxmlformats.org/officeDocument/2006/relationships/hyperlink" Target="https://permalinkbnd.bnportugal.gov.pt/viewer/14587/?offset=" TargetMode="External"/><Relationship Id="rId645" Type="http://schemas.openxmlformats.org/officeDocument/2006/relationships/hyperlink" Target="https://permalinkbnd.bnportugal.gov.pt/viewer/36391/?offset=" TargetMode="External"/><Relationship Id="rId687" Type="http://schemas.openxmlformats.org/officeDocument/2006/relationships/hyperlink" Target="https://permalinkbnd.bnportugal.gov.pt/viewer/14594/?offset=" TargetMode="External"/><Relationship Id="rId810" Type="http://schemas.openxmlformats.org/officeDocument/2006/relationships/hyperlink" Target="https://permalinkbnd.bnportugal.gov.pt/viewer/14628/?offset=" TargetMode="External"/><Relationship Id="rId852" Type="http://schemas.openxmlformats.org/officeDocument/2006/relationships/hyperlink" Target="https://permalinkbnd.bnportugal.gov.pt/viewer/1880/?offset=" TargetMode="External"/><Relationship Id="rId242" Type="http://schemas.openxmlformats.org/officeDocument/2006/relationships/hyperlink" Target="https://permalinkbnd.bnportugal.gov.pt/viewer/272626/?offset=" TargetMode="External"/><Relationship Id="rId284" Type="http://schemas.openxmlformats.org/officeDocument/2006/relationships/hyperlink" Target="https://permalinkbnd.bnportugal.gov.pt/viewer/280465/?offset=" TargetMode="External"/><Relationship Id="rId491" Type="http://schemas.openxmlformats.org/officeDocument/2006/relationships/hyperlink" Target="https://permalinkbnd.bnportugal.gov.pt/viewer/273944/?offset=" TargetMode="External"/><Relationship Id="rId505" Type="http://schemas.openxmlformats.org/officeDocument/2006/relationships/hyperlink" Target="https://permalinkbnd.bnportugal.gov.pt/viewer/255848/?offset=" TargetMode="External"/><Relationship Id="rId712" Type="http://schemas.openxmlformats.org/officeDocument/2006/relationships/hyperlink" Target="https://permalinkbnd.bnportugal.gov.pt/viewer/278400/?offset=" TargetMode="External"/><Relationship Id="rId37" Type="http://schemas.openxmlformats.org/officeDocument/2006/relationships/hyperlink" Target="https://permalinkbnd.bnportugal.gov.pt/viewer/273347/?offset=" TargetMode="External"/><Relationship Id="rId79" Type="http://schemas.openxmlformats.org/officeDocument/2006/relationships/hyperlink" Target="https://permalinkbnd.bnportugal.gov.pt/viewer/35137/?offset=" TargetMode="External"/><Relationship Id="rId102" Type="http://schemas.openxmlformats.org/officeDocument/2006/relationships/hyperlink" Target="https://permalinkbnd.bnportugal.gov.pt/viewer/272381/?offset=" TargetMode="External"/><Relationship Id="rId144" Type="http://schemas.openxmlformats.org/officeDocument/2006/relationships/hyperlink" Target="https://permalinkbnd.bnportugal.gov.pt/viewer/273350/?offset=" TargetMode="External"/><Relationship Id="rId547" Type="http://schemas.openxmlformats.org/officeDocument/2006/relationships/hyperlink" Target="https://permalinkbnd.bnportugal.gov.pt/viewer/14621/?offset=" TargetMode="External"/><Relationship Id="rId589" Type="http://schemas.openxmlformats.org/officeDocument/2006/relationships/hyperlink" Target="https://permalinkbnd.bnportugal.gov.pt/viewer/14624/?offset=" TargetMode="External"/><Relationship Id="rId754" Type="http://schemas.openxmlformats.org/officeDocument/2006/relationships/hyperlink" Target="https://permalinkbnd.bnportugal.gov.pt/viewer/256552/?offset=" TargetMode="External"/><Relationship Id="rId796" Type="http://schemas.openxmlformats.org/officeDocument/2006/relationships/hyperlink" Target="https://permalinkbnd.bnportugal.gov.pt/viewer/14628/?offset=" TargetMode="External"/><Relationship Id="rId90" Type="http://schemas.openxmlformats.org/officeDocument/2006/relationships/hyperlink" Target="https://permalinkbnd.bnportugal.gov.pt/viewer/37674/?offset=" TargetMode="External"/><Relationship Id="rId186" Type="http://schemas.openxmlformats.org/officeDocument/2006/relationships/hyperlink" Target="https://permalinkbnd.bnportugal.gov.pt/viewer/272731/?offset=" TargetMode="External"/><Relationship Id="rId351" Type="http://schemas.openxmlformats.org/officeDocument/2006/relationships/hyperlink" Target="https://permalinkbnd.bnportugal.gov.pt/viewer/277150/?offset=" TargetMode="External"/><Relationship Id="rId393" Type="http://schemas.openxmlformats.org/officeDocument/2006/relationships/hyperlink" Target="https://permalinkbnd.bnportugal.gov.pt/viewer/273796/?offset=" TargetMode="External"/><Relationship Id="rId407" Type="http://schemas.openxmlformats.org/officeDocument/2006/relationships/hyperlink" Target="https://permalinkbnd.bnportugal.gov.pt/viewer/273117/?offset=" TargetMode="External"/><Relationship Id="rId449" Type="http://schemas.openxmlformats.org/officeDocument/2006/relationships/hyperlink" Target="https://permalinkbnd.bnportugal.gov.pt/viewer/278039/?offset=" TargetMode="External"/><Relationship Id="rId614" Type="http://schemas.openxmlformats.org/officeDocument/2006/relationships/hyperlink" Target="https://permalinkbnd.bnportugal.gov.pt/viewer/14587/?offset=" TargetMode="External"/><Relationship Id="rId656" Type="http://schemas.openxmlformats.org/officeDocument/2006/relationships/hyperlink" Target="https://permalinkbnd.bnportugal.gov.pt/viewer/272640/?offset=" TargetMode="External"/><Relationship Id="rId821" Type="http://schemas.openxmlformats.org/officeDocument/2006/relationships/hyperlink" Target="https://permalinkbnd.bnportugal.gov.pt/viewer/14598/?offset=" TargetMode="External"/><Relationship Id="rId863" Type="http://schemas.openxmlformats.org/officeDocument/2006/relationships/hyperlink" Target="https://permalinkbnd.bnportugal.gov.pt/viewer/277330/?offset=" TargetMode="External"/><Relationship Id="rId211" Type="http://schemas.openxmlformats.org/officeDocument/2006/relationships/hyperlink" Target="https://permalinkbnd.bnportugal.gov.pt/viewer/272786/?offset=" TargetMode="External"/><Relationship Id="rId253" Type="http://schemas.openxmlformats.org/officeDocument/2006/relationships/hyperlink" Target="https://permalinkbnd.bnportugal.gov.pt/viewer/279168/?offset=" TargetMode="External"/><Relationship Id="rId295" Type="http://schemas.openxmlformats.org/officeDocument/2006/relationships/hyperlink" Target="https://permalinkbnd.bnportugal.gov.pt/viewer/273100/?offset=" TargetMode="External"/><Relationship Id="rId309" Type="http://schemas.openxmlformats.org/officeDocument/2006/relationships/hyperlink" Target="https://permalinkbnd.bnportugal.gov.pt/viewer/273782/?offset=" TargetMode="External"/><Relationship Id="rId460" Type="http://schemas.openxmlformats.org/officeDocument/2006/relationships/hyperlink" Target="https://permalinkbnd.bnportugal.gov.pt/viewer/1897/?offset=" TargetMode="External"/><Relationship Id="rId516" Type="http://schemas.openxmlformats.org/officeDocument/2006/relationships/hyperlink" Target="https://permalinkbnd.bnportugal.gov.pt/viewer/255848/?offset=" TargetMode="External"/><Relationship Id="rId698" Type="http://schemas.openxmlformats.org/officeDocument/2006/relationships/hyperlink" Target="https://permalinkbnd.bnportugal.gov.pt/viewer/14594/?offset=" TargetMode="External"/><Relationship Id="rId48" Type="http://schemas.openxmlformats.org/officeDocument/2006/relationships/hyperlink" Target="https://permalinkbnd.bnportugal.gov.pt/viewer/270331/?offset=" TargetMode="External"/><Relationship Id="rId113" Type="http://schemas.openxmlformats.org/officeDocument/2006/relationships/hyperlink" Target="https://permalinkbnd.bnportugal.gov.pt/viewer/272376/?offset=" TargetMode="External"/><Relationship Id="rId320" Type="http://schemas.openxmlformats.org/officeDocument/2006/relationships/hyperlink" Target="https://permalinkbnd.bnportugal.gov.pt/viewer/272627/?offset=" TargetMode="External"/><Relationship Id="rId558" Type="http://schemas.openxmlformats.org/officeDocument/2006/relationships/hyperlink" Target="https://permalinkbnd.bnportugal.gov.pt/viewer/14632/?offset=" TargetMode="External"/><Relationship Id="rId723" Type="http://schemas.openxmlformats.org/officeDocument/2006/relationships/hyperlink" Target="https://permalinkbnd.bnportugal.gov.pt/viewer/278595/?offset=" TargetMode="External"/><Relationship Id="rId765" Type="http://schemas.openxmlformats.org/officeDocument/2006/relationships/hyperlink" Target="https://permalinkbnd.bnportugal.gov.pt/viewer/14651/?offset=" TargetMode="External"/><Relationship Id="rId155" Type="http://schemas.openxmlformats.org/officeDocument/2006/relationships/hyperlink" Target="https://permalinkbnd.bnportugal.gov.pt/viewer/272728/?offset=" TargetMode="External"/><Relationship Id="rId197" Type="http://schemas.openxmlformats.org/officeDocument/2006/relationships/hyperlink" Target="https://permalinkbnd.bnportugal.gov.pt/viewer/272786/?offset=" TargetMode="External"/><Relationship Id="rId362" Type="http://schemas.openxmlformats.org/officeDocument/2006/relationships/hyperlink" Target="https://permalinkbnd.bnportugal.gov.pt/viewer/272672/?offset=" TargetMode="External"/><Relationship Id="rId418" Type="http://schemas.openxmlformats.org/officeDocument/2006/relationships/hyperlink" Target="https://permalinkbnd.bnportugal.gov.pt/viewer/277452/?offset=" TargetMode="External"/><Relationship Id="rId625" Type="http://schemas.openxmlformats.org/officeDocument/2006/relationships/hyperlink" Target="https://permalinkbnd.bnportugal.gov.pt/viewer/278482/?offset=" TargetMode="External"/><Relationship Id="rId832" Type="http://schemas.openxmlformats.org/officeDocument/2006/relationships/hyperlink" Target="https://permalinkbnd.bnportugal.gov.pt/viewer/14581/?offset=" TargetMode="External"/><Relationship Id="rId222" Type="http://schemas.openxmlformats.org/officeDocument/2006/relationships/hyperlink" Target="https://permalinkbnd.bnportugal.gov.pt/viewer/272786/?offset=" TargetMode="External"/><Relationship Id="rId264" Type="http://schemas.openxmlformats.org/officeDocument/2006/relationships/hyperlink" Target="https://permalinkbnd.bnportugal.gov.pt/viewer/273524/?offset=" TargetMode="External"/><Relationship Id="rId471" Type="http://schemas.openxmlformats.org/officeDocument/2006/relationships/hyperlink" Target="https://permalinkbnd.bnportugal.gov.pt/viewer/278334/?offset=" TargetMode="External"/><Relationship Id="rId667" Type="http://schemas.openxmlformats.org/officeDocument/2006/relationships/hyperlink" Target="https://permalinkbnd.bnportugal.gov.pt/viewer/272640/?offset=" TargetMode="External"/><Relationship Id="rId874" Type="http://schemas.openxmlformats.org/officeDocument/2006/relationships/hyperlink" Target="https://purl.pt/44140" TargetMode="External"/><Relationship Id="rId17" Type="http://schemas.openxmlformats.org/officeDocument/2006/relationships/hyperlink" Target="https://permalinkbnd.bnportugal.gov.pt/viewer/274235/?offset=" TargetMode="External"/><Relationship Id="rId59" Type="http://schemas.openxmlformats.org/officeDocument/2006/relationships/hyperlink" Target="https://permalinkbnd.bnportugal.gov.pt/viewer/274153/?offset=" TargetMode="External"/><Relationship Id="rId124" Type="http://schemas.openxmlformats.org/officeDocument/2006/relationships/hyperlink" Target="https://permalinkbnd.bnportugal.gov.pt/viewer/270138/?offset=" TargetMode="External"/><Relationship Id="rId527" Type="http://schemas.openxmlformats.org/officeDocument/2006/relationships/hyperlink" Target="https://permalinkbnd.bnportugal.gov.pt/viewer/14629/?offset=" TargetMode="External"/><Relationship Id="rId569" Type="http://schemas.openxmlformats.org/officeDocument/2006/relationships/hyperlink" Target="https://permalinkbnd.bnportugal.gov.pt/viewer/274466/?offset=" TargetMode="External"/><Relationship Id="rId734" Type="http://schemas.openxmlformats.org/officeDocument/2006/relationships/hyperlink" Target="https://permalinkbnd.bnportugal.gov.pt/viewer/278795/?offset=" TargetMode="External"/><Relationship Id="rId776" Type="http://schemas.openxmlformats.org/officeDocument/2006/relationships/hyperlink" Target="https://permalinkbnd.bnportugal.gov.pt/viewer/14628/?offset=" TargetMode="External"/><Relationship Id="rId70" Type="http://schemas.openxmlformats.org/officeDocument/2006/relationships/hyperlink" Target="https://permalinkbnd.bnportugal.gov.pt/viewer/14040/?offset=" TargetMode="External"/><Relationship Id="rId166" Type="http://schemas.openxmlformats.org/officeDocument/2006/relationships/hyperlink" Target="https://permalinkbnd.bnportugal.gov.pt/viewer/280467/?offset=" TargetMode="External"/><Relationship Id="rId331" Type="http://schemas.openxmlformats.org/officeDocument/2006/relationships/hyperlink" Target="https://permalinkbnd.bnportugal.gov.pt/viewer/277151/?offset=" TargetMode="External"/><Relationship Id="rId373" Type="http://schemas.openxmlformats.org/officeDocument/2006/relationships/hyperlink" Target="https://permalinkbnd.bnportugal.gov.pt/viewer/276783/?offset=" TargetMode="External"/><Relationship Id="rId429" Type="http://schemas.openxmlformats.org/officeDocument/2006/relationships/hyperlink" Target="https://permalinkbnd.bnportugal.gov.pt/viewer/273869/?offset=" TargetMode="External"/><Relationship Id="rId580" Type="http://schemas.openxmlformats.org/officeDocument/2006/relationships/hyperlink" Target="https://permalinkbnd.bnportugal.gov.pt/viewer/14624/?offset=" TargetMode="External"/><Relationship Id="rId636" Type="http://schemas.openxmlformats.org/officeDocument/2006/relationships/hyperlink" Target="https://permalinkbnd.bnportugal.gov.pt/viewer/274032/?offset=" TargetMode="External"/><Relationship Id="rId801" Type="http://schemas.openxmlformats.org/officeDocument/2006/relationships/hyperlink" Target="https://permalinkbnd.bnportugal.gov.pt/viewer/14628/?offset=" TargetMode="External"/><Relationship Id="rId1" Type="http://schemas.openxmlformats.org/officeDocument/2006/relationships/hyperlink" Target="https://permalinkbnd.bnportugal.gov.pt/viewer/272369/?offset=" TargetMode="External"/><Relationship Id="rId233" Type="http://schemas.openxmlformats.org/officeDocument/2006/relationships/hyperlink" Target="https://permalinkbnd.bnportugal.gov.pt/viewer/281142/?offset=" TargetMode="External"/><Relationship Id="rId440" Type="http://schemas.openxmlformats.org/officeDocument/2006/relationships/hyperlink" Target="https://permalinkbnd.bnportugal.gov.pt/viewer/273912/?offset=" TargetMode="External"/><Relationship Id="rId678" Type="http://schemas.openxmlformats.org/officeDocument/2006/relationships/hyperlink" Target="https://permalinkbnd.bnportugal.gov.pt/viewer/272640/?offset=" TargetMode="External"/><Relationship Id="rId843" Type="http://schemas.openxmlformats.org/officeDocument/2006/relationships/hyperlink" Target="https://permalinkbnd.bnportugal.gov.pt/viewer/35163/?offset=" TargetMode="External"/><Relationship Id="rId28" Type="http://schemas.openxmlformats.org/officeDocument/2006/relationships/hyperlink" Target="https://permalinkbnd.bnportugal.gov.pt/viewer/273148/?offset=" TargetMode="External"/><Relationship Id="rId275" Type="http://schemas.openxmlformats.org/officeDocument/2006/relationships/hyperlink" Target="https://permalinkbnd.bnportugal.gov.pt/viewer/280465/?offset=" TargetMode="External"/><Relationship Id="rId300" Type="http://schemas.openxmlformats.org/officeDocument/2006/relationships/hyperlink" Target="https://permalinkbnd.bnportugal.gov.pt/viewer/273782/?offset=" TargetMode="External"/><Relationship Id="rId482" Type="http://schemas.openxmlformats.org/officeDocument/2006/relationships/hyperlink" Target="https://permalinkbnd.bnportugal.gov.pt/viewer/273944/?offset=" TargetMode="External"/><Relationship Id="rId538" Type="http://schemas.openxmlformats.org/officeDocument/2006/relationships/hyperlink" Target="https://permalinkbnd.bnportugal.gov.pt/viewer/14639/?offset=" TargetMode="External"/><Relationship Id="rId703" Type="http://schemas.openxmlformats.org/officeDocument/2006/relationships/hyperlink" Target="https://permalinkbnd.bnportugal.gov.pt/viewer/14594/?offset=" TargetMode="External"/><Relationship Id="rId745" Type="http://schemas.openxmlformats.org/officeDocument/2006/relationships/hyperlink" Target="https://permalinkbnd.bnportugal.gov.pt/viewer/256552/?offset=" TargetMode="External"/><Relationship Id="rId81" Type="http://schemas.openxmlformats.org/officeDocument/2006/relationships/hyperlink" Target="https://permalinkbnd.bnportugal.gov.pt/viewer/37132/?offset=" TargetMode="External"/><Relationship Id="rId135" Type="http://schemas.openxmlformats.org/officeDocument/2006/relationships/hyperlink" Target="https://permalinkbnd.bnportugal.gov.pt/viewer/273233/?offset=" TargetMode="External"/><Relationship Id="rId177" Type="http://schemas.openxmlformats.org/officeDocument/2006/relationships/hyperlink" Target="https://permalinkbnd.bnportugal.gov.pt/viewer/39315/?offset=" TargetMode="External"/><Relationship Id="rId342" Type="http://schemas.openxmlformats.org/officeDocument/2006/relationships/hyperlink" Target="https://permalinkbnd.bnportugal.gov.pt/viewer/273814/?offset=" TargetMode="External"/><Relationship Id="rId384" Type="http://schemas.openxmlformats.org/officeDocument/2006/relationships/hyperlink" Target="https://permalinkbnd.bnportugal.gov.pt/viewer/276787/?offset=" TargetMode="External"/><Relationship Id="rId591" Type="http://schemas.openxmlformats.org/officeDocument/2006/relationships/hyperlink" Target="https://permalinkbnd.bnportugal.gov.pt/viewer/14624/?offset=" TargetMode="External"/><Relationship Id="rId605" Type="http://schemas.openxmlformats.org/officeDocument/2006/relationships/hyperlink" Target="https://permalinkbnd.bnportugal.gov.pt/viewer/14587/?offset=" TargetMode="External"/><Relationship Id="rId787" Type="http://schemas.openxmlformats.org/officeDocument/2006/relationships/hyperlink" Target="https://permalinkbnd.bnportugal.gov.pt/viewer/14628/?offset=" TargetMode="External"/><Relationship Id="rId812" Type="http://schemas.openxmlformats.org/officeDocument/2006/relationships/hyperlink" Target="https://permalinkbnd.bnportugal.gov.pt/viewer/14628/?offset=" TargetMode="External"/><Relationship Id="rId202" Type="http://schemas.openxmlformats.org/officeDocument/2006/relationships/hyperlink" Target="https://permalinkbnd.bnportugal.gov.pt/viewer/272786/?offset=" TargetMode="External"/><Relationship Id="rId244" Type="http://schemas.openxmlformats.org/officeDocument/2006/relationships/hyperlink" Target="https://permalinkbnd.bnportugal.gov.pt/viewer/272626/?offset=" TargetMode="External"/><Relationship Id="rId647" Type="http://schemas.openxmlformats.org/officeDocument/2006/relationships/hyperlink" Target="https://permalinkbnd.bnportugal.gov.pt/viewer/278664/?offset=" TargetMode="External"/><Relationship Id="rId689" Type="http://schemas.openxmlformats.org/officeDocument/2006/relationships/hyperlink" Target="https://permalinkbnd.bnportugal.gov.pt/viewer/14594/?offset=" TargetMode="External"/><Relationship Id="rId854" Type="http://schemas.openxmlformats.org/officeDocument/2006/relationships/hyperlink" Target="https://permalinkbnd.bnportugal.gov.pt/viewer/275038/?offset=" TargetMode="External"/><Relationship Id="rId39" Type="http://schemas.openxmlformats.org/officeDocument/2006/relationships/hyperlink" Target="https://permalinkbnd.bnportugal.gov.pt/viewer/274348/?offset=" TargetMode="External"/><Relationship Id="rId286" Type="http://schemas.openxmlformats.org/officeDocument/2006/relationships/hyperlink" Target="https://permalinkbnd.bnportugal.gov.pt/viewer/280465/?offset=" TargetMode="External"/><Relationship Id="rId451" Type="http://schemas.openxmlformats.org/officeDocument/2006/relationships/hyperlink" Target="https://permalinkbnd.bnportugal.gov.pt/viewer/278038/?offset=" TargetMode="External"/><Relationship Id="rId493" Type="http://schemas.openxmlformats.org/officeDocument/2006/relationships/hyperlink" Target="https://permalinkbnd.bnportugal.gov.pt/viewer/273944/?offset=" TargetMode="External"/><Relationship Id="rId507" Type="http://schemas.openxmlformats.org/officeDocument/2006/relationships/hyperlink" Target="https://permalinkbnd.bnportugal.gov.pt/viewer/255848/?offset=" TargetMode="External"/><Relationship Id="rId549" Type="http://schemas.openxmlformats.org/officeDocument/2006/relationships/hyperlink" Target="https://permalinkbnd.bnportugal.gov.pt/viewer/14621/?offset=" TargetMode="External"/><Relationship Id="rId714" Type="http://schemas.openxmlformats.org/officeDocument/2006/relationships/hyperlink" Target="https://permalinkbnd.bnportugal.gov.pt/viewer/278662/?offset=" TargetMode="External"/><Relationship Id="rId756" Type="http://schemas.openxmlformats.org/officeDocument/2006/relationships/hyperlink" Target="https://permalinkbnd.bnportugal.gov.pt/viewer/3/?offset=" TargetMode="External"/><Relationship Id="rId50" Type="http://schemas.openxmlformats.org/officeDocument/2006/relationships/hyperlink" Target="https://permalinkbnd.bnportugal.gov.pt/viewer/270345/?offset=" TargetMode="External"/><Relationship Id="rId104" Type="http://schemas.openxmlformats.org/officeDocument/2006/relationships/hyperlink" Target="https://permalinkbnd.bnportugal.gov.pt/viewer/272381/?offset=" TargetMode="External"/><Relationship Id="rId146" Type="http://schemas.openxmlformats.org/officeDocument/2006/relationships/hyperlink" Target="https://permalinkbnd.bnportugal.gov.pt/viewer/273346/?offset=" TargetMode="External"/><Relationship Id="rId188" Type="http://schemas.openxmlformats.org/officeDocument/2006/relationships/hyperlink" Target="https://permalinkbnd.bnportugal.gov.pt/viewer/272729/?offset=" TargetMode="External"/><Relationship Id="rId311" Type="http://schemas.openxmlformats.org/officeDocument/2006/relationships/hyperlink" Target="https://permalinkbnd.bnportugal.gov.pt/viewer/273782/?offset=" TargetMode="External"/><Relationship Id="rId353" Type="http://schemas.openxmlformats.org/officeDocument/2006/relationships/hyperlink" Target="https://permalinkbnd.bnportugal.gov.pt/viewer/277150/?offset=" TargetMode="External"/><Relationship Id="rId395" Type="http://schemas.openxmlformats.org/officeDocument/2006/relationships/hyperlink" Target="https://permalinkbnd.bnportugal.gov.pt/viewer/273101/?offset=" TargetMode="External"/><Relationship Id="rId409" Type="http://schemas.openxmlformats.org/officeDocument/2006/relationships/hyperlink" Target="https://permalinkbnd.bnportugal.gov.pt/viewer/273120/?offset=" TargetMode="External"/><Relationship Id="rId560" Type="http://schemas.openxmlformats.org/officeDocument/2006/relationships/hyperlink" Target="https://permalinkbnd.bnportugal.gov.pt/viewer/14680/?offset=" TargetMode="External"/><Relationship Id="rId798" Type="http://schemas.openxmlformats.org/officeDocument/2006/relationships/hyperlink" Target="https://permalinkbnd.bnportugal.gov.pt/viewer/14628/?offset=" TargetMode="External"/><Relationship Id="rId92" Type="http://schemas.openxmlformats.org/officeDocument/2006/relationships/hyperlink" Target="https://permalinkbnd.bnportugal.gov.pt/viewer/274166/?offset=" TargetMode="External"/><Relationship Id="rId213" Type="http://schemas.openxmlformats.org/officeDocument/2006/relationships/hyperlink" Target="https://permalinkbnd.bnportugal.gov.pt/viewer/272786/?offset=" TargetMode="External"/><Relationship Id="rId420" Type="http://schemas.openxmlformats.org/officeDocument/2006/relationships/hyperlink" Target="https://permalinkbnd.bnportugal.gov.pt/viewer/277488/?offset=" TargetMode="External"/><Relationship Id="rId616" Type="http://schemas.openxmlformats.org/officeDocument/2006/relationships/hyperlink" Target="https://permalinkbnd.bnportugal.gov.pt/viewer/14587/?offset=" TargetMode="External"/><Relationship Id="rId658" Type="http://schemas.openxmlformats.org/officeDocument/2006/relationships/hyperlink" Target="https://permalinkbnd.bnportugal.gov.pt/viewer/272640/?offset=" TargetMode="External"/><Relationship Id="rId823" Type="http://schemas.openxmlformats.org/officeDocument/2006/relationships/hyperlink" Target="https://permalinkbnd.bnportugal.gov.pt/viewer/14598/?offset=" TargetMode="External"/><Relationship Id="rId865" Type="http://schemas.openxmlformats.org/officeDocument/2006/relationships/hyperlink" Target="https://permalinkbnd.bnportugal.gov.pt/viewer/277332/?offset=" TargetMode="External"/><Relationship Id="rId255" Type="http://schemas.openxmlformats.org/officeDocument/2006/relationships/hyperlink" Target="https://permalinkbnd.bnportugal.gov.pt/viewer/279168/?offset=" TargetMode="External"/><Relationship Id="rId297" Type="http://schemas.openxmlformats.org/officeDocument/2006/relationships/hyperlink" Target="https://permalinkbnd.bnportugal.gov.pt/viewer/273782/?offset=" TargetMode="External"/><Relationship Id="rId462" Type="http://schemas.openxmlformats.org/officeDocument/2006/relationships/hyperlink" Target="https://permalinkbnd.bnportugal.gov.pt/viewer/1897/?offset=" TargetMode="External"/><Relationship Id="rId518" Type="http://schemas.openxmlformats.org/officeDocument/2006/relationships/hyperlink" Target="https://permalinkbnd.bnportugal.gov.pt/viewer/255848/?offset=" TargetMode="External"/><Relationship Id="rId725" Type="http://schemas.openxmlformats.org/officeDocument/2006/relationships/hyperlink" Target="https://permalinkbnd.bnportugal.gov.pt/viewer/278668/?offset=" TargetMode="External"/><Relationship Id="rId115" Type="http://schemas.openxmlformats.org/officeDocument/2006/relationships/hyperlink" Target="https://permalinkbnd.bnportugal.gov.pt/viewer/272389/?offset=" TargetMode="External"/><Relationship Id="rId157" Type="http://schemas.openxmlformats.org/officeDocument/2006/relationships/hyperlink" Target="https://permalinkbnd.bnportugal.gov.pt/viewer/33718/?offset=" TargetMode="External"/><Relationship Id="rId322" Type="http://schemas.openxmlformats.org/officeDocument/2006/relationships/hyperlink" Target="https://permalinkbnd.bnportugal.gov.pt/viewer/272627/?offset=" TargetMode="External"/><Relationship Id="rId364" Type="http://schemas.openxmlformats.org/officeDocument/2006/relationships/hyperlink" Target="https://permalinkbnd.bnportugal.gov.pt/viewer/272672/?offset=" TargetMode="External"/><Relationship Id="rId767" Type="http://schemas.openxmlformats.org/officeDocument/2006/relationships/hyperlink" Target="https://permalinkbnd.bnportugal.gov.pt/viewer/14666/?offset=" TargetMode="External"/><Relationship Id="rId61" Type="http://schemas.openxmlformats.org/officeDocument/2006/relationships/hyperlink" Target="https://permalinkbnd.bnportugal.gov.pt/viewer/273182/?offset=" TargetMode="External"/><Relationship Id="rId199" Type="http://schemas.openxmlformats.org/officeDocument/2006/relationships/hyperlink" Target="https://permalinkbnd.bnportugal.gov.pt/viewer/272786/?offset=" TargetMode="External"/><Relationship Id="rId571" Type="http://schemas.openxmlformats.org/officeDocument/2006/relationships/hyperlink" Target="https://permalinkbnd.bnportugal.gov.pt/viewer/278408/?offset=" TargetMode="External"/><Relationship Id="rId627" Type="http://schemas.openxmlformats.org/officeDocument/2006/relationships/hyperlink" Target="https://permalinkbnd.bnportugal.gov.pt/viewer/14622/?offset=" TargetMode="External"/><Relationship Id="rId669" Type="http://schemas.openxmlformats.org/officeDocument/2006/relationships/hyperlink" Target="https://permalinkbnd.bnportugal.gov.pt/viewer/272640/?offset=" TargetMode="External"/><Relationship Id="rId834" Type="http://schemas.openxmlformats.org/officeDocument/2006/relationships/hyperlink" Target="https://permalinkbnd.bnportugal.gov.pt/viewer/14581/?offset=" TargetMode="External"/><Relationship Id="rId876" Type="http://schemas.openxmlformats.org/officeDocument/2006/relationships/hyperlink" Target="https://purl.pt/44140" TargetMode="External"/><Relationship Id="rId19" Type="http://schemas.openxmlformats.org/officeDocument/2006/relationships/hyperlink" Target="https://permalinkbnd.bnportugal.gov.pt/viewer/273149/?offset=" TargetMode="External"/><Relationship Id="rId224" Type="http://schemas.openxmlformats.org/officeDocument/2006/relationships/hyperlink" Target="https://permalinkbnd.bnportugal.gov.pt/viewer/272786/?offset=" TargetMode="External"/><Relationship Id="rId266" Type="http://schemas.openxmlformats.org/officeDocument/2006/relationships/hyperlink" Target="https://permalinkbnd.bnportugal.gov.pt/viewer/273524/?offset=" TargetMode="External"/><Relationship Id="rId431" Type="http://schemas.openxmlformats.org/officeDocument/2006/relationships/hyperlink" Target="https://permalinkbnd.bnportugal.gov.pt/viewer/273869/?offset=" TargetMode="External"/><Relationship Id="rId473" Type="http://schemas.openxmlformats.org/officeDocument/2006/relationships/hyperlink" Target="https://permalinkbnd.bnportugal.gov.pt/viewer/273178/?offset=" TargetMode="External"/><Relationship Id="rId529" Type="http://schemas.openxmlformats.org/officeDocument/2006/relationships/hyperlink" Target="https://permalinkbnd.bnportugal.gov.pt/viewer/14629/?offset=" TargetMode="External"/><Relationship Id="rId680" Type="http://schemas.openxmlformats.org/officeDocument/2006/relationships/hyperlink" Target="https://permalinkbnd.bnportugal.gov.pt/viewer/272640/?offset=" TargetMode="External"/><Relationship Id="rId736" Type="http://schemas.openxmlformats.org/officeDocument/2006/relationships/hyperlink" Target="https://permalinkbnd.bnportugal.gov.pt/viewer/278795/?offset=" TargetMode="External"/><Relationship Id="rId30" Type="http://schemas.openxmlformats.org/officeDocument/2006/relationships/hyperlink" Target="https://permalinkbnd.bnportugal.gov.pt/viewer/1576/?offset=" TargetMode="External"/><Relationship Id="rId126" Type="http://schemas.openxmlformats.org/officeDocument/2006/relationships/hyperlink" Target="https://permalinkbnd.bnportugal.gov.pt/viewer/270138/?offset=" TargetMode="External"/><Relationship Id="rId168" Type="http://schemas.openxmlformats.org/officeDocument/2006/relationships/hyperlink" Target="https://permalinkbnd.bnportugal.gov.pt/viewer/36160/?offset=" TargetMode="External"/><Relationship Id="rId333" Type="http://schemas.openxmlformats.org/officeDocument/2006/relationships/hyperlink" Target="https://permalinkbnd.bnportugal.gov.pt/viewer/277151/?offset=" TargetMode="External"/><Relationship Id="rId540" Type="http://schemas.openxmlformats.org/officeDocument/2006/relationships/hyperlink" Target="https://permalinkbnd.bnportugal.gov.pt/viewer/14639/?offset=" TargetMode="External"/><Relationship Id="rId778" Type="http://schemas.openxmlformats.org/officeDocument/2006/relationships/hyperlink" Target="https://permalinkbnd.bnportugal.gov.pt/viewer/14628/?offset=" TargetMode="External"/><Relationship Id="rId72" Type="http://schemas.openxmlformats.org/officeDocument/2006/relationships/hyperlink" Target="https://permalinkbnd.bnportugal.gov.pt/viewer/36741/?offset=" TargetMode="External"/><Relationship Id="rId375" Type="http://schemas.openxmlformats.org/officeDocument/2006/relationships/hyperlink" Target="https://permalinkbnd.bnportugal.gov.pt/viewer/276790/?offset=" TargetMode="External"/><Relationship Id="rId582" Type="http://schemas.openxmlformats.org/officeDocument/2006/relationships/hyperlink" Target="https://permalinkbnd.bnportugal.gov.pt/viewer/14624/?offset=" TargetMode="External"/><Relationship Id="rId638" Type="http://schemas.openxmlformats.org/officeDocument/2006/relationships/hyperlink" Target="https://permalinkbnd.bnportugal.gov.pt/viewer/274032/?offset=" TargetMode="External"/><Relationship Id="rId803" Type="http://schemas.openxmlformats.org/officeDocument/2006/relationships/hyperlink" Target="https://permalinkbnd.bnportugal.gov.pt/viewer/14628/?offset=" TargetMode="External"/><Relationship Id="rId845" Type="http://schemas.openxmlformats.org/officeDocument/2006/relationships/hyperlink" Target="https://permalinkbnd.bnportugal.gov.pt/viewer/14644/?offset=" TargetMode="External"/><Relationship Id="rId3" Type="http://schemas.openxmlformats.org/officeDocument/2006/relationships/hyperlink" Target="https://permalinkbnd.bnportugal.gov.pt/viewer/271573/?offset=" TargetMode="External"/><Relationship Id="rId235" Type="http://schemas.openxmlformats.org/officeDocument/2006/relationships/hyperlink" Target="https://permalinkbnd.bnportugal.gov.pt/viewer/274457/?offset=" TargetMode="External"/><Relationship Id="rId277" Type="http://schemas.openxmlformats.org/officeDocument/2006/relationships/hyperlink" Target="https://permalinkbnd.bnportugal.gov.pt/viewer/280465/?offset=" TargetMode="External"/><Relationship Id="rId400" Type="http://schemas.openxmlformats.org/officeDocument/2006/relationships/hyperlink" Target="https://permalinkbnd.bnportugal.gov.pt/viewer/277455/?offset=" TargetMode="External"/><Relationship Id="rId442" Type="http://schemas.openxmlformats.org/officeDocument/2006/relationships/hyperlink" Target="https://permalinkbnd.bnportugal.gov.pt/viewer/272639/?offset=" TargetMode="External"/><Relationship Id="rId484" Type="http://schemas.openxmlformats.org/officeDocument/2006/relationships/hyperlink" Target="https://permalinkbnd.bnportugal.gov.pt/viewer/273944/?offset=" TargetMode="External"/><Relationship Id="rId705" Type="http://schemas.openxmlformats.org/officeDocument/2006/relationships/hyperlink" Target="https://permalinkbnd.bnportugal.gov.pt/viewer/89062/?offset=" TargetMode="External"/><Relationship Id="rId137" Type="http://schemas.openxmlformats.org/officeDocument/2006/relationships/hyperlink" Target="https://permalinkbnd.bnportugal.gov.pt/viewer/270087/?offset=" TargetMode="External"/><Relationship Id="rId302" Type="http://schemas.openxmlformats.org/officeDocument/2006/relationships/hyperlink" Target="https://permalinkbnd.bnportugal.gov.pt/viewer/273782/?offset=" TargetMode="External"/><Relationship Id="rId344" Type="http://schemas.openxmlformats.org/officeDocument/2006/relationships/hyperlink" Target="https://permalinkbnd.bnportugal.gov.pt/viewer/277150/?offset=" TargetMode="External"/><Relationship Id="rId691" Type="http://schemas.openxmlformats.org/officeDocument/2006/relationships/hyperlink" Target="https://permalinkbnd.bnportugal.gov.pt/viewer/14594/?offset=" TargetMode="External"/><Relationship Id="rId747" Type="http://schemas.openxmlformats.org/officeDocument/2006/relationships/hyperlink" Target="https://permalinkbnd.bnportugal.gov.pt/viewer/256552/?offset=" TargetMode="External"/><Relationship Id="rId789" Type="http://schemas.openxmlformats.org/officeDocument/2006/relationships/hyperlink" Target="https://permalinkbnd.bnportugal.gov.pt/viewer/14628/?offset=" TargetMode="External"/><Relationship Id="rId41" Type="http://schemas.openxmlformats.org/officeDocument/2006/relationships/hyperlink" Target="https://permalinkbnd.bnportugal.gov.pt/viewer/273798/?offset=" TargetMode="External"/><Relationship Id="rId83" Type="http://schemas.openxmlformats.org/officeDocument/2006/relationships/hyperlink" Target="https://permalinkbnd.bnportugal.gov.pt/viewer/37092/?offset=" TargetMode="External"/><Relationship Id="rId179" Type="http://schemas.openxmlformats.org/officeDocument/2006/relationships/hyperlink" Target="https://permalinkbnd.bnportugal.gov.pt/viewer/272737/?offset=" TargetMode="External"/><Relationship Id="rId386" Type="http://schemas.openxmlformats.org/officeDocument/2006/relationships/hyperlink" Target="https://permalinkbnd.bnportugal.gov.pt/viewer/273746/?offset=" TargetMode="External"/><Relationship Id="rId551" Type="http://schemas.openxmlformats.org/officeDocument/2006/relationships/hyperlink" Target="https://permalinkbnd.bnportugal.gov.pt/viewer/14621/?offset=" TargetMode="External"/><Relationship Id="rId593" Type="http://schemas.openxmlformats.org/officeDocument/2006/relationships/hyperlink" Target="https://permalinkbnd.bnportugal.gov.pt/viewer/14624/?offset=" TargetMode="External"/><Relationship Id="rId607" Type="http://schemas.openxmlformats.org/officeDocument/2006/relationships/hyperlink" Target="https://permalinkbnd.bnportugal.gov.pt/viewer/14587/?offset=" TargetMode="External"/><Relationship Id="rId649" Type="http://schemas.openxmlformats.org/officeDocument/2006/relationships/hyperlink" Target="https://permalinkbnd.bnportugal.gov.pt/viewer/278669/?offset=" TargetMode="External"/><Relationship Id="rId814" Type="http://schemas.openxmlformats.org/officeDocument/2006/relationships/hyperlink" Target="https://permalinkbnd.bnportugal.gov.pt/viewer/14628/?offset=" TargetMode="External"/><Relationship Id="rId856" Type="http://schemas.openxmlformats.org/officeDocument/2006/relationships/hyperlink" Target="https://permalinkbnd.bnportugal.gov.pt/viewer/1880/?offset=" TargetMode="External"/><Relationship Id="rId190" Type="http://schemas.openxmlformats.org/officeDocument/2006/relationships/hyperlink" Target="https://permalinkbnd.bnportugal.gov.pt/viewer/272786/?offset=" TargetMode="External"/><Relationship Id="rId204" Type="http://schemas.openxmlformats.org/officeDocument/2006/relationships/hyperlink" Target="https://permalinkbnd.bnportugal.gov.pt/viewer/272786/?offset=" TargetMode="External"/><Relationship Id="rId246" Type="http://schemas.openxmlformats.org/officeDocument/2006/relationships/hyperlink" Target="https://permalinkbnd.bnportugal.gov.pt/viewer/272626/?offset=" TargetMode="External"/><Relationship Id="rId288" Type="http://schemas.openxmlformats.org/officeDocument/2006/relationships/hyperlink" Target="https://permalinkbnd.bnportugal.gov.pt/viewer/275164/?offset=" TargetMode="External"/><Relationship Id="rId411" Type="http://schemas.openxmlformats.org/officeDocument/2006/relationships/hyperlink" Target="https://permalinkbnd.bnportugal.gov.pt/viewer/277452/?offset=" TargetMode="External"/><Relationship Id="rId453" Type="http://schemas.openxmlformats.org/officeDocument/2006/relationships/hyperlink" Target="https://permalinkbnd.bnportugal.gov.pt/viewer/278032/?offset=" TargetMode="External"/><Relationship Id="rId509" Type="http://schemas.openxmlformats.org/officeDocument/2006/relationships/hyperlink" Target="https://permalinkbnd.bnportugal.gov.pt/viewer/255848/?offset=" TargetMode="External"/><Relationship Id="rId660" Type="http://schemas.openxmlformats.org/officeDocument/2006/relationships/hyperlink" Target="https://permalinkbnd.bnportugal.gov.pt/viewer/272640/?offset=" TargetMode="External"/><Relationship Id="rId106" Type="http://schemas.openxmlformats.org/officeDocument/2006/relationships/hyperlink" Target="https://permalinkbnd.bnportugal.gov.pt/viewer/272381/?offset=" TargetMode="External"/><Relationship Id="rId313" Type="http://schemas.openxmlformats.org/officeDocument/2006/relationships/hyperlink" Target="https://permalinkbnd.bnportugal.gov.pt/viewer/273782/?offset=" TargetMode="External"/><Relationship Id="rId495" Type="http://schemas.openxmlformats.org/officeDocument/2006/relationships/hyperlink" Target="https://permalinkbnd.bnportugal.gov.pt/viewer/273944/?offset=" TargetMode="External"/><Relationship Id="rId716" Type="http://schemas.openxmlformats.org/officeDocument/2006/relationships/hyperlink" Target="https://permalinkbnd.bnportugal.gov.pt/viewer/278491/?offset=" TargetMode="External"/><Relationship Id="rId758" Type="http://schemas.openxmlformats.org/officeDocument/2006/relationships/hyperlink" Target="https://permalinkbnd.bnportugal.gov.pt/viewer/3/?offset=" TargetMode="External"/><Relationship Id="rId10" Type="http://schemas.openxmlformats.org/officeDocument/2006/relationships/hyperlink" Target="https://permalinkbnd.bnportugal.gov.pt/viewer/270109/?offset=" TargetMode="External"/><Relationship Id="rId52" Type="http://schemas.openxmlformats.org/officeDocument/2006/relationships/hyperlink" Target="https://permalinkbnd.bnportugal.gov.pt/viewer/270116/?offset=" TargetMode="External"/><Relationship Id="rId94" Type="http://schemas.openxmlformats.org/officeDocument/2006/relationships/hyperlink" Target="https://permalinkbnd.bnportugal.gov.pt/viewer/273943/?offset=" TargetMode="External"/><Relationship Id="rId148" Type="http://schemas.openxmlformats.org/officeDocument/2006/relationships/hyperlink" Target="https://permalinkbnd.bnportugal.gov.pt/viewer/274342/?offset=" TargetMode="External"/><Relationship Id="rId355" Type="http://schemas.openxmlformats.org/officeDocument/2006/relationships/hyperlink" Target="https://permalinkbnd.bnportugal.gov.pt/viewer/281138/?offset=" TargetMode="External"/><Relationship Id="rId397" Type="http://schemas.openxmlformats.org/officeDocument/2006/relationships/hyperlink" Target="https://permalinkbnd.bnportugal.gov.pt/viewer/277369/?offset=" TargetMode="External"/><Relationship Id="rId520" Type="http://schemas.openxmlformats.org/officeDocument/2006/relationships/hyperlink" Target="https://permalinkbnd.bnportugal.gov.pt/viewer/255848/?offset=" TargetMode="External"/><Relationship Id="rId562" Type="http://schemas.openxmlformats.org/officeDocument/2006/relationships/hyperlink" Target="https://permalinkbnd.bnportugal.gov.pt/viewer/14578/?offset=" TargetMode="External"/><Relationship Id="rId618" Type="http://schemas.openxmlformats.org/officeDocument/2006/relationships/hyperlink" Target="https://permalinkbnd.bnportugal.gov.pt/viewer/14587/?offset=" TargetMode="External"/><Relationship Id="rId825" Type="http://schemas.openxmlformats.org/officeDocument/2006/relationships/hyperlink" Target="https://permalinkbnd.bnportugal.gov.pt/viewer/14598/?offset=" TargetMode="External"/><Relationship Id="rId215" Type="http://schemas.openxmlformats.org/officeDocument/2006/relationships/hyperlink" Target="https://permalinkbnd.bnportugal.gov.pt/viewer/272786/?offset=" TargetMode="External"/><Relationship Id="rId257" Type="http://schemas.openxmlformats.org/officeDocument/2006/relationships/hyperlink" Target="https://permalinkbnd.bnportugal.gov.pt/viewer/279168/?offset=" TargetMode="External"/><Relationship Id="rId422" Type="http://schemas.openxmlformats.org/officeDocument/2006/relationships/hyperlink" Target="https://permalinkbnd.bnportugal.gov.pt/viewer/272638/?offset=" TargetMode="External"/><Relationship Id="rId464" Type="http://schemas.openxmlformats.org/officeDocument/2006/relationships/hyperlink" Target="https://permalinkbnd.bnportugal.gov.pt/viewer/278157/?offset=" TargetMode="External"/><Relationship Id="rId867" Type="http://schemas.openxmlformats.org/officeDocument/2006/relationships/hyperlink" Target="https://purl.pt/44140" TargetMode="External"/><Relationship Id="rId299" Type="http://schemas.openxmlformats.org/officeDocument/2006/relationships/hyperlink" Target="https://permalinkbnd.bnportugal.gov.pt/viewer/273782/?offset=" TargetMode="External"/><Relationship Id="rId727" Type="http://schemas.openxmlformats.org/officeDocument/2006/relationships/hyperlink" Target="https://permalinkbnd.bnportugal.gov.pt/viewer/278795/?offset=" TargetMode="External"/><Relationship Id="rId63" Type="http://schemas.openxmlformats.org/officeDocument/2006/relationships/hyperlink" Target="https://permalinkbnd.bnportugal.gov.pt/viewer/273319/?offset=" TargetMode="External"/><Relationship Id="rId159" Type="http://schemas.openxmlformats.org/officeDocument/2006/relationships/hyperlink" Target="https://permalinkbnd.bnportugal.gov.pt/viewer/36775/?offset=" TargetMode="External"/><Relationship Id="rId366" Type="http://schemas.openxmlformats.org/officeDocument/2006/relationships/hyperlink" Target="https://permalinkbnd.bnportugal.gov.pt/viewer/272668/?offset=" TargetMode="External"/><Relationship Id="rId573" Type="http://schemas.openxmlformats.org/officeDocument/2006/relationships/hyperlink" Target="https://permalinkbnd.bnportugal.gov.pt/viewer/14624/?offset=" TargetMode="External"/><Relationship Id="rId780" Type="http://schemas.openxmlformats.org/officeDocument/2006/relationships/hyperlink" Target="https://permalinkbnd.bnportugal.gov.pt/viewer/14628/?offset=" TargetMode="External"/><Relationship Id="rId226" Type="http://schemas.openxmlformats.org/officeDocument/2006/relationships/hyperlink" Target="https://permalinkbnd.bnportugal.gov.pt/viewer/272786/?offset=" TargetMode="External"/><Relationship Id="rId433" Type="http://schemas.openxmlformats.org/officeDocument/2006/relationships/hyperlink" Target="https://permalinkbnd.bnportugal.gov.pt/viewer/273869/?offset=" TargetMode="External"/><Relationship Id="rId878" Type="http://schemas.openxmlformats.org/officeDocument/2006/relationships/hyperlink" Target="https://purl.pt/44140" TargetMode="External"/><Relationship Id="rId640" Type="http://schemas.openxmlformats.org/officeDocument/2006/relationships/hyperlink" Target="https://permalinkbnd.bnportugal.gov.pt/viewer/6839/?offset=" TargetMode="External"/><Relationship Id="rId738" Type="http://schemas.openxmlformats.org/officeDocument/2006/relationships/hyperlink" Target="https://permalinkbnd.bnportugal.gov.pt/viewer/279624/?offset=" TargetMode="External"/><Relationship Id="rId74" Type="http://schemas.openxmlformats.org/officeDocument/2006/relationships/hyperlink" Target="https://permalinkbnd.bnportugal.gov.pt/viewer/37208/?offset=" TargetMode="External"/><Relationship Id="rId377" Type="http://schemas.openxmlformats.org/officeDocument/2006/relationships/hyperlink" Target="https://permalinkbnd.bnportugal.gov.pt/viewer/276785/?offset=" TargetMode="External"/><Relationship Id="rId500" Type="http://schemas.openxmlformats.org/officeDocument/2006/relationships/hyperlink" Target="https://permalinkbnd.bnportugal.gov.pt/viewer/255848/?offset=" TargetMode="External"/><Relationship Id="rId584" Type="http://schemas.openxmlformats.org/officeDocument/2006/relationships/hyperlink" Target="https://permalinkbnd.bnportugal.gov.pt/viewer/14624/?offset=" TargetMode="External"/><Relationship Id="rId805" Type="http://schemas.openxmlformats.org/officeDocument/2006/relationships/hyperlink" Target="https://permalinkbnd.bnportugal.gov.pt/viewer/14628/?offset=" TargetMode="External"/><Relationship Id="rId5" Type="http://schemas.openxmlformats.org/officeDocument/2006/relationships/hyperlink" Target="https://permalinkbnd.bnportugal.gov.pt/viewer/281141/?offset=" TargetMode="External"/><Relationship Id="rId237" Type="http://schemas.openxmlformats.org/officeDocument/2006/relationships/hyperlink" Target="https://permalinkbnd.bnportugal.gov.pt/viewer/274459/?offset=" TargetMode="External"/><Relationship Id="rId791" Type="http://schemas.openxmlformats.org/officeDocument/2006/relationships/hyperlink" Target="https://permalinkbnd.bnportugal.gov.pt/viewer/14628/?offset=" TargetMode="External"/><Relationship Id="rId444" Type="http://schemas.openxmlformats.org/officeDocument/2006/relationships/hyperlink" Target="https://permalinkbnd.bnportugal.gov.pt/viewer/272639/?offset=" TargetMode="External"/><Relationship Id="rId651" Type="http://schemas.openxmlformats.org/officeDocument/2006/relationships/hyperlink" Target="https://permalinkbnd.bnportugal.gov.pt/viewer/278786/?offset=" TargetMode="External"/><Relationship Id="rId749" Type="http://schemas.openxmlformats.org/officeDocument/2006/relationships/hyperlink" Target="https://permalinkbnd.bnportugal.gov.pt/viewer/256552/?offset=" TargetMode="External"/><Relationship Id="rId290" Type="http://schemas.openxmlformats.org/officeDocument/2006/relationships/hyperlink" Target="https://permalinkbnd.bnportugal.gov.pt/viewer/279243/?offset=" TargetMode="External"/><Relationship Id="rId304" Type="http://schemas.openxmlformats.org/officeDocument/2006/relationships/hyperlink" Target="https://permalinkbnd.bnportugal.gov.pt/viewer/273782/?offset=" TargetMode="External"/><Relationship Id="rId388" Type="http://schemas.openxmlformats.org/officeDocument/2006/relationships/hyperlink" Target="https://permalinkbnd.bnportugal.gov.pt/viewer/273746/?offset=" TargetMode="External"/><Relationship Id="rId511" Type="http://schemas.openxmlformats.org/officeDocument/2006/relationships/hyperlink" Target="https://permalinkbnd.bnportugal.gov.pt/viewer/255848/?offset=" TargetMode="External"/><Relationship Id="rId609" Type="http://schemas.openxmlformats.org/officeDocument/2006/relationships/hyperlink" Target="https://permalinkbnd.bnportugal.gov.pt/viewer/14587/?offset=" TargetMode="External"/><Relationship Id="rId85" Type="http://schemas.openxmlformats.org/officeDocument/2006/relationships/hyperlink" Target="https://permalinkbnd.bnportugal.gov.pt/viewer/33427/?offset=" TargetMode="External"/><Relationship Id="rId150" Type="http://schemas.openxmlformats.org/officeDocument/2006/relationships/hyperlink" Target="https://permalinkbnd.bnportugal.gov.pt/viewer/273527/?offset=" TargetMode="External"/><Relationship Id="rId595" Type="http://schemas.openxmlformats.org/officeDocument/2006/relationships/hyperlink" Target="https://permalinkbnd.bnportugal.gov.pt/viewer/14624/?offset=" TargetMode="External"/><Relationship Id="rId816" Type="http://schemas.openxmlformats.org/officeDocument/2006/relationships/hyperlink" Target="https://permalinkbnd.bnportugal.gov.pt/viewer/14598/?offset=" TargetMode="External"/><Relationship Id="rId248" Type="http://schemas.openxmlformats.org/officeDocument/2006/relationships/hyperlink" Target="https://permalinkbnd.bnportugal.gov.pt/viewer/272626/?offset=" TargetMode="External"/><Relationship Id="rId455" Type="http://schemas.openxmlformats.org/officeDocument/2006/relationships/hyperlink" Target="https://permalinkbnd.bnportugal.gov.pt/viewer/278097/?offset=" TargetMode="External"/><Relationship Id="rId662" Type="http://schemas.openxmlformats.org/officeDocument/2006/relationships/hyperlink" Target="https://permalinkbnd.bnportugal.gov.pt/viewer/272640/?offset=" TargetMode="External"/><Relationship Id="rId12" Type="http://schemas.openxmlformats.org/officeDocument/2006/relationships/hyperlink" Target="https://permalinkbnd.bnportugal.gov.pt/viewer/271559/?offset=" TargetMode="External"/><Relationship Id="rId108" Type="http://schemas.openxmlformats.org/officeDocument/2006/relationships/hyperlink" Target="https://permalinkbnd.bnportugal.gov.pt/viewer/280474/?offset=" TargetMode="External"/><Relationship Id="rId315" Type="http://schemas.openxmlformats.org/officeDocument/2006/relationships/hyperlink" Target="https://permalinkbnd.bnportugal.gov.pt/viewer/273782/?offset=" TargetMode="External"/><Relationship Id="rId522" Type="http://schemas.openxmlformats.org/officeDocument/2006/relationships/hyperlink" Target="https://permalinkbnd.bnportugal.gov.pt/viewer/274463/?offset=" TargetMode="External"/><Relationship Id="rId96" Type="http://schemas.openxmlformats.org/officeDocument/2006/relationships/hyperlink" Target="https://permalinkbnd.bnportugal.gov.pt/viewer/272372/?offset=" TargetMode="External"/><Relationship Id="rId161" Type="http://schemas.openxmlformats.org/officeDocument/2006/relationships/hyperlink" Target="https://permalinkbnd.bnportugal.gov.pt/viewer/272738/?offset=" TargetMode="External"/><Relationship Id="rId399" Type="http://schemas.openxmlformats.org/officeDocument/2006/relationships/hyperlink" Target="https://permalinkbnd.bnportugal.gov.pt/viewer/277455/?offset=" TargetMode="External"/><Relationship Id="rId827" Type="http://schemas.openxmlformats.org/officeDocument/2006/relationships/hyperlink" Target="https://permalinkbnd.bnportugal.gov.pt/viewer/14581/?offset=" TargetMode="External"/><Relationship Id="rId259" Type="http://schemas.openxmlformats.org/officeDocument/2006/relationships/hyperlink" Target="https://permalinkbnd.bnportugal.gov.pt/viewer/279168/?offset=" TargetMode="External"/><Relationship Id="rId466" Type="http://schemas.openxmlformats.org/officeDocument/2006/relationships/hyperlink" Target="https://permalinkbnd.bnportugal.gov.pt/viewer/278157/?offset=" TargetMode="External"/><Relationship Id="rId673" Type="http://schemas.openxmlformats.org/officeDocument/2006/relationships/hyperlink" Target="https://permalinkbnd.bnportugal.gov.pt/viewer/272640/?offset=" TargetMode="External"/><Relationship Id="rId880" Type="http://schemas.openxmlformats.org/officeDocument/2006/relationships/hyperlink" Target="https://purl.pt/44140" TargetMode="External"/><Relationship Id="rId23" Type="http://schemas.openxmlformats.org/officeDocument/2006/relationships/hyperlink" Target="https://permalinkbnd.bnportugal.gov.pt/viewer/36059/?offset=" TargetMode="External"/><Relationship Id="rId119" Type="http://schemas.openxmlformats.org/officeDocument/2006/relationships/hyperlink" Target="https://permalinkbnd.bnportugal.gov.pt/viewer/272399/?offset=" TargetMode="External"/><Relationship Id="rId326" Type="http://schemas.openxmlformats.org/officeDocument/2006/relationships/hyperlink" Target="https://permalinkbnd.bnportugal.gov.pt/viewer/272627/?offset=" TargetMode="External"/><Relationship Id="rId533" Type="http://schemas.openxmlformats.org/officeDocument/2006/relationships/hyperlink" Target="https://permalinkbnd.bnportugal.gov.pt/viewer/14629/?offset=" TargetMode="External"/><Relationship Id="rId740" Type="http://schemas.openxmlformats.org/officeDocument/2006/relationships/hyperlink" Target="https://permalinkbnd.bnportugal.gov.pt/viewer/279100/?offset=" TargetMode="External"/><Relationship Id="rId838" Type="http://schemas.openxmlformats.org/officeDocument/2006/relationships/hyperlink" Target="https://permalinkbnd.bnportugal.gov.pt/viewer/86181/?offset=" TargetMode="External"/><Relationship Id="rId172" Type="http://schemas.openxmlformats.org/officeDocument/2006/relationships/hyperlink" Target="https://permalinkbnd.bnportugal.gov.pt/viewer/38463/?offset=" TargetMode="External"/><Relationship Id="rId477" Type="http://schemas.openxmlformats.org/officeDocument/2006/relationships/hyperlink" Target="https://permalinkbnd.bnportugal.gov.pt/viewer/273178/?offset=" TargetMode="External"/><Relationship Id="rId600" Type="http://schemas.openxmlformats.org/officeDocument/2006/relationships/hyperlink" Target="https://permalinkbnd.bnportugal.gov.pt/viewer/14587/?offset=" TargetMode="External"/><Relationship Id="rId684" Type="http://schemas.openxmlformats.org/officeDocument/2006/relationships/hyperlink" Target="https://permalinkbnd.bnportugal.gov.pt/viewer/279104/?offset=" TargetMode="External"/><Relationship Id="rId337" Type="http://schemas.openxmlformats.org/officeDocument/2006/relationships/hyperlink" Target="https://permalinkbnd.bnportugal.gov.pt/viewer/277151/?offset=" TargetMode="External"/><Relationship Id="rId34" Type="http://schemas.openxmlformats.org/officeDocument/2006/relationships/hyperlink" Target="https://permalinkbnd.bnportugal.gov.pt/viewer/274280/?offset=" TargetMode="External"/><Relationship Id="rId544" Type="http://schemas.openxmlformats.org/officeDocument/2006/relationships/hyperlink" Target="https://permalinkbnd.bnportugal.gov.pt/viewer/14639/?offset=" TargetMode="External"/><Relationship Id="rId751" Type="http://schemas.openxmlformats.org/officeDocument/2006/relationships/hyperlink" Target="https://permalinkbnd.bnportugal.gov.pt/viewer/256552/?offset=" TargetMode="External"/><Relationship Id="rId849" Type="http://schemas.openxmlformats.org/officeDocument/2006/relationships/hyperlink" Target="https://permalinkbnd.bnportugal.gov.pt/viewer/7634/?offset=" TargetMode="External"/><Relationship Id="rId183" Type="http://schemas.openxmlformats.org/officeDocument/2006/relationships/hyperlink" Target="https://permalinkbnd.bnportugal.gov.pt/viewer/16732/?offset=" TargetMode="External"/><Relationship Id="rId390" Type="http://schemas.openxmlformats.org/officeDocument/2006/relationships/hyperlink" Target="https://permalinkbnd.bnportugal.gov.pt/viewer/275415/?offset=" TargetMode="External"/><Relationship Id="rId404" Type="http://schemas.openxmlformats.org/officeDocument/2006/relationships/hyperlink" Target="https://permalinkbnd.bnportugal.gov.pt/viewer/273117/?offset=" TargetMode="External"/><Relationship Id="rId611" Type="http://schemas.openxmlformats.org/officeDocument/2006/relationships/hyperlink" Target="https://permalinkbnd.bnportugal.gov.pt/viewer/14587/?offset=" TargetMode="External"/><Relationship Id="rId250" Type="http://schemas.openxmlformats.org/officeDocument/2006/relationships/hyperlink" Target="https://permalinkbnd.bnportugal.gov.pt/viewer/272626/?offset=" TargetMode="External"/><Relationship Id="rId488" Type="http://schemas.openxmlformats.org/officeDocument/2006/relationships/hyperlink" Target="https://permalinkbnd.bnportugal.gov.pt/viewer/273944/?offset=" TargetMode="External"/><Relationship Id="rId695" Type="http://schemas.openxmlformats.org/officeDocument/2006/relationships/hyperlink" Target="https://permalinkbnd.bnportugal.gov.pt/viewer/14594/?offset=" TargetMode="External"/><Relationship Id="rId709" Type="http://schemas.openxmlformats.org/officeDocument/2006/relationships/hyperlink" Target="https://permalinkbnd.bnportugal.gov.pt/viewer/278400/?offset=" TargetMode="External"/><Relationship Id="rId45" Type="http://schemas.openxmlformats.org/officeDocument/2006/relationships/hyperlink" Target="https://permalinkbnd.bnportugal.gov.pt/viewer/1880/?offset=" TargetMode="External"/><Relationship Id="rId110" Type="http://schemas.openxmlformats.org/officeDocument/2006/relationships/hyperlink" Target="https://permalinkbnd.bnportugal.gov.pt/viewer/272367/?offset=" TargetMode="External"/><Relationship Id="rId348" Type="http://schemas.openxmlformats.org/officeDocument/2006/relationships/hyperlink" Target="https://permalinkbnd.bnportugal.gov.pt/viewer/277150/?offset=" TargetMode="External"/><Relationship Id="rId555" Type="http://schemas.openxmlformats.org/officeDocument/2006/relationships/hyperlink" Target="https://permalinkbnd.bnportugal.gov.pt/viewer/14621/?offset=" TargetMode="External"/><Relationship Id="rId762" Type="http://schemas.openxmlformats.org/officeDocument/2006/relationships/hyperlink" Target="https://permalinkbnd.bnportugal.gov.pt/viewer/255741/?offset=" TargetMode="External"/><Relationship Id="rId194" Type="http://schemas.openxmlformats.org/officeDocument/2006/relationships/hyperlink" Target="https://permalinkbnd.bnportugal.gov.pt/viewer/272786/?offset=" TargetMode="External"/><Relationship Id="rId208" Type="http://schemas.openxmlformats.org/officeDocument/2006/relationships/hyperlink" Target="https://permalinkbnd.bnportugal.gov.pt/viewer/272786/?offset=" TargetMode="External"/><Relationship Id="rId415" Type="http://schemas.openxmlformats.org/officeDocument/2006/relationships/hyperlink" Target="https://permalinkbnd.bnportugal.gov.pt/viewer/277452/?offset=" TargetMode="External"/><Relationship Id="rId622" Type="http://schemas.openxmlformats.org/officeDocument/2006/relationships/hyperlink" Target="https://permalinkbnd.bnportugal.gov.pt/viewer/14650/?offset=" TargetMode="External"/><Relationship Id="rId261" Type="http://schemas.openxmlformats.org/officeDocument/2006/relationships/hyperlink" Target="https://permalinkbnd.bnportugal.gov.pt/viewer/273511/?offset=" TargetMode="External"/><Relationship Id="rId499" Type="http://schemas.openxmlformats.org/officeDocument/2006/relationships/hyperlink" Target="https://permalinkbnd.bnportugal.gov.pt/viewer/14663/?offset=" TargetMode="External"/><Relationship Id="rId56" Type="http://schemas.openxmlformats.org/officeDocument/2006/relationships/hyperlink" Target="https://permalinkbnd.bnportugal.gov.pt/viewer/270116/?offset=" TargetMode="External"/><Relationship Id="rId359" Type="http://schemas.openxmlformats.org/officeDocument/2006/relationships/hyperlink" Target="https://permalinkbnd.bnportugal.gov.pt/viewer/277149/?offset=" TargetMode="External"/><Relationship Id="rId566" Type="http://schemas.openxmlformats.org/officeDocument/2006/relationships/hyperlink" Target="https://permalinkbnd.bnportugal.gov.pt/viewer/14592/?offset=" TargetMode="External"/><Relationship Id="rId773" Type="http://schemas.openxmlformats.org/officeDocument/2006/relationships/hyperlink" Target="https://permalinkbnd.bnportugal.gov.pt/viewer/14628/?offset=" TargetMode="External"/><Relationship Id="rId121" Type="http://schemas.openxmlformats.org/officeDocument/2006/relationships/hyperlink" Target="https://permalinkbnd.bnportugal.gov.pt/viewer/272355/?offset=" TargetMode="External"/><Relationship Id="rId219" Type="http://schemas.openxmlformats.org/officeDocument/2006/relationships/hyperlink" Target="https://permalinkbnd.bnportugal.gov.pt/viewer/272786/?offset=" TargetMode="External"/><Relationship Id="rId426" Type="http://schemas.openxmlformats.org/officeDocument/2006/relationships/hyperlink" Target="https://permalinkbnd.bnportugal.gov.pt/viewer/273879/?offset=" TargetMode="External"/><Relationship Id="rId633" Type="http://schemas.openxmlformats.org/officeDocument/2006/relationships/hyperlink" Target="https://permalinkbnd.bnportugal.gov.pt/viewer/274032/?offset=" TargetMode="External"/><Relationship Id="rId840" Type="http://schemas.openxmlformats.org/officeDocument/2006/relationships/hyperlink" Target="https://permalinkbnd.bnportugal.gov.pt/viewer/86181/?offset=" TargetMode="External"/><Relationship Id="rId67" Type="http://schemas.openxmlformats.org/officeDocument/2006/relationships/hyperlink" Target="https://permalinkbnd.bnportugal.gov.pt/viewer/273314/?offset=" TargetMode="External"/><Relationship Id="rId272" Type="http://schemas.openxmlformats.org/officeDocument/2006/relationships/hyperlink" Target="https://permalinkbnd.bnportugal.gov.pt/viewer/280465/?offset=" TargetMode="External"/><Relationship Id="rId577" Type="http://schemas.openxmlformats.org/officeDocument/2006/relationships/hyperlink" Target="https://permalinkbnd.bnportugal.gov.pt/viewer/14624/?offset=" TargetMode="External"/><Relationship Id="rId700" Type="http://schemas.openxmlformats.org/officeDocument/2006/relationships/hyperlink" Target="https://permalinkbnd.bnportugal.gov.pt/viewer/14594/?offset=" TargetMode="External"/><Relationship Id="rId132" Type="http://schemas.openxmlformats.org/officeDocument/2006/relationships/hyperlink" Target="https://permalinkbnd.bnportugal.gov.pt/viewer/274252/?offset=" TargetMode="External"/><Relationship Id="rId784" Type="http://schemas.openxmlformats.org/officeDocument/2006/relationships/hyperlink" Target="https://permalinkbnd.bnportugal.gov.pt/viewer/14628/?offset=" TargetMode="External"/><Relationship Id="rId437" Type="http://schemas.openxmlformats.org/officeDocument/2006/relationships/hyperlink" Target="https://permalinkbnd.bnportugal.gov.pt/viewer/273869/?offset=" TargetMode="External"/><Relationship Id="rId644" Type="http://schemas.openxmlformats.org/officeDocument/2006/relationships/hyperlink" Target="https://permalinkbnd.bnportugal.gov.pt/viewer/6839/?offset=" TargetMode="External"/><Relationship Id="rId851" Type="http://schemas.openxmlformats.org/officeDocument/2006/relationships/hyperlink" Target="https://permalinkbnd.bnportugal.gov.pt/viewer/1880/?offset=" TargetMode="External"/><Relationship Id="rId283" Type="http://schemas.openxmlformats.org/officeDocument/2006/relationships/hyperlink" Target="https://permalinkbnd.bnportugal.gov.pt/viewer/280465/?offset=" TargetMode="External"/><Relationship Id="rId490" Type="http://schemas.openxmlformats.org/officeDocument/2006/relationships/hyperlink" Target="https://permalinkbnd.bnportugal.gov.pt/viewer/273944/?offset=" TargetMode="External"/><Relationship Id="rId504" Type="http://schemas.openxmlformats.org/officeDocument/2006/relationships/hyperlink" Target="https://permalinkbnd.bnportugal.gov.pt/viewer/255848/?offset=" TargetMode="External"/><Relationship Id="rId711" Type="http://schemas.openxmlformats.org/officeDocument/2006/relationships/hyperlink" Target="https://permalinkbnd.bnportugal.gov.pt/viewer/278400/?offset=" TargetMode="External"/><Relationship Id="rId78" Type="http://schemas.openxmlformats.org/officeDocument/2006/relationships/hyperlink" Target="https://permalinkbnd.bnportugal.gov.pt/viewer/35127/?offset=" TargetMode="External"/><Relationship Id="rId143" Type="http://schemas.openxmlformats.org/officeDocument/2006/relationships/hyperlink" Target="https://permalinkbnd.bnportugal.gov.pt/viewer/270087/?offset=" TargetMode="External"/><Relationship Id="rId350" Type="http://schemas.openxmlformats.org/officeDocument/2006/relationships/hyperlink" Target="https://permalinkbnd.bnportugal.gov.pt/viewer/277150/?offset=" TargetMode="External"/><Relationship Id="rId588" Type="http://schemas.openxmlformats.org/officeDocument/2006/relationships/hyperlink" Target="https://permalinkbnd.bnportugal.gov.pt/viewer/14624/?offset=" TargetMode="External"/><Relationship Id="rId795" Type="http://schemas.openxmlformats.org/officeDocument/2006/relationships/hyperlink" Target="https://permalinkbnd.bnportugal.gov.pt/viewer/14628/?offset=" TargetMode="External"/><Relationship Id="rId809" Type="http://schemas.openxmlformats.org/officeDocument/2006/relationships/hyperlink" Target="https://permalinkbnd.bnportugal.gov.pt/viewer/14628/?offset=" TargetMode="External"/><Relationship Id="rId9" Type="http://schemas.openxmlformats.org/officeDocument/2006/relationships/hyperlink" Target="https://permalinkbnd.bnportugal.gov.pt/viewer/270109/?offset=" TargetMode="External"/><Relationship Id="rId210" Type="http://schemas.openxmlformats.org/officeDocument/2006/relationships/hyperlink" Target="https://permalinkbnd.bnportugal.gov.pt/viewer/272786/?offset=" TargetMode="External"/><Relationship Id="rId448" Type="http://schemas.openxmlformats.org/officeDocument/2006/relationships/hyperlink" Target="https://permalinkbnd.bnportugal.gov.pt/viewer/277966/?offset=" TargetMode="External"/><Relationship Id="rId655" Type="http://schemas.openxmlformats.org/officeDocument/2006/relationships/hyperlink" Target="https://permalinkbnd.bnportugal.gov.pt/viewer/272640/?offset=" TargetMode="External"/><Relationship Id="rId862" Type="http://schemas.openxmlformats.org/officeDocument/2006/relationships/hyperlink" Target="https://permalinkbnd.bnportugal.gov.pt/viewer/277330/?offset=" TargetMode="External"/><Relationship Id="rId294" Type="http://schemas.openxmlformats.org/officeDocument/2006/relationships/hyperlink" Target="https://permalinkbnd.bnportugal.gov.pt/viewer/276130/?offset=" TargetMode="External"/><Relationship Id="rId308" Type="http://schemas.openxmlformats.org/officeDocument/2006/relationships/hyperlink" Target="https://permalinkbnd.bnportugal.gov.pt/viewer/273782/?offset=" TargetMode="External"/><Relationship Id="rId515" Type="http://schemas.openxmlformats.org/officeDocument/2006/relationships/hyperlink" Target="https://permalinkbnd.bnportugal.gov.pt/viewer/255848/?offset=" TargetMode="External"/><Relationship Id="rId722" Type="http://schemas.openxmlformats.org/officeDocument/2006/relationships/hyperlink" Target="https://permalinkbnd.bnportugal.gov.pt/viewer/1880/?offset=" TargetMode="External"/><Relationship Id="rId89" Type="http://schemas.openxmlformats.org/officeDocument/2006/relationships/hyperlink" Target="https://permalinkbnd.bnportugal.gov.pt/viewer/37195/?offset=" TargetMode="External"/><Relationship Id="rId154" Type="http://schemas.openxmlformats.org/officeDocument/2006/relationships/hyperlink" Target="https://permalinkbnd.bnportugal.gov.pt/viewer/273183/?offset=" TargetMode="External"/><Relationship Id="rId361" Type="http://schemas.openxmlformats.org/officeDocument/2006/relationships/hyperlink" Target="https://permalinkbnd.bnportugal.gov.pt/viewer/272672/?offset=" TargetMode="External"/><Relationship Id="rId599" Type="http://schemas.openxmlformats.org/officeDocument/2006/relationships/hyperlink" Target="https://permalinkbnd.bnportugal.gov.pt/viewer/14587/?offset=" TargetMode="External"/><Relationship Id="rId459" Type="http://schemas.openxmlformats.org/officeDocument/2006/relationships/hyperlink" Target="https://permalinkbnd.bnportugal.gov.pt/viewer/278099/?offset=" TargetMode="External"/><Relationship Id="rId666" Type="http://schemas.openxmlformats.org/officeDocument/2006/relationships/hyperlink" Target="https://permalinkbnd.bnportugal.gov.pt/viewer/272640/?offset=" TargetMode="External"/><Relationship Id="rId873" Type="http://schemas.openxmlformats.org/officeDocument/2006/relationships/hyperlink" Target="https://purl.pt/44140" TargetMode="External"/><Relationship Id="rId16" Type="http://schemas.openxmlformats.org/officeDocument/2006/relationships/hyperlink" Target="https://permalinkbnd.bnportugal.gov.pt/viewer/274235/?offset=" TargetMode="External"/><Relationship Id="rId221" Type="http://schemas.openxmlformats.org/officeDocument/2006/relationships/hyperlink" Target="https://permalinkbnd.bnportugal.gov.pt/viewer/272786/?offset=" TargetMode="External"/><Relationship Id="rId319" Type="http://schemas.openxmlformats.org/officeDocument/2006/relationships/hyperlink" Target="https://permalinkbnd.bnportugal.gov.pt/viewer/272627/?offset=" TargetMode="External"/><Relationship Id="rId526" Type="http://schemas.openxmlformats.org/officeDocument/2006/relationships/hyperlink" Target="https://permalinkbnd.bnportugal.gov.pt/viewer/14629/?offset=" TargetMode="External"/><Relationship Id="rId733" Type="http://schemas.openxmlformats.org/officeDocument/2006/relationships/hyperlink" Target="https://permalinkbnd.bnportugal.gov.pt/viewer/278795/?offset=" TargetMode="External"/><Relationship Id="rId165" Type="http://schemas.openxmlformats.org/officeDocument/2006/relationships/hyperlink" Target="https://permalinkbnd.bnportugal.gov.pt/viewer/280467/?offset=" TargetMode="External"/><Relationship Id="rId372" Type="http://schemas.openxmlformats.org/officeDocument/2006/relationships/hyperlink" Target="https://permalinkbnd.bnportugal.gov.pt/viewer/276783/?offset=" TargetMode="External"/><Relationship Id="rId677" Type="http://schemas.openxmlformats.org/officeDocument/2006/relationships/hyperlink" Target="https://permalinkbnd.bnportugal.gov.pt/viewer/272640/?offset=" TargetMode="External"/><Relationship Id="rId800" Type="http://schemas.openxmlformats.org/officeDocument/2006/relationships/hyperlink" Target="https://permalinkbnd.bnportugal.gov.pt/viewer/14628/?offset=" TargetMode="External"/><Relationship Id="rId232" Type="http://schemas.openxmlformats.org/officeDocument/2006/relationships/hyperlink" Target="https://permalinkbnd.bnportugal.gov.pt/viewer/281142/?offset=" TargetMode="External"/><Relationship Id="rId27" Type="http://schemas.openxmlformats.org/officeDocument/2006/relationships/hyperlink" Target="https://permalinkbnd.bnportugal.gov.pt/viewer/274172/?offset=" TargetMode="External"/><Relationship Id="rId537" Type="http://schemas.openxmlformats.org/officeDocument/2006/relationships/hyperlink" Target="https://permalinkbnd.bnportugal.gov.pt/viewer/14639/?offset=" TargetMode="External"/><Relationship Id="rId744" Type="http://schemas.openxmlformats.org/officeDocument/2006/relationships/hyperlink" Target="https://permalinkbnd.bnportugal.gov.pt/viewer/256552/?offset=" TargetMode="External"/><Relationship Id="rId80" Type="http://schemas.openxmlformats.org/officeDocument/2006/relationships/hyperlink" Target="https://permalinkbnd.bnportugal.gov.pt/viewer/37203/?offset=" TargetMode="External"/><Relationship Id="rId176" Type="http://schemas.openxmlformats.org/officeDocument/2006/relationships/hyperlink" Target="https://permalinkbnd.bnportugal.gov.pt/viewer/38270/?offset=" TargetMode="External"/><Relationship Id="rId383" Type="http://schemas.openxmlformats.org/officeDocument/2006/relationships/hyperlink" Target="https://permalinkbnd.bnportugal.gov.pt/viewer/279512/?offset=" TargetMode="External"/><Relationship Id="rId590" Type="http://schemas.openxmlformats.org/officeDocument/2006/relationships/hyperlink" Target="https://permalinkbnd.bnportugal.gov.pt/viewer/14624/?offset=" TargetMode="External"/><Relationship Id="rId604" Type="http://schemas.openxmlformats.org/officeDocument/2006/relationships/hyperlink" Target="https://permalinkbnd.bnportugal.gov.pt/viewer/14587/?offset=" TargetMode="External"/><Relationship Id="rId811" Type="http://schemas.openxmlformats.org/officeDocument/2006/relationships/hyperlink" Target="https://permalinkbnd.bnportugal.gov.pt/viewer/14628/?offset=" TargetMode="External"/><Relationship Id="rId243" Type="http://schemas.openxmlformats.org/officeDocument/2006/relationships/hyperlink" Target="https://permalinkbnd.bnportugal.gov.pt/viewer/272626/?offset=" TargetMode="External"/><Relationship Id="rId450" Type="http://schemas.openxmlformats.org/officeDocument/2006/relationships/hyperlink" Target="https://permalinkbnd.bnportugal.gov.pt/viewer/278038/?offset=" TargetMode="External"/><Relationship Id="rId688" Type="http://schemas.openxmlformats.org/officeDocument/2006/relationships/hyperlink" Target="https://permalinkbnd.bnportugal.gov.pt/viewer/14594/?offset=" TargetMode="External"/><Relationship Id="rId38" Type="http://schemas.openxmlformats.org/officeDocument/2006/relationships/hyperlink" Target="https://permalinkbnd.bnportugal.gov.pt/viewer/274348/?offset=" TargetMode="External"/><Relationship Id="rId103" Type="http://schemas.openxmlformats.org/officeDocument/2006/relationships/hyperlink" Target="https://permalinkbnd.bnportugal.gov.pt/viewer/272381/?offset=" TargetMode="External"/><Relationship Id="rId310" Type="http://schemas.openxmlformats.org/officeDocument/2006/relationships/hyperlink" Target="https://permalinkbnd.bnportugal.gov.pt/viewer/273782/?offset=" TargetMode="External"/><Relationship Id="rId548" Type="http://schemas.openxmlformats.org/officeDocument/2006/relationships/hyperlink" Target="https://permalinkbnd.bnportugal.gov.pt/viewer/14621/?offset=" TargetMode="External"/><Relationship Id="rId755" Type="http://schemas.openxmlformats.org/officeDocument/2006/relationships/hyperlink" Target="https://permalinkbnd.bnportugal.gov.pt/viewer/14657/?offset=" TargetMode="External"/><Relationship Id="rId91" Type="http://schemas.openxmlformats.org/officeDocument/2006/relationships/hyperlink" Target="https://permalinkbnd.bnportugal.gov.pt/viewer/274166/?offset=" TargetMode="External"/><Relationship Id="rId187" Type="http://schemas.openxmlformats.org/officeDocument/2006/relationships/hyperlink" Target="https://permalinkbnd.bnportugal.gov.pt/viewer/272732/?offset=" TargetMode="External"/><Relationship Id="rId394" Type="http://schemas.openxmlformats.org/officeDocument/2006/relationships/hyperlink" Target="https://permalinkbnd.bnportugal.gov.pt/viewer/273796/?offset=" TargetMode="External"/><Relationship Id="rId408" Type="http://schemas.openxmlformats.org/officeDocument/2006/relationships/hyperlink" Target="https://permalinkbnd.bnportugal.gov.pt/viewer/273117/?offset=" TargetMode="External"/><Relationship Id="rId615" Type="http://schemas.openxmlformats.org/officeDocument/2006/relationships/hyperlink" Target="https://permalinkbnd.bnportugal.gov.pt/viewer/14587/?offset=" TargetMode="External"/><Relationship Id="rId822" Type="http://schemas.openxmlformats.org/officeDocument/2006/relationships/hyperlink" Target="https://permalinkbnd.bnportugal.gov.pt/viewer/14598/?offset=" TargetMode="External"/><Relationship Id="rId254" Type="http://schemas.openxmlformats.org/officeDocument/2006/relationships/hyperlink" Target="https://permalinkbnd.bnportugal.gov.pt/viewer/279168/?offset=" TargetMode="External"/><Relationship Id="rId699" Type="http://schemas.openxmlformats.org/officeDocument/2006/relationships/hyperlink" Target="https://permalinkbnd.bnportugal.gov.pt/viewer/14594/?offset=" TargetMode="External"/><Relationship Id="rId49" Type="http://schemas.openxmlformats.org/officeDocument/2006/relationships/hyperlink" Target="https://permalinkbnd.bnportugal.gov.pt/viewer/270331/?offset=" TargetMode="External"/><Relationship Id="rId114" Type="http://schemas.openxmlformats.org/officeDocument/2006/relationships/hyperlink" Target="https://permalinkbnd.bnportugal.gov.pt/viewer/272380/?offset=" TargetMode="External"/><Relationship Id="rId461" Type="http://schemas.openxmlformats.org/officeDocument/2006/relationships/hyperlink" Target="https://permalinkbnd.bnportugal.gov.pt/viewer/1897/?offset=" TargetMode="External"/><Relationship Id="rId559" Type="http://schemas.openxmlformats.org/officeDocument/2006/relationships/hyperlink" Target="https://permalinkbnd.bnportugal.gov.pt/viewer/14680/?offset=" TargetMode="External"/><Relationship Id="rId766" Type="http://schemas.openxmlformats.org/officeDocument/2006/relationships/hyperlink" Target="https://permalinkbnd.bnportugal.gov.pt/viewer/14651/?offset=" TargetMode="External"/><Relationship Id="rId198" Type="http://schemas.openxmlformats.org/officeDocument/2006/relationships/hyperlink" Target="https://permalinkbnd.bnportugal.gov.pt/viewer/272786/?offset=" TargetMode="External"/><Relationship Id="rId321" Type="http://schemas.openxmlformats.org/officeDocument/2006/relationships/hyperlink" Target="https://permalinkbnd.bnportugal.gov.pt/viewer/272627/?offset=" TargetMode="External"/><Relationship Id="rId419" Type="http://schemas.openxmlformats.org/officeDocument/2006/relationships/hyperlink" Target="https://permalinkbnd.bnportugal.gov.pt/viewer/277482/?offset=" TargetMode="External"/><Relationship Id="rId626" Type="http://schemas.openxmlformats.org/officeDocument/2006/relationships/hyperlink" Target="https://permalinkbnd.bnportugal.gov.pt/viewer/14622/?offset=" TargetMode="External"/><Relationship Id="rId833" Type="http://schemas.openxmlformats.org/officeDocument/2006/relationships/hyperlink" Target="https://permalinkbnd.bnportugal.gov.pt/viewer/14581/?offset=" TargetMode="External"/><Relationship Id="rId265" Type="http://schemas.openxmlformats.org/officeDocument/2006/relationships/hyperlink" Target="https://permalinkbnd.bnportugal.gov.pt/viewer/273524/?offset=" TargetMode="External"/><Relationship Id="rId472" Type="http://schemas.openxmlformats.org/officeDocument/2006/relationships/hyperlink" Target="https://permalinkbnd.bnportugal.gov.pt/viewer/273607/?offset=" TargetMode="External"/><Relationship Id="rId125" Type="http://schemas.openxmlformats.org/officeDocument/2006/relationships/hyperlink" Target="https://permalinkbnd.bnportugal.gov.pt/viewer/270138/?offset=" TargetMode="External"/><Relationship Id="rId332" Type="http://schemas.openxmlformats.org/officeDocument/2006/relationships/hyperlink" Target="https://permalinkbnd.bnportugal.gov.pt/viewer/277151/?offset=" TargetMode="External"/><Relationship Id="rId777" Type="http://schemas.openxmlformats.org/officeDocument/2006/relationships/hyperlink" Target="https://permalinkbnd.bnportugal.gov.pt/viewer/14628/?offset=" TargetMode="External"/><Relationship Id="rId637" Type="http://schemas.openxmlformats.org/officeDocument/2006/relationships/hyperlink" Target="https://permalinkbnd.bnportugal.gov.pt/viewer/274032/?offset=" TargetMode="External"/><Relationship Id="rId844" Type="http://schemas.openxmlformats.org/officeDocument/2006/relationships/hyperlink" Target="https://permalinkbnd.bnportugal.gov.pt/viewer/14644/?offset=" TargetMode="External"/><Relationship Id="rId276" Type="http://schemas.openxmlformats.org/officeDocument/2006/relationships/hyperlink" Target="https://permalinkbnd.bnportugal.gov.pt/viewer/280465/?offset=" TargetMode="External"/><Relationship Id="rId483" Type="http://schemas.openxmlformats.org/officeDocument/2006/relationships/hyperlink" Target="https://permalinkbnd.bnportugal.gov.pt/viewer/273944/?offset=" TargetMode="External"/><Relationship Id="rId690" Type="http://schemas.openxmlformats.org/officeDocument/2006/relationships/hyperlink" Target="https://permalinkbnd.bnportugal.gov.pt/viewer/14594/?offset=" TargetMode="External"/><Relationship Id="rId704" Type="http://schemas.openxmlformats.org/officeDocument/2006/relationships/hyperlink" Target="https://permalinkbnd.bnportugal.gov.pt/viewer/14594/?offset=" TargetMode="External"/><Relationship Id="rId40" Type="http://schemas.openxmlformats.org/officeDocument/2006/relationships/hyperlink" Target="https://permalinkbnd.bnportugal.gov.pt/viewer/274346/?offset=" TargetMode="External"/><Relationship Id="rId136" Type="http://schemas.openxmlformats.org/officeDocument/2006/relationships/hyperlink" Target="https://permalinkbnd.bnportugal.gov.pt/viewer/270086/?offset=" TargetMode="External"/><Relationship Id="rId343" Type="http://schemas.openxmlformats.org/officeDocument/2006/relationships/hyperlink" Target="https://permalinkbnd.bnportugal.gov.pt/viewer/273814/?offset=" TargetMode="External"/><Relationship Id="rId550" Type="http://schemas.openxmlformats.org/officeDocument/2006/relationships/hyperlink" Target="https://permalinkbnd.bnportugal.gov.pt/viewer/14621/?offset=" TargetMode="External"/><Relationship Id="rId788" Type="http://schemas.openxmlformats.org/officeDocument/2006/relationships/hyperlink" Target="https://permalinkbnd.bnportugal.gov.pt/viewer/14628/?offset=" TargetMode="External"/><Relationship Id="rId203" Type="http://schemas.openxmlformats.org/officeDocument/2006/relationships/hyperlink" Target="https://permalinkbnd.bnportugal.gov.pt/viewer/272786/?offset=" TargetMode="External"/><Relationship Id="rId648" Type="http://schemas.openxmlformats.org/officeDocument/2006/relationships/hyperlink" Target="https://permalinkbnd.bnportugal.gov.pt/viewer/278660/?offset=" TargetMode="External"/><Relationship Id="rId855" Type="http://schemas.openxmlformats.org/officeDocument/2006/relationships/hyperlink" Target="https://permalinkbnd.bnportugal.gov.pt/viewer/273677/?offset=" TargetMode="External"/><Relationship Id="rId287" Type="http://schemas.openxmlformats.org/officeDocument/2006/relationships/hyperlink" Target="https://permalinkbnd.bnportugal.gov.pt/viewer/275169/?offset=" TargetMode="External"/><Relationship Id="rId410" Type="http://schemas.openxmlformats.org/officeDocument/2006/relationships/hyperlink" Target="https://permalinkbnd.bnportugal.gov.pt/viewer/277449/?offset=" TargetMode="External"/><Relationship Id="rId494" Type="http://schemas.openxmlformats.org/officeDocument/2006/relationships/hyperlink" Target="https://permalinkbnd.bnportugal.gov.pt/viewer/273944/?offset=" TargetMode="External"/><Relationship Id="rId508" Type="http://schemas.openxmlformats.org/officeDocument/2006/relationships/hyperlink" Target="https://permalinkbnd.bnportugal.gov.pt/viewer/255848/?offset=" TargetMode="External"/><Relationship Id="rId715" Type="http://schemas.openxmlformats.org/officeDocument/2006/relationships/hyperlink" Target="https://permalinkbnd.bnportugal.gov.pt/viewer/278662/?offset=" TargetMode="External"/><Relationship Id="rId147" Type="http://schemas.openxmlformats.org/officeDocument/2006/relationships/hyperlink" Target="https://permalinkbnd.bnportugal.gov.pt/viewer/273346/?offset=" TargetMode="External"/><Relationship Id="rId354" Type="http://schemas.openxmlformats.org/officeDocument/2006/relationships/hyperlink" Target="https://permalinkbnd.bnportugal.gov.pt/viewer/277150/?offset=" TargetMode="External"/><Relationship Id="rId799" Type="http://schemas.openxmlformats.org/officeDocument/2006/relationships/hyperlink" Target="https://permalinkbnd.bnportugal.gov.pt/viewer/14628/?offset=" TargetMode="External"/><Relationship Id="rId51" Type="http://schemas.openxmlformats.org/officeDocument/2006/relationships/hyperlink" Target="https://permalinkbnd.bnportugal.gov.pt/viewer/273525/?offset=" TargetMode="External"/><Relationship Id="rId561" Type="http://schemas.openxmlformats.org/officeDocument/2006/relationships/hyperlink" Target="https://permalinkbnd.bnportugal.gov.pt/viewer/14556/?offset=" TargetMode="External"/><Relationship Id="rId659" Type="http://schemas.openxmlformats.org/officeDocument/2006/relationships/hyperlink" Target="https://permalinkbnd.bnportugal.gov.pt/viewer/272640/?offset=" TargetMode="External"/><Relationship Id="rId866" Type="http://schemas.openxmlformats.org/officeDocument/2006/relationships/hyperlink" Target="https://permalinkbnd.bnportugal.gov.pt/viewer/277834/?offset=" TargetMode="External"/><Relationship Id="rId214" Type="http://schemas.openxmlformats.org/officeDocument/2006/relationships/hyperlink" Target="https://permalinkbnd.bnportugal.gov.pt/viewer/272786/?offset=" TargetMode="External"/><Relationship Id="rId298" Type="http://schemas.openxmlformats.org/officeDocument/2006/relationships/hyperlink" Target="https://permalinkbnd.bnportugal.gov.pt/viewer/273782/?offset=" TargetMode="External"/><Relationship Id="rId421" Type="http://schemas.openxmlformats.org/officeDocument/2006/relationships/hyperlink" Target="https://permalinkbnd.bnportugal.gov.pt/viewer/272638/?offset=" TargetMode="External"/><Relationship Id="rId519" Type="http://schemas.openxmlformats.org/officeDocument/2006/relationships/hyperlink" Target="https://permalinkbnd.bnportugal.gov.pt/viewer/255848/?offset=" TargetMode="External"/><Relationship Id="rId158" Type="http://schemas.openxmlformats.org/officeDocument/2006/relationships/hyperlink" Target="https://permalinkbnd.bnportugal.gov.pt/viewer/33721/?offset=" TargetMode="External"/><Relationship Id="rId726" Type="http://schemas.openxmlformats.org/officeDocument/2006/relationships/hyperlink" Target="https://permalinkbnd.bnportugal.gov.pt/viewer/278663/?offset=" TargetMode="External"/><Relationship Id="rId62" Type="http://schemas.openxmlformats.org/officeDocument/2006/relationships/hyperlink" Target="https://permalinkbnd.bnportugal.gov.pt/viewer/273318/?offset=" TargetMode="External"/><Relationship Id="rId365" Type="http://schemas.openxmlformats.org/officeDocument/2006/relationships/hyperlink" Target="https://permalinkbnd.bnportugal.gov.pt/viewer/272668/?offset=" TargetMode="External"/><Relationship Id="rId572" Type="http://schemas.openxmlformats.org/officeDocument/2006/relationships/hyperlink" Target="https://permalinkbnd.bnportugal.gov.pt/viewer/14624/?offset=" TargetMode="External"/><Relationship Id="rId225" Type="http://schemas.openxmlformats.org/officeDocument/2006/relationships/hyperlink" Target="https://permalinkbnd.bnportugal.gov.pt/viewer/272786/?offset=" TargetMode="External"/><Relationship Id="rId432" Type="http://schemas.openxmlformats.org/officeDocument/2006/relationships/hyperlink" Target="https://permalinkbnd.bnportugal.gov.pt/viewer/273869/?offset=" TargetMode="External"/><Relationship Id="rId877" Type="http://schemas.openxmlformats.org/officeDocument/2006/relationships/hyperlink" Target="https://purl.pt/44140" TargetMode="External"/><Relationship Id="rId737" Type="http://schemas.openxmlformats.org/officeDocument/2006/relationships/hyperlink" Target="https://permalinkbnd.bnportugal.gov.pt/viewer/278795/?offset=" TargetMode="External"/><Relationship Id="rId73" Type="http://schemas.openxmlformats.org/officeDocument/2006/relationships/hyperlink" Target="https://permalinkbnd.bnportugal.gov.pt/viewer/37180/?offset=" TargetMode="External"/><Relationship Id="rId169" Type="http://schemas.openxmlformats.org/officeDocument/2006/relationships/hyperlink" Target="https://permalinkbnd.bnportugal.gov.pt/viewer/272788/?offset=" TargetMode="External"/><Relationship Id="rId376" Type="http://schemas.openxmlformats.org/officeDocument/2006/relationships/hyperlink" Target="https://permalinkbnd.bnportugal.gov.pt/viewer/276785/?offset=" TargetMode="External"/><Relationship Id="rId583" Type="http://schemas.openxmlformats.org/officeDocument/2006/relationships/hyperlink" Target="https://permalinkbnd.bnportugal.gov.pt/viewer/14624/?offset=" TargetMode="External"/><Relationship Id="rId790" Type="http://schemas.openxmlformats.org/officeDocument/2006/relationships/hyperlink" Target="https://permalinkbnd.bnportugal.gov.pt/viewer/14628/?offset=" TargetMode="External"/><Relationship Id="rId804" Type="http://schemas.openxmlformats.org/officeDocument/2006/relationships/hyperlink" Target="https://permalinkbnd.bnportugal.gov.pt/viewer/14628/?offset=" TargetMode="External"/><Relationship Id="rId4" Type="http://schemas.openxmlformats.org/officeDocument/2006/relationships/hyperlink" Target="https://permalinkbnd.bnportugal.gov.pt/viewer/274087/?offset=" TargetMode="External"/><Relationship Id="rId236" Type="http://schemas.openxmlformats.org/officeDocument/2006/relationships/hyperlink" Target="https://permalinkbnd.bnportugal.gov.pt/viewer/274458/?offset=" TargetMode="External"/><Relationship Id="rId443" Type="http://schemas.openxmlformats.org/officeDocument/2006/relationships/hyperlink" Target="https://permalinkbnd.bnportugal.gov.pt/viewer/272639/?offset=" TargetMode="External"/><Relationship Id="rId650" Type="http://schemas.openxmlformats.org/officeDocument/2006/relationships/hyperlink" Target="https://permalinkbnd.bnportugal.gov.pt/viewer/278783/?offset=" TargetMode="External"/><Relationship Id="rId303" Type="http://schemas.openxmlformats.org/officeDocument/2006/relationships/hyperlink" Target="https://permalinkbnd.bnportugal.gov.pt/viewer/273782/?offset=" TargetMode="External"/><Relationship Id="rId748" Type="http://schemas.openxmlformats.org/officeDocument/2006/relationships/hyperlink" Target="https://permalinkbnd.bnportugal.gov.pt/viewer/256552/?offset=" TargetMode="External"/><Relationship Id="rId84" Type="http://schemas.openxmlformats.org/officeDocument/2006/relationships/hyperlink" Target="https://permalinkbnd.bnportugal.gov.pt/viewer/37325/?offset=" TargetMode="External"/><Relationship Id="rId387" Type="http://schemas.openxmlformats.org/officeDocument/2006/relationships/hyperlink" Target="https://permalinkbnd.bnportugal.gov.pt/viewer/273746/?offset=" TargetMode="External"/><Relationship Id="rId510" Type="http://schemas.openxmlformats.org/officeDocument/2006/relationships/hyperlink" Target="https://permalinkbnd.bnportugal.gov.pt/viewer/255848/?offset=" TargetMode="External"/><Relationship Id="rId594" Type="http://schemas.openxmlformats.org/officeDocument/2006/relationships/hyperlink" Target="https://permalinkbnd.bnportugal.gov.pt/viewer/14624/?offset=" TargetMode="External"/><Relationship Id="rId608" Type="http://schemas.openxmlformats.org/officeDocument/2006/relationships/hyperlink" Target="https://permalinkbnd.bnportugal.gov.pt/viewer/14587/?offset=" TargetMode="External"/><Relationship Id="rId815" Type="http://schemas.openxmlformats.org/officeDocument/2006/relationships/hyperlink" Target="https://permalinkbnd.bnportugal.gov.pt/viewer/14598/?offset=" TargetMode="External"/><Relationship Id="rId247" Type="http://schemas.openxmlformats.org/officeDocument/2006/relationships/hyperlink" Target="https://permalinkbnd.bnportugal.gov.pt/viewer/272626/?offset=" TargetMode="External"/><Relationship Id="rId107" Type="http://schemas.openxmlformats.org/officeDocument/2006/relationships/hyperlink" Target="https://permalinkbnd.bnportugal.gov.pt/viewer/272381/?offset=" TargetMode="External"/><Relationship Id="rId454" Type="http://schemas.openxmlformats.org/officeDocument/2006/relationships/hyperlink" Target="https://permalinkbnd.bnportugal.gov.pt/viewer/278097/?offset=" TargetMode="External"/><Relationship Id="rId661" Type="http://schemas.openxmlformats.org/officeDocument/2006/relationships/hyperlink" Target="https://permalinkbnd.bnportugal.gov.pt/viewer/272640/?offset=" TargetMode="External"/><Relationship Id="rId759" Type="http://schemas.openxmlformats.org/officeDocument/2006/relationships/hyperlink" Target="https://permalinkbnd.bnportugal.gov.pt/viewer/85826/?offset=" TargetMode="External"/><Relationship Id="rId11" Type="http://schemas.openxmlformats.org/officeDocument/2006/relationships/hyperlink" Target="https://permalinkbnd.bnportugal.gov.pt/viewer/273316/?offset=" TargetMode="External"/><Relationship Id="rId314" Type="http://schemas.openxmlformats.org/officeDocument/2006/relationships/hyperlink" Target="https://permalinkbnd.bnportugal.gov.pt/viewer/273782/?offset=" TargetMode="External"/><Relationship Id="rId398" Type="http://schemas.openxmlformats.org/officeDocument/2006/relationships/hyperlink" Target="https://permalinkbnd.bnportugal.gov.pt/viewer/277364/?offset=" TargetMode="External"/><Relationship Id="rId521" Type="http://schemas.openxmlformats.org/officeDocument/2006/relationships/hyperlink" Target="https://permalinkbnd.bnportugal.gov.pt/viewer/255848/?offset=" TargetMode="External"/><Relationship Id="rId619" Type="http://schemas.openxmlformats.org/officeDocument/2006/relationships/hyperlink" Target="https://permalinkbnd.bnportugal.gov.pt/viewer/14587/?offset=" TargetMode="External"/><Relationship Id="rId95" Type="http://schemas.openxmlformats.org/officeDocument/2006/relationships/hyperlink" Target="https://permalinkbnd.bnportugal.gov.pt/viewer/273427/?offset=" TargetMode="External"/><Relationship Id="rId160" Type="http://schemas.openxmlformats.org/officeDocument/2006/relationships/hyperlink" Target="https://permalinkbnd.bnportugal.gov.pt/viewer/274123/?offset=" TargetMode="External"/><Relationship Id="rId826" Type="http://schemas.openxmlformats.org/officeDocument/2006/relationships/hyperlink" Target="https://permalinkbnd.bnportugal.gov.pt/viewer/14598/?offset=" TargetMode="External"/><Relationship Id="rId258" Type="http://schemas.openxmlformats.org/officeDocument/2006/relationships/hyperlink" Target="https://permalinkbnd.bnportugal.gov.pt/viewer/279168/?offset=" TargetMode="External"/><Relationship Id="rId465" Type="http://schemas.openxmlformats.org/officeDocument/2006/relationships/hyperlink" Target="https://permalinkbnd.bnportugal.gov.pt/viewer/278157/?offset=" TargetMode="External"/><Relationship Id="rId672" Type="http://schemas.openxmlformats.org/officeDocument/2006/relationships/hyperlink" Target="https://permalinkbnd.bnportugal.gov.pt/viewer/272640/?offset=" TargetMode="External"/><Relationship Id="rId22" Type="http://schemas.openxmlformats.org/officeDocument/2006/relationships/hyperlink" Target="https://permalinkbnd.bnportugal.gov.pt/viewer/273124/?offset=" TargetMode="External"/><Relationship Id="rId118" Type="http://schemas.openxmlformats.org/officeDocument/2006/relationships/hyperlink" Target="https://permalinkbnd.bnportugal.gov.pt/viewer/274038/?offset=" TargetMode="External"/><Relationship Id="rId325" Type="http://schemas.openxmlformats.org/officeDocument/2006/relationships/hyperlink" Target="https://permalinkbnd.bnportugal.gov.pt/viewer/272627/?offset=" TargetMode="External"/><Relationship Id="rId532" Type="http://schemas.openxmlformats.org/officeDocument/2006/relationships/hyperlink" Target="https://permalinkbnd.bnportugal.gov.pt/viewer/14629/?offset=" TargetMode="External"/><Relationship Id="rId171" Type="http://schemas.openxmlformats.org/officeDocument/2006/relationships/hyperlink" Target="https://permalinkbnd.bnportugal.gov.pt/viewer/272785/?offset=" TargetMode="External"/><Relationship Id="rId837" Type="http://schemas.openxmlformats.org/officeDocument/2006/relationships/hyperlink" Target="https://permalinkbnd.bnportugal.gov.pt/viewer/14581/?offset=" TargetMode="External"/><Relationship Id="rId269" Type="http://schemas.openxmlformats.org/officeDocument/2006/relationships/hyperlink" Target="https://permalinkbnd.bnportugal.gov.pt/viewer/275163/?offset=" TargetMode="External"/><Relationship Id="rId476" Type="http://schemas.openxmlformats.org/officeDocument/2006/relationships/hyperlink" Target="https://permalinkbnd.bnportugal.gov.pt/viewer/273178/?offset=" TargetMode="External"/><Relationship Id="rId683" Type="http://schemas.openxmlformats.org/officeDocument/2006/relationships/hyperlink" Target="https://permalinkbnd.bnportugal.gov.pt/viewer/279634/?offset=" TargetMode="External"/><Relationship Id="rId33" Type="http://schemas.openxmlformats.org/officeDocument/2006/relationships/hyperlink" Target="https://permalinkbnd.bnportugal.gov.pt/viewer/274260/?offset=" TargetMode="External"/><Relationship Id="rId129" Type="http://schemas.openxmlformats.org/officeDocument/2006/relationships/hyperlink" Target="https://permalinkbnd.bnportugal.gov.pt/viewer/274169/?offset=" TargetMode="External"/><Relationship Id="rId336" Type="http://schemas.openxmlformats.org/officeDocument/2006/relationships/hyperlink" Target="https://permalinkbnd.bnportugal.gov.pt/viewer/277151/?offset=" TargetMode="External"/><Relationship Id="rId543" Type="http://schemas.openxmlformats.org/officeDocument/2006/relationships/hyperlink" Target="https://permalinkbnd.bnportugal.gov.pt/viewer/14639/?offset=" TargetMode="External"/><Relationship Id="rId182" Type="http://schemas.openxmlformats.org/officeDocument/2006/relationships/hyperlink" Target="https://permalinkbnd.bnportugal.gov.pt/viewer/16732/?offset=" TargetMode="External"/><Relationship Id="rId403" Type="http://schemas.openxmlformats.org/officeDocument/2006/relationships/hyperlink" Target="https://permalinkbnd.bnportugal.gov.pt/viewer/273117/?offset=" TargetMode="External"/><Relationship Id="rId750" Type="http://schemas.openxmlformats.org/officeDocument/2006/relationships/hyperlink" Target="https://permalinkbnd.bnportugal.gov.pt/viewer/256552/?offset=" TargetMode="External"/><Relationship Id="rId848" Type="http://schemas.openxmlformats.org/officeDocument/2006/relationships/hyperlink" Target="https://permalinkbnd.bnportugal.gov.pt/viewer/14613/?offset=" TargetMode="External"/><Relationship Id="rId487" Type="http://schemas.openxmlformats.org/officeDocument/2006/relationships/hyperlink" Target="https://permalinkbnd.bnportugal.gov.pt/viewer/273944/?offset=" TargetMode="External"/><Relationship Id="rId610" Type="http://schemas.openxmlformats.org/officeDocument/2006/relationships/hyperlink" Target="https://permalinkbnd.bnportugal.gov.pt/viewer/14587/?offset=" TargetMode="External"/><Relationship Id="rId694" Type="http://schemas.openxmlformats.org/officeDocument/2006/relationships/hyperlink" Target="https://permalinkbnd.bnportugal.gov.pt/viewer/14594/?offset=" TargetMode="External"/><Relationship Id="rId708" Type="http://schemas.openxmlformats.org/officeDocument/2006/relationships/hyperlink" Target="https://permalinkbnd.bnportugal.gov.pt/viewer/278400/?offset=" TargetMode="External"/><Relationship Id="rId347" Type="http://schemas.openxmlformats.org/officeDocument/2006/relationships/hyperlink" Target="https://permalinkbnd.bnportugal.gov.pt/viewer/277150/?offset=" TargetMode="External"/><Relationship Id="rId44" Type="http://schemas.openxmlformats.org/officeDocument/2006/relationships/hyperlink" Target="https://permalinkbnd.bnportugal.gov.pt/viewer/35644/?offset=" TargetMode="External"/><Relationship Id="rId554" Type="http://schemas.openxmlformats.org/officeDocument/2006/relationships/hyperlink" Target="https://permalinkbnd.bnportugal.gov.pt/viewer/14621/?offset=" TargetMode="External"/><Relationship Id="rId761" Type="http://schemas.openxmlformats.org/officeDocument/2006/relationships/hyperlink" Target="https://permalinkbnd.bnportugal.gov.pt/viewer/255741/?offset=" TargetMode="External"/><Relationship Id="rId859" Type="http://schemas.openxmlformats.org/officeDocument/2006/relationships/hyperlink" Target="https://permalinkbnd.bnportugal.gov.pt/viewer/277330/?offset=" TargetMode="External"/><Relationship Id="rId193" Type="http://schemas.openxmlformats.org/officeDocument/2006/relationships/hyperlink" Target="https://permalinkbnd.bnportugal.gov.pt/viewer/272786/?offset=" TargetMode="External"/><Relationship Id="rId207" Type="http://schemas.openxmlformats.org/officeDocument/2006/relationships/hyperlink" Target="https://permalinkbnd.bnportugal.gov.pt/viewer/272786/?offset=" TargetMode="External"/><Relationship Id="rId414" Type="http://schemas.openxmlformats.org/officeDocument/2006/relationships/hyperlink" Target="https://permalinkbnd.bnportugal.gov.pt/viewer/277452/?offset=" TargetMode="External"/><Relationship Id="rId498" Type="http://schemas.openxmlformats.org/officeDocument/2006/relationships/hyperlink" Target="https://permalinkbnd.bnportugal.gov.pt/viewer/273944/?offset=" TargetMode="External"/><Relationship Id="rId621" Type="http://schemas.openxmlformats.org/officeDocument/2006/relationships/hyperlink" Target="https://permalinkbnd.bnportugal.gov.pt/viewer/14650/?offset=" TargetMode="External"/><Relationship Id="rId260" Type="http://schemas.openxmlformats.org/officeDocument/2006/relationships/hyperlink" Target="https://permalinkbnd.bnportugal.gov.pt/viewer/279168/?offset=" TargetMode="External"/><Relationship Id="rId719" Type="http://schemas.openxmlformats.org/officeDocument/2006/relationships/hyperlink" Target="https://permalinkbnd.bnportugal.gov.pt/viewer/279637/?offset=" TargetMode="External"/><Relationship Id="rId55" Type="http://schemas.openxmlformats.org/officeDocument/2006/relationships/hyperlink" Target="https://permalinkbnd.bnportugal.gov.pt/viewer/270116/?offset=" TargetMode="External"/><Relationship Id="rId120" Type="http://schemas.openxmlformats.org/officeDocument/2006/relationships/hyperlink" Target="https://permalinkbnd.bnportugal.gov.pt/viewer/274084/?offset=" TargetMode="External"/><Relationship Id="rId358" Type="http://schemas.openxmlformats.org/officeDocument/2006/relationships/hyperlink" Target="https://permalinkbnd.bnportugal.gov.pt/viewer/277149/?offset=" TargetMode="External"/><Relationship Id="rId565" Type="http://schemas.openxmlformats.org/officeDocument/2006/relationships/hyperlink" Target="https://permalinkbnd.bnportugal.gov.pt/viewer/14592/?offset=" TargetMode="External"/><Relationship Id="rId772" Type="http://schemas.openxmlformats.org/officeDocument/2006/relationships/hyperlink" Target="https://permalinkbnd.bnportugal.gov.pt/viewer/14628/?offset=" TargetMode="External"/><Relationship Id="rId218" Type="http://schemas.openxmlformats.org/officeDocument/2006/relationships/hyperlink" Target="https://permalinkbnd.bnportugal.gov.pt/viewer/272786/?offset=" TargetMode="External"/><Relationship Id="rId425" Type="http://schemas.openxmlformats.org/officeDocument/2006/relationships/hyperlink" Target="https://permalinkbnd.bnportugal.gov.pt/viewer/277739/?offset=" TargetMode="External"/><Relationship Id="rId632" Type="http://schemas.openxmlformats.org/officeDocument/2006/relationships/hyperlink" Target="https://permalinkbnd.bnportugal.gov.pt/viewer/278583/?offset=" TargetMode="External"/><Relationship Id="rId271" Type="http://schemas.openxmlformats.org/officeDocument/2006/relationships/hyperlink" Target="https://permalinkbnd.bnportugal.gov.pt/viewer/280465/?offset=" TargetMode="External"/><Relationship Id="rId66" Type="http://schemas.openxmlformats.org/officeDocument/2006/relationships/hyperlink" Target="https://permalinkbnd.bnportugal.gov.pt/viewer/270336/?offset=" TargetMode="External"/><Relationship Id="rId131" Type="http://schemas.openxmlformats.org/officeDocument/2006/relationships/hyperlink" Target="https://permalinkbnd.bnportugal.gov.pt/viewer/281023/?offset=" TargetMode="External"/><Relationship Id="rId369" Type="http://schemas.openxmlformats.org/officeDocument/2006/relationships/hyperlink" Target="https://permalinkbnd.bnportugal.gov.pt/viewer/272668/?offset=" TargetMode="External"/><Relationship Id="rId576" Type="http://schemas.openxmlformats.org/officeDocument/2006/relationships/hyperlink" Target="https://permalinkbnd.bnportugal.gov.pt/viewer/14624/?offset=" TargetMode="External"/><Relationship Id="rId783" Type="http://schemas.openxmlformats.org/officeDocument/2006/relationships/hyperlink" Target="https://permalinkbnd.bnportugal.gov.pt/viewer/14628/?offset=" TargetMode="External"/><Relationship Id="rId229" Type="http://schemas.openxmlformats.org/officeDocument/2006/relationships/hyperlink" Target="https://permalinkbnd.bnportugal.gov.pt/viewer/272792/?offset=" TargetMode="External"/><Relationship Id="rId436" Type="http://schemas.openxmlformats.org/officeDocument/2006/relationships/hyperlink" Target="https://permalinkbnd.bnportugal.gov.pt/viewer/273869/?offset=" TargetMode="External"/><Relationship Id="rId643" Type="http://schemas.openxmlformats.org/officeDocument/2006/relationships/hyperlink" Target="https://permalinkbnd.bnportugal.gov.pt/viewer/6839/?offset=" TargetMode="External"/><Relationship Id="rId850" Type="http://schemas.openxmlformats.org/officeDocument/2006/relationships/hyperlink" Target="https://permalinkbnd.bnportugal.gov.pt/viewer/1880/?offset=" TargetMode="External"/><Relationship Id="rId77" Type="http://schemas.openxmlformats.org/officeDocument/2006/relationships/hyperlink" Target="https://permalinkbnd.bnportugal.gov.pt/viewer/35133/?offset=" TargetMode="External"/><Relationship Id="rId282" Type="http://schemas.openxmlformats.org/officeDocument/2006/relationships/hyperlink" Target="https://permalinkbnd.bnportugal.gov.pt/viewer/280465/?offset=" TargetMode="External"/><Relationship Id="rId503" Type="http://schemas.openxmlformats.org/officeDocument/2006/relationships/hyperlink" Target="https://permalinkbnd.bnportugal.gov.pt/viewer/255848/?offset=" TargetMode="External"/><Relationship Id="rId587" Type="http://schemas.openxmlformats.org/officeDocument/2006/relationships/hyperlink" Target="https://permalinkbnd.bnportugal.gov.pt/viewer/14624/?offset=" TargetMode="External"/><Relationship Id="rId710" Type="http://schemas.openxmlformats.org/officeDocument/2006/relationships/hyperlink" Target="https://permalinkbnd.bnportugal.gov.pt/viewer/278400/?offset=" TargetMode="External"/><Relationship Id="rId808" Type="http://schemas.openxmlformats.org/officeDocument/2006/relationships/hyperlink" Target="https://permalinkbnd.bnportugal.gov.pt/viewer/14628/?offset=" TargetMode="External"/><Relationship Id="rId8" Type="http://schemas.openxmlformats.org/officeDocument/2006/relationships/hyperlink" Target="https://permalinkbnd.bnportugal.gov.pt/viewer/270109/?offset=" TargetMode="External"/><Relationship Id="rId142" Type="http://schemas.openxmlformats.org/officeDocument/2006/relationships/hyperlink" Target="https://permalinkbnd.bnportugal.gov.pt/viewer/270087/?offset=" TargetMode="External"/><Relationship Id="rId447" Type="http://schemas.openxmlformats.org/officeDocument/2006/relationships/hyperlink" Target="https://permalinkbnd.bnportugal.gov.pt/viewer/277966/?offset=" TargetMode="External"/><Relationship Id="rId794" Type="http://schemas.openxmlformats.org/officeDocument/2006/relationships/hyperlink" Target="https://permalinkbnd.bnportugal.gov.pt/viewer/14628/?offset=" TargetMode="External"/><Relationship Id="rId654" Type="http://schemas.openxmlformats.org/officeDocument/2006/relationships/hyperlink" Target="https://permalinkbnd.bnportugal.gov.pt/viewer/278782/?offset=" TargetMode="External"/><Relationship Id="rId861" Type="http://schemas.openxmlformats.org/officeDocument/2006/relationships/hyperlink" Target="https://permalinkbnd.bnportugal.gov.pt/viewer/277330/?offset=" TargetMode="External"/><Relationship Id="rId293" Type="http://schemas.openxmlformats.org/officeDocument/2006/relationships/hyperlink" Target="https://permalinkbnd.bnportugal.gov.pt/viewer/279340/?offset=" TargetMode="External"/><Relationship Id="rId307" Type="http://schemas.openxmlformats.org/officeDocument/2006/relationships/hyperlink" Target="https://permalinkbnd.bnportugal.gov.pt/viewer/273782/?offset=" TargetMode="External"/><Relationship Id="rId514" Type="http://schemas.openxmlformats.org/officeDocument/2006/relationships/hyperlink" Target="https://permalinkbnd.bnportugal.gov.pt/viewer/255848/?offset=" TargetMode="External"/><Relationship Id="rId721" Type="http://schemas.openxmlformats.org/officeDocument/2006/relationships/hyperlink" Target="https://permalinkbnd.bnportugal.gov.pt/viewer/279637/?offset=" TargetMode="External"/><Relationship Id="rId88" Type="http://schemas.openxmlformats.org/officeDocument/2006/relationships/hyperlink" Target="https://permalinkbnd.bnportugal.gov.pt/viewer/37663/?offset=" TargetMode="External"/><Relationship Id="rId153" Type="http://schemas.openxmlformats.org/officeDocument/2006/relationships/hyperlink" Target="https://permalinkbnd.bnportugal.gov.pt/viewer/281130/?offset=" TargetMode="External"/><Relationship Id="rId360" Type="http://schemas.openxmlformats.org/officeDocument/2006/relationships/hyperlink" Target="https://permalinkbnd.bnportugal.gov.pt/viewer/277149/?offset=" TargetMode="External"/><Relationship Id="rId598" Type="http://schemas.openxmlformats.org/officeDocument/2006/relationships/hyperlink" Target="https://permalinkbnd.bnportugal.gov.pt/viewer/14624/?offset=" TargetMode="External"/><Relationship Id="rId819" Type="http://schemas.openxmlformats.org/officeDocument/2006/relationships/hyperlink" Target="https://permalinkbnd.bnportugal.gov.pt/viewer/14598/?offset=" TargetMode="External"/><Relationship Id="rId220" Type="http://schemas.openxmlformats.org/officeDocument/2006/relationships/hyperlink" Target="https://permalinkbnd.bnportugal.gov.pt/viewer/272786/?offset=" TargetMode="External"/><Relationship Id="rId458" Type="http://schemas.openxmlformats.org/officeDocument/2006/relationships/hyperlink" Target="https://permalinkbnd.bnportugal.gov.pt/viewer/278097/?offset=" TargetMode="External"/><Relationship Id="rId665" Type="http://schemas.openxmlformats.org/officeDocument/2006/relationships/hyperlink" Target="https://permalinkbnd.bnportugal.gov.pt/viewer/272640/?offset=" TargetMode="External"/><Relationship Id="rId872" Type="http://schemas.openxmlformats.org/officeDocument/2006/relationships/hyperlink" Target="https://purl.pt/4414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permalinkbnd.bnportugal.gov.pt/viewer/270350/?offset=" TargetMode="External"/><Relationship Id="rId671" Type="http://schemas.openxmlformats.org/officeDocument/2006/relationships/hyperlink" Target="https://permalinkbnd.bnportugal.gov.pt/viewer/272640/?offset=" TargetMode="External"/><Relationship Id="rId769" Type="http://schemas.openxmlformats.org/officeDocument/2006/relationships/hyperlink" Target="https://permalinkbnd.bnportugal.gov.pt/viewer/86824/?offset=" TargetMode="External"/><Relationship Id="rId21" Type="http://schemas.openxmlformats.org/officeDocument/2006/relationships/hyperlink" Target="https://permalinkbnd.bnportugal.gov.pt/viewer/273122/?offset=" TargetMode="External"/><Relationship Id="rId324" Type="http://schemas.openxmlformats.org/officeDocument/2006/relationships/hyperlink" Target="https://permalinkbnd.bnportugal.gov.pt/viewer/272627/?offset=" TargetMode="External"/><Relationship Id="rId531" Type="http://schemas.openxmlformats.org/officeDocument/2006/relationships/hyperlink" Target="https://permalinkbnd.bnportugal.gov.pt/viewer/14629/?offset=" TargetMode="External"/><Relationship Id="rId629" Type="http://schemas.openxmlformats.org/officeDocument/2006/relationships/hyperlink" Target="https://permalinkbnd.bnportugal.gov.pt/viewer/14622/?offset=" TargetMode="External"/><Relationship Id="rId170" Type="http://schemas.openxmlformats.org/officeDocument/2006/relationships/hyperlink" Target="https://permalinkbnd.bnportugal.gov.pt/viewer/88185/?offset=" TargetMode="External"/><Relationship Id="rId836" Type="http://schemas.openxmlformats.org/officeDocument/2006/relationships/hyperlink" Target="https://permalinkbnd.bnportugal.gov.pt/viewer/14581/?offset=" TargetMode="External"/><Relationship Id="rId268" Type="http://schemas.openxmlformats.org/officeDocument/2006/relationships/hyperlink" Target="https://permalinkbnd.bnportugal.gov.pt/viewer/275168/?offset=" TargetMode="External"/><Relationship Id="rId475" Type="http://schemas.openxmlformats.org/officeDocument/2006/relationships/hyperlink" Target="https://permalinkbnd.bnportugal.gov.pt/viewer/273178/?offset=" TargetMode="External"/><Relationship Id="rId682" Type="http://schemas.openxmlformats.org/officeDocument/2006/relationships/hyperlink" Target="https://permalinkbnd.bnportugal.gov.pt/viewer/279630/?offset=" TargetMode="External"/><Relationship Id="rId32" Type="http://schemas.openxmlformats.org/officeDocument/2006/relationships/hyperlink" Target="https://permalinkbnd.bnportugal.gov.pt/viewer/3/?offset=" TargetMode="External"/><Relationship Id="rId128" Type="http://schemas.openxmlformats.org/officeDocument/2006/relationships/hyperlink" Target="https://permalinkbnd.bnportugal.gov.pt/viewer/270047/?offset=" TargetMode="External"/><Relationship Id="rId335" Type="http://schemas.openxmlformats.org/officeDocument/2006/relationships/hyperlink" Target="https://permalinkbnd.bnportugal.gov.pt/viewer/277151/?offset=" TargetMode="External"/><Relationship Id="rId542" Type="http://schemas.openxmlformats.org/officeDocument/2006/relationships/hyperlink" Target="https://permalinkbnd.bnportugal.gov.pt/viewer/14639/?offset=" TargetMode="External"/><Relationship Id="rId181" Type="http://schemas.openxmlformats.org/officeDocument/2006/relationships/hyperlink" Target="https://permalinkbnd.bnportugal.gov.pt/viewer/272736/?offset=" TargetMode="External"/><Relationship Id="rId402" Type="http://schemas.openxmlformats.org/officeDocument/2006/relationships/hyperlink" Target="https://permalinkbnd.bnportugal.gov.pt/viewer/273117/?offset=" TargetMode="External"/><Relationship Id="rId847" Type="http://schemas.openxmlformats.org/officeDocument/2006/relationships/hyperlink" Target="https://permalinkbnd.bnportugal.gov.pt/viewer/14613/?offset=" TargetMode="External"/><Relationship Id="rId279" Type="http://schemas.openxmlformats.org/officeDocument/2006/relationships/hyperlink" Target="https://permalinkbnd.bnportugal.gov.pt/viewer/280465/?offset=" TargetMode="External"/><Relationship Id="rId486" Type="http://schemas.openxmlformats.org/officeDocument/2006/relationships/hyperlink" Target="https://permalinkbnd.bnportugal.gov.pt/viewer/273944/?offset=" TargetMode="External"/><Relationship Id="rId693" Type="http://schemas.openxmlformats.org/officeDocument/2006/relationships/hyperlink" Target="https://permalinkbnd.bnportugal.gov.pt/viewer/14594/?offset=" TargetMode="External"/><Relationship Id="rId707" Type="http://schemas.openxmlformats.org/officeDocument/2006/relationships/hyperlink" Target="https://permalinkbnd.bnportugal.gov.pt/viewer/279095/?offset=" TargetMode="External"/><Relationship Id="rId43" Type="http://schemas.openxmlformats.org/officeDocument/2006/relationships/hyperlink" Target="https://permalinkbnd.bnportugal.gov.pt/viewer/1880/?offset=" TargetMode="External"/><Relationship Id="rId139" Type="http://schemas.openxmlformats.org/officeDocument/2006/relationships/hyperlink" Target="https://permalinkbnd.bnportugal.gov.pt/viewer/270087/?offset=" TargetMode="External"/><Relationship Id="rId346" Type="http://schemas.openxmlformats.org/officeDocument/2006/relationships/hyperlink" Target="https://permalinkbnd.bnportugal.gov.pt/viewer/277150/?offset=" TargetMode="External"/><Relationship Id="rId553" Type="http://schemas.openxmlformats.org/officeDocument/2006/relationships/hyperlink" Target="https://permalinkbnd.bnportugal.gov.pt/viewer/14621/?offset=" TargetMode="External"/><Relationship Id="rId760" Type="http://schemas.openxmlformats.org/officeDocument/2006/relationships/hyperlink" Target="https://permalinkbnd.bnportugal.gov.pt/viewer/14597/?offset=" TargetMode="External"/><Relationship Id="rId192" Type="http://schemas.openxmlformats.org/officeDocument/2006/relationships/hyperlink" Target="https://permalinkbnd.bnportugal.gov.pt/viewer/272786/?offset=" TargetMode="External"/><Relationship Id="rId206" Type="http://schemas.openxmlformats.org/officeDocument/2006/relationships/hyperlink" Target="https://permalinkbnd.bnportugal.gov.pt/viewer/272786/?offset=" TargetMode="External"/><Relationship Id="rId413" Type="http://schemas.openxmlformats.org/officeDocument/2006/relationships/hyperlink" Target="https://permalinkbnd.bnportugal.gov.pt/viewer/277452/?offset=" TargetMode="External"/><Relationship Id="rId858" Type="http://schemas.openxmlformats.org/officeDocument/2006/relationships/hyperlink" Target="https://permalinkbnd.bnportugal.gov.pt/viewer/273688/?offset=" TargetMode="External"/><Relationship Id="rId497" Type="http://schemas.openxmlformats.org/officeDocument/2006/relationships/hyperlink" Target="https://permalinkbnd.bnportugal.gov.pt/viewer/273944/?offset=" TargetMode="External"/><Relationship Id="rId620" Type="http://schemas.openxmlformats.org/officeDocument/2006/relationships/hyperlink" Target="https://permalinkbnd.bnportugal.gov.pt/viewer/14650/?offset=" TargetMode="External"/><Relationship Id="rId718" Type="http://schemas.openxmlformats.org/officeDocument/2006/relationships/hyperlink" Target="https://permalinkbnd.bnportugal.gov.pt/viewer/279637/?offset=" TargetMode="External"/><Relationship Id="rId357" Type="http://schemas.openxmlformats.org/officeDocument/2006/relationships/hyperlink" Target="https://permalinkbnd.bnportugal.gov.pt/viewer/277143/?offset=" TargetMode="External"/><Relationship Id="rId54" Type="http://schemas.openxmlformats.org/officeDocument/2006/relationships/hyperlink" Target="https://permalinkbnd.bnportugal.gov.pt/viewer/270116/?offset=" TargetMode="External"/><Relationship Id="rId217" Type="http://schemas.openxmlformats.org/officeDocument/2006/relationships/hyperlink" Target="https://permalinkbnd.bnportugal.gov.pt/viewer/272786/?offset=" TargetMode="External"/><Relationship Id="rId564" Type="http://schemas.openxmlformats.org/officeDocument/2006/relationships/hyperlink" Target="https://permalinkbnd.bnportugal.gov.pt/viewer/14592/?offset=" TargetMode="External"/><Relationship Id="rId771" Type="http://schemas.openxmlformats.org/officeDocument/2006/relationships/hyperlink" Target="https://permalinkbnd.bnportugal.gov.pt/viewer/86824/?offset=" TargetMode="External"/><Relationship Id="rId869" Type="http://schemas.openxmlformats.org/officeDocument/2006/relationships/hyperlink" Target="https://purl.pt/44140" TargetMode="External"/><Relationship Id="rId424" Type="http://schemas.openxmlformats.org/officeDocument/2006/relationships/hyperlink" Target="https://permalinkbnd.bnportugal.gov.pt/viewer/273872/?offset=" TargetMode="External"/><Relationship Id="rId631" Type="http://schemas.openxmlformats.org/officeDocument/2006/relationships/hyperlink" Target="https://permalinkbnd.bnportugal.gov.pt/viewer/86723/?offset=" TargetMode="External"/><Relationship Id="rId729" Type="http://schemas.openxmlformats.org/officeDocument/2006/relationships/hyperlink" Target="https://permalinkbnd.bnportugal.gov.pt/viewer/278795/?offset=" TargetMode="External"/><Relationship Id="rId270" Type="http://schemas.openxmlformats.org/officeDocument/2006/relationships/hyperlink" Target="https://permalinkbnd.bnportugal.gov.pt/viewer/275167/?offset=" TargetMode="External"/><Relationship Id="rId65" Type="http://schemas.openxmlformats.org/officeDocument/2006/relationships/hyperlink" Target="https://permalinkbnd.bnportugal.gov.pt/viewer/270341/?offset=" TargetMode="External"/><Relationship Id="rId130" Type="http://schemas.openxmlformats.org/officeDocument/2006/relationships/hyperlink" Target="https://permalinkbnd.bnportugal.gov.pt/viewer/270089/?offset=" TargetMode="External"/><Relationship Id="rId368" Type="http://schemas.openxmlformats.org/officeDocument/2006/relationships/hyperlink" Target="https://permalinkbnd.bnportugal.gov.pt/viewer/272668/?offset=" TargetMode="External"/><Relationship Id="rId575" Type="http://schemas.openxmlformats.org/officeDocument/2006/relationships/hyperlink" Target="https://permalinkbnd.bnportugal.gov.pt/viewer/14624/?offset=" TargetMode="External"/><Relationship Id="rId782" Type="http://schemas.openxmlformats.org/officeDocument/2006/relationships/hyperlink" Target="https://permalinkbnd.bnportugal.gov.pt/viewer/14628/?offset=" TargetMode="External"/><Relationship Id="rId228" Type="http://schemas.openxmlformats.org/officeDocument/2006/relationships/hyperlink" Target="https://permalinkbnd.bnportugal.gov.pt/viewer/67153/?offset=" TargetMode="External"/><Relationship Id="rId435" Type="http://schemas.openxmlformats.org/officeDocument/2006/relationships/hyperlink" Target="https://permalinkbnd.bnportugal.gov.pt/viewer/273869/?offset=" TargetMode="External"/><Relationship Id="rId642" Type="http://schemas.openxmlformats.org/officeDocument/2006/relationships/hyperlink" Target="https://permalinkbnd.bnportugal.gov.pt/viewer/6839/?offset=" TargetMode="External"/><Relationship Id="rId281" Type="http://schemas.openxmlformats.org/officeDocument/2006/relationships/hyperlink" Target="https://permalinkbnd.bnportugal.gov.pt/viewer/280465/?offset=" TargetMode="External"/><Relationship Id="rId502" Type="http://schemas.openxmlformats.org/officeDocument/2006/relationships/hyperlink" Target="https://permalinkbnd.bnportugal.gov.pt/viewer/255848/?offset=" TargetMode="External"/><Relationship Id="rId76" Type="http://schemas.openxmlformats.org/officeDocument/2006/relationships/hyperlink" Target="https://permalinkbnd.bnportugal.gov.pt/viewer/1880/?offset=" TargetMode="External"/><Relationship Id="rId141" Type="http://schemas.openxmlformats.org/officeDocument/2006/relationships/hyperlink" Target="https://permalinkbnd.bnportugal.gov.pt/viewer/270087/?offset=" TargetMode="External"/><Relationship Id="rId379" Type="http://schemas.openxmlformats.org/officeDocument/2006/relationships/hyperlink" Target="https://permalinkbnd.bnportugal.gov.pt/viewer/279509/?offset=" TargetMode="External"/><Relationship Id="rId586" Type="http://schemas.openxmlformats.org/officeDocument/2006/relationships/hyperlink" Target="https://permalinkbnd.bnportugal.gov.pt/viewer/14624/?offset=" TargetMode="External"/><Relationship Id="rId793" Type="http://schemas.openxmlformats.org/officeDocument/2006/relationships/hyperlink" Target="https://permalinkbnd.bnportugal.gov.pt/viewer/14628/?offset=" TargetMode="External"/><Relationship Id="rId807" Type="http://schemas.openxmlformats.org/officeDocument/2006/relationships/hyperlink" Target="https://permalinkbnd.bnportugal.gov.pt/viewer/14628/?offset=" TargetMode="External"/><Relationship Id="rId7" Type="http://schemas.openxmlformats.org/officeDocument/2006/relationships/hyperlink" Target="https://permalinkbnd.bnportugal.gov.pt/viewer/270037/?offset=" TargetMode="External"/><Relationship Id="rId239" Type="http://schemas.openxmlformats.org/officeDocument/2006/relationships/hyperlink" Target="https://permalinkbnd.bnportugal.gov.pt/viewer/272626/?offset=" TargetMode="External"/><Relationship Id="rId446" Type="http://schemas.openxmlformats.org/officeDocument/2006/relationships/hyperlink" Target="https://permalinkbnd.bnportugal.gov.pt/viewer/277820/?offset=" TargetMode="External"/><Relationship Id="rId653" Type="http://schemas.openxmlformats.org/officeDocument/2006/relationships/hyperlink" Target="https://permalinkbnd.bnportugal.gov.pt/viewer/278793/?offset=" TargetMode="External"/><Relationship Id="rId292" Type="http://schemas.openxmlformats.org/officeDocument/2006/relationships/hyperlink" Target="https://permalinkbnd.bnportugal.gov.pt/viewer/276120/?offset=" TargetMode="External"/><Relationship Id="rId306" Type="http://schemas.openxmlformats.org/officeDocument/2006/relationships/hyperlink" Target="https://permalinkbnd.bnportugal.gov.pt/viewer/273782/?offset=" TargetMode="External"/><Relationship Id="rId860" Type="http://schemas.openxmlformats.org/officeDocument/2006/relationships/hyperlink" Target="https://permalinkbnd.bnportugal.gov.pt/viewer/277330/?offset=" TargetMode="External"/><Relationship Id="rId87" Type="http://schemas.openxmlformats.org/officeDocument/2006/relationships/hyperlink" Target="https://permalinkbnd.bnportugal.gov.pt/viewer/36554/?offset=" TargetMode="External"/><Relationship Id="rId513" Type="http://schemas.openxmlformats.org/officeDocument/2006/relationships/hyperlink" Target="https://permalinkbnd.bnportugal.gov.pt/viewer/255848/?offset=" TargetMode="External"/><Relationship Id="rId597" Type="http://schemas.openxmlformats.org/officeDocument/2006/relationships/hyperlink" Target="https://permalinkbnd.bnportugal.gov.pt/viewer/14624/?offset=" TargetMode="External"/><Relationship Id="rId720" Type="http://schemas.openxmlformats.org/officeDocument/2006/relationships/hyperlink" Target="https://permalinkbnd.bnportugal.gov.pt/viewer/279637/?offset=" TargetMode="External"/><Relationship Id="rId818" Type="http://schemas.openxmlformats.org/officeDocument/2006/relationships/hyperlink" Target="https://permalinkbnd.bnportugal.gov.pt/viewer/14598/?offset=" TargetMode="External"/><Relationship Id="rId152" Type="http://schemas.openxmlformats.org/officeDocument/2006/relationships/hyperlink" Target="https://permalinkbnd.bnportugal.gov.pt/viewer/272628/?offset=" TargetMode="External"/><Relationship Id="rId457" Type="http://schemas.openxmlformats.org/officeDocument/2006/relationships/hyperlink" Target="https://permalinkbnd.bnportugal.gov.pt/viewer/278097/?offset=" TargetMode="External"/><Relationship Id="rId664" Type="http://schemas.openxmlformats.org/officeDocument/2006/relationships/hyperlink" Target="https://permalinkbnd.bnportugal.gov.pt/viewer/272640/?offset=" TargetMode="External"/><Relationship Id="rId871" Type="http://schemas.openxmlformats.org/officeDocument/2006/relationships/hyperlink" Target="https://purl.pt/44140" TargetMode="External"/><Relationship Id="rId14" Type="http://schemas.openxmlformats.org/officeDocument/2006/relationships/hyperlink" Target="https://permalinkbnd.bnportugal.gov.pt/viewer/274229/?offset=" TargetMode="External"/><Relationship Id="rId317" Type="http://schemas.openxmlformats.org/officeDocument/2006/relationships/hyperlink" Target="https://permalinkbnd.bnportugal.gov.pt/viewer/272627/?offset=" TargetMode="External"/><Relationship Id="rId524" Type="http://schemas.openxmlformats.org/officeDocument/2006/relationships/hyperlink" Target="https://permalinkbnd.bnportugal.gov.pt/viewer/14629/?offset=" TargetMode="External"/><Relationship Id="rId731" Type="http://schemas.openxmlformats.org/officeDocument/2006/relationships/hyperlink" Target="https://permalinkbnd.bnportugal.gov.pt/viewer/278795/?offset=" TargetMode="External"/><Relationship Id="rId98" Type="http://schemas.openxmlformats.org/officeDocument/2006/relationships/hyperlink" Target="https://permalinkbnd.bnportugal.gov.pt/viewer/272381/?offset=" TargetMode="External"/><Relationship Id="rId163" Type="http://schemas.openxmlformats.org/officeDocument/2006/relationships/hyperlink" Target="https://permalinkbnd.bnportugal.gov.pt/viewer/274092/?offset=" TargetMode="External"/><Relationship Id="rId370" Type="http://schemas.openxmlformats.org/officeDocument/2006/relationships/hyperlink" Target="https://permalinkbnd.bnportugal.gov.pt/viewer/272668/?offset=" TargetMode="External"/><Relationship Id="rId829" Type="http://schemas.openxmlformats.org/officeDocument/2006/relationships/hyperlink" Target="https://permalinkbnd.bnportugal.gov.pt/viewer/14581/?offset=" TargetMode="External"/><Relationship Id="rId230" Type="http://schemas.openxmlformats.org/officeDocument/2006/relationships/hyperlink" Target="https://permalinkbnd.bnportugal.gov.pt/viewer/272811/?offset=" TargetMode="External"/><Relationship Id="rId468" Type="http://schemas.openxmlformats.org/officeDocument/2006/relationships/hyperlink" Target="https://permalinkbnd.bnportugal.gov.pt/viewer/278166/?offset=" TargetMode="External"/><Relationship Id="rId675" Type="http://schemas.openxmlformats.org/officeDocument/2006/relationships/hyperlink" Target="https://permalinkbnd.bnportugal.gov.pt/viewer/272640/?offset=" TargetMode="External"/><Relationship Id="rId882" Type="http://schemas.openxmlformats.org/officeDocument/2006/relationships/hyperlink" Target="https://purl.pt/44344" TargetMode="External"/><Relationship Id="rId25" Type="http://schemas.openxmlformats.org/officeDocument/2006/relationships/hyperlink" Target="https://permalinkbnd.bnportugal.gov.pt/viewer/272368/?offset=" TargetMode="External"/><Relationship Id="rId328" Type="http://schemas.openxmlformats.org/officeDocument/2006/relationships/hyperlink" Target="https://permalinkbnd.bnportugal.gov.pt/viewer/277151/?offset=" TargetMode="External"/><Relationship Id="rId535" Type="http://schemas.openxmlformats.org/officeDocument/2006/relationships/hyperlink" Target="https://permalinkbnd.bnportugal.gov.pt/viewer/14639/?offset=" TargetMode="External"/><Relationship Id="rId742" Type="http://schemas.openxmlformats.org/officeDocument/2006/relationships/hyperlink" Target="https://permalinkbnd.bnportugal.gov.pt/viewer/278495/?offset=" TargetMode="External"/><Relationship Id="rId174" Type="http://schemas.openxmlformats.org/officeDocument/2006/relationships/hyperlink" Target="https://permalinkbnd.bnportugal.gov.pt/viewer/1843/?offset=" TargetMode="External"/><Relationship Id="rId381" Type="http://schemas.openxmlformats.org/officeDocument/2006/relationships/hyperlink" Target="https://permalinkbnd.bnportugal.gov.pt/viewer/279513/?offset=" TargetMode="External"/><Relationship Id="rId602" Type="http://schemas.openxmlformats.org/officeDocument/2006/relationships/hyperlink" Target="https://permalinkbnd.bnportugal.gov.pt/viewer/14587/?offset=" TargetMode="External"/><Relationship Id="rId241" Type="http://schemas.openxmlformats.org/officeDocument/2006/relationships/hyperlink" Target="https://permalinkbnd.bnportugal.gov.pt/viewer/272626/?offset=" TargetMode="External"/><Relationship Id="rId479" Type="http://schemas.openxmlformats.org/officeDocument/2006/relationships/hyperlink" Target="https://permalinkbnd.bnportugal.gov.pt/viewer/273317/?offset=" TargetMode="External"/><Relationship Id="rId686" Type="http://schemas.openxmlformats.org/officeDocument/2006/relationships/hyperlink" Target="https://permalinkbnd.bnportugal.gov.pt/viewer/17516/?offset=" TargetMode="External"/><Relationship Id="rId36" Type="http://schemas.openxmlformats.org/officeDocument/2006/relationships/hyperlink" Target="https://permalinkbnd.bnportugal.gov.pt/viewer/273560/?offset=" TargetMode="External"/><Relationship Id="rId339" Type="http://schemas.openxmlformats.org/officeDocument/2006/relationships/hyperlink" Target="https://permalinkbnd.bnportugal.gov.pt/viewer/277145/?offset=" TargetMode="External"/><Relationship Id="rId546" Type="http://schemas.openxmlformats.org/officeDocument/2006/relationships/hyperlink" Target="https://permalinkbnd.bnportugal.gov.pt/viewer/14621/?offset=" TargetMode="External"/><Relationship Id="rId753" Type="http://schemas.openxmlformats.org/officeDocument/2006/relationships/hyperlink" Target="https://permalinkbnd.bnportugal.gov.pt/viewer/256552/?offset=" TargetMode="External"/><Relationship Id="rId101" Type="http://schemas.openxmlformats.org/officeDocument/2006/relationships/hyperlink" Target="https://permalinkbnd.bnportugal.gov.pt/viewer/272381/?offset=" TargetMode="External"/><Relationship Id="rId185" Type="http://schemas.openxmlformats.org/officeDocument/2006/relationships/hyperlink" Target="https://permalinkbnd.bnportugal.gov.pt/viewer/33216/?offset=" TargetMode="External"/><Relationship Id="rId406" Type="http://schemas.openxmlformats.org/officeDocument/2006/relationships/hyperlink" Target="https://permalinkbnd.bnportugal.gov.pt/viewer/273117/?offset=" TargetMode="External"/><Relationship Id="rId392" Type="http://schemas.openxmlformats.org/officeDocument/2006/relationships/hyperlink" Target="https://permalinkbnd.bnportugal.gov.pt/viewer/273811/?offset=" TargetMode="External"/><Relationship Id="rId613" Type="http://schemas.openxmlformats.org/officeDocument/2006/relationships/hyperlink" Target="https://permalinkbnd.bnportugal.gov.pt/viewer/14587/?offset=" TargetMode="External"/><Relationship Id="rId697" Type="http://schemas.openxmlformats.org/officeDocument/2006/relationships/hyperlink" Target="https://permalinkbnd.bnportugal.gov.pt/viewer/14594/?offset=" TargetMode="External"/><Relationship Id="rId820" Type="http://schemas.openxmlformats.org/officeDocument/2006/relationships/hyperlink" Target="https://permalinkbnd.bnportugal.gov.pt/viewer/14598/?offset=" TargetMode="External"/><Relationship Id="rId252" Type="http://schemas.openxmlformats.org/officeDocument/2006/relationships/hyperlink" Target="https://permalinkbnd.bnportugal.gov.pt/viewer/272626/?offset=" TargetMode="External"/><Relationship Id="rId47" Type="http://schemas.openxmlformats.org/officeDocument/2006/relationships/hyperlink" Target="https://permalinkbnd.bnportugal.gov.pt/viewer/270331/?offset=" TargetMode="External"/><Relationship Id="rId112" Type="http://schemas.openxmlformats.org/officeDocument/2006/relationships/hyperlink" Target="https://permalinkbnd.bnportugal.gov.pt/viewer/272383/?offset=" TargetMode="External"/><Relationship Id="rId557" Type="http://schemas.openxmlformats.org/officeDocument/2006/relationships/hyperlink" Target="https://permalinkbnd.bnportugal.gov.pt/viewer/14605/?offset=" TargetMode="External"/><Relationship Id="rId764" Type="http://schemas.openxmlformats.org/officeDocument/2006/relationships/hyperlink" Target="https://permalinkbnd.bnportugal.gov.pt/viewer/255741/?offset=" TargetMode="External"/><Relationship Id="rId196" Type="http://schemas.openxmlformats.org/officeDocument/2006/relationships/hyperlink" Target="https://permalinkbnd.bnportugal.gov.pt/viewer/272786/?offset=" TargetMode="External"/><Relationship Id="rId417" Type="http://schemas.openxmlformats.org/officeDocument/2006/relationships/hyperlink" Target="https://permalinkbnd.bnportugal.gov.pt/viewer/277452/?offset=" TargetMode="External"/><Relationship Id="rId624" Type="http://schemas.openxmlformats.org/officeDocument/2006/relationships/hyperlink" Target="https://permalinkbnd.bnportugal.gov.pt/viewer/14604/?offset=" TargetMode="External"/><Relationship Id="rId831" Type="http://schemas.openxmlformats.org/officeDocument/2006/relationships/hyperlink" Target="https://permalinkbnd.bnportugal.gov.pt/viewer/14581/?offset=" TargetMode="External"/><Relationship Id="rId263" Type="http://schemas.openxmlformats.org/officeDocument/2006/relationships/hyperlink" Target="https://permalinkbnd.bnportugal.gov.pt/viewer/274951/?offset=" TargetMode="External"/><Relationship Id="rId470" Type="http://schemas.openxmlformats.org/officeDocument/2006/relationships/hyperlink" Target="https://permalinkbnd.bnportugal.gov.pt/viewer/278325/?offset=" TargetMode="External"/><Relationship Id="rId58" Type="http://schemas.openxmlformats.org/officeDocument/2006/relationships/hyperlink" Target="https://permalinkbnd.bnportugal.gov.pt/viewer/274117/?offset=" TargetMode="External"/><Relationship Id="rId123" Type="http://schemas.openxmlformats.org/officeDocument/2006/relationships/hyperlink" Target="https://permalinkbnd.bnportugal.gov.pt/viewer/270138/?offset=" TargetMode="External"/><Relationship Id="rId330" Type="http://schemas.openxmlformats.org/officeDocument/2006/relationships/hyperlink" Target="https://permalinkbnd.bnportugal.gov.pt/viewer/277151/?offset=" TargetMode="External"/><Relationship Id="rId568" Type="http://schemas.openxmlformats.org/officeDocument/2006/relationships/hyperlink" Target="https://permalinkbnd.bnportugal.gov.pt/viewer/14566/?offset=" TargetMode="External"/><Relationship Id="rId775" Type="http://schemas.openxmlformats.org/officeDocument/2006/relationships/hyperlink" Target="https://permalinkbnd.bnportugal.gov.pt/viewer/14628/?offset=" TargetMode="External"/><Relationship Id="rId428" Type="http://schemas.openxmlformats.org/officeDocument/2006/relationships/hyperlink" Target="https://permalinkbnd.bnportugal.gov.pt/viewer/273869/?offset=" TargetMode="External"/><Relationship Id="rId635" Type="http://schemas.openxmlformats.org/officeDocument/2006/relationships/hyperlink" Target="https://permalinkbnd.bnportugal.gov.pt/viewer/274032/?offset=" TargetMode="External"/><Relationship Id="rId842" Type="http://schemas.openxmlformats.org/officeDocument/2006/relationships/hyperlink" Target="https://permalinkbnd.bnportugal.gov.pt/viewer/86483/?offset=" TargetMode="External"/><Relationship Id="rId274" Type="http://schemas.openxmlformats.org/officeDocument/2006/relationships/hyperlink" Target="https://permalinkbnd.bnportugal.gov.pt/viewer/280465/?offset=" TargetMode="External"/><Relationship Id="rId481" Type="http://schemas.openxmlformats.org/officeDocument/2006/relationships/hyperlink" Target="https://permalinkbnd.bnportugal.gov.pt/viewer/273944/?offset=" TargetMode="External"/><Relationship Id="rId702" Type="http://schemas.openxmlformats.org/officeDocument/2006/relationships/hyperlink" Target="https://permalinkbnd.bnportugal.gov.pt/viewer/14594/?offset=" TargetMode="External"/><Relationship Id="rId69" Type="http://schemas.openxmlformats.org/officeDocument/2006/relationships/hyperlink" Target="https://permalinkbnd.bnportugal.gov.pt/viewer/36540/?offset=" TargetMode="External"/><Relationship Id="rId134" Type="http://schemas.openxmlformats.org/officeDocument/2006/relationships/hyperlink" Target="https://permalinkbnd.bnportugal.gov.pt/viewer/274252/?offset=" TargetMode="External"/><Relationship Id="rId579" Type="http://schemas.openxmlformats.org/officeDocument/2006/relationships/hyperlink" Target="https://permalinkbnd.bnportugal.gov.pt/viewer/14624/?offset=" TargetMode="External"/><Relationship Id="rId786" Type="http://schemas.openxmlformats.org/officeDocument/2006/relationships/hyperlink" Target="https://permalinkbnd.bnportugal.gov.pt/viewer/14628/?offset=" TargetMode="External"/><Relationship Id="rId341" Type="http://schemas.openxmlformats.org/officeDocument/2006/relationships/hyperlink" Target="https://permalinkbnd.bnportugal.gov.pt/viewer/273814/?offset=" TargetMode="External"/><Relationship Id="rId439" Type="http://schemas.openxmlformats.org/officeDocument/2006/relationships/hyperlink" Target="https://permalinkbnd.bnportugal.gov.pt/viewer/273912/?offset=" TargetMode="External"/><Relationship Id="rId646" Type="http://schemas.openxmlformats.org/officeDocument/2006/relationships/hyperlink" Target="https://permalinkbnd.bnportugal.gov.pt/viewer/14630/?offset=" TargetMode="External"/><Relationship Id="rId201" Type="http://schemas.openxmlformats.org/officeDocument/2006/relationships/hyperlink" Target="https://permalinkbnd.bnportugal.gov.pt/viewer/272786/?offset=" TargetMode="External"/><Relationship Id="rId285" Type="http://schemas.openxmlformats.org/officeDocument/2006/relationships/hyperlink" Target="https://permalinkbnd.bnportugal.gov.pt/viewer/280465/?offset=" TargetMode="External"/><Relationship Id="rId506" Type="http://schemas.openxmlformats.org/officeDocument/2006/relationships/hyperlink" Target="https://permalinkbnd.bnportugal.gov.pt/viewer/255848/?offset=" TargetMode="External"/><Relationship Id="rId853" Type="http://schemas.openxmlformats.org/officeDocument/2006/relationships/hyperlink" Target="https://permalinkbnd.bnportugal.gov.pt/viewer/275033/?offset=" TargetMode="External"/><Relationship Id="rId492" Type="http://schemas.openxmlformats.org/officeDocument/2006/relationships/hyperlink" Target="https://permalinkbnd.bnportugal.gov.pt/viewer/273944/?offset=" TargetMode="External"/><Relationship Id="rId713" Type="http://schemas.openxmlformats.org/officeDocument/2006/relationships/hyperlink" Target="https://permalinkbnd.bnportugal.gov.pt/viewer/278400/?offset=" TargetMode="External"/><Relationship Id="rId797" Type="http://schemas.openxmlformats.org/officeDocument/2006/relationships/hyperlink" Target="https://permalinkbnd.bnportugal.gov.pt/viewer/14628/?offset=" TargetMode="External"/><Relationship Id="rId145" Type="http://schemas.openxmlformats.org/officeDocument/2006/relationships/hyperlink" Target="https://permalinkbnd.bnportugal.gov.pt/viewer/273316/?offset=" TargetMode="External"/><Relationship Id="rId352" Type="http://schemas.openxmlformats.org/officeDocument/2006/relationships/hyperlink" Target="https://permalinkbnd.bnportugal.gov.pt/viewer/277150/?offset=" TargetMode="External"/><Relationship Id="rId212" Type="http://schemas.openxmlformats.org/officeDocument/2006/relationships/hyperlink" Target="https://permalinkbnd.bnportugal.gov.pt/viewer/272786/?offset=" TargetMode="External"/><Relationship Id="rId657" Type="http://schemas.openxmlformats.org/officeDocument/2006/relationships/hyperlink" Target="https://permalinkbnd.bnportugal.gov.pt/viewer/272640/?offset=" TargetMode="External"/><Relationship Id="rId864" Type="http://schemas.openxmlformats.org/officeDocument/2006/relationships/hyperlink" Target="https://permalinkbnd.bnportugal.gov.pt/viewer/277330/?offset=" TargetMode="External"/><Relationship Id="rId296" Type="http://schemas.openxmlformats.org/officeDocument/2006/relationships/hyperlink" Target="https://permalinkbnd.bnportugal.gov.pt/viewer/273100/?offset=" TargetMode="External"/><Relationship Id="rId517" Type="http://schemas.openxmlformats.org/officeDocument/2006/relationships/hyperlink" Target="https://permalinkbnd.bnportugal.gov.pt/viewer/255848/?offset=" TargetMode="External"/><Relationship Id="rId724" Type="http://schemas.openxmlformats.org/officeDocument/2006/relationships/hyperlink" Target="https://permalinkbnd.bnportugal.gov.pt/viewer/278597/?offset=" TargetMode="External"/><Relationship Id="rId60" Type="http://schemas.openxmlformats.org/officeDocument/2006/relationships/hyperlink" Target="https://permalinkbnd.bnportugal.gov.pt/viewer/272371/?offset=" TargetMode="External"/><Relationship Id="rId156" Type="http://schemas.openxmlformats.org/officeDocument/2006/relationships/hyperlink" Target="https://permalinkbnd.bnportugal.gov.pt/viewer/272733/?offset=" TargetMode="External"/><Relationship Id="rId363" Type="http://schemas.openxmlformats.org/officeDocument/2006/relationships/hyperlink" Target="https://permalinkbnd.bnportugal.gov.pt/viewer/272672/?offset=" TargetMode="External"/><Relationship Id="rId570" Type="http://schemas.openxmlformats.org/officeDocument/2006/relationships/hyperlink" Target="https://permalinkbnd.bnportugal.gov.pt/viewer/274466/?offset=" TargetMode="External"/><Relationship Id="rId223" Type="http://schemas.openxmlformats.org/officeDocument/2006/relationships/hyperlink" Target="https://permalinkbnd.bnportugal.gov.pt/viewer/272786/?offset=" TargetMode="External"/><Relationship Id="rId430" Type="http://schemas.openxmlformats.org/officeDocument/2006/relationships/hyperlink" Target="https://permalinkbnd.bnportugal.gov.pt/viewer/273869/?offset=" TargetMode="External"/><Relationship Id="rId668" Type="http://schemas.openxmlformats.org/officeDocument/2006/relationships/hyperlink" Target="https://permalinkbnd.bnportugal.gov.pt/viewer/272640/?offset=" TargetMode="External"/><Relationship Id="rId875" Type="http://schemas.openxmlformats.org/officeDocument/2006/relationships/hyperlink" Target="https://purl.pt/44140" TargetMode="External"/><Relationship Id="rId18" Type="http://schemas.openxmlformats.org/officeDocument/2006/relationships/hyperlink" Target="https://permalinkbnd.bnportugal.gov.pt/viewer/1880/?offset=" TargetMode="External"/><Relationship Id="rId528" Type="http://schemas.openxmlformats.org/officeDocument/2006/relationships/hyperlink" Target="https://permalinkbnd.bnportugal.gov.pt/viewer/14629/?offset=" TargetMode="External"/><Relationship Id="rId735" Type="http://schemas.openxmlformats.org/officeDocument/2006/relationships/hyperlink" Target="https://permalinkbnd.bnportugal.gov.pt/viewer/278795/?offset=" TargetMode="External"/><Relationship Id="rId167" Type="http://schemas.openxmlformats.org/officeDocument/2006/relationships/hyperlink" Target="https://permalinkbnd.bnportugal.gov.pt/viewer/280467/?offset=" TargetMode="External"/><Relationship Id="rId374" Type="http://schemas.openxmlformats.org/officeDocument/2006/relationships/hyperlink" Target="https://permalinkbnd.bnportugal.gov.pt/viewer/276790/?offset=" TargetMode="External"/><Relationship Id="rId581" Type="http://schemas.openxmlformats.org/officeDocument/2006/relationships/hyperlink" Target="https://permalinkbnd.bnportugal.gov.pt/viewer/14624/?offset=" TargetMode="External"/><Relationship Id="rId71" Type="http://schemas.openxmlformats.org/officeDocument/2006/relationships/hyperlink" Target="https://permalinkbnd.bnportugal.gov.pt/viewer/272734/?offset=" TargetMode="External"/><Relationship Id="rId234" Type="http://schemas.openxmlformats.org/officeDocument/2006/relationships/hyperlink" Target="https://permalinkbnd.bnportugal.gov.pt/viewer/276786/?offset=" TargetMode="External"/><Relationship Id="rId679" Type="http://schemas.openxmlformats.org/officeDocument/2006/relationships/hyperlink" Target="https://permalinkbnd.bnportugal.gov.pt/viewer/272640/?offset=" TargetMode="External"/><Relationship Id="rId802" Type="http://schemas.openxmlformats.org/officeDocument/2006/relationships/hyperlink" Target="https://permalinkbnd.bnportugal.gov.pt/viewer/14628/?offset=" TargetMode="External"/><Relationship Id="rId2" Type="http://schemas.openxmlformats.org/officeDocument/2006/relationships/hyperlink" Target="https://permalinkbnd.bnportugal.gov.pt/viewer/274089/?offset=" TargetMode="External"/><Relationship Id="rId29" Type="http://schemas.openxmlformats.org/officeDocument/2006/relationships/hyperlink" Target="https://permalinkbnd.bnportugal.gov.pt/viewer/274230/?offset=" TargetMode="External"/><Relationship Id="rId441" Type="http://schemas.openxmlformats.org/officeDocument/2006/relationships/hyperlink" Target="https://permalinkbnd.bnportugal.gov.pt/viewer/272639/?offset=" TargetMode="External"/><Relationship Id="rId539" Type="http://schemas.openxmlformats.org/officeDocument/2006/relationships/hyperlink" Target="https://permalinkbnd.bnportugal.gov.pt/viewer/14639/?offset=" TargetMode="External"/><Relationship Id="rId746" Type="http://schemas.openxmlformats.org/officeDocument/2006/relationships/hyperlink" Target="https://permalinkbnd.bnportugal.gov.pt/viewer/256552/?offset=" TargetMode="External"/><Relationship Id="rId178" Type="http://schemas.openxmlformats.org/officeDocument/2006/relationships/hyperlink" Target="https://permalinkbnd.bnportugal.gov.pt/viewer/272735/?offset=" TargetMode="External"/><Relationship Id="rId301" Type="http://schemas.openxmlformats.org/officeDocument/2006/relationships/hyperlink" Target="https://permalinkbnd.bnportugal.gov.pt/viewer/273782/?offset=" TargetMode="External"/><Relationship Id="rId82" Type="http://schemas.openxmlformats.org/officeDocument/2006/relationships/hyperlink" Target="https://permalinkbnd.bnportugal.gov.pt/viewer/34623/?offset=" TargetMode="External"/><Relationship Id="rId385" Type="http://schemas.openxmlformats.org/officeDocument/2006/relationships/hyperlink" Target="https://permalinkbnd.bnportugal.gov.pt/viewer/275409/?offset=" TargetMode="External"/><Relationship Id="rId592" Type="http://schemas.openxmlformats.org/officeDocument/2006/relationships/hyperlink" Target="https://permalinkbnd.bnportugal.gov.pt/viewer/14624/?offset=" TargetMode="External"/><Relationship Id="rId606" Type="http://schemas.openxmlformats.org/officeDocument/2006/relationships/hyperlink" Target="https://permalinkbnd.bnportugal.gov.pt/viewer/14587/?offset=" TargetMode="External"/><Relationship Id="rId813" Type="http://schemas.openxmlformats.org/officeDocument/2006/relationships/hyperlink" Target="https://permalinkbnd.bnportugal.gov.pt/viewer/14628/?offset=" TargetMode="External"/><Relationship Id="rId245" Type="http://schemas.openxmlformats.org/officeDocument/2006/relationships/hyperlink" Target="https://permalinkbnd.bnportugal.gov.pt/viewer/272626/?offset=" TargetMode="External"/><Relationship Id="rId452" Type="http://schemas.openxmlformats.org/officeDocument/2006/relationships/hyperlink" Target="https://permalinkbnd.bnportugal.gov.pt/viewer/278031/?offset=" TargetMode="External"/><Relationship Id="rId105" Type="http://schemas.openxmlformats.org/officeDocument/2006/relationships/hyperlink" Target="https://permalinkbnd.bnportugal.gov.pt/viewer/272381/?offset=" TargetMode="External"/><Relationship Id="rId312" Type="http://schemas.openxmlformats.org/officeDocument/2006/relationships/hyperlink" Target="https://permalinkbnd.bnportugal.gov.pt/viewer/273782/?offset=" TargetMode="External"/><Relationship Id="rId757" Type="http://schemas.openxmlformats.org/officeDocument/2006/relationships/hyperlink" Target="https://permalinkbnd.bnportugal.gov.pt/viewer/3/?offset=" TargetMode="External"/><Relationship Id="rId93" Type="http://schemas.openxmlformats.org/officeDocument/2006/relationships/hyperlink" Target="https://permalinkbnd.bnportugal.gov.pt/viewer/270042/?offset=" TargetMode="External"/><Relationship Id="rId189" Type="http://schemas.openxmlformats.org/officeDocument/2006/relationships/hyperlink" Target="https://permalinkbnd.bnportugal.gov.pt/viewer/272786/?offset=" TargetMode="External"/><Relationship Id="rId396" Type="http://schemas.openxmlformats.org/officeDocument/2006/relationships/hyperlink" Target="https://permalinkbnd.bnportugal.gov.pt/viewer/277366/?offset=" TargetMode="External"/><Relationship Id="rId617" Type="http://schemas.openxmlformats.org/officeDocument/2006/relationships/hyperlink" Target="https://permalinkbnd.bnportugal.gov.pt/viewer/14587/?offset=" TargetMode="External"/><Relationship Id="rId824" Type="http://schemas.openxmlformats.org/officeDocument/2006/relationships/hyperlink" Target="https://permalinkbnd.bnportugal.gov.pt/viewer/14598/?offset=" TargetMode="External"/><Relationship Id="rId256" Type="http://schemas.openxmlformats.org/officeDocument/2006/relationships/hyperlink" Target="https://permalinkbnd.bnportugal.gov.pt/viewer/279168/?offset=" TargetMode="External"/><Relationship Id="rId463" Type="http://schemas.openxmlformats.org/officeDocument/2006/relationships/hyperlink" Target="https://permalinkbnd.bnportugal.gov.pt/viewer/1897/?offset=" TargetMode="External"/><Relationship Id="rId670" Type="http://schemas.openxmlformats.org/officeDocument/2006/relationships/hyperlink" Target="https://permalinkbnd.bnportugal.gov.pt/viewer/272640/?offset=" TargetMode="External"/><Relationship Id="rId116" Type="http://schemas.openxmlformats.org/officeDocument/2006/relationships/hyperlink" Target="https://permalinkbnd.bnportugal.gov.pt/viewer/272392/?offset=" TargetMode="External"/><Relationship Id="rId323" Type="http://schemas.openxmlformats.org/officeDocument/2006/relationships/hyperlink" Target="https://permalinkbnd.bnportugal.gov.pt/viewer/272627/?offset=" TargetMode="External"/><Relationship Id="rId530" Type="http://schemas.openxmlformats.org/officeDocument/2006/relationships/hyperlink" Target="https://permalinkbnd.bnportugal.gov.pt/viewer/14629/?offset=" TargetMode="External"/><Relationship Id="rId768" Type="http://schemas.openxmlformats.org/officeDocument/2006/relationships/hyperlink" Target="https://permalinkbnd.bnportugal.gov.pt/viewer/86824/?offset=" TargetMode="External"/><Relationship Id="rId20" Type="http://schemas.openxmlformats.org/officeDocument/2006/relationships/hyperlink" Target="https://permalinkbnd.bnportugal.gov.pt/viewer/274256/?offset=" TargetMode="External"/><Relationship Id="rId628" Type="http://schemas.openxmlformats.org/officeDocument/2006/relationships/hyperlink" Target="https://permalinkbnd.bnportugal.gov.pt/viewer/14622/?offset=" TargetMode="External"/><Relationship Id="rId835" Type="http://schemas.openxmlformats.org/officeDocument/2006/relationships/hyperlink" Target="https://permalinkbnd.bnportugal.gov.pt/viewer/14581/?offset=" TargetMode="External"/><Relationship Id="rId267" Type="http://schemas.openxmlformats.org/officeDocument/2006/relationships/hyperlink" Target="https://permalinkbnd.bnportugal.gov.pt/viewer/273524/?offset=" TargetMode="External"/><Relationship Id="rId474" Type="http://schemas.openxmlformats.org/officeDocument/2006/relationships/hyperlink" Target="https://permalinkbnd.bnportugal.gov.pt/viewer/273178/?offset=" TargetMode="External"/><Relationship Id="rId127" Type="http://schemas.openxmlformats.org/officeDocument/2006/relationships/hyperlink" Target="https://permalinkbnd.bnportugal.gov.pt/viewer/270138/?offset=" TargetMode="External"/><Relationship Id="rId681" Type="http://schemas.openxmlformats.org/officeDocument/2006/relationships/hyperlink" Target="https://permalinkbnd.bnportugal.gov.pt/viewer/279630/?offset=" TargetMode="External"/><Relationship Id="rId779" Type="http://schemas.openxmlformats.org/officeDocument/2006/relationships/hyperlink" Target="https://permalinkbnd.bnportugal.gov.pt/viewer/14628/?offset=" TargetMode="External"/><Relationship Id="rId31" Type="http://schemas.openxmlformats.org/officeDocument/2006/relationships/hyperlink" Target="https://permalinkbnd.bnportugal.gov.pt/viewer/273125/?offset=" TargetMode="External"/><Relationship Id="rId334" Type="http://schemas.openxmlformats.org/officeDocument/2006/relationships/hyperlink" Target="https://permalinkbnd.bnportugal.gov.pt/viewer/277151/?offset=" TargetMode="External"/><Relationship Id="rId541" Type="http://schemas.openxmlformats.org/officeDocument/2006/relationships/hyperlink" Target="https://permalinkbnd.bnportugal.gov.pt/viewer/14639/?offset=" TargetMode="External"/><Relationship Id="rId639" Type="http://schemas.openxmlformats.org/officeDocument/2006/relationships/hyperlink" Target="https://permalinkbnd.bnportugal.gov.pt/viewer/6839/?offset=" TargetMode="External"/><Relationship Id="rId180" Type="http://schemas.openxmlformats.org/officeDocument/2006/relationships/hyperlink" Target="https://permalinkbnd.bnportugal.gov.pt/viewer/272727/?offset=" TargetMode="External"/><Relationship Id="rId278" Type="http://schemas.openxmlformats.org/officeDocument/2006/relationships/hyperlink" Target="https://permalinkbnd.bnportugal.gov.pt/viewer/280465/?offset=" TargetMode="External"/><Relationship Id="rId401" Type="http://schemas.openxmlformats.org/officeDocument/2006/relationships/hyperlink" Target="https://permalinkbnd.bnportugal.gov.pt/viewer/273117/?offset=" TargetMode="External"/><Relationship Id="rId846" Type="http://schemas.openxmlformats.org/officeDocument/2006/relationships/hyperlink" Target="https://permalinkbnd.bnportugal.gov.pt/viewer/14613/?offset=" TargetMode="External"/><Relationship Id="rId485" Type="http://schemas.openxmlformats.org/officeDocument/2006/relationships/hyperlink" Target="https://permalinkbnd.bnportugal.gov.pt/viewer/273944/?offset=" TargetMode="External"/><Relationship Id="rId692" Type="http://schemas.openxmlformats.org/officeDocument/2006/relationships/hyperlink" Target="https://permalinkbnd.bnportugal.gov.pt/viewer/14594/?offset=" TargetMode="External"/><Relationship Id="rId706" Type="http://schemas.openxmlformats.org/officeDocument/2006/relationships/hyperlink" Target="https://permalinkbnd.bnportugal.gov.pt/viewer/272813/?offset=" TargetMode="External"/><Relationship Id="rId42" Type="http://schemas.openxmlformats.org/officeDocument/2006/relationships/hyperlink" Target="https://permalinkbnd.bnportugal.gov.pt/viewer/272882/?offset=" TargetMode="External"/><Relationship Id="rId138" Type="http://schemas.openxmlformats.org/officeDocument/2006/relationships/hyperlink" Target="https://permalinkbnd.bnportugal.gov.pt/viewer/270087/?offset=" TargetMode="External"/><Relationship Id="rId345" Type="http://schemas.openxmlformats.org/officeDocument/2006/relationships/hyperlink" Target="https://permalinkbnd.bnportugal.gov.pt/viewer/277150/?offset=" TargetMode="External"/><Relationship Id="rId552" Type="http://schemas.openxmlformats.org/officeDocument/2006/relationships/hyperlink" Target="https://permalinkbnd.bnportugal.gov.pt/viewer/14621/?offset=" TargetMode="External"/><Relationship Id="rId191" Type="http://schemas.openxmlformats.org/officeDocument/2006/relationships/hyperlink" Target="https://permalinkbnd.bnportugal.gov.pt/viewer/272786/?offset=" TargetMode="External"/><Relationship Id="rId205" Type="http://schemas.openxmlformats.org/officeDocument/2006/relationships/hyperlink" Target="https://permalinkbnd.bnportugal.gov.pt/viewer/272786/?offset=" TargetMode="External"/><Relationship Id="rId412" Type="http://schemas.openxmlformats.org/officeDocument/2006/relationships/hyperlink" Target="https://permalinkbnd.bnportugal.gov.pt/viewer/277452/?offset=" TargetMode="External"/><Relationship Id="rId857" Type="http://schemas.openxmlformats.org/officeDocument/2006/relationships/hyperlink" Target="https://permalinkbnd.bnportugal.gov.pt/viewer/273687/?offset=" TargetMode="External"/><Relationship Id="rId289" Type="http://schemas.openxmlformats.org/officeDocument/2006/relationships/hyperlink" Target="https://permalinkbnd.bnportugal.gov.pt/viewer/275364/?offset=" TargetMode="External"/><Relationship Id="rId496" Type="http://schemas.openxmlformats.org/officeDocument/2006/relationships/hyperlink" Target="https://permalinkbnd.bnportugal.gov.pt/viewer/273944/?offset=" TargetMode="External"/><Relationship Id="rId717" Type="http://schemas.openxmlformats.org/officeDocument/2006/relationships/hyperlink" Target="https://permalinkbnd.bnportugal.gov.pt/viewer/278670/?offset=" TargetMode="External"/><Relationship Id="rId53" Type="http://schemas.openxmlformats.org/officeDocument/2006/relationships/hyperlink" Target="https://permalinkbnd.bnportugal.gov.pt/viewer/270116/?offset=" TargetMode="External"/><Relationship Id="rId149" Type="http://schemas.openxmlformats.org/officeDocument/2006/relationships/hyperlink" Target="https://permalinkbnd.bnportugal.gov.pt/viewer/273439/?offset=" TargetMode="External"/><Relationship Id="rId356" Type="http://schemas.openxmlformats.org/officeDocument/2006/relationships/hyperlink" Target="https://permalinkbnd.bnportugal.gov.pt/viewer/1892/?offset=" TargetMode="External"/><Relationship Id="rId563" Type="http://schemas.openxmlformats.org/officeDocument/2006/relationships/hyperlink" Target="https://permalinkbnd.bnportugal.gov.pt/viewer/14576/?offset=" TargetMode="External"/><Relationship Id="rId770" Type="http://schemas.openxmlformats.org/officeDocument/2006/relationships/hyperlink" Target="https://permalinkbnd.bnportugal.gov.pt/viewer/86824/?offset=" TargetMode="External"/><Relationship Id="rId216" Type="http://schemas.openxmlformats.org/officeDocument/2006/relationships/hyperlink" Target="https://permalinkbnd.bnportugal.gov.pt/viewer/272786/?offset=" TargetMode="External"/><Relationship Id="rId423" Type="http://schemas.openxmlformats.org/officeDocument/2006/relationships/hyperlink" Target="https://permalinkbnd.bnportugal.gov.pt/viewer/272638/?offset=" TargetMode="External"/><Relationship Id="rId868" Type="http://schemas.openxmlformats.org/officeDocument/2006/relationships/hyperlink" Target="https://purl.pt/44140" TargetMode="External"/><Relationship Id="rId630" Type="http://schemas.openxmlformats.org/officeDocument/2006/relationships/hyperlink" Target="https://permalinkbnd.bnportugal.gov.pt/viewer/86723/?offset=" TargetMode="External"/><Relationship Id="rId728" Type="http://schemas.openxmlformats.org/officeDocument/2006/relationships/hyperlink" Target="https://permalinkbnd.bnportugal.gov.pt/viewer/278795/?offset=" TargetMode="External"/><Relationship Id="rId64" Type="http://schemas.openxmlformats.org/officeDocument/2006/relationships/hyperlink" Target="https://permalinkbnd.bnportugal.gov.pt/viewer/273102/?offset=" TargetMode="External"/><Relationship Id="rId367" Type="http://schemas.openxmlformats.org/officeDocument/2006/relationships/hyperlink" Target="https://permalinkbnd.bnportugal.gov.pt/viewer/272668/?offset=" TargetMode="External"/><Relationship Id="rId574" Type="http://schemas.openxmlformats.org/officeDocument/2006/relationships/hyperlink" Target="https://permalinkbnd.bnportugal.gov.pt/viewer/14624/?offset=" TargetMode="External"/><Relationship Id="rId227" Type="http://schemas.openxmlformats.org/officeDocument/2006/relationships/hyperlink" Target="https://permalinkbnd.bnportugal.gov.pt/viewer/272730/?offset=" TargetMode="External"/><Relationship Id="rId781" Type="http://schemas.openxmlformats.org/officeDocument/2006/relationships/hyperlink" Target="https://permalinkbnd.bnportugal.gov.pt/viewer/14628/?offset=" TargetMode="External"/><Relationship Id="rId879" Type="http://schemas.openxmlformats.org/officeDocument/2006/relationships/hyperlink" Target="https://purl.pt/44140" TargetMode="External"/><Relationship Id="rId434" Type="http://schemas.openxmlformats.org/officeDocument/2006/relationships/hyperlink" Target="https://permalinkbnd.bnportugal.gov.pt/viewer/273869/?offset=" TargetMode="External"/><Relationship Id="rId641" Type="http://schemas.openxmlformats.org/officeDocument/2006/relationships/hyperlink" Target="https://permalinkbnd.bnportugal.gov.pt/viewer/6839/?offset=" TargetMode="External"/><Relationship Id="rId739" Type="http://schemas.openxmlformats.org/officeDocument/2006/relationships/hyperlink" Target="https://permalinkbnd.bnportugal.gov.pt/viewer/279624/?offset=" TargetMode="External"/><Relationship Id="rId280" Type="http://schemas.openxmlformats.org/officeDocument/2006/relationships/hyperlink" Target="https://permalinkbnd.bnportugal.gov.pt/viewer/280465/?offset=" TargetMode="External"/><Relationship Id="rId501" Type="http://schemas.openxmlformats.org/officeDocument/2006/relationships/hyperlink" Target="https://permalinkbnd.bnportugal.gov.pt/viewer/255848/?offset=" TargetMode="External"/><Relationship Id="rId75" Type="http://schemas.openxmlformats.org/officeDocument/2006/relationships/hyperlink" Target="https://permalinkbnd.bnportugal.gov.pt/viewer/35147/?offset=" TargetMode="External"/><Relationship Id="rId140" Type="http://schemas.openxmlformats.org/officeDocument/2006/relationships/hyperlink" Target="https://permalinkbnd.bnportugal.gov.pt/viewer/270087/?offset=" TargetMode="External"/><Relationship Id="rId378" Type="http://schemas.openxmlformats.org/officeDocument/2006/relationships/hyperlink" Target="https://permalinkbnd.bnportugal.gov.pt/viewer/276792/?offset=" TargetMode="External"/><Relationship Id="rId585" Type="http://schemas.openxmlformats.org/officeDocument/2006/relationships/hyperlink" Target="https://permalinkbnd.bnportugal.gov.pt/viewer/14624/?offset=" TargetMode="External"/><Relationship Id="rId792" Type="http://schemas.openxmlformats.org/officeDocument/2006/relationships/hyperlink" Target="https://permalinkbnd.bnportugal.gov.pt/viewer/14628/?offset=" TargetMode="External"/><Relationship Id="rId806" Type="http://schemas.openxmlformats.org/officeDocument/2006/relationships/hyperlink" Target="https://permalinkbnd.bnportugal.gov.pt/viewer/14628/?offset=" TargetMode="External"/><Relationship Id="rId6" Type="http://schemas.openxmlformats.org/officeDocument/2006/relationships/hyperlink" Target="https://permalinkbnd.bnportugal.gov.pt/viewer/273118/?offset=" TargetMode="External"/><Relationship Id="rId238" Type="http://schemas.openxmlformats.org/officeDocument/2006/relationships/hyperlink" Target="https://permalinkbnd.bnportugal.gov.pt/viewer/274957/?offset=" TargetMode="External"/><Relationship Id="rId445" Type="http://schemas.openxmlformats.org/officeDocument/2006/relationships/hyperlink" Target="https://permalinkbnd.bnportugal.gov.pt/viewer/277836/?offset=" TargetMode="External"/><Relationship Id="rId652" Type="http://schemas.openxmlformats.org/officeDocument/2006/relationships/hyperlink" Target="https://permalinkbnd.bnportugal.gov.pt/viewer/278784/?offset=" TargetMode="External"/><Relationship Id="rId291" Type="http://schemas.openxmlformats.org/officeDocument/2006/relationships/hyperlink" Target="https://permalinkbnd.bnportugal.gov.pt/viewer/279232/?offset=" TargetMode="External"/><Relationship Id="rId305" Type="http://schemas.openxmlformats.org/officeDocument/2006/relationships/hyperlink" Target="https://permalinkbnd.bnportugal.gov.pt/viewer/273782/?offset=" TargetMode="External"/><Relationship Id="rId512" Type="http://schemas.openxmlformats.org/officeDocument/2006/relationships/hyperlink" Target="https://permalinkbnd.bnportugal.gov.pt/viewer/255848/?offset=" TargetMode="External"/><Relationship Id="rId86" Type="http://schemas.openxmlformats.org/officeDocument/2006/relationships/hyperlink" Target="https://permalinkbnd.bnportugal.gov.pt/viewer/36374/?offset=" TargetMode="External"/><Relationship Id="rId151" Type="http://schemas.openxmlformats.org/officeDocument/2006/relationships/hyperlink" Target="https://permalinkbnd.bnportugal.gov.pt/viewer/273731/?offset=" TargetMode="External"/><Relationship Id="rId389" Type="http://schemas.openxmlformats.org/officeDocument/2006/relationships/hyperlink" Target="https://permalinkbnd.bnportugal.gov.pt/viewer/273746/?offset=" TargetMode="External"/><Relationship Id="rId596" Type="http://schemas.openxmlformats.org/officeDocument/2006/relationships/hyperlink" Target="https://permalinkbnd.bnportugal.gov.pt/viewer/14624/?offset=" TargetMode="External"/><Relationship Id="rId817" Type="http://schemas.openxmlformats.org/officeDocument/2006/relationships/hyperlink" Target="https://permalinkbnd.bnportugal.gov.pt/viewer/14598/?offset=" TargetMode="External"/><Relationship Id="rId249" Type="http://schemas.openxmlformats.org/officeDocument/2006/relationships/hyperlink" Target="https://permalinkbnd.bnportugal.gov.pt/viewer/272626/?offset=" TargetMode="External"/><Relationship Id="rId456" Type="http://schemas.openxmlformats.org/officeDocument/2006/relationships/hyperlink" Target="https://permalinkbnd.bnportugal.gov.pt/viewer/278097/?offset=" TargetMode="External"/><Relationship Id="rId663" Type="http://schemas.openxmlformats.org/officeDocument/2006/relationships/hyperlink" Target="https://permalinkbnd.bnportugal.gov.pt/viewer/272640/?offset=" TargetMode="External"/><Relationship Id="rId870" Type="http://schemas.openxmlformats.org/officeDocument/2006/relationships/hyperlink" Target="https://purl.pt/44140" TargetMode="External"/><Relationship Id="rId13" Type="http://schemas.openxmlformats.org/officeDocument/2006/relationships/hyperlink" Target="https://permalinkbnd.bnportugal.gov.pt/viewer/274171/?offset=" TargetMode="External"/><Relationship Id="rId109" Type="http://schemas.openxmlformats.org/officeDocument/2006/relationships/hyperlink" Target="https://permalinkbnd.bnportugal.gov.pt/viewer/272359/?offset=" TargetMode="External"/><Relationship Id="rId316" Type="http://schemas.openxmlformats.org/officeDocument/2006/relationships/hyperlink" Target="https://permalinkbnd.bnportugal.gov.pt/viewer/272627/?offset=" TargetMode="External"/><Relationship Id="rId523" Type="http://schemas.openxmlformats.org/officeDocument/2006/relationships/hyperlink" Target="https://permalinkbnd.bnportugal.gov.pt/viewer/274463/?offset=" TargetMode="External"/><Relationship Id="rId97" Type="http://schemas.openxmlformats.org/officeDocument/2006/relationships/hyperlink" Target="https://permalinkbnd.bnportugal.gov.pt/viewer/272381/?offset=" TargetMode="External"/><Relationship Id="rId730" Type="http://schemas.openxmlformats.org/officeDocument/2006/relationships/hyperlink" Target="https://permalinkbnd.bnportugal.gov.pt/viewer/278795/?offset=" TargetMode="External"/><Relationship Id="rId828" Type="http://schemas.openxmlformats.org/officeDocument/2006/relationships/hyperlink" Target="https://permalinkbnd.bnportugal.gov.pt/viewer/14581/?offset=" TargetMode="External"/><Relationship Id="rId162" Type="http://schemas.openxmlformats.org/officeDocument/2006/relationships/hyperlink" Target="https://permalinkbnd.bnportugal.gov.pt/viewer/274092/?offset=" TargetMode="External"/><Relationship Id="rId467" Type="http://schemas.openxmlformats.org/officeDocument/2006/relationships/hyperlink" Target="https://permalinkbnd.bnportugal.gov.pt/viewer/278166/?offset=" TargetMode="External"/><Relationship Id="rId674" Type="http://schemas.openxmlformats.org/officeDocument/2006/relationships/hyperlink" Target="https://permalinkbnd.bnportugal.gov.pt/viewer/272640/?offset=" TargetMode="External"/><Relationship Id="rId881" Type="http://schemas.openxmlformats.org/officeDocument/2006/relationships/hyperlink" Target="https://purl.pt/44140" TargetMode="External"/><Relationship Id="rId24" Type="http://schemas.openxmlformats.org/officeDocument/2006/relationships/hyperlink" Target="https://permalinkbnd.bnportugal.gov.pt/viewer/273150/?offset=" TargetMode="External"/><Relationship Id="rId327" Type="http://schemas.openxmlformats.org/officeDocument/2006/relationships/hyperlink" Target="https://permalinkbnd.bnportugal.gov.pt/viewer/277151/?offset=" TargetMode="External"/><Relationship Id="rId534" Type="http://schemas.openxmlformats.org/officeDocument/2006/relationships/hyperlink" Target="https://permalinkbnd.bnportugal.gov.pt/viewer/14639/?offset=" TargetMode="External"/><Relationship Id="rId741" Type="http://schemas.openxmlformats.org/officeDocument/2006/relationships/hyperlink" Target="https://permalinkbnd.bnportugal.gov.pt/viewer/279100/?offset=" TargetMode="External"/><Relationship Id="rId839" Type="http://schemas.openxmlformats.org/officeDocument/2006/relationships/hyperlink" Target="https://permalinkbnd.bnportugal.gov.pt/viewer/86181/?offset=" TargetMode="External"/><Relationship Id="rId173" Type="http://schemas.openxmlformats.org/officeDocument/2006/relationships/hyperlink" Target="https://permalinkbnd.bnportugal.gov.pt/viewer/38591/?offset=" TargetMode="External"/><Relationship Id="rId380" Type="http://schemas.openxmlformats.org/officeDocument/2006/relationships/hyperlink" Target="https://permalinkbnd.bnportugal.gov.pt/viewer/279502/?offset=" TargetMode="External"/><Relationship Id="rId601" Type="http://schemas.openxmlformats.org/officeDocument/2006/relationships/hyperlink" Target="https://permalinkbnd.bnportugal.gov.pt/viewer/14587/?offset=" TargetMode="External"/><Relationship Id="rId240" Type="http://schemas.openxmlformats.org/officeDocument/2006/relationships/hyperlink" Target="https://permalinkbnd.bnportugal.gov.pt/viewer/272626/?offset=" TargetMode="External"/><Relationship Id="rId478" Type="http://schemas.openxmlformats.org/officeDocument/2006/relationships/hyperlink" Target="https://permalinkbnd.bnportugal.gov.pt/viewer/273178/?offset=" TargetMode="External"/><Relationship Id="rId685" Type="http://schemas.openxmlformats.org/officeDocument/2006/relationships/hyperlink" Target="https://permalinkbnd.bnportugal.gov.pt/viewer/20471/?offset=" TargetMode="External"/><Relationship Id="rId35" Type="http://schemas.openxmlformats.org/officeDocument/2006/relationships/hyperlink" Target="https://permalinkbnd.bnportugal.gov.pt/viewer/274280/?offset=" TargetMode="External"/><Relationship Id="rId100" Type="http://schemas.openxmlformats.org/officeDocument/2006/relationships/hyperlink" Target="https://permalinkbnd.bnportugal.gov.pt/viewer/272381/?offset=" TargetMode="External"/><Relationship Id="rId338" Type="http://schemas.openxmlformats.org/officeDocument/2006/relationships/hyperlink" Target="https://permalinkbnd.bnportugal.gov.pt/viewer/277145/?offset=" TargetMode="External"/><Relationship Id="rId545" Type="http://schemas.openxmlformats.org/officeDocument/2006/relationships/hyperlink" Target="https://permalinkbnd.bnportugal.gov.pt/viewer/14621/?offset=" TargetMode="External"/><Relationship Id="rId752" Type="http://schemas.openxmlformats.org/officeDocument/2006/relationships/hyperlink" Target="https://permalinkbnd.bnportugal.gov.pt/viewer/256552/?offset=" TargetMode="External"/><Relationship Id="rId184" Type="http://schemas.openxmlformats.org/officeDocument/2006/relationships/hyperlink" Target="https://permalinkbnd.bnportugal.gov.pt/viewer/268841/?offset=" TargetMode="External"/><Relationship Id="rId391" Type="http://schemas.openxmlformats.org/officeDocument/2006/relationships/hyperlink" Target="https://permalinkbnd.bnportugal.gov.pt/viewer/277335/?offset=" TargetMode="External"/><Relationship Id="rId405" Type="http://schemas.openxmlformats.org/officeDocument/2006/relationships/hyperlink" Target="https://permalinkbnd.bnportugal.gov.pt/viewer/273117/?offset=" TargetMode="External"/><Relationship Id="rId612" Type="http://schemas.openxmlformats.org/officeDocument/2006/relationships/hyperlink" Target="https://permalinkbnd.bnportugal.gov.pt/viewer/14587/?offset=" TargetMode="External"/><Relationship Id="rId251" Type="http://schemas.openxmlformats.org/officeDocument/2006/relationships/hyperlink" Target="https://permalinkbnd.bnportugal.gov.pt/viewer/272626/?offset=" TargetMode="External"/><Relationship Id="rId489" Type="http://schemas.openxmlformats.org/officeDocument/2006/relationships/hyperlink" Target="https://permalinkbnd.bnportugal.gov.pt/viewer/273944/?offset=" TargetMode="External"/><Relationship Id="rId696" Type="http://schemas.openxmlformats.org/officeDocument/2006/relationships/hyperlink" Target="https://permalinkbnd.bnportugal.gov.pt/viewer/14594/?offset=" TargetMode="External"/><Relationship Id="rId46" Type="http://schemas.openxmlformats.org/officeDocument/2006/relationships/hyperlink" Target="https://permalinkbnd.bnportugal.gov.pt/viewer/273923/?offset=" TargetMode="External"/><Relationship Id="rId349" Type="http://schemas.openxmlformats.org/officeDocument/2006/relationships/hyperlink" Target="https://permalinkbnd.bnportugal.gov.pt/viewer/277150/?offset=" TargetMode="External"/><Relationship Id="rId556" Type="http://schemas.openxmlformats.org/officeDocument/2006/relationships/hyperlink" Target="https://permalinkbnd.bnportugal.gov.pt/viewer/14573/?offset=" TargetMode="External"/><Relationship Id="rId763" Type="http://schemas.openxmlformats.org/officeDocument/2006/relationships/hyperlink" Target="https://permalinkbnd.bnportugal.gov.pt/viewer/255741/?offset=" TargetMode="External"/><Relationship Id="rId111" Type="http://schemas.openxmlformats.org/officeDocument/2006/relationships/hyperlink" Target="https://permalinkbnd.bnportugal.gov.pt/viewer/272379/?offset=" TargetMode="External"/><Relationship Id="rId195" Type="http://schemas.openxmlformats.org/officeDocument/2006/relationships/hyperlink" Target="https://permalinkbnd.bnportugal.gov.pt/viewer/272786/?offset=" TargetMode="External"/><Relationship Id="rId209" Type="http://schemas.openxmlformats.org/officeDocument/2006/relationships/hyperlink" Target="https://permalinkbnd.bnportugal.gov.pt/viewer/272786/?offset=" TargetMode="External"/><Relationship Id="rId416" Type="http://schemas.openxmlformats.org/officeDocument/2006/relationships/hyperlink" Target="https://permalinkbnd.bnportugal.gov.pt/viewer/277452/?offset=" TargetMode="External"/><Relationship Id="rId623" Type="http://schemas.openxmlformats.org/officeDocument/2006/relationships/hyperlink" Target="https://permalinkbnd.bnportugal.gov.pt/viewer/14604/?offset=" TargetMode="External"/><Relationship Id="rId830" Type="http://schemas.openxmlformats.org/officeDocument/2006/relationships/hyperlink" Target="https://permalinkbnd.bnportugal.gov.pt/viewer/14581/?offset=" TargetMode="External"/><Relationship Id="rId15" Type="http://schemas.openxmlformats.org/officeDocument/2006/relationships/hyperlink" Target="https://permalinkbnd.bnportugal.gov.pt/viewer/274235/?offset=" TargetMode="External"/><Relationship Id="rId57" Type="http://schemas.openxmlformats.org/officeDocument/2006/relationships/hyperlink" Target="https://permalinkbnd.bnportugal.gov.pt/viewer/270116/?offset=" TargetMode="External"/><Relationship Id="rId262" Type="http://schemas.openxmlformats.org/officeDocument/2006/relationships/hyperlink" Target="https://permalinkbnd.bnportugal.gov.pt/viewer/273511/?offset=" TargetMode="External"/><Relationship Id="rId318" Type="http://schemas.openxmlformats.org/officeDocument/2006/relationships/hyperlink" Target="https://permalinkbnd.bnportugal.gov.pt/viewer/272627/?offset=" TargetMode="External"/><Relationship Id="rId525" Type="http://schemas.openxmlformats.org/officeDocument/2006/relationships/hyperlink" Target="https://permalinkbnd.bnportugal.gov.pt/viewer/14629/?offset=" TargetMode="External"/><Relationship Id="rId567" Type="http://schemas.openxmlformats.org/officeDocument/2006/relationships/hyperlink" Target="https://permalinkbnd.bnportugal.gov.pt/viewer/14566/?offset=" TargetMode="External"/><Relationship Id="rId732" Type="http://schemas.openxmlformats.org/officeDocument/2006/relationships/hyperlink" Target="https://permalinkbnd.bnportugal.gov.pt/viewer/278795/?offset=" TargetMode="External"/><Relationship Id="rId99" Type="http://schemas.openxmlformats.org/officeDocument/2006/relationships/hyperlink" Target="https://permalinkbnd.bnportugal.gov.pt/viewer/272381/?offset=" TargetMode="External"/><Relationship Id="rId122" Type="http://schemas.openxmlformats.org/officeDocument/2006/relationships/hyperlink" Target="https://permalinkbnd.bnportugal.gov.pt/viewer/272355/?offset=" TargetMode="External"/><Relationship Id="rId164" Type="http://schemas.openxmlformats.org/officeDocument/2006/relationships/hyperlink" Target="https://permalinkbnd.bnportugal.gov.pt/viewer/272390/?offset=" TargetMode="External"/><Relationship Id="rId371" Type="http://schemas.openxmlformats.org/officeDocument/2006/relationships/hyperlink" Target="https://permalinkbnd.bnportugal.gov.pt/viewer/277147/?offset=" TargetMode="External"/><Relationship Id="rId774" Type="http://schemas.openxmlformats.org/officeDocument/2006/relationships/hyperlink" Target="https://permalinkbnd.bnportugal.gov.pt/viewer/14628/?offset=" TargetMode="External"/><Relationship Id="rId427" Type="http://schemas.openxmlformats.org/officeDocument/2006/relationships/hyperlink" Target="https://permalinkbnd.bnportugal.gov.pt/viewer/273869/?offset=" TargetMode="External"/><Relationship Id="rId469" Type="http://schemas.openxmlformats.org/officeDocument/2006/relationships/hyperlink" Target="https://permalinkbnd.bnportugal.gov.pt/viewer/278323/?offset=" TargetMode="External"/><Relationship Id="rId634" Type="http://schemas.openxmlformats.org/officeDocument/2006/relationships/hyperlink" Target="https://permalinkbnd.bnportugal.gov.pt/viewer/274032/?offset=" TargetMode="External"/><Relationship Id="rId676" Type="http://schemas.openxmlformats.org/officeDocument/2006/relationships/hyperlink" Target="https://permalinkbnd.bnportugal.gov.pt/viewer/272640/?offset=" TargetMode="External"/><Relationship Id="rId841" Type="http://schemas.openxmlformats.org/officeDocument/2006/relationships/hyperlink" Target="https://permalinkbnd.bnportugal.gov.pt/viewer/14678/?offset=" TargetMode="External"/><Relationship Id="rId883" Type="http://schemas.openxmlformats.org/officeDocument/2006/relationships/hyperlink" Target="https://purl.pt/37883" TargetMode="External"/><Relationship Id="rId26" Type="http://schemas.openxmlformats.org/officeDocument/2006/relationships/hyperlink" Target="https://permalinkbnd.bnportugal.gov.pt/viewer/274090/?offset=" TargetMode="External"/><Relationship Id="rId231" Type="http://schemas.openxmlformats.org/officeDocument/2006/relationships/hyperlink" Target="https://permalinkbnd.bnportugal.gov.pt/viewer/272812/?offset=" TargetMode="External"/><Relationship Id="rId273" Type="http://schemas.openxmlformats.org/officeDocument/2006/relationships/hyperlink" Target="https://permalinkbnd.bnportugal.gov.pt/viewer/280465/?offset=" TargetMode="External"/><Relationship Id="rId329" Type="http://schemas.openxmlformats.org/officeDocument/2006/relationships/hyperlink" Target="https://permalinkbnd.bnportugal.gov.pt/viewer/277151/?offset=" TargetMode="External"/><Relationship Id="rId480" Type="http://schemas.openxmlformats.org/officeDocument/2006/relationships/hyperlink" Target="https://permalinkbnd.bnportugal.gov.pt/viewer/1/?offset=" TargetMode="External"/><Relationship Id="rId536" Type="http://schemas.openxmlformats.org/officeDocument/2006/relationships/hyperlink" Target="https://permalinkbnd.bnportugal.gov.pt/viewer/14639/?offset=" TargetMode="External"/><Relationship Id="rId701" Type="http://schemas.openxmlformats.org/officeDocument/2006/relationships/hyperlink" Target="https://permalinkbnd.bnportugal.gov.pt/viewer/14594/?offset=" TargetMode="External"/><Relationship Id="rId68" Type="http://schemas.openxmlformats.org/officeDocument/2006/relationships/hyperlink" Target="https://permalinkbnd.bnportugal.gov.pt/viewer/281908/?offset=" TargetMode="External"/><Relationship Id="rId133" Type="http://schemas.openxmlformats.org/officeDocument/2006/relationships/hyperlink" Target="https://permalinkbnd.bnportugal.gov.pt/viewer/274252/?offset=" TargetMode="External"/><Relationship Id="rId175" Type="http://schemas.openxmlformats.org/officeDocument/2006/relationships/hyperlink" Target="https://permalinkbnd.bnportugal.gov.pt/viewer/37955/?offset=" TargetMode="External"/><Relationship Id="rId340" Type="http://schemas.openxmlformats.org/officeDocument/2006/relationships/hyperlink" Target="https://permalinkbnd.bnportugal.gov.pt/viewer/277145/?offset=" TargetMode="External"/><Relationship Id="rId578" Type="http://schemas.openxmlformats.org/officeDocument/2006/relationships/hyperlink" Target="https://permalinkbnd.bnportugal.gov.pt/viewer/14624/?offset=" TargetMode="External"/><Relationship Id="rId743" Type="http://schemas.openxmlformats.org/officeDocument/2006/relationships/hyperlink" Target="https://permalinkbnd.bnportugal.gov.pt/viewer/14663/?offset=" TargetMode="External"/><Relationship Id="rId785" Type="http://schemas.openxmlformats.org/officeDocument/2006/relationships/hyperlink" Target="https://permalinkbnd.bnportugal.gov.pt/viewer/14628/?offset=" TargetMode="External"/><Relationship Id="rId200" Type="http://schemas.openxmlformats.org/officeDocument/2006/relationships/hyperlink" Target="https://permalinkbnd.bnportugal.gov.pt/viewer/272786/?offset=" TargetMode="External"/><Relationship Id="rId382" Type="http://schemas.openxmlformats.org/officeDocument/2006/relationships/hyperlink" Target="https://permalinkbnd.bnportugal.gov.pt/viewer/279513/?offset=" TargetMode="External"/><Relationship Id="rId438" Type="http://schemas.openxmlformats.org/officeDocument/2006/relationships/hyperlink" Target="https://permalinkbnd.bnportugal.gov.pt/viewer/277738/?offset=" TargetMode="External"/><Relationship Id="rId603" Type="http://schemas.openxmlformats.org/officeDocument/2006/relationships/hyperlink" Target="https://permalinkbnd.bnportugal.gov.pt/viewer/14587/?offset=" TargetMode="External"/><Relationship Id="rId645" Type="http://schemas.openxmlformats.org/officeDocument/2006/relationships/hyperlink" Target="https://permalinkbnd.bnportugal.gov.pt/viewer/36391/?offset=" TargetMode="External"/><Relationship Id="rId687" Type="http://schemas.openxmlformats.org/officeDocument/2006/relationships/hyperlink" Target="https://permalinkbnd.bnportugal.gov.pt/viewer/14594/?offset=" TargetMode="External"/><Relationship Id="rId810" Type="http://schemas.openxmlformats.org/officeDocument/2006/relationships/hyperlink" Target="https://permalinkbnd.bnportugal.gov.pt/viewer/14628/?offset=" TargetMode="External"/><Relationship Id="rId852" Type="http://schemas.openxmlformats.org/officeDocument/2006/relationships/hyperlink" Target="https://permalinkbnd.bnportugal.gov.pt/viewer/1880/?offset=" TargetMode="External"/><Relationship Id="rId242" Type="http://schemas.openxmlformats.org/officeDocument/2006/relationships/hyperlink" Target="https://permalinkbnd.bnportugal.gov.pt/viewer/272626/?offset=" TargetMode="External"/><Relationship Id="rId284" Type="http://schemas.openxmlformats.org/officeDocument/2006/relationships/hyperlink" Target="https://permalinkbnd.bnportugal.gov.pt/viewer/280465/?offset=" TargetMode="External"/><Relationship Id="rId491" Type="http://schemas.openxmlformats.org/officeDocument/2006/relationships/hyperlink" Target="https://permalinkbnd.bnportugal.gov.pt/viewer/273944/?offset=" TargetMode="External"/><Relationship Id="rId505" Type="http://schemas.openxmlformats.org/officeDocument/2006/relationships/hyperlink" Target="https://permalinkbnd.bnportugal.gov.pt/viewer/255848/?offset=" TargetMode="External"/><Relationship Id="rId712" Type="http://schemas.openxmlformats.org/officeDocument/2006/relationships/hyperlink" Target="https://permalinkbnd.bnportugal.gov.pt/viewer/278400/?offset=" TargetMode="External"/><Relationship Id="rId37" Type="http://schemas.openxmlformats.org/officeDocument/2006/relationships/hyperlink" Target="https://permalinkbnd.bnportugal.gov.pt/viewer/273347/?offset=" TargetMode="External"/><Relationship Id="rId79" Type="http://schemas.openxmlformats.org/officeDocument/2006/relationships/hyperlink" Target="https://permalinkbnd.bnportugal.gov.pt/viewer/35137/?offset=" TargetMode="External"/><Relationship Id="rId102" Type="http://schemas.openxmlformats.org/officeDocument/2006/relationships/hyperlink" Target="https://permalinkbnd.bnportugal.gov.pt/viewer/272381/?offset=" TargetMode="External"/><Relationship Id="rId144" Type="http://schemas.openxmlformats.org/officeDocument/2006/relationships/hyperlink" Target="https://permalinkbnd.bnportugal.gov.pt/viewer/273350/?offset=" TargetMode="External"/><Relationship Id="rId547" Type="http://schemas.openxmlformats.org/officeDocument/2006/relationships/hyperlink" Target="https://permalinkbnd.bnportugal.gov.pt/viewer/14621/?offset=" TargetMode="External"/><Relationship Id="rId589" Type="http://schemas.openxmlformats.org/officeDocument/2006/relationships/hyperlink" Target="https://permalinkbnd.bnportugal.gov.pt/viewer/14624/?offset=" TargetMode="External"/><Relationship Id="rId754" Type="http://schemas.openxmlformats.org/officeDocument/2006/relationships/hyperlink" Target="https://permalinkbnd.bnportugal.gov.pt/viewer/256552/?offset=" TargetMode="External"/><Relationship Id="rId796" Type="http://schemas.openxmlformats.org/officeDocument/2006/relationships/hyperlink" Target="https://permalinkbnd.bnportugal.gov.pt/viewer/14628/?offset=" TargetMode="External"/><Relationship Id="rId90" Type="http://schemas.openxmlformats.org/officeDocument/2006/relationships/hyperlink" Target="https://permalinkbnd.bnportugal.gov.pt/viewer/37674/?offset=" TargetMode="External"/><Relationship Id="rId186" Type="http://schemas.openxmlformats.org/officeDocument/2006/relationships/hyperlink" Target="https://permalinkbnd.bnportugal.gov.pt/viewer/272731/?offset=" TargetMode="External"/><Relationship Id="rId351" Type="http://schemas.openxmlformats.org/officeDocument/2006/relationships/hyperlink" Target="https://permalinkbnd.bnportugal.gov.pt/viewer/277150/?offset=" TargetMode="External"/><Relationship Id="rId393" Type="http://schemas.openxmlformats.org/officeDocument/2006/relationships/hyperlink" Target="https://permalinkbnd.bnportugal.gov.pt/viewer/273796/?offset=" TargetMode="External"/><Relationship Id="rId407" Type="http://schemas.openxmlformats.org/officeDocument/2006/relationships/hyperlink" Target="https://permalinkbnd.bnportugal.gov.pt/viewer/273117/?offset=" TargetMode="External"/><Relationship Id="rId449" Type="http://schemas.openxmlformats.org/officeDocument/2006/relationships/hyperlink" Target="https://permalinkbnd.bnportugal.gov.pt/viewer/278039/?offset=" TargetMode="External"/><Relationship Id="rId614" Type="http://schemas.openxmlformats.org/officeDocument/2006/relationships/hyperlink" Target="https://permalinkbnd.bnportugal.gov.pt/viewer/14587/?offset=" TargetMode="External"/><Relationship Id="rId656" Type="http://schemas.openxmlformats.org/officeDocument/2006/relationships/hyperlink" Target="https://permalinkbnd.bnportugal.gov.pt/viewer/272640/?offset=" TargetMode="External"/><Relationship Id="rId821" Type="http://schemas.openxmlformats.org/officeDocument/2006/relationships/hyperlink" Target="https://permalinkbnd.bnportugal.gov.pt/viewer/14598/?offset=" TargetMode="External"/><Relationship Id="rId863" Type="http://schemas.openxmlformats.org/officeDocument/2006/relationships/hyperlink" Target="https://permalinkbnd.bnportugal.gov.pt/viewer/277330/?offset=" TargetMode="External"/><Relationship Id="rId211" Type="http://schemas.openxmlformats.org/officeDocument/2006/relationships/hyperlink" Target="https://permalinkbnd.bnportugal.gov.pt/viewer/272786/?offset=" TargetMode="External"/><Relationship Id="rId253" Type="http://schemas.openxmlformats.org/officeDocument/2006/relationships/hyperlink" Target="https://permalinkbnd.bnportugal.gov.pt/viewer/279168/?offset=" TargetMode="External"/><Relationship Id="rId295" Type="http://schemas.openxmlformats.org/officeDocument/2006/relationships/hyperlink" Target="https://permalinkbnd.bnportugal.gov.pt/viewer/273100/?offset=" TargetMode="External"/><Relationship Id="rId309" Type="http://schemas.openxmlformats.org/officeDocument/2006/relationships/hyperlink" Target="https://permalinkbnd.bnportugal.gov.pt/viewer/273782/?offset=" TargetMode="External"/><Relationship Id="rId460" Type="http://schemas.openxmlformats.org/officeDocument/2006/relationships/hyperlink" Target="https://permalinkbnd.bnportugal.gov.pt/viewer/1897/?offset=" TargetMode="External"/><Relationship Id="rId516" Type="http://schemas.openxmlformats.org/officeDocument/2006/relationships/hyperlink" Target="https://permalinkbnd.bnportugal.gov.pt/viewer/255848/?offset=" TargetMode="External"/><Relationship Id="rId698" Type="http://schemas.openxmlformats.org/officeDocument/2006/relationships/hyperlink" Target="https://permalinkbnd.bnportugal.gov.pt/viewer/14594/?offset=" TargetMode="External"/><Relationship Id="rId48" Type="http://schemas.openxmlformats.org/officeDocument/2006/relationships/hyperlink" Target="https://permalinkbnd.bnportugal.gov.pt/viewer/270331/?offset=" TargetMode="External"/><Relationship Id="rId113" Type="http://schemas.openxmlformats.org/officeDocument/2006/relationships/hyperlink" Target="https://permalinkbnd.bnportugal.gov.pt/viewer/272376/?offset=" TargetMode="External"/><Relationship Id="rId320" Type="http://schemas.openxmlformats.org/officeDocument/2006/relationships/hyperlink" Target="https://permalinkbnd.bnportugal.gov.pt/viewer/272627/?offset=" TargetMode="External"/><Relationship Id="rId558" Type="http://schemas.openxmlformats.org/officeDocument/2006/relationships/hyperlink" Target="https://permalinkbnd.bnportugal.gov.pt/viewer/14632/?offset=" TargetMode="External"/><Relationship Id="rId723" Type="http://schemas.openxmlformats.org/officeDocument/2006/relationships/hyperlink" Target="https://permalinkbnd.bnportugal.gov.pt/viewer/278595/?offset=" TargetMode="External"/><Relationship Id="rId765" Type="http://schemas.openxmlformats.org/officeDocument/2006/relationships/hyperlink" Target="https://permalinkbnd.bnportugal.gov.pt/viewer/14651/?offset=" TargetMode="External"/><Relationship Id="rId155" Type="http://schemas.openxmlformats.org/officeDocument/2006/relationships/hyperlink" Target="https://permalinkbnd.bnportugal.gov.pt/viewer/272728/?offset=" TargetMode="External"/><Relationship Id="rId197" Type="http://schemas.openxmlformats.org/officeDocument/2006/relationships/hyperlink" Target="https://permalinkbnd.bnportugal.gov.pt/viewer/272786/?offset=" TargetMode="External"/><Relationship Id="rId362" Type="http://schemas.openxmlformats.org/officeDocument/2006/relationships/hyperlink" Target="https://permalinkbnd.bnportugal.gov.pt/viewer/272672/?offset=" TargetMode="External"/><Relationship Id="rId418" Type="http://schemas.openxmlformats.org/officeDocument/2006/relationships/hyperlink" Target="https://permalinkbnd.bnportugal.gov.pt/viewer/277452/?offset=" TargetMode="External"/><Relationship Id="rId625" Type="http://schemas.openxmlformats.org/officeDocument/2006/relationships/hyperlink" Target="https://permalinkbnd.bnportugal.gov.pt/viewer/278482/?offset=" TargetMode="External"/><Relationship Id="rId832" Type="http://schemas.openxmlformats.org/officeDocument/2006/relationships/hyperlink" Target="https://permalinkbnd.bnportugal.gov.pt/viewer/14581/?offset=" TargetMode="External"/><Relationship Id="rId222" Type="http://schemas.openxmlformats.org/officeDocument/2006/relationships/hyperlink" Target="https://permalinkbnd.bnportugal.gov.pt/viewer/272786/?offset=" TargetMode="External"/><Relationship Id="rId264" Type="http://schemas.openxmlformats.org/officeDocument/2006/relationships/hyperlink" Target="https://permalinkbnd.bnportugal.gov.pt/viewer/273524/?offset=" TargetMode="External"/><Relationship Id="rId471" Type="http://schemas.openxmlformats.org/officeDocument/2006/relationships/hyperlink" Target="https://permalinkbnd.bnportugal.gov.pt/viewer/278334/?offset=" TargetMode="External"/><Relationship Id="rId667" Type="http://schemas.openxmlformats.org/officeDocument/2006/relationships/hyperlink" Target="https://permalinkbnd.bnportugal.gov.pt/viewer/272640/?offset=" TargetMode="External"/><Relationship Id="rId874" Type="http://schemas.openxmlformats.org/officeDocument/2006/relationships/hyperlink" Target="https://purl.pt/44140" TargetMode="External"/><Relationship Id="rId17" Type="http://schemas.openxmlformats.org/officeDocument/2006/relationships/hyperlink" Target="https://permalinkbnd.bnportugal.gov.pt/viewer/274235/?offset=" TargetMode="External"/><Relationship Id="rId59" Type="http://schemas.openxmlformats.org/officeDocument/2006/relationships/hyperlink" Target="https://permalinkbnd.bnportugal.gov.pt/viewer/274153/?offset=" TargetMode="External"/><Relationship Id="rId124" Type="http://schemas.openxmlformats.org/officeDocument/2006/relationships/hyperlink" Target="https://permalinkbnd.bnportugal.gov.pt/viewer/270138/?offset=" TargetMode="External"/><Relationship Id="rId527" Type="http://schemas.openxmlformats.org/officeDocument/2006/relationships/hyperlink" Target="https://permalinkbnd.bnportugal.gov.pt/viewer/14629/?offset=" TargetMode="External"/><Relationship Id="rId569" Type="http://schemas.openxmlformats.org/officeDocument/2006/relationships/hyperlink" Target="https://permalinkbnd.bnportugal.gov.pt/viewer/274466/?offset=" TargetMode="External"/><Relationship Id="rId734" Type="http://schemas.openxmlformats.org/officeDocument/2006/relationships/hyperlink" Target="https://permalinkbnd.bnportugal.gov.pt/viewer/278795/?offset=" TargetMode="External"/><Relationship Id="rId776" Type="http://schemas.openxmlformats.org/officeDocument/2006/relationships/hyperlink" Target="https://permalinkbnd.bnportugal.gov.pt/viewer/14628/?offset=" TargetMode="External"/><Relationship Id="rId70" Type="http://schemas.openxmlformats.org/officeDocument/2006/relationships/hyperlink" Target="https://permalinkbnd.bnportugal.gov.pt/viewer/14040/?offset=" TargetMode="External"/><Relationship Id="rId166" Type="http://schemas.openxmlformats.org/officeDocument/2006/relationships/hyperlink" Target="https://permalinkbnd.bnportugal.gov.pt/viewer/280467/?offset=" TargetMode="External"/><Relationship Id="rId331" Type="http://schemas.openxmlformats.org/officeDocument/2006/relationships/hyperlink" Target="https://permalinkbnd.bnportugal.gov.pt/viewer/277151/?offset=" TargetMode="External"/><Relationship Id="rId373" Type="http://schemas.openxmlformats.org/officeDocument/2006/relationships/hyperlink" Target="https://permalinkbnd.bnportugal.gov.pt/viewer/276783/?offset=" TargetMode="External"/><Relationship Id="rId429" Type="http://schemas.openxmlformats.org/officeDocument/2006/relationships/hyperlink" Target="https://permalinkbnd.bnportugal.gov.pt/viewer/273869/?offset=" TargetMode="External"/><Relationship Id="rId580" Type="http://schemas.openxmlformats.org/officeDocument/2006/relationships/hyperlink" Target="https://permalinkbnd.bnportugal.gov.pt/viewer/14624/?offset=" TargetMode="External"/><Relationship Id="rId636" Type="http://schemas.openxmlformats.org/officeDocument/2006/relationships/hyperlink" Target="https://permalinkbnd.bnportugal.gov.pt/viewer/274032/?offset=" TargetMode="External"/><Relationship Id="rId801" Type="http://schemas.openxmlformats.org/officeDocument/2006/relationships/hyperlink" Target="https://permalinkbnd.bnportugal.gov.pt/viewer/14628/?offset=" TargetMode="External"/><Relationship Id="rId1" Type="http://schemas.openxmlformats.org/officeDocument/2006/relationships/hyperlink" Target="https://permalinkbnd.bnportugal.gov.pt/viewer/272369/?offset=" TargetMode="External"/><Relationship Id="rId233" Type="http://schemas.openxmlformats.org/officeDocument/2006/relationships/hyperlink" Target="https://permalinkbnd.bnportugal.gov.pt/viewer/281142/?offset=" TargetMode="External"/><Relationship Id="rId440" Type="http://schemas.openxmlformats.org/officeDocument/2006/relationships/hyperlink" Target="https://permalinkbnd.bnportugal.gov.pt/viewer/273912/?offset=" TargetMode="External"/><Relationship Id="rId678" Type="http://schemas.openxmlformats.org/officeDocument/2006/relationships/hyperlink" Target="https://permalinkbnd.bnportugal.gov.pt/viewer/272640/?offset=" TargetMode="External"/><Relationship Id="rId843" Type="http://schemas.openxmlformats.org/officeDocument/2006/relationships/hyperlink" Target="https://permalinkbnd.bnportugal.gov.pt/viewer/35163/?offset=" TargetMode="External"/><Relationship Id="rId28" Type="http://schemas.openxmlformats.org/officeDocument/2006/relationships/hyperlink" Target="https://permalinkbnd.bnportugal.gov.pt/viewer/273148/?offset=" TargetMode="External"/><Relationship Id="rId275" Type="http://schemas.openxmlformats.org/officeDocument/2006/relationships/hyperlink" Target="https://permalinkbnd.bnportugal.gov.pt/viewer/280465/?offset=" TargetMode="External"/><Relationship Id="rId300" Type="http://schemas.openxmlformats.org/officeDocument/2006/relationships/hyperlink" Target="https://permalinkbnd.bnportugal.gov.pt/viewer/273782/?offset=" TargetMode="External"/><Relationship Id="rId482" Type="http://schemas.openxmlformats.org/officeDocument/2006/relationships/hyperlink" Target="https://permalinkbnd.bnportugal.gov.pt/viewer/273944/?offset=" TargetMode="External"/><Relationship Id="rId538" Type="http://schemas.openxmlformats.org/officeDocument/2006/relationships/hyperlink" Target="https://permalinkbnd.bnportugal.gov.pt/viewer/14639/?offset=" TargetMode="External"/><Relationship Id="rId703" Type="http://schemas.openxmlformats.org/officeDocument/2006/relationships/hyperlink" Target="https://permalinkbnd.bnportugal.gov.pt/viewer/14594/?offset=" TargetMode="External"/><Relationship Id="rId745" Type="http://schemas.openxmlformats.org/officeDocument/2006/relationships/hyperlink" Target="https://permalinkbnd.bnportugal.gov.pt/viewer/256552/?offset=" TargetMode="External"/><Relationship Id="rId81" Type="http://schemas.openxmlformats.org/officeDocument/2006/relationships/hyperlink" Target="https://permalinkbnd.bnportugal.gov.pt/viewer/37132/?offset=" TargetMode="External"/><Relationship Id="rId135" Type="http://schemas.openxmlformats.org/officeDocument/2006/relationships/hyperlink" Target="https://permalinkbnd.bnportugal.gov.pt/viewer/273233/?offset=" TargetMode="External"/><Relationship Id="rId177" Type="http://schemas.openxmlformats.org/officeDocument/2006/relationships/hyperlink" Target="https://permalinkbnd.bnportugal.gov.pt/viewer/39315/?offset=" TargetMode="External"/><Relationship Id="rId342" Type="http://schemas.openxmlformats.org/officeDocument/2006/relationships/hyperlink" Target="https://permalinkbnd.bnportugal.gov.pt/viewer/273814/?offset=" TargetMode="External"/><Relationship Id="rId384" Type="http://schemas.openxmlformats.org/officeDocument/2006/relationships/hyperlink" Target="https://permalinkbnd.bnportugal.gov.pt/viewer/276787/?offset=" TargetMode="External"/><Relationship Id="rId591" Type="http://schemas.openxmlformats.org/officeDocument/2006/relationships/hyperlink" Target="https://permalinkbnd.bnportugal.gov.pt/viewer/14624/?offset=" TargetMode="External"/><Relationship Id="rId605" Type="http://schemas.openxmlformats.org/officeDocument/2006/relationships/hyperlink" Target="https://permalinkbnd.bnportugal.gov.pt/viewer/14587/?offset=" TargetMode="External"/><Relationship Id="rId787" Type="http://schemas.openxmlformats.org/officeDocument/2006/relationships/hyperlink" Target="https://permalinkbnd.bnportugal.gov.pt/viewer/14628/?offset=" TargetMode="External"/><Relationship Id="rId812" Type="http://schemas.openxmlformats.org/officeDocument/2006/relationships/hyperlink" Target="https://permalinkbnd.bnportugal.gov.pt/viewer/14628/?offset=" TargetMode="External"/><Relationship Id="rId202" Type="http://schemas.openxmlformats.org/officeDocument/2006/relationships/hyperlink" Target="https://permalinkbnd.bnportugal.gov.pt/viewer/272786/?offset=" TargetMode="External"/><Relationship Id="rId244" Type="http://schemas.openxmlformats.org/officeDocument/2006/relationships/hyperlink" Target="https://permalinkbnd.bnportugal.gov.pt/viewer/272626/?offset=" TargetMode="External"/><Relationship Id="rId647" Type="http://schemas.openxmlformats.org/officeDocument/2006/relationships/hyperlink" Target="https://permalinkbnd.bnportugal.gov.pt/viewer/278664/?offset=" TargetMode="External"/><Relationship Id="rId689" Type="http://schemas.openxmlformats.org/officeDocument/2006/relationships/hyperlink" Target="https://permalinkbnd.bnportugal.gov.pt/viewer/14594/?offset=" TargetMode="External"/><Relationship Id="rId854" Type="http://schemas.openxmlformats.org/officeDocument/2006/relationships/hyperlink" Target="https://permalinkbnd.bnportugal.gov.pt/viewer/275038/?offset=" TargetMode="External"/><Relationship Id="rId39" Type="http://schemas.openxmlformats.org/officeDocument/2006/relationships/hyperlink" Target="https://permalinkbnd.bnportugal.gov.pt/viewer/274348/?offset=" TargetMode="External"/><Relationship Id="rId286" Type="http://schemas.openxmlformats.org/officeDocument/2006/relationships/hyperlink" Target="https://permalinkbnd.bnportugal.gov.pt/viewer/280465/?offset=" TargetMode="External"/><Relationship Id="rId451" Type="http://schemas.openxmlformats.org/officeDocument/2006/relationships/hyperlink" Target="https://permalinkbnd.bnportugal.gov.pt/viewer/278038/?offset=" TargetMode="External"/><Relationship Id="rId493" Type="http://schemas.openxmlformats.org/officeDocument/2006/relationships/hyperlink" Target="https://permalinkbnd.bnportugal.gov.pt/viewer/273944/?offset=" TargetMode="External"/><Relationship Id="rId507" Type="http://schemas.openxmlformats.org/officeDocument/2006/relationships/hyperlink" Target="https://permalinkbnd.bnportugal.gov.pt/viewer/255848/?offset=" TargetMode="External"/><Relationship Id="rId549" Type="http://schemas.openxmlformats.org/officeDocument/2006/relationships/hyperlink" Target="https://permalinkbnd.bnportugal.gov.pt/viewer/14621/?offset=" TargetMode="External"/><Relationship Id="rId714" Type="http://schemas.openxmlformats.org/officeDocument/2006/relationships/hyperlink" Target="https://permalinkbnd.bnportugal.gov.pt/viewer/278662/?offset=" TargetMode="External"/><Relationship Id="rId756" Type="http://schemas.openxmlformats.org/officeDocument/2006/relationships/hyperlink" Target="https://permalinkbnd.bnportugal.gov.pt/viewer/3/?offset=" TargetMode="External"/><Relationship Id="rId50" Type="http://schemas.openxmlformats.org/officeDocument/2006/relationships/hyperlink" Target="https://permalinkbnd.bnportugal.gov.pt/viewer/270345/?offset=" TargetMode="External"/><Relationship Id="rId104" Type="http://schemas.openxmlformats.org/officeDocument/2006/relationships/hyperlink" Target="https://permalinkbnd.bnportugal.gov.pt/viewer/272381/?offset=" TargetMode="External"/><Relationship Id="rId146" Type="http://schemas.openxmlformats.org/officeDocument/2006/relationships/hyperlink" Target="https://permalinkbnd.bnportugal.gov.pt/viewer/273346/?offset=" TargetMode="External"/><Relationship Id="rId188" Type="http://schemas.openxmlformats.org/officeDocument/2006/relationships/hyperlink" Target="https://permalinkbnd.bnportugal.gov.pt/viewer/272729/?offset=" TargetMode="External"/><Relationship Id="rId311" Type="http://schemas.openxmlformats.org/officeDocument/2006/relationships/hyperlink" Target="https://permalinkbnd.bnportugal.gov.pt/viewer/273782/?offset=" TargetMode="External"/><Relationship Id="rId353" Type="http://schemas.openxmlformats.org/officeDocument/2006/relationships/hyperlink" Target="https://permalinkbnd.bnportugal.gov.pt/viewer/277150/?offset=" TargetMode="External"/><Relationship Id="rId395" Type="http://schemas.openxmlformats.org/officeDocument/2006/relationships/hyperlink" Target="https://permalinkbnd.bnportugal.gov.pt/viewer/273101/?offset=" TargetMode="External"/><Relationship Id="rId409" Type="http://schemas.openxmlformats.org/officeDocument/2006/relationships/hyperlink" Target="https://permalinkbnd.bnportugal.gov.pt/viewer/273120/?offset=" TargetMode="External"/><Relationship Id="rId560" Type="http://schemas.openxmlformats.org/officeDocument/2006/relationships/hyperlink" Target="https://permalinkbnd.bnportugal.gov.pt/viewer/14680/?offset=" TargetMode="External"/><Relationship Id="rId798" Type="http://schemas.openxmlformats.org/officeDocument/2006/relationships/hyperlink" Target="https://permalinkbnd.bnportugal.gov.pt/viewer/14628/?offset=" TargetMode="External"/><Relationship Id="rId92" Type="http://schemas.openxmlformats.org/officeDocument/2006/relationships/hyperlink" Target="https://permalinkbnd.bnportugal.gov.pt/viewer/274166/?offset=" TargetMode="External"/><Relationship Id="rId213" Type="http://schemas.openxmlformats.org/officeDocument/2006/relationships/hyperlink" Target="https://permalinkbnd.bnportugal.gov.pt/viewer/272786/?offset=" TargetMode="External"/><Relationship Id="rId420" Type="http://schemas.openxmlformats.org/officeDocument/2006/relationships/hyperlink" Target="https://permalinkbnd.bnportugal.gov.pt/viewer/277488/?offset=" TargetMode="External"/><Relationship Id="rId616" Type="http://schemas.openxmlformats.org/officeDocument/2006/relationships/hyperlink" Target="https://permalinkbnd.bnportugal.gov.pt/viewer/14587/?offset=" TargetMode="External"/><Relationship Id="rId658" Type="http://schemas.openxmlformats.org/officeDocument/2006/relationships/hyperlink" Target="https://permalinkbnd.bnportugal.gov.pt/viewer/272640/?offset=" TargetMode="External"/><Relationship Id="rId823" Type="http://schemas.openxmlformats.org/officeDocument/2006/relationships/hyperlink" Target="https://permalinkbnd.bnportugal.gov.pt/viewer/14598/?offset=" TargetMode="External"/><Relationship Id="rId865" Type="http://schemas.openxmlformats.org/officeDocument/2006/relationships/hyperlink" Target="https://permalinkbnd.bnportugal.gov.pt/viewer/277332/?offset=" TargetMode="External"/><Relationship Id="rId255" Type="http://schemas.openxmlformats.org/officeDocument/2006/relationships/hyperlink" Target="https://permalinkbnd.bnportugal.gov.pt/viewer/279168/?offset=" TargetMode="External"/><Relationship Id="rId297" Type="http://schemas.openxmlformats.org/officeDocument/2006/relationships/hyperlink" Target="https://permalinkbnd.bnportugal.gov.pt/viewer/273782/?offset=" TargetMode="External"/><Relationship Id="rId462" Type="http://schemas.openxmlformats.org/officeDocument/2006/relationships/hyperlink" Target="https://permalinkbnd.bnportugal.gov.pt/viewer/1897/?offset=" TargetMode="External"/><Relationship Id="rId518" Type="http://schemas.openxmlformats.org/officeDocument/2006/relationships/hyperlink" Target="https://permalinkbnd.bnportugal.gov.pt/viewer/255848/?offset=" TargetMode="External"/><Relationship Id="rId725" Type="http://schemas.openxmlformats.org/officeDocument/2006/relationships/hyperlink" Target="https://permalinkbnd.bnportugal.gov.pt/viewer/278668/?offset=" TargetMode="External"/><Relationship Id="rId115" Type="http://schemas.openxmlformats.org/officeDocument/2006/relationships/hyperlink" Target="https://permalinkbnd.bnportugal.gov.pt/viewer/272389/?offset=" TargetMode="External"/><Relationship Id="rId157" Type="http://schemas.openxmlformats.org/officeDocument/2006/relationships/hyperlink" Target="https://permalinkbnd.bnportugal.gov.pt/viewer/33718/?offset=" TargetMode="External"/><Relationship Id="rId322" Type="http://schemas.openxmlformats.org/officeDocument/2006/relationships/hyperlink" Target="https://permalinkbnd.bnportugal.gov.pt/viewer/272627/?offset=" TargetMode="External"/><Relationship Id="rId364" Type="http://schemas.openxmlformats.org/officeDocument/2006/relationships/hyperlink" Target="https://permalinkbnd.bnportugal.gov.pt/viewer/272672/?offset=" TargetMode="External"/><Relationship Id="rId767" Type="http://schemas.openxmlformats.org/officeDocument/2006/relationships/hyperlink" Target="https://permalinkbnd.bnportugal.gov.pt/viewer/14666/?offset=" TargetMode="External"/><Relationship Id="rId61" Type="http://schemas.openxmlformats.org/officeDocument/2006/relationships/hyperlink" Target="https://permalinkbnd.bnportugal.gov.pt/viewer/273182/?offset=" TargetMode="External"/><Relationship Id="rId199" Type="http://schemas.openxmlformats.org/officeDocument/2006/relationships/hyperlink" Target="https://permalinkbnd.bnportugal.gov.pt/viewer/272786/?offset=" TargetMode="External"/><Relationship Id="rId571" Type="http://schemas.openxmlformats.org/officeDocument/2006/relationships/hyperlink" Target="https://permalinkbnd.bnportugal.gov.pt/viewer/278408/?offset=" TargetMode="External"/><Relationship Id="rId627" Type="http://schemas.openxmlformats.org/officeDocument/2006/relationships/hyperlink" Target="https://permalinkbnd.bnportugal.gov.pt/viewer/14622/?offset=" TargetMode="External"/><Relationship Id="rId669" Type="http://schemas.openxmlformats.org/officeDocument/2006/relationships/hyperlink" Target="https://permalinkbnd.bnportugal.gov.pt/viewer/272640/?offset=" TargetMode="External"/><Relationship Id="rId834" Type="http://schemas.openxmlformats.org/officeDocument/2006/relationships/hyperlink" Target="https://permalinkbnd.bnportugal.gov.pt/viewer/14581/?offset=" TargetMode="External"/><Relationship Id="rId876" Type="http://schemas.openxmlformats.org/officeDocument/2006/relationships/hyperlink" Target="https://purl.pt/44140" TargetMode="External"/><Relationship Id="rId19" Type="http://schemas.openxmlformats.org/officeDocument/2006/relationships/hyperlink" Target="https://permalinkbnd.bnportugal.gov.pt/viewer/273149/?offset=" TargetMode="External"/><Relationship Id="rId224" Type="http://schemas.openxmlformats.org/officeDocument/2006/relationships/hyperlink" Target="https://permalinkbnd.bnportugal.gov.pt/viewer/272786/?offset=" TargetMode="External"/><Relationship Id="rId266" Type="http://schemas.openxmlformats.org/officeDocument/2006/relationships/hyperlink" Target="https://permalinkbnd.bnportugal.gov.pt/viewer/273524/?offset=" TargetMode="External"/><Relationship Id="rId431" Type="http://schemas.openxmlformats.org/officeDocument/2006/relationships/hyperlink" Target="https://permalinkbnd.bnportugal.gov.pt/viewer/273869/?offset=" TargetMode="External"/><Relationship Id="rId473" Type="http://schemas.openxmlformats.org/officeDocument/2006/relationships/hyperlink" Target="https://permalinkbnd.bnportugal.gov.pt/viewer/273178/?offset=" TargetMode="External"/><Relationship Id="rId529" Type="http://schemas.openxmlformats.org/officeDocument/2006/relationships/hyperlink" Target="https://permalinkbnd.bnportugal.gov.pt/viewer/14629/?offset=" TargetMode="External"/><Relationship Id="rId680" Type="http://schemas.openxmlformats.org/officeDocument/2006/relationships/hyperlink" Target="https://permalinkbnd.bnportugal.gov.pt/viewer/272640/?offset=" TargetMode="External"/><Relationship Id="rId736" Type="http://schemas.openxmlformats.org/officeDocument/2006/relationships/hyperlink" Target="https://permalinkbnd.bnportugal.gov.pt/viewer/278795/?offset=" TargetMode="External"/><Relationship Id="rId30" Type="http://schemas.openxmlformats.org/officeDocument/2006/relationships/hyperlink" Target="https://permalinkbnd.bnportugal.gov.pt/viewer/1576/?offset=" TargetMode="External"/><Relationship Id="rId126" Type="http://schemas.openxmlformats.org/officeDocument/2006/relationships/hyperlink" Target="https://permalinkbnd.bnportugal.gov.pt/viewer/270138/?offset=" TargetMode="External"/><Relationship Id="rId168" Type="http://schemas.openxmlformats.org/officeDocument/2006/relationships/hyperlink" Target="https://permalinkbnd.bnportugal.gov.pt/viewer/36160/?offset=" TargetMode="External"/><Relationship Id="rId333" Type="http://schemas.openxmlformats.org/officeDocument/2006/relationships/hyperlink" Target="https://permalinkbnd.bnportugal.gov.pt/viewer/277151/?offset=" TargetMode="External"/><Relationship Id="rId540" Type="http://schemas.openxmlformats.org/officeDocument/2006/relationships/hyperlink" Target="https://permalinkbnd.bnportugal.gov.pt/viewer/14639/?offset=" TargetMode="External"/><Relationship Id="rId778" Type="http://schemas.openxmlformats.org/officeDocument/2006/relationships/hyperlink" Target="https://permalinkbnd.bnportugal.gov.pt/viewer/14628/?offset=" TargetMode="External"/><Relationship Id="rId72" Type="http://schemas.openxmlformats.org/officeDocument/2006/relationships/hyperlink" Target="https://permalinkbnd.bnportugal.gov.pt/viewer/36741/?offset=" TargetMode="External"/><Relationship Id="rId375" Type="http://schemas.openxmlformats.org/officeDocument/2006/relationships/hyperlink" Target="https://permalinkbnd.bnportugal.gov.pt/viewer/276790/?offset=" TargetMode="External"/><Relationship Id="rId582" Type="http://schemas.openxmlformats.org/officeDocument/2006/relationships/hyperlink" Target="https://permalinkbnd.bnportugal.gov.pt/viewer/14624/?offset=" TargetMode="External"/><Relationship Id="rId638" Type="http://schemas.openxmlformats.org/officeDocument/2006/relationships/hyperlink" Target="https://permalinkbnd.bnportugal.gov.pt/viewer/274032/?offset=" TargetMode="External"/><Relationship Id="rId803" Type="http://schemas.openxmlformats.org/officeDocument/2006/relationships/hyperlink" Target="https://permalinkbnd.bnportugal.gov.pt/viewer/14628/?offset=" TargetMode="External"/><Relationship Id="rId845" Type="http://schemas.openxmlformats.org/officeDocument/2006/relationships/hyperlink" Target="https://permalinkbnd.bnportugal.gov.pt/viewer/14644/?offset=" TargetMode="External"/><Relationship Id="rId3" Type="http://schemas.openxmlformats.org/officeDocument/2006/relationships/hyperlink" Target="https://permalinkbnd.bnportugal.gov.pt/viewer/271573/?offset=" TargetMode="External"/><Relationship Id="rId235" Type="http://schemas.openxmlformats.org/officeDocument/2006/relationships/hyperlink" Target="https://permalinkbnd.bnportugal.gov.pt/viewer/274457/?offset=" TargetMode="External"/><Relationship Id="rId277" Type="http://schemas.openxmlformats.org/officeDocument/2006/relationships/hyperlink" Target="https://permalinkbnd.bnportugal.gov.pt/viewer/280465/?offset=" TargetMode="External"/><Relationship Id="rId400" Type="http://schemas.openxmlformats.org/officeDocument/2006/relationships/hyperlink" Target="https://permalinkbnd.bnportugal.gov.pt/viewer/277455/?offset=" TargetMode="External"/><Relationship Id="rId442" Type="http://schemas.openxmlformats.org/officeDocument/2006/relationships/hyperlink" Target="https://permalinkbnd.bnportugal.gov.pt/viewer/272639/?offset=" TargetMode="External"/><Relationship Id="rId484" Type="http://schemas.openxmlformats.org/officeDocument/2006/relationships/hyperlink" Target="https://permalinkbnd.bnportugal.gov.pt/viewer/273944/?offset=" TargetMode="External"/><Relationship Id="rId705" Type="http://schemas.openxmlformats.org/officeDocument/2006/relationships/hyperlink" Target="https://permalinkbnd.bnportugal.gov.pt/viewer/89062/?offset=" TargetMode="External"/><Relationship Id="rId137" Type="http://schemas.openxmlformats.org/officeDocument/2006/relationships/hyperlink" Target="https://permalinkbnd.bnportugal.gov.pt/viewer/270087/?offset=" TargetMode="External"/><Relationship Id="rId302" Type="http://schemas.openxmlformats.org/officeDocument/2006/relationships/hyperlink" Target="https://permalinkbnd.bnportugal.gov.pt/viewer/273782/?offset=" TargetMode="External"/><Relationship Id="rId344" Type="http://schemas.openxmlformats.org/officeDocument/2006/relationships/hyperlink" Target="https://permalinkbnd.bnportugal.gov.pt/viewer/277150/?offset=" TargetMode="External"/><Relationship Id="rId691" Type="http://schemas.openxmlformats.org/officeDocument/2006/relationships/hyperlink" Target="https://permalinkbnd.bnportugal.gov.pt/viewer/14594/?offset=" TargetMode="External"/><Relationship Id="rId747" Type="http://schemas.openxmlformats.org/officeDocument/2006/relationships/hyperlink" Target="https://permalinkbnd.bnportugal.gov.pt/viewer/256552/?offset=" TargetMode="External"/><Relationship Id="rId789" Type="http://schemas.openxmlformats.org/officeDocument/2006/relationships/hyperlink" Target="https://permalinkbnd.bnportugal.gov.pt/viewer/14628/?offset=" TargetMode="External"/><Relationship Id="rId41" Type="http://schemas.openxmlformats.org/officeDocument/2006/relationships/hyperlink" Target="https://permalinkbnd.bnportugal.gov.pt/viewer/273798/?offset=" TargetMode="External"/><Relationship Id="rId83" Type="http://schemas.openxmlformats.org/officeDocument/2006/relationships/hyperlink" Target="https://permalinkbnd.bnportugal.gov.pt/viewer/37092/?offset=" TargetMode="External"/><Relationship Id="rId179" Type="http://schemas.openxmlformats.org/officeDocument/2006/relationships/hyperlink" Target="https://permalinkbnd.bnportugal.gov.pt/viewer/272737/?offset=" TargetMode="External"/><Relationship Id="rId386" Type="http://schemas.openxmlformats.org/officeDocument/2006/relationships/hyperlink" Target="https://permalinkbnd.bnportugal.gov.pt/viewer/273746/?offset=" TargetMode="External"/><Relationship Id="rId551" Type="http://schemas.openxmlformats.org/officeDocument/2006/relationships/hyperlink" Target="https://permalinkbnd.bnportugal.gov.pt/viewer/14621/?offset=" TargetMode="External"/><Relationship Id="rId593" Type="http://schemas.openxmlformats.org/officeDocument/2006/relationships/hyperlink" Target="https://permalinkbnd.bnportugal.gov.pt/viewer/14624/?offset=" TargetMode="External"/><Relationship Id="rId607" Type="http://schemas.openxmlformats.org/officeDocument/2006/relationships/hyperlink" Target="https://permalinkbnd.bnportugal.gov.pt/viewer/14587/?offset=" TargetMode="External"/><Relationship Id="rId649" Type="http://schemas.openxmlformats.org/officeDocument/2006/relationships/hyperlink" Target="https://permalinkbnd.bnportugal.gov.pt/viewer/278669/?offset=" TargetMode="External"/><Relationship Id="rId814" Type="http://schemas.openxmlformats.org/officeDocument/2006/relationships/hyperlink" Target="https://permalinkbnd.bnportugal.gov.pt/viewer/14628/?offset=" TargetMode="External"/><Relationship Id="rId856" Type="http://schemas.openxmlformats.org/officeDocument/2006/relationships/hyperlink" Target="https://permalinkbnd.bnportugal.gov.pt/viewer/1880/?offset=" TargetMode="External"/><Relationship Id="rId190" Type="http://schemas.openxmlformats.org/officeDocument/2006/relationships/hyperlink" Target="https://permalinkbnd.bnportugal.gov.pt/viewer/272786/?offset=" TargetMode="External"/><Relationship Id="rId204" Type="http://schemas.openxmlformats.org/officeDocument/2006/relationships/hyperlink" Target="https://permalinkbnd.bnportugal.gov.pt/viewer/272786/?offset=" TargetMode="External"/><Relationship Id="rId246" Type="http://schemas.openxmlformats.org/officeDocument/2006/relationships/hyperlink" Target="https://permalinkbnd.bnportugal.gov.pt/viewer/272626/?offset=" TargetMode="External"/><Relationship Id="rId288" Type="http://schemas.openxmlformats.org/officeDocument/2006/relationships/hyperlink" Target="https://permalinkbnd.bnportugal.gov.pt/viewer/275164/?offset=" TargetMode="External"/><Relationship Id="rId411" Type="http://schemas.openxmlformats.org/officeDocument/2006/relationships/hyperlink" Target="https://permalinkbnd.bnportugal.gov.pt/viewer/277452/?offset=" TargetMode="External"/><Relationship Id="rId453" Type="http://schemas.openxmlformats.org/officeDocument/2006/relationships/hyperlink" Target="https://permalinkbnd.bnportugal.gov.pt/viewer/278032/?offset=" TargetMode="External"/><Relationship Id="rId509" Type="http://schemas.openxmlformats.org/officeDocument/2006/relationships/hyperlink" Target="https://permalinkbnd.bnportugal.gov.pt/viewer/255848/?offset=" TargetMode="External"/><Relationship Id="rId660" Type="http://schemas.openxmlformats.org/officeDocument/2006/relationships/hyperlink" Target="https://permalinkbnd.bnportugal.gov.pt/viewer/272640/?offset=" TargetMode="External"/><Relationship Id="rId106" Type="http://schemas.openxmlformats.org/officeDocument/2006/relationships/hyperlink" Target="https://permalinkbnd.bnportugal.gov.pt/viewer/272381/?offset=" TargetMode="External"/><Relationship Id="rId313" Type="http://schemas.openxmlformats.org/officeDocument/2006/relationships/hyperlink" Target="https://permalinkbnd.bnportugal.gov.pt/viewer/273782/?offset=" TargetMode="External"/><Relationship Id="rId495" Type="http://schemas.openxmlformats.org/officeDocument/2006/relationships/hyperlink" Target="https://permalinkbnd.bnportugal.gov.pt/viewer/273944/?offset=" TargetMode="External"/><Relationship Id="rId716" Type="http://schemas.openxmlformats.org/officeDocument/2006/relationships/hyperlink" Target="https://permalinkbnd.bnportugal.gov.pt/viewer/278491/?offset=" TargetMode="External"/><Relationship Id="rId758" Type="http://schemas.openxmlformats.org/officeDocument/2006/relationships/hyperlink" Target="https://permalinkbnd.bnportugal.gov.pt/viewer/3/?offset=" TargetMode="External"/><Relationship Id="rId10" Type="http://schemas.openxmlformats.org/officeDocument/2006/relationships/hyperlink" Target="https://permalinkbnd.bnportugal.gov.pt/viewer/270109/?offset=" TargetMode="External"/><Relationship Id="rId52" Type="http://schemas.openxmlformats.org/officeDocument/2006/relationships/hyperlink" Target="https://permalinkbnd.bnportugal.gov.pt/viewer/270116/?offset=" TargetMode="External"/><Relationship Id="rId94" Type="http://schemas.openxmlformats.org/officeDocument/2006/relationships/hyperlink" Target="https://permalinkbnd.bnportugal.gov.pt/viewer/273943/?offset=" TargetMode="External"/><Relationship Id="rId148" Type="http://schemas.openxmlformats.org/officeDocument/2006/relationships/hyperlink" Target="https://permalinkbnd.bnportugal.gov.pt/viewer/274342/?offset=" TargetMode="External"/><Relationship Id="rId355" Type="http://schemas.openxmlformats.org/officeDocument/2006/relationships/hyperlink" Target="https://permalinkbnd.bnportugal.gov.pt/viewer/281138/?offset=" TargetMode="External"/><Relationship Id="rId397" Type="http://schemas.openxmlformats.org/officeDocument/2006/relationships/hyperlink" Target="https://permalinkbnd.bnportugal.gov.pt/viewer/277369/?offset=" TargetMode="External"/><Relationship Id="rId520" Type="http://schemas.openxmlformats.org/officeDocument/2006/relationships/hyperlink" Target="https://permalinkbnd.bnportugal.gov.pt/viewer/255848/?offset=" TargetMode="External"/><Relationship Id="rId562" Type="http://schemas.openxmlformats.org/officeDocument/2006/relationships/hyperlink" Target="https://permalinkbnd.bnportugal.gov.pt/viewer/14578/?offset=" TargetMode="External"/><Relationship Id="rId618" Type="http://schemas.openxmlformats.org/officeDocument/2006/relationships/hyperlink" Target="https://permalinkbnd.bnportugal.gov.pt/viewer/14587/?offset=" TargetMode="External"/><Relationship Id="rId825" Type="http://schemas.openxmlformats.org/officeDocument/2006/relationships/hyperlink" Target="https://permalinkbnd.bnportugal.gov.pt/viewer/14598/?offset=" TargetMode="External"/><Relationship Id="rId215" Type="http://schemas.openxmlformats.org/officeDocument/2006/relationships/hyperlink" Target="https://permalinkbnd.bnportugal.gov.pt/viewer/272786/?offset=" TargetMode="External"/><Relationship Id="rId257" Type="http://schemas.openxmlformats.org/officeDocument/2006/relationships/hyperlink" Target="https://permalinkbnd.bnportugal.gov.pt/viewer/279168/?offset=" TargetMode="External"/><Relationship Id="rId422" Type="http://schemas.openxmlformats.org/officeDocument/2006/relationships/hyperlink" Target="https://permalinkbnd.bnportugal.gov.pt/viewer/272638/?offset=" TargetMode="External"/><Relationship Id="rId464" Type="http://schemas.openxmlformats.org/officeDocument/2006/relationships/hyperlink" Target="https://permalinkbnd.bnportugal.gov.pt/viewer/278157/?offset=" TargetMode="External"/><Relationship Id="rId867" Type="http://schemas.openxmlformats.org/officeDocument/2006/relationships/hyperlink" Target="https://purl.pt/44140" TargetMode="External"/><Relationship Id="rId299" Type="http://schemas.openxmlformats.org/officeDocument/2006/relationships/hyperlink" Target="https://permalinkbnd.bnportugal.gov.pt/viewer/273782/?offset=" TargetMode="External"/><Relationship Id="rId727" Type="http://schemas.openxmlformats.org/officeDocument/2006/relationships/hyperlink" Target="https://permalinkbnd.bnportugal.gov.pt/viewer/278795/?offset=" TargetMode="External"/><Relationship Id="rId63" Type="http://schemas.openxmlformats.org/officeDocument/2006/relationships/hyperlink" Target="https://permalinkbnd.bnportugal.gov.pt/viewer/273319/?offset=" TargetMode="External"/><Relationship Id="rId159" Type="http://schemas.openxmlformats.org/officeDocument/2006/relationships/hyperlink" Target="https://permalinkbnd.bnportugal.gov.pt/viewer/36775/?offset=" TargetMode="External"/><Relationship Id="rId366" Type="http://schemas.openxmlformats.org/officeDocument/2006/relationships/hyperlink" Target="https://permalinkbnd.bnportugal.gov.pt/viewer/272668/?offset=" TargetMode="External"/><Relationship Id="rId573" Type="http://schemas.openxmlformats.org/officeDocument/2006/relationships/hyperlink" Target="https://permalinkbnd.bnportugal.gov.pt/viewer/14624/?offset=" TargetMode="External"/><Relationship Id="rId780" Type="http://schemas.openxmlformats.org/officeDocument/2006/relationships/hyperlink" Target="https://permalinkbnd.bnportugal.gov.pt/viewer/14628/?offset=" TargetMode="External"/><Relationship Id="rId226" Type="http://schemas.openxmlformats.org/officeDocument/2006/relationships/hyperlink" Target="https://permalinkbnd.bnportugal.gov.pt/viewer/272786/?offset=" TargetMode="External"/><Relationship Id="rId433" Type="http://schemas.openxmlformats.org/officeDocument/2006/relationships/hyperlink" Target="https://permalinkbnd.bnportugal.gov.pt/viewer/273869/?offset=" TargetMode="External"/><Relationship Id="rId878" Type="http://schemas.openxmlformats.org/officeDocument/2006/relationships/hyperlink" Target="https://purl.pt/44140" TargetMode="External"/><Relationship Id="rId640" Type="http://schemas.openxmlformats.org/officeDocument/2006/relationships/hyperlink" Target="https://permalinkbnd.bnportugal.gov.pt/viewer/6839/?offset=" TargetMode="External"/><Relationship Id="rId738" Type="http://schemas.openxmlformats.org/officeDocument/2006/relationships/hyperlink" Target="https://permalinkbnd.bnportugal.gov.pt/viewer/279624/?offset=" TargetMode="External"/><Relationship Id="rId74" Type="http://schemas.openxmlformats.org/officeDocument/2006/relationships/hyperlink" Target="https://permalinkbnd.bnportugal.gov.pt/viewer/37208/?offset=" TargetMode="External"/><Relationship Id="rId377" Type="http://schemas.openxmlformats.org/officeDocument/2006/relationships/hyperlink" Target="https://permalinkbnd.bnportugal.gov.pt/viewer/276785/?offset=" TargetMode="External"/><Relationship Id="rId500" Type="http://schemas.openxmlformats.org/officeDocument/2006/relationships/hyperlink" Target="https://permalinkbnd.bnportugal.gov.pt/viewer/255848/?offset=" TargetMode="External"/><Relationship Id="rId584" Type="http://schemas.openxmlformats.org/officeDocument/2006/relationships/hyperlink" Target="https://permalinkbnd.bnportugal.gov.pt/viewer/14624/?offset=" TargetMode="External"/><Relationship Id="rId805" Type="http://schemas.openxmlformats.org/officeDocument/2006/relationships/hyperlink" Target="https://permalinkbnd.bnportugal.gov.pt/viewer/14628/?offset=" TargetMode="External"/><Relationship Id="rId5" Type="http://schemas.openxmlformats.org/officeDocument/2006/relationships/hyperlink" Target="https://permalinkbnd.bnportugal.gov.pt/viewer/281141/?offset=" TargetMode="External"/><Relationship Id="rId237" Type="http://schemas.openxmlformats.org/officeDocument/2006/relationships/hyperlink" Target="https://permalinkbnd.bnportugal.gov.pt/viewer/274459/?offset=" TargetMode="External"/><Relationship Id="rId791" Type="http://schemas.openxmlformats.org/officeDocument/2006/relationships/hyperlink" Target="https://permalinkbnd.bnportugal.gov.pt/viewer/14628/?offset=" TargetMode="External"/><Relationship Id="rId444" Type="http://schemas.openxmlformats.org/officeDocument/2006/relationships/hyperlink" Target="https://permalinkbnd.bnportugal.gov.pt/viewer/272639/?offset=" TargetMode="External"/><Relationship Id="rId651" Type="http://schemas.openxmlformats.org/officeDocument/2006/relationships/hyperlink" Target="https://permalinkbnd.bnportugal.gov.pt/viewer/278786/?offset=" TargetMode="External"/><Relationship Id="rId749" Type="http://schemas.openxmlformats.org/officeDocument/2006/relationships/hyperlink" Target="https://permalinkbnd.bnportugal.gov.pt/viewer/256552/?offset=" TargetMode="External"/><Relationship Id="rId290" Type="http://schemas.openxmlformats.org/officeDocument/2006/relationships/hyperlink" Target="https://permalinkbnd.bnportugal.gov.pt/viewer/279243/?offset=" TargetMode="External"/><Relationship Id="rId304" Type="http://schemas.openxmlformats.org/officeDocument/2006/relationships/hyperlink" Target="https://permalinkbnd.bnportugal.gov.pt/viewer/273782/?offset=" TargetMode="External"/><Relationship Id="rId388" Type="http://schemas.openxmlformats.org/officeDocument/2006/relationships/hyperlink" Target="https://permalinkbnd.bnportugal.gov.pt/viewer/273746/?offset=" TargetMode="External"/><Relationship Id="rId511" Type="http://schemas.openxmlformats.org/officeDocument/2006/relationships/hyperlink" Target="https://permalinkbnd.bnportugal.gov.pt/viewer/255848/?offset=" TargetMode="External"/><Relationship Id="rId609" Type="http://schemas.openxmlformats.org/officeDocument/2006/relationships/hyperlink" Target="https://permalinkbnd.bnportugal.gov.pt/viewer/14587/?offset=" TargetMode="External"/><Relationship Id="rId85" Type="http://schemas.openxmlformats.org/officeDocument/2006/relationships/hyperlink" Target="https://permalinkbnd.bnportugal.gov.pt/viewer/33427/?offset=" TargetMode="External"/><Relationship Id="rId150" Type="http://schemas.openxmlformats.org/officeDocument/2006/relationships/hyperlink" Target="https://permalinkbnd.bnportugal.gov.pt/viewer/273527/?offset=" TargetMode="External"/><Relationship Id="rId595" Type="http://schemas.openxmlformats.org/officeDocument/2006/relationships/hyperlink" Target="https://permalinkbnd.bnportugal.gov.pt/viewer/14624/?offset=" TargetMode="External"/><Relationship Id="rId816" Type="http://schemas.openxmlformats.org/officeDocument/2006/relationships/hyperlink" Target="https://permalinkbnd.bnportugal.gov.pt/viewer/14598/?offset=" TargetMode="External"/><Relationship Id="rId248" Type="http://schemas.openxmlformats.org/officeDocument/2006/relationships/hyperlink" Target="https://permalinkbnd.bnportugal.gov.pt/viewer/272626/?offset=" TargetMode="External"/><Relationship Id="rId455" Type="http://schemas.openxmlformats.org/officeDocument/2006/relationships/hyperlink" Target="https://permalinkbnd.bnportugal.gov.pt/viewer/278097/?offset=" TargetMode="External"/><Relationship Id="rId662" Type="http://schemas.openxmlformats.org/officeDocument/2006/relationships/hyperlink" Target="https://permalinkbnd.bnportugal.gov.pt/viewer/272640/?offset=" TargetMode="External"/><Relationship Id="rId12" Type="http://schemas.openxmlformats.org/officeDocument/2006/relationships/hyperlink" Target="https://permalinkbnd.bnportugal.gov.pt/viewer/271559/?offset=" TargetMode="External"/><Relationship Id="rId108" Type="http://schemas.openxmlformats.org/officeDocument/2006/relationships/hyperlink" Target="https://permalinkbnd.bnportugal.gov.pt/viewer/280474/?offset=" TargetMode="External"/><Relationship Id="rId315" Type="http://schemas.openxmlformats.org/officeDocument/2006/relationships/hyperlink" Target="https://permalinkbnd.bnportugal.gov.pt/viewer/273782/?offset=" TargetMode="External"/><Relationship Id="rId522" Type="http://schemas.openxmlformats.org/officeDocument/2006/relationships/hyperlink" Target="https://permalinkbnd.bnportugal.gov.pt/viewer/274463/?offset=" TargetMode="External"/><Relationship Id="rId96" Type="http://schemas.openxmlformats.org/officeDocument/2006/relationships/hyperlink" Target="https://permalinkbnd.bnportugal.gov.pt/viewer/272372/?offset=" TargetMode="External"/><Relationship Id="rId161" Type="http://schemas.openxmlformats.org/officeDocument/2006/relationships/hyperlink" Target="https://permalinkbnd.bnportugal.gov.pt/viewer/272738/?offset=" TargetMode="External"/><Relationship Id="rId399" Type="http://schemas.openxmlformats.org/officeDocument/2006/relationships/hyperlink" Target="https://permalinkbnd.bnportugal.gov.pt/viewer/277455/?offset=" TargetMode="External"/><Relationship Id="rId827" Type="http://schemas.openxmlformats.org/officeDocument/2006/relationships/hyperlink" Target="https://permalinkbnd.bnportugal.gov.pt/viewer/14581/?offset=" TargetMode="External"/><Relationship Id="rId259" Type="http://schemas.openxmlformats.org/officeDocument/2006/relationships/hyperlink" Target="https://permalinkbnd.bnportugal.gov.pt/viewer/279168/?offset=" TargetMode="External"/><Relationship Id="rId466" Type="http://schemas.openxmlformats.org/officeDocument/2006/relationships/hyperlink" Target="https://permalinkbnd.bnportugal.gov.pt/viewer/278157/?offset=" TargetMode="External"/><Relationship Id="rId673" Type="http://schemas.openxmlformats.org/officeDocument/2006/relationships/hyperlink" Target="https://permalinkbnd.bnportugal.gov.pt/viewer/272640/?offset=" TargetMode="External"/><Relationship Id="rId880" Type="http://schemas.openxmlformats.org/officeDocument/2006/relationships/hyperlink" Target="https://purl.pt/44140" TargetMode="External"/><Relationship Id="rId23" Type="http://schemas.openxmlformats.org/officeDocument/2006/relationships/hyperlink" Target="https://permalinkbnd.bnportugal.gov.pt/viewer/36059/?offset=" TargetMode="External"/><Relationship Id="rId119" Type="http://schemas.openxmlformats.org/officeDocument/2006/relationships/hyperlink" Target="https://permalinkbnd.bnportugal.gov.pt/viewer/272399/?offset=" TargetMode="External"/><Relationship Id="rId326" Type="http://schemas.openxmlformats.org/officeDocument/2006/relationships/hyperlink" Target="https://permalinkbnd.bnportugal.gov.pt/viewer/272627/?offset=" TargetMode="External"/><Relationship Id="rId533" Type="http://schemas.openxmlformats.org/officeDocument/2006/relationships/hyperlink" Target="https://permalinkbnd.bnportugal.gov.pt/viewer/14629/?offset=" TargetMode="External"/><Relationship Id="rId740" Type="http://schemas.openxmlformats.org/officeDocument/2006/relationships/hyperlink" Target="https://permalinkbnd.bnportugal.gov.pt/viewer/279100/?offset=" TargetMode="External"/><Relationship Id="rId838" Type="http://schemas.openxmlformats.org/officeDocument/2006/relationships/hyperlink" Target="https://permalinkbnd.bnportugal.gov.pt/viewer/86181/?offset=" TargetMode="External"/><Relationship Id="rId172" Type="http://schemas.openxmlformats.org/officeDocument/2006/relationships/hyperlink" Target="https://permalinkbnd.bnportugal.gov.pt/viewer/38463/?offset=" TargetMode="External"/><Relationship Id="rId477" Type="http://schemas.openxmlformats.org/officeDocument/2006/relationships/hyperlink" Target="https://permalinkbnd.bnportugal.gov.pt/viewer/273178/?offset=" TargetMode="External"/><Relationship Id="rId600" Type="http://schemas.openxmlformats.org/officeDocument/2006/relationships/hyperlink" Target="https://permalinkbnd.bnportugal.gov.pt/viewer/14587/?offset=" TargetMode="External"/><Relationship Id="rId684" Type="http://schemas.openxmlformats.org/officeDocument/2006/relationships/hyperlink" Target="https://permalinkbnd.bnportugal.gov.pt/viewer/279104/?offset=" TargetMode="External"/><Relationship Id="rId337" Type="http://schemas.openxmlformats.org/officeDocument/2006/relationships/hyperlink" Target="https://permalinkbnd.bnportugal.gov.pt/viewer/277151/?offset=" TargetMode="External"/><Relationship Id="rId34" Type="http://schemas.openxmlformats.org/officeDocument/2006/relationships/hyperlink" Target="https://permalinkbnd.bnportugal.gov.pt/viewer/274280/?offset=" TargetMode="External"/><Relationship Id="rId544" Type="http://schemas.openxmlformats.org/officeDocument/2006/relationships/hyperlink" Target="https://permalinkbnd.bnportugal.gov.pt/viewer/14639/?offset=" TargetMode="External"/><Relationship Id="rId751" Type="http://schemas.openxmlformats.org/officeDocument/2006/relationships/hyperlink" Target="https://permalinkbnd.bnportugal.gov.pt/viewer/256552/?offset=" TargetMode="External"/><Relationship Id="rId849" Type="http://schemas.openxmlformats.org/officeDocument/2006/relationships/hyperlink" Target="https://permalinkbnd.bnportugal.gov.pt/viewer/7634/?offset=" TargetMode="External"/><Relationship Id="rId183" Type="http://schemas.openxmlformats.org/officeDocument/2006/relationships/hyperlink" Target="https://permalinkbnd.bnportugal.gov.pt/viewer/16732/?offset=" TargetMode="External"/><Relationship Id="rId390" Type="http://schemas.openxmlformats.org/officeDocument/2006/relationships/hyperlink" Target="https://permalinkbnd.bnportugal.gov.pt/viewer/275415/?offset=" TargetMode="External"/><Relationship Id="rId404" Type="http://schemas.openxmlformats.org/officeDocument/2006/relationships/hyperlink" Target="https://permalinkbnd.bnportugal.gov.pt/viewer/273117/?offset=" TargetMode="External"/><Relationship Id="rId611" Type="http://schemas.openxmlformats.org/officeDocument/2006/relationships/hyperlink" Target="https://permalinkbnd.bnportugal.gov.pt/viewer/14587/?offset=" TargetMode="External"/><Relationship Id="rId250" Type="http://schemas.openxmlformats.org/officeDocument/2006/relationships/hyperlink" Target="https://permalinkbnd.bnportugal.gov.pt/viewer/272626/?offset=" TargetMode="External"/><Relationship Id="rId488" Type="http://schemas.openxmlformats.org/officeDocument/2006/relationships/hyperlink" Target="https://permalinkbnd.bnportugal.gov.pt/viewer/273944/?offset=" TargetMode="External"/><Relationship Id="rId695" Type="http://schemas.openxmlformats.org/officeDocument/2006/relationships/hyperlink" Target="https://permalinkbnd.bnportugal.gov.pt/viewer/14594/?offset=" TargetMode="External"/><Relationship Id="rId709" Type="http://schemas.openxmlformats.org/officeDocument/2006/relationships/hyperlink" Target="https://permalinkbnd.bnportugal.gov.pt/viewer/278400/?offset=" TargetMode="External"/><Relationship Id="rId45" Type="http://schemas.openxmlformats.org/officeDocument/2006/relationships/hyperlink" Target="https://permalinkbnd.bnportugal.gov.pt/viewer/1880/?offset=" TargetMode="External"/><Relationship Id="rId110" Type="http://schemas.openxmlformats.org/officeDocument/2006/relationships/hyperlink" Target="https://permalinkbnd.bnportugal.gov.pt/viewer/272367/?offset=" TargetMode="External"/><Relationship Id="rId348" Type="http://schemas.openxmlformats.org/officeDocument/2006/relationships/hyperlink" Target="https://permalinkbnd.bnportugal.gov.pt/viewer/277150/?offset=" TargetMode="External"/><Relationship Id="rId555" Type="http://schemas.openxmlformats.org/officeDocument/2006/relationships/hyperlink" Target="https://permalinkbnd.bnportugal.gov.pt/viewer/14621/?offset=" TargetMode="External"/><Relationship Id="rId762" Type="http://schemas.openxmlformats.org/officeDocument/2006/relationships/hyperlink" Target="https://permalinkbnd.bnportugal.gov.pt/viewer/255741/?offset=" TargetMode="External"/><Relationship Id="rId194" Type="http://schemas.openxmlformats.org/officeDocument/2006/relationships/hyperlink" Target="https://permalinkbnd.bnportugal.gov.pt/viewer/272786/?offset=" TargetMode="External"/><Relationship Id="rId208" Type="http://schemas.openxmlformats.org/officeDocument/2006/relationships/hyperlink" Target="https://permalinkbnd.bnportugal.gov.pt/viewer/272786/?offset=" TargetMode="External"/><Relationship Id="rId415" Type="http://schemas.openxmlformats.org/officeDocument/2006/relationships/hyperlink" Target="https://permalinkbnd.bnportugal.gov.pt/viewer/277452/?offset=" TargetMode="External"/><Relationship Id="rId622" Type="http://schemas.openxmlformats.org/officeDocument/2006/relationships/hyperlink" Target="https://permalinkbnd.bnportugal.gov.pt/viewer/14650/?offset=" TargetMode="External"/><Relationship Id="rId261" Type="http://schemas.openxmlformats.org/officeDocument/2006/relationships/hyperlink" Target="https://permalinkbnd.bnportugal.gov.pt/viewer/273511/?offset=" TargetMode="External"/><Relationship Id="rId499" Type="http://schemas.openxmlformats.org/officeDocument/2006/relationships/hyperlink" Target="https://permalinkbnd.bnportugal.gov.pt/viewer/14663/?offset=" TargetMode="External"/><Relationship Id="rId56" Type="http://schemas.openxmlformats.org/officeDocument/2006/relationships/hyperlink" Target="https://permalinkbnd.bnportugal.gov.pt/viewer/270116/?offset=" TargetMode="External"/><Relationship Id="rId359" Type="http://schemas.openxmlformats.org/officeDocument/2006/relationships/hyperlink" Target="https://permalinkbnd.bnportugal.gov.pt/viewer/277149/?offset=" TargetMode="External"/><Relationship Id="rId566" Type="http://schemas.openxmlformats.org/officeDocument/2006/relationships/hyperlink" Target="https://permalinkbnd.bnportugal.gov.pt/viewer/14592/?offset=" TargetMode="External"/><Relationship Id="rId773" Type="http://schemas.openxmlformats.org/officeDocument/2006/relationships/hyperlink" Target="https://permalinkbnd.bnportugal.gov.pt/viewer/14628/?offset=" TargetMode="External"/><Relationship Id="rId121" Type="http://schemas.openxmlformats.org/officeDocument/2006/relationships/hyperlink" Target="https://permalinkbnd.bnportugal.gov.pt/viewer/272355/?offset=" TargetMode="External"/><Relationship Id="rId219" Type="http://schemas.openxmlformats.org/officeDocument/2006/relationships/hyperlink" Target="https://permalinkbnd.bnportugal.gov.pt/viewer/272786/?offset=" TargetMode="External"/><Relationship Id="rId426" Type="http://schemas.openxmlformats.org/officeDocument/2006/relationships/hyperlink" Target="https://permalinkbnd.bnportugal.gov.pt/viewer/273879/?offset=" TargetMode="External"/><Relationship Id="rId633" Type="http://schemas.openxmlformats.org/officeDocument/2006/relationships/hyperlink" Target="https://permalinkbnd.bnportugal.gov.pt/viewer/274032/?offset=" TargetMode="External"/><Relationship Id="rId840" Type="http://schemas.openxmlformats.org/officeDocument/2006/relationships/hyperlink" Target="https://permalinkbnd.bnportugal.gov.pt/viewer/86181/?offset=" TargetMode="External"/><Relationship Id="rId67" Type="http://schemas.openxmlformats.org/officeDocument/2006/relationships/hyperlink" Target="https://permalinkbnd.bnportugal.gov.pt/viewer/273314/?offset=" TargetMode="External"/><Relationship Id="rId272" Type="http://schemas.openxmlformats.org/officeDocument/2006/relationships/hyperlink" Target="https://permalinkbnd.bnportugal.gov.pt/viewer/280465/?offset=" TargetMode="External"/><Relationship Id="rId577" Type="http://schemas.openxmlformats.org/officeDocument/2006/relationships/hyperlink" Target="https://permalinkbnd.bnportugal.gov.pt/viewer/14624/?offset=" TargetMode="External"/><Relationship Id="rId700" Type="http://schemas.openxmlformats.org/officeDocument/2006/relationships/hyperlink" Target="https://permalinkbnd.bnportugal.gov.pt/viewer/14594/?offset=" TargetMode="External"/><Relationship Id="rId132" Type="http://schemas.openxmlformats.org/officeDocument/2006/relationships/hyperlink" Target="https://permalinkbnd.bnportugal.gov.pt/viewer/274252/?offset=" TargetMode="External"/><Relationship Id="rId784" Type="http://schemas.openxmlformats.org/officeDocument/2006/relationships/hyperlink" Target="https://permalinkbnd.bnportugal.gov.pt/viewer/14628/?offset=" TargetMode="External"/><Relationship Id="rId437" Type="http://schemas.openxmlformats.org/officeDocument/2006/relationships/hyperlink" Target="https://permalinkbnd.bnportugal.gov.pt/viewer/273869/?offset=" TargetMode="External"/><Relationship Id="rId644" Type="http://schemas.openxmlformats.org/officeDocument/2006/relationships/hyperlink" Target="https://permalinkbnd.bnportugal.gov.pt/viewer/6839/?offset=" TargetMode="External"/><Relationship Id="rId851" Type="http://schemas.openxmlformats.org/officeDocument/2006/relationships/hyperlink" Target="https://permalinkbnd.bnportugal.gov.pt/viewer/1880/?offset=" TargetMode="External"/><Relationship Id="rId283" Type="http://schemas.openxmlformats.org/officeDocument/2006/relationships/hyperlink" Target="https://permalinkbnd.bnportugal.gov.pt/viewer/280465/?offset=" TargetMode="External"/><Relationship Id="rId490" Type="http://schemas.openxmlformats.org/officeDocument/2006/relationships/hyperlink" Target="https://permalinkbnd.bnportugal.gov.pt/viewer/273944/?offset=" TargetMode="External"/><Relationship Id="rId504" Type="http://schemas.openxmlformats.org/officeDocument/2006/relationships/hyperlink" Target="https://permalinkbnd.bnportugal.gov.pt/viewer/255848/?offset=" TargetMode="External"/><Relationship Id="rId711" Type="http://schemas.openxmlformats.org/officeDocument/2006/relationships/hyperlink" Target="https://permalinkbnd.bnportugal.gov.pt/viewer/278400/?offset=" TargetMode="External"/><Relationship Id="rId78" Type="http://schemas.openxmlformats.org/officeDocument/2006/relationships/hyperlink" Target="https://permalinkbnd.bnportugal.gov.pt/viewer/35127/?offset=" TargetMode="External"/><Relationship Id="rId143" Type="http://schemas.openxmlformats.org/officeDocument/2006/relationships/hyperlink" Target="https://permalinkbnd.bnportugal.gov.pt/viewer/270087/?offset=" TargetMode="External"/><Relationship Id="rId350" Type="http://schemas.openxmlformats.org/officeDocument/2006/relationships/hyperlink" Target="https://permalinkbnd.bnportugal.gov.pt/viewer/277150/?offset=" TargetMode="External"/><Relationship Id="rId588" Type="http://schemas.openxmlformats.org/officeDocument/2006/relationships/hyperlink" Target="https://permalinkbnd.bnportugal.gov.pt/viewer/14624/?offset=" TargetMode="External"/><Relationship Id="rId795" Type="http://schemas.openxmlformats.org/officeDocument/2006/relationships/hyperlink" Target="https://permalinkbnd.bnportugal.gov.pt/viewer/14628/?offset=" TargetMode="External"/><Relationship Id="rId809" Type="http://schemas.openxmlformats.org/officeDocument/2006/relationships/hyperlink" Target="https://permalinkbnd.bnportugal.gov.pt/viewer/14628/?offset=" TargetMode="External"/><Relationship Id="rId9" Type="http://schemas.openxmlformats.org/officeDocument/2006/relationships/hyperlink" Target="https://permalinkbnd.bnportugal.gov.pt/viewer/270109/?offset=" TargetMode="External"/><Relationship Id="rId210" Type="http://schemas.openxmlformats.org/officeDocument/2006/relationships/hyperlink" Target="https://permalinkbnd.bnportugal.gov.pt/viewer/272786/?offset=" TargetMode="External"/><Relationship Id="rId448" Type="http://schemas.openxmlformats.org/officeDocument/2006/relationships/hyperlink" Target="https://permalinkbnd.bnportugal.gov.pt/viewer/277966/?offset=" TargetMode="External"/><Relationship Id="rId655" Type="http://schemas.openxmlformats.org/officeDocument/2006/relationships/hyperlink" Target="https://permalinkbnd.bnportugal.gov.pt/viewer/272640/?offset=" TargetMode="External"/><Relationship Id="rId862" Type="http://schemas.openxmlformats.org/officeDocument/2006/relationships/hyperlink" Target="https://permalinkbnd.bnportugal.gov.pt/viewer/277330/?offset=" TargetMode="External"/><Relationship Id="rId294" Type="http://schemas.openxmlformats.org/officeDocument/2006/relationships/hyperlink" Target="https://permalinkbnd.bnportugal.gov.pt/viewer/276130/?offset=" TargetMode="External"/><Relationship Id="rId308" Type="http://schemas.openxmlformats.org/officeDocument/2006/relationships/hyperlink" Target="https://permalinkbnd.bnportugal.gov.pt/viewer/273782/?offset=" TargetMode="External"/><Relationship Id="rId515" Type="http://schemas.openxmlformats.org/officeDocument/2006/relationships/hyperlink" Target="https://permalinkbnd.bnportugal.gov.pt/viewer/255848/?offset=" TargetMode="External"/><Relationship Id="rId722" Type="http://schemas.openxmlformats.org/officeDocument/2006/relationships/hyperlink" Target="https://permalinkbnd.bnportugal.gov.pt/viewer/1880/?offset=" TargetMode="External"/><Relationship Id="rId89" Type="http://schemas.openxmlformats.org/officeDocument/2006/relationships/hyperlink" Target="https://permalinkbnd.bnportugal.gov.pt/viewer/37195/?offset=" TargetMode="External"/><Relationship Id="rId154" Type="http://schemas.openxmlformats.org/officeDocument/2006/relationships/hyperlink" Target="https://permalinkbnd.bnportugal.gov.pt/viewer/273183/?offset=" TargetMode="External"/><Relationship Id="rId361" Type="http://schemas.openxmlformats.org/officeDocument/2006/relationships/hyperlink" Target="https://permalinkbnd.bnportugal.gov.pt/viewer/272672/?offset=" TargetMode="External"/><Relationship Id="rId599" Type="http://schemas.openxmlformats.org/officeDocument/2006/relationships/hyperlink" Target="https://permalinkbnd.bnportugal.gov.pt/viewer/14587/?offset=" TargetMode="External"/><Relationship Id="rId459" Type="http://schemas.openxmlformats.org/officeDocument/2006/relationships/hyperlink" Target="https://permalinkbnd.bnportugal.gov.pt/viewer/278099/?offset=" TargetMode="External"/><Relationship Id="rId666" Type="http://schemas.openxmlformats.org/officeDocument/2006/relationships/hyperlink" Target="https://permalinkbnd.bnportugal.gov.pt/viewer/272640/?offset=" TargetMode="External"/><Relationship Id="rId873" Type="http://schemas.openxmlformats.org/officeDocument/2006/relationships/hyperlink" Target="https://purl.pt/44140" TargetMode="External"/><Relationship Id="rId16" Type="http://schemas.openxmlformats.org/officeDocument/2006/relationships/hyperlink" Target="https://permalinkbnd.bnportugal.gov.pt/viewer/274235/?offset=" TargetMode="External"/><Relationship Id="rId221" Type="http://schemas.openxmlformats.org/officeDocument/2006/relationships/hyperlink" Target="https://permalinkbnd.bnportugal.gov.pt/viewer/272786/?offset=" TargetMode="External"/><Relationship Id="rId319" Type="http://schemas.openxmlformats.org/officeDocument/2006/relationships/hyperlink" Target="https://permalinkbnd.bnportugal.gov.pt/viewer/272627/?offset=" TargetMode="External"/><Relationship Id="rId526" Type="http://schemas.openxmlformats.org/officeDocument/2006/relationships/hyperlink" Target="https://permalinkbnd.bnportugal.gov.pt/viewer/14629/?offset=" TargetMode="External"/><Relationship Id="rId733" Type="http://schemas.openxmlformats.org/officeDocument/2006/relationships/hyperlink" Target="https://permalinkbnd.bnportugal.gov.pt/viewer/278795/?offset=" TargetMode="External"/><Relationship Id="rId165" Type="http://schemas.openxmlformats.org/officeDocument/2006/relationships/hyperlink" Target="https://permalinkbnd.bnportugal.gov.pt/viewer/280467/?offset=" TargetMode="External"/><Relationship Id="rId372" Type="http://schemas.openxmlformats.org/officeDocument/2006/relationships/hyperlink" Target="https://permalinkbnd.bnportugal.gov.pt/viewer/276783/?offset=" TargetMode="External"/><Relationship Id="rId677" Type="http://schemas.openxmlformats.org/officeDocument/2006/relationships/hyperlink" Target="https://permalinkbnd.bnportugal.gov.pt/viewer/272640/?offset=" TargetMode="External"/><Relationship Id="rId800" Type="http://schemas.openxmlformats.org/officeDocument/2006/relationships/hyperlink" Target="https://permalinkbnd.bnportugal.gov.pt/viewer/14628/?offset=" TargetMode="External"/><Relationship Id="rId232" Type="http://schemas.openxmlformats.org/officeDocument/2006/relationships/hyperlink" Target="https://permalinkbnd.bnportugal.gov.pt/viewer/281142/?offset=" TargetMode="External"/><Relationship Id="rId27" Type="http://schemas.openxmlformats.org/officeDocument/2006/relationships/hyperlink" Target="https://permalinkbnd.bnportugal.gov.pt/viewer/274172/?offset=" TargetMode="External"/><Relationship Id="rId537" Type="http://schemas.openxmlformats.org/officeDocument/2006/relationships/hyperlink" Target="https://permalinkbnd.bnportugal.gov.pt/viewer/14639/?offset=" TargetMode="External"/><Relationship Id="rId744" Type="http://schemas.openxmlformats.org/officeDocument/2006/relationships/hyperlink" Target="https://permalinkbnd.bnportugal.gov.pt/viewer/256552/?offset=" TargetMode="External"/><Relationship Id="rId80" Type="http://schemas.openxmlformats.org/officeDocument/2006/relationships/hyperlink" Target="https://permalinkbnd.bnportugal.gov.pt/viewer/37203/?offset=" TargetMode="External"/><Relationship Id="rId176" Type="http://schemas.openxmlformats.org/officeDocument/2006/relationships/hyperlink" Target="https://permalinkbnd.bnportugal.gov.pt/viewer/38270/?offset=" TargetMode="External"/><Relationship Id="rId383" Type="http://schemas.openxmlformats.org/officeDocument/2006/relationships/hyperlink" Target="https://permalinkbnd.bnportugal.gov.pt/viewer/279512/?offset=" TargetMode="External"/><Relationship Id="rId590" Type="http://schemas.openxmlformats.org/officeDocument/2006/relationships/hyperlink" Target="https://permalinkbnd.bnportugal.gov.pt/viewer/14624/?offset=" TargetMode="External"/><Relationship Id="rId604" Type="http://schemas.openxmlformats.org/officeDocument/2006/relationships/hyperlink" Target="https://permalinkbnd.bnportugal.gov.pt/viewer/14587/?offset=" TargetMode="External"/><Relationship Id="rId811" Type="http://schemas.openxmlformats.org/officeDocument/2006/relationships/hyperlink" Target="https://permalinkbnd.bnportugal.gov.pt/viewer/14628/?offset=" TargetMode="External"/><Relationship Id="rId243" Type="http://schemas.openxmlformats.org/officeDocument/2006/relationships/hyperlink" Target="https://permalinkbnd.bnportugal.gov.pt/viewer/272626/?offset=" TargetMode="External"/><Relationship Id="rId450" Type="http://schemas.openxmlformats.org/officeDocument/2006/relationships/hyperlink" Target="https://permalinkbnd.bnportugal.gov.pt/viewer/278038/?offset=" TargetMode="External"/><Relationship Id="rId688" Type="http://schemas.openxmlformats.org/officeDocument/2006/relationships/hyperlink" Target="https://permalinkbnd.bnportugal.gov.pt/viewer/14594/?offset=" TargetMode="External"/><Relationship Id="rId38" Type="http://schemas.openxmlformats.org/officeDocument/2006/relationships/hyperlink" Target="https://permalinkbnd.bnportugal.gov.pt/viewer/274348/?offset=" TargetMode="External"/><Relationship Id="rId103" Type="http://schemas.openxmlformats.org/officeDocument/2006/relationships/hyperlink" Target="https://permalinkbnd.bnportugal.gov.pt/viewer/272381/?offset=" TargetMode="External"/><Relationship Id="rId310" Type="http://schemas.openxmlformats.org/officeDocument/2006/relationships/hyperlink" Target="https://permalinkbnd.bnportugal.gov.pt/viewer/273782/?offset=" TargetMode="External"/><Relationship Id="rId548" Type="http://schemas.openxmlformats.org/officeDocument/2006/relationships/hyperlink" Target="https://permalinkbnd.bnportugal.gov.pt/viewer/14621/?offset=" TargetMode="External"/><Relationship Id="rId755" Type="http://schemas.openxmlformats.org/officeDocument/2006/relationships/hyperlink" Target="https://permalinkbnd.bnportugal.gov.pt/viewer/14657/?offset=" TargetMode="External"/><Relationship Id="rId91" Type="http://schemas.openxmlformats.org/officeDocument/2006/relationships/hyperlink" Target="https://permalinkbnd.bnportugal.gov.pt/viewer/274166/?offset=" TargetMode="External"/><Relationship Id="rId187" Type="http://schemas.openxmlformats.org/officeDocument/2006/relationships/hyperlink" Target="https://permalinkbnd.bnportugal.gov.pt/viewer/272732/?offset=" TargetMode="External"/><Relationship Id="rId394" Type="http://schemas.openxmlformats.org/officeDocument/2006/relationships/hyperlink" Target="https://permalinkbnd.bnportugal.gov.pt/viewer/273796/?offset=" TargetMode="External"/><Relationship Id="rId408" Type="http://schemas.openxmlformats.org/officeDocument/2006/relationships/hyperlink" Target="https://permalinkbnd.bnportugal.gov.pt/viewer/273117/?offset=" TargetMode="External"/><Relationship Id="rId615" Type="http://schemas.openxmlformats.org/officeDocument/2006/relationships/hyperlink" Target="https://permalinkbnd.bnportugal.gov.pt/viewer/14587/?offset=" TargetMode="External"/><Relationship Id="rId822" Type="http://schemas.openxmlformats.org/officeDocument/2006/relationships/hyperlink" Target="https://permalinkbnd.bnportugal.gov.pt/viewer/14598/?offset=" TargetMode="External"/><Relationship Id="rId254" Type="http://schemas.openxmlformats.org/officeDocument/2006/relationships/hyperlink" Target="https://permalinkbnd.bnportugal.gov.pt/viewer/279168/?offset=" TargetMode="External"/><Relationship Id="rId699" Type="http://schemas.openxmlformats.org/officeDocument/2006/relationships/hyperlink" Target="https://permalinkbnd.bnportugal.gov.pt/viewer/14594/?offset=" TargetMode="External"/><Relationship Id="rId49" Type="http://schemas.openxmlformats.org/officeDocument/2006/relationships/hyperlink" Target="https://permalinkbnd.bnportugal.gov.pt/viewer/270331/?offset=" TargetMode="External"/><Relationship Id="rId114" Type="http://schemas.openxmlformats.org/officeDocument/2006/relationships/hyperlink" Target="https://permalinkbnd.bnportugal.gov.pt/viewer/272380/?offset=" TargetMode="External"/><Relationship Id="rId461" Type="http://schemas.openxmlformats.org/officeDocument/2006/relationships/hyperlink" Target="https://permalinkbnd.bnportugal.gov.pt/viewer/1897/?offset=" TargetMode="External"/><Relationship Id="rId559" Type="http://schemas.openxmlformats.org/officeDocument/2006/relationships/hyperlink" Target="https://permalinkbnd.bnportugal.gov.pt/viewer/14680/?offset=" TargetMode="External"/><Relationship Id="rId766" Type="http://schemas.openxmlformats.org/officeDocument/2006/relationships/hyperlink" Target="https://permalinkbnd.bnportugal.gov.pt/viewer/14651/?offset=" TargetMode="External"/><Relationship Id="rId198" Type="http://schemas.openxmlformats.org/officeDocument/2006/relationships/hyperlink" Target="https://permalinkbnd.bnportugal.gov.pt/viewer/272786/?offset=" TargetMode="External"/><Relationship Id="rId321" Type="http://schemas.openxmlformats.org/officeDocument/2006/relationships/hyperlink" Target="https://permalinkbnd.bnportugal.gov.pt/viewer/272627/?offset=" TargetMode="External"/><Relationship Id="rId419" Type="http://schemas.openxmlformats.org/officeDocument/2006/relationships/hyperlink" Target="https://permalinkbnd.bnportugal.gov.pt/viewer/277482/?offset=" TargetMode="External"/><Relationship Id="rId626" Type="http://schemas.openxmlformats.org/officeDocument/2006/relationships/hyperlink" Target="https://permalinkbnd.bnportugal.gov.pt/viewer/14622/?offset=" TargetMode="External"/><Relationship Id="rId833" Type="http://schemas.openxmlformats.org/officeDocument/2006/relationships/hyperlink" Target="https://permalinkbnd.bnportugal.gov.pt/viewer/14581/?offset=" TargetMode="External"/><Relationship Id="rId265" Type="http://schemas.openxmlformats.org/officeDocument/2006/relationships/hyperlink" Target="https://permalinkbnd.bnportugal.gov.pt/viewer/273524/?offset=" TargetMode="External"/><Relationship Id="rId472" Type="http://schemas.openxmlformats.org/officeDocument/2006/relationships/hyperlink" Target="https://permalinkbnd.bnportugal.gov.pt/viewer/273607/?offset=" TargetMode="External"/><Relationship Id="rId125" Type="http://schemas.openxmlformats.org/officeDocument/2006/relationships/hyperlink" Target="https://permalinkbnd.bnportugal.gov.pt/viewer/270138/?offset=" TargetMode="External"/><Relationship Id="rId332" Type="http://schemas.openxmlformats.org/officeDocument/2006/relationships/hyperlink" Target="https://permalinkbnd.bnportugal.gov.pt/viewer/277151/?offset=" TargetMode="External"/><Relationship Id="rId777" Type="http://schemas.openxmlformats.org/officeDocument/2006/relationships/hyperlink" Target="https://permalinkbnd.bnportugal.gov.pt/viewer/14628/?offset=" TargetMode="External"/><Relationship Id="rId637" Type="http://schemas.openxmlformats.org/officeDocument/2006/relationships/hyperlink" Target="https://permalinkbnd.bnportugal.gov.pt/viewer/274032/?offset=" TargetMode="External"/><Relationship Id="rId844" Type="http://schemas.openxmlformats.org/officeDocument/2006/relationships/hyperlink" Target="https://permalinkbnd.bnportugal.gov.pt/viewer/14644/?offset=" TargetMode="External"/><Relationship Id="rId276" Type="http://schemas.openxmlformats.org/officeDocument/2006/relationships/hyperlink" Target="https://permalinkbnd.bnportugal.gov.pt/viewer/280465/?offset=" TargetMode="External"/><Relationship Id="rId483" Type="http://schemas.openxmlformats.org/officeDocument/2006/relationships/hyperlink" Target="https://permalinkbnd.bnportugal.gov.pt/viewer/273944/?offset=" TargetMode="External"/><Relationship Id="rId690" Type="http://schemas.openxmlformats.org/officeDocument/2006/relationships/hyperlink" Target="https://permalinkbnd.bnportugal.gov.pt/viewer/14594/?offset=" TargetMode="External"/><Relationship Id="rId704" Type="http://schemas.openxmlformats.org/officeDocument/2006/relationships/hyperlink" Target="https://permalinkbnd.bnportugal.gov.pt/viewer/14594/?offset=" TargetMode="External"/><Relationship Id="rId40" Type="http://schemas.openxmlformats.org/officeDocument/2006/relationships/hyperlink" Target="https://permalinkbnd.bnportugal.gov.pt/viewer/274346/?offset=" TargetMode="External"/><Relationship Id="rId136" Type="http://schemas.openxmlformats.org/officeDocument/2006/relationships/hyperlink" Target="https://permalinkbnd.bnportugal.gov.pt/viewer/270086/?offset=" TargetMode="External"/><Relationship Id="rId343" Type="http://schemas.openxmlformats.org/officeDocument/2006/relationships/hyperlink" Target="https://permalinkbnd.bnportugal.gov.pt/viewer/273814/?offset=" TargetMode="External"/><Relationship Id="rId550" Type="http://schemas.openxmlformats.org/officeDocument/2006/relationships/hyperlink" Target="https://permalinkbnd.bnportugal.gov.pt/viewer/14621/?offset=" TargetMode="External"/><Relationship Id="rId788" Type="http://schemas.openxmlformats.org/officeDocument/2006/relationships/hyperlink" Target="https://permalinkbnd.bnportugal.gov.pt/viewer/14628/?offset=" TargetMode="External"/><Relationship Id="rId203" Type="http://schemas.openxmlformats.org/officeDocument/2006/relationships/hyperlink" Target="https://permalinkbnd.bnportugal.gov.pt/viewer/272786/?offset=" TargetMode="External"/><Relationship Id="rId648" Type="http://schemas.openxmlformats.org/officeDocument/2006/relationships/hyperlink" Target="https://permalinkbnd.bnportugal.gov.pt/viewer/278660/?offset=" TargetMode="External"/><Relationship Id="rId855" Type="http://schemas.openxmlformats.org/officeDocument/2006/relationships/hyperlink" Target="https://permalinkbnd.bnportugal.gov.pt/viewer/273677/?offset=" TargetMode="External"/><Relationship Id="rId287" Type="http://schemas.openxmlformats.org/officeDocument/2006/relationships/hyperlink" Target="https://permalinkbnd.bnportugal.gov.pt/viewer/275169/?offset=" TargetMode="External"/><Relationship Id="rId410" Type="http://schemas.openxmlformats.org/officeDocument/2006/relationships/hyperlink" Target="https://permalinkbnd.bnportugal.gov.pt/viewer/277449/?offset=" TargetMode="External"/><Relationship Id="rId494" Type="http://schemas.openxmlformats.org/officeDocument/2006/relationships/hyperlink" Target="https://permalinkbnd.bnportugal.gov.pt/viewer/273944/?offset=" TargetMode="External"/><Relationship Id="rId508" Type="http://schemas.openxmlformats.org/officeDocument/2006/relationships/hyperlink" Target="https://permalinkbnd.bnportugal.gov.pt/viewer/255848/?offset=" TargetMode="External"/><Relationship Id="rId715" Type="http://schemas.openxmlformats.org/officeDocument/2006/relationships/hyperlink" Target="https://permalinkbnd.bnportugal.gov.pt/viewer/278662/?offset=" TargetMode="External"/><Relationship Id="rId147" Type="http://schemas.openxmlformats.org/officeDocument/2006/relationships/hyperlink" Target="https://permalinkbnd.bnportugal.gov.pt/viewer/273346/?offset=" TargetMode="External"/><Relationship Id="rId354" Type="http://schemas.openxmlformats.org/officeDocument/2006/relationships/hyperlink" Target="https://permalinkbnd.bnportugal.gov.pt/viewer/277150/?offset=" TargetMode="External"/><Relationship Id="rId799" Type="http://schemas.openxmlformats.org/officeDocument/2006/relationships/hyperlink" Target="https://permalinkbnd.bnportugal.gov.pt/viewer/14628/?offset=" TargetMode="External"/><Relationship Id="rId51" Type="http://schemas.openxmlformats.org/officeDocument/2006/relationships/hyperlink" Target="https://permalinkbnd.bnportugal.gov.pt/viewer/273525/?offset=" TargetMode="External"/><Relationship Id="rId561" Type="http://schemas.openxmlformats.org/officeDocument/2006/relationships/hyperlink" Target="https://permalinkbnd.bnportugal.gov.pt/viewer/14556/?offset=" TargetMode="External"/><Relationship Id="rId659" Type="http://schemas.openxmlformats.org/officeDocument/2006/relationships/hyperlink" Target="https://permalinkbnd.bnportugal.gov.pt/viewer/272640/?offset=" TargetMode="External"/><Relationship Id="rId866" Type="http://schemas.openxmlformats.org/officeDocument/2006/relationships/hyperlink" Target="https://permalinkbnd.bnportugal.gov.pt/viewer/277834/?offset=" TargetMode="External"/><Relationship Id="rId214" Type="http://schemas.openxmlformats.org/officeDocument/2006/relationships/hyperlink" Target="https://permalinkbnd.bnportugal.gov.pt/viewer/272786/?offset=" TargetMode="External"/><Relationship Id="rId298" Type="http://schemas.openxmlformats.org/officeDocument/2006/relationships/hyperlink" Target="https://permalinkbnd.bnportugal.gov.pt/viewer/273782/?offset=" TargetMode="External"/><Relationship Id="rId421" Type="http://schemas.openxmlformats.org/officeDocument/2006/relationships/hyperlink" Target="https://permalinkbnd.bnportugal.gov.pt/viewer/272638/?offset=" TargetMode="External"/><Relationship Id="rId519" Type="http://schemas.openxmlformats.org/officeDocument/2006/relationships/hyperlink" Target="https://permalinkbnd.bnportugal.gov.pt/viewer/255848/?offset=" TargetMode="External"/><Relationship Id="rId158" Type="http://schemas.openxmlformats.org/officeDocument/2006/relationships/hyperlink" Target="https://permalinkbnd.bnportugal.gov.pt/viewer/33721/?offset=" TargetMode="External"/><Relationship Id="rId726" Type="http://schemas.openxmlformats.org/officeDocument/2006/relationships/hyperlink" Target="https://permalinkbnd.bnportugal.gov.pt/viewer/278663/?offset=" TargetMode="External"/><Relationship Id="rId62" Type="http://schemas.openxmlformats.org/officeDocument/2006/relationships/hyperlink" Target="https://permalinkbnd.bnportugal.gov.pt/viewer/273318/?offset=" TargetMode="External"/><Relationship Id="rId365" Type="http://schemas.openxmlformats.org/officeDocument/2006/relationships/hyperlink" Target="https://permalinkbnd.bnportugal.gov.pt/viewer/272668/?offset=" TargetMode="External"/><Relationship Id="rId572" Type="http://schemas.openxmlformats.org/officeDocument/2006/relationships/hyperlink" Target="https://permalinkbnd.bnportugal.gov.pt/viewer/14624/?offset=" TargetMode="External"/><Relationship Id="rId225" Type="http://schemas.openxmlformats.org/officeDocument/2006/relationships/hyperlink" Target="https://permalinkbnd.bnportugal.gov.pt/viewer/272786/?offset=" TargetMode="External"/><Relationship Id="rId432" Type="http://schemas.openxmlformats.org/officeDocument/2006/relationships/hyperlink" Target="https://permalinkbnd.bnportugal.gov.pt/viewer/273869/?offset=" TargetMode="External"/><Relationship Id="rId877" Type="http://schemas.openxmlformats.org/officeDocument/2006/relationships/hyperlink" Target="https://purl.pt/44140" TargetMode="External"/><Relationship Id="rId737" Type="http://schemas.openxmlformats.org/officeDocument/2006/relationships/hyperlink" Target="https://permalinkbnd.bnportugal.gov.pt/viewer/278795/?offset=" TargetMode="External"/><Relationship Id="rId73" Type="http://schemas.openxmlformats.org/officeDocument/2006/relationships/hyperlink" Target="https://permalinkbnd.bnportugal.gov.pt/viewer/37180/?offset=" TargetMode="External"/><Relationship Id="rId169" Type="http://schemas.openxmlformats.org/officeDocument/2006/relationships/hyperlink" Target="https://permalinkbnd.bnportugal.gov.pt/viewer/272788/?offset=" TargetMode="External"/><Relationship Id="rId376" Type="http://schemas.openxmlformats.org/officeDocument/2006/relationships/hyperlink" Target="https://permalinkbnd.bnportugal.gov.pt/viewer/276785/?offset=" TargetMode="External"/><Relationship Id="rId583" Type="http://schemas.openxmlformats.org/officeDocument/2006/relationships/hyperlink" Target="https://permalinkbnd.bnportugal.gov.pt/viewer/14624/?offset=" TargetMode="External"/><Relationship Id="rId790" Type="http://schemas.openxmlformats.org/officeDocument/2006/relationships/hyperlink" Target="https://permalinkbnd.bnportugal.gov.pt/viewer/14628/?offset=" TargetMode="External"/><Relationship Id="rId804" Type="http://schemas.openxmlformats.org/officeDocument/2006/relationships/hyperlink" Target="https://permalinkbnd.bnportugal.gov.pt/viewer/14628/?offset=" TargetMode="External"/><Relationship Id="rId4" Type="http://schemas.openxmlformats.org/officeDocument/2006/relationships/hyperlink" Target="https://permalinkbnd.bnportugal.gov.pt/viewer/274087/?offset=" TargetMode="External"/><Relationship Id="rId236" Type="http://schemas.openxmlformats.org/officeDocument/2006/relationships/hyperlink" Target="https://permalinkbnd.bnportugal.gov.pt/viewer/274458/?offset=" TargetMode="External"/><Relationship Id="rId443" Type="http://schemas.openxmlformats.org/officeDocument/2006/relationships/hyperlink" Target="https://permalinkbnd.bnportugal.gov.pt/viewer/272639/?offset=" TargetMode="External"/><Relationship Id="rId650" Type="http://schemas.openxmlformats.org/officeDocument/2006/relationships/hyperlink" Target="https://permalinkbnd.bnportugal.gov.pt/viewer/278783/?offset=" TargetMode="External"/><Relationship Id="rId303" Type="http://schemas.openxmlformats.org/officeDocument/2006/relationships/hyperlink" Target="https://permalinkbnd.bnportugal.gov.pt/viewer/273782/?offset=" TargetMode="External"/><Relationship Id="rId748" Type="http://schemas.openxmlformats.org/officeDocument/2006/relationships/hyperlink" Target="https://permalinkbnd.bnportugal.gov.pt/viewer/256552/?offset=" TargetMode="External"/><Relationship Id="rId84" Type="http://schemas.openxmlformats.org/officeDocument/2006/relationships/hyperlink" Target="https://permalinkbnd.bnportugal.gov.pt/viewer/37325/?offset=" TargetMode="External"/><Relationship Id="rId387" Type="http://schemas.openxmlformats.org/officeDocument/2006/relationships/hyperlink" Target="https://permalinkbnd.bnportugal.gov.pt/viewer/273746/?offset=" TargetMode="External"/><Relationship Id="rId510" Type="http://schemas.openxmlformats.org/officeDocument/2006/relationships/hyperlink" Target="https://permalinkbnd.bnportugal.gov.pt/viewer/255848/?offset=" TargetMode="External"/><Relationship Id="rId594" Type="http://schemas.openxmlformats.org/officeDocument/2006/relationships/hyperlink" Target="https://permalinkbnd.bnportugal.gov.pt/viewer/14624/?offset=" TargetMode="External"/><Relationship Id="rId608" Type="http://schemas.openxmlformats.org/officeDocument/2006/relationships/hyperlink" Target="https://permalinkbnd.bnportugal.gov.pt/viewer/14587/?offset=" TargetMode="External"/><Relationship Id="rId815" Type="http://schemas.openxmlformats.org/officeDocument/2006/relationships/hyperlink" Target="https://permalinkbnd.bnportugal.gov.pt/viewer/14598/?offset=" TargetMode="External"/><Relationship Id="rId247" Type="http://schemas.openxmlformats.org/officeDocument/2006/relationships/hyperlink" Target="https://permalinkbnd.bnportugal.gov.pt/viewer/272626/?offset=" TargetMode="External"/><Relationship Id="rId107" Type="http://schemas.openxmlformats.org/officeDocument/2006/relationships/hyperlink" Target="https://permalinkbnd.bnportugal.gov.pt/viewer/272381/?offset=" TargetMode="External"/><Relationship Id="rId454" Type="http://schemas.openxmlformats.org/officeDocument/2006/relationships/hyperlink" Target="https://permalinkbnd.bnportugal.gov.pt/viewer/278097/?offset=" TargetMode="External"/><Relationship Id="rId661" Type="http://schemas.openxmlformats.org/officeDocument/2006/relationships/hyperlink" Target="https://permalinkbnd.bnportugal.gov.pt/viewer/272640/?offset=" TargetMode="External"/><Relationship Id="rId759" Type="http://schemas.openxmlformats.org/officeDocument/2006/relationships/hyperlink" Target="https://permalinkbnd.bnportugal.gov.pt/viewer/85826/?offset=" TargetMode="External"/><Relationship Id="rId11" Type="http://schemas.openxmlformats.org/officeDocument/2006/relationships/hyperlink" Target="https://permalinkbnd.bnportugal.gov.pt/viewer/273316/?offset=" TargetMode="External"/><Relationship Id="rId314" Type="http://schemas.openxmlformats.org/officeDocument/2006/relationships/hyperlink" Target="https://permalinkbnd.bnportugal.gov.pt/viewer/273782/?offset=" TargetMode="External"/><Relationship Id="rId398" Type="http://schemas.openxmlformats.org/officeDocument/2006/relationships/hyperlink" Target="https://permalinkbnd.bnportugal.gov.pt/viewer/277364/?offset=" TargetMode="External"/><Relationship Id="rId521" Type="http://schemas.openxmlformats.org/officeDocument/2006/relationships/hyperlink" Target="https://permalinkbnd.bnportugal.gov.pt/viewer/255848/?offset=" TargetMode="External"/><Relationship Id="rId619" Type="http://schemas.openxmlformats.org/officeDocument/2006/relationships/hyperlink" Target="https://permalinkbnd.bnportugal.gov.pt/viewer/14587/?offset=" TargetMode="External"/><Relationship Id="rId95" Type="http://schemas.openxmlformats.org/officeDocument/2006/relationships/hyperlink" Target="https://permalinkbnd.bnportugal.gov.pt/viewer/273427/?offset=" TargetMode="External"/><Relationship Id="rId160" Type="http://schemas.openxmlformats.org/officeDocument/2006/relationships/hyperlink" Target="https://permalinkbnd.bnportugal.gov.pt/viewer/274123/?offset=" TargetMode="External"/><Relationship Id="rId826" Type="http://schemas.openxmlformats.org/officeDocument/2006/relationships/hyperlink" Target="https://permalinkbnd.bnportugal.gov.pt/viewer/14598/?offset=" TargetMode="External"/><Relationship Id="rId258" Type="http://schemas.openxmlformats.org/officeDocument/2006/relationships/hyperlink" Target="https://permalinkbnd.bnportugal.gov.pt/viewer/279168/?offset=" TargetMode="External"/><Relationship Id="rId465" Type="http://schemas.openxmlformats.org/officeDocument/2006/relationships/hyperlink" Target="https://permalinkbnd.bnportugal.gov.pt/viewer/278157/?offset=" TargetMode="External"/><Relationship Id="rId672" Type="http://schemas.openxmlformats.org/officeDocument/2006/relationships/hyperlink" Target="https://permalinkbnd.bnportugal.gov.pt/viewer/272640/?offset=" TargetMode="External"/><Relationship Id="rId22" Type="http://schemas.openxmlformats.org/officeDocument/2006/relationships/hyperlink" Target="https://permalinkbnd.bnportugal.gov.pt/viewer/273124/?offset=" TargetMode="External"/><Relationship Id="rId118" Type="http://schemas.openxmlformats.org/officeDocument/2006/relationships/hyperlink" Target="https://permalinkbnd.bnportugal.gov.pt/viewer/274038/?offset=" TargetMode="External"/><Relationship Id="rId325" Type="http://schemas.openxmlformats.org/officeDocument/2006/relationships/hyperlink" Target="https://permalinkbnd.bnportugal.gov.pt/viewer/272627/?offset=" TargetMode="External"/><Relationship Id="rId532" Type="http://schemas.openxmlformats.org/officeDocument/2006/relationships/hyperlink" Target="https://permalinkbnd.bnportugal.gov.pt/viewer/14629/?offset=" TargetMode="External"/><Relationship Id="rId171" Type="http://schemas.openxmlformats.org/officeDocument/2006/relationships/hyperlink" Target="https://permalinkbnd.bnportugal.gov.pt/viewer/272785/?offset=" TargetMode="External"/><Relationship Id="rId837" Type="http://schemas.openxmlformats.org/officeDocument/2006/relationships/hyperlink" Target="https://permalinkbnd.bnportugal.gov.pt/viewer/14581/?offset=" TargetMode="External"/><Relationship Id="rId269" Type="http://schemas.openxmlformats.org/officeDocument/2006/relationships/hyperlink" Target="https://permalinkbnd.bnportugal.gov.pt/viewer/275163/?offset=" TargetMode="External"/><Relationship Id="rId476" Type="http://schemas.openxmlformats.org/officeDocument/2006/relationships/hyperlink" Target="https://permalinkbnd.bnportugal.gov.pt/viewer/273178/?offset=" TargetMode="External"/><Relationship Id="rId683" Type="http://schemas.openxmlformats.org/officeDocument/2006/relationships/hyperlink" Target="https://permalinkbnd.bnportugal.gov.pt/viewer/279634/?offset=" TargetMode="External"/><Relationship Id="rId33" Type="http://schemas.openxmlformats.org/officeDocument/2006/relationships/hyperlink" Target="https://permalinkbnd.bnportugal.gov.pt/viewer/274260/?offset=" TargetMode="External"/><Relationship Id="rId129" Type="http://schemas.openxmlformats.org/officeDocument/2006/relationships/hyperlink" Target="https://permalinkbnd.bnportugal.gov.pt/viewer/274169/?offset=" TargetMode="External"/><Relationship Id="rId336" Type="http://schemas.openxmlformats.org/officeDocument/2006/relationships/hyperlink" Target="https://permalinkbnd.bnportugal.gov.pt/viewer/277151/?offset=" TargetMode="External"/><Relationship Id="rId543" Type="http://schemas.openxmlformats.org/officeDocument/2006/relationships/hyperlink" Target="https://permalinkbnd.bnportugal.gov.pt/viewer/14639/?offset=" TargetMode="External"/><Relationship Id="rId182" Type="http://schemas.openxmlformats.org/officeDocument/2006/relationships/hyperlink" Target="https://permalinkbnd.bnportugal.gov.pt/viewer/16732/?offset=" TargetMode="External"/><Relationship Id="rId403" Type="http://schemas.openxmlformats.org/officeDocument/2006/relationships/hyperlink" Target="https://permalinkbnd.bnportugal.gov.pt/viewer/273117/?offset=" TargetMode="External"/><Relationship Id="rId750" Type="http://schemas.openxmlformats.org/officeDocument/2006/relationships/hyperlink" Target="https://permalinkbnd.bnportugal.gov.pt/viewer/256552/?offset=" TargetMode="External"/><Relationship Id="rId848" Type="http://schemas.openxmlformats.org/officeDocument/2006/relationships/hyperlink" Target="https://permalinkbnd.bnportugal.gov.pt/viewer/14613/?offset=" TargetMode="External"/><Relationship Id="rId487" Type="http://schemas.openxmlformats.org/officeDocument/2006/relationships/hyperlink" Target="https://permalinkbnd.bnportugal.gov.pt/viewer/273944/?offset=" TargetMode="External"/><Relationship Id="rId610" Type="http://schemas.openxmlformats.org/officeDocument/2006/relationships/hyperlink" Target="https://permalinkbnd.bnportugal.gov.pt/viewer/14587/?offset=" TargetMode="External"/><Relationship Id="rId694" Type="http://schemas.openxmlformats.org/officeDocument/2006/relationships/hyperlink" Target="https://permalinkbnd.bnportugal.gov.pt/viewer/14594/?offset=" TargetMode="External"/><Relationship Id="rId708" Type="http://schemas.openxmlformats.org/officeDocument/2006/relationships/hyperlink" Target="https://permalinkbnd.bnportugal.gov.pt/viewer/278400/?offset=" TargetMode="External"/><Relationship Id="rId347" Type="http://schemas.openxmlformats.org/officeDocument/2006/relationships/hyperlink" Target="https://permalinkbnd.bnportugal.gov.pt/viewer/277150/?offset=" TargetMode="External"/><Relationship Id="rId44" Type="http://schemas.openxmlformats.org/officeDocument/2006/relationships/hyperlink" Target="https://permalinkbnd.bnportugal.gov.pt/viewer/35644/?offset=" TargetMode="External"/><Relationship Id="rId554" Type="http://schemas.openxmlformats.org/officeDocument/2006/relationships/hyperlink" Target="https://permalinkbnd.bnportugal.gov.pt/viewer/14621/?offset=" TargetMode="External"/><Relationship Id="rId761" Type="http://schemas.openxmlformats.org/officeDocument/2006/relationships/hyperlink" Target="https://permalinkbnd.bnportugal.gov.pt/viewer/255741/?offset=" TargetMode="External"/><Relationship Id="rId859" Type="http://schemas.openxmlformats.org/officeDocument/2006/relationships/hyperlink" Target="https://permalinkbnd.bnportugal.gov.pt/viewer/277330/?offset=" TargetMode="External"/><Relationship Id="rId193" Type="http://schemas.openxmlformats.org/officeDocument/2006/relationships/hyperlink" Target="https://permalinkbnd.bnportugal.gov.pt/viewer/272786/?offset=" TargetMode="External"/><Relationship Id="rId207" Type="http://schemas.openxmlformats.org/officeDocument/2006/relationships/hyperlink" Target="https://permalinkbnd.bnportugal.gov.pt/viewer/272786/?offset=" TargetMode="External"/><Relationship Id="rId414" Type="http://schemas.openxmlformats.org/officeDocument/2006/relationships/hyperlink" Target="https://permalinkbnd.bnportugal.gov.pt/viewer/277452/?offset=" TargetMode="External"/><Relationship Id="rId498" Type="http://schemas.openxmlformats.org/officeDocument/2006/relationships/hyperlink" Target="https://permalinkbnd.bnportugal.gov.pt/viewer/273944/?offset=" TargetMode="External"/><Relationship Id="rId621" Type="http://schemas.openxmlformats.org/officeDocument/2006/relationships/hyperlink" Target="https://permalinkbnd.bnportugal.gov.pt/viewer/14650/?offset=" TargetMode="External"/><Relationship Id="rId260" Type="http://schemas.openxmlformats.org/officeDocument/2006/relationships/hyperlink" Target="https://permalinkbnd.bnportugal.gov.pt/viewer/279168/?offset=" TargetMode="External"/><Relationship Id="rId719" Type="http://schemas.openxmlformats.org/officeDocument/2006/relationships/hyperlink" Target="https://permalinkbnd.bnportugal.gov.pt/viewer/279637/?offset=" TargetMode="External"/><Relationship Id="rId55" Type="http://schemas.openxmlformats.org/officeDocument/2006/relationships/hyperlink" Target="https://permalinkbnd.bnportugal.gov.pt/viewer/270116/?offset=" TargetMode="External"/><Relationship Id="rId120" Type="http://schemas.openxmlformats.org/officeDocument/2006/relationships/hyperlink" Target="https://permalinkbnd.bnportugal.gov.pt/viewer/274084/?offset=" TargetMode="External"/><Relationship Id="rId358" Type="http://schemas.openxmlformats.org/officeDocument/2006/relationships/hyperlink" Target="https://permalinkbnd.bnportugal.gov.pt/viewer/277149/?offset=" TargetMode="External"/><Relationship Id="rId565" Type="http://schemas.openxmlformats.org/officeDocument/2006/relationships/hyperlink" Target="https://permalinkbnd.bnportugal.gov.pt/viewer/14592/?offset=" TargetMode="External"/><Relationship Id="rId772" Type="http://schemas.openxmlformats.org/officeDocument/2006/relationships/hyperlink" Target="https://permalinkbnd.bnportugal.gov.pt/viewer/14628/?offset=" TargetMode="External"/><Relationship Id="rId218" Type="http://schemas.openxmlformats.org/officeDocument/2006/relationships/hyperlink" Target="https://permalinkbnd.bnportugal.gov.pt/viewer/272786/?offset=" TargetMode="External"/><Relationship Id="rId425" Type="http://schemas.openxmlformats.org/officeDocument/2006/relationships/hyperlink" Target="https://permalinkbnd.bnportugal.gov.pt/viewer/277739/?offset=" TargetMode="External"/><Relationship Id="rId632" Type="http://schemas.openxmlformats.org/officeDocument/2006/relationships/hyperlink" Target="https://permalinkbnd.bnportugal.gov.pt/viewer/278583/?offset=" TargetMode="External"/><Relationship Id="rId271" Type="http://schemas.openxmlformats.org/officeDocument/2006/relationships/hyperlink" Target="https://permalinkbnd.bnportugal.gov.pt/viewer/280465/?offset=" TargetMode="External"/><Relationship Id="rId66" Type="http://schemas.openxmlformats.org/officeDocument/2006/relationships/hyperlink" Target="https://permalinkbnd.bnportugal.gov.pt/viewer/270336/?offset=" TargetMode="External"/><Relationship Id="rId131" Type="http://schemas.openxmlformats.org/officeDocument/2006/relationships/hyperlink" Target="https://permalinkbnd.bnportugal.gov.pt/viewer/281023/?offset=" TargetMode="External"/><Relationship Id="rId369" Type="http://schemas.openxmlformats.org/officeDocument/2006/relationships/hyperlink" Target="https://permalinkbnd.bnportugal.gov.pt/viewer/272668/?offset=" TargetMode="External"/><Relationship Id="rId576" Type="http://schemas.openxmlformats.org/officeDocument/2006/relationships/hyperlink" Target="https://permalinkbnd.bnportugal.gov.pt/viewer/14624/?offset=" TargetMode="External"/><Relationship Id="rId783" Type="http://schemas.openxmlformats.org/officeDocument/2006/relationships/hyperlink" Target="https://permalinkbnd.bnportugal.gov.pt/viewer/14628/?offset=" TargetMode="External"/><Relationship Id="rId229" Type="http://schemas.openxmlformats.org/officeDocument/2006/relationships/hyperlink" Target="https://permalinkbnd.bnportugal.gov.pt/viewer/272792/?offset=" TargetMode="External"/><Relationship Id="rId436" Type="http://schemas.openxmlformats.org/officeDocument/2006/relationships/hyperlink" Target="https://permalinkbnd.bnportugal.gov.pt/viewer/273869/?offset=" TargetMode="External"/><Relationship Id="rId643" Type="http://schemas.openxmlformats.org/officeDocument/2006/relationships/hyperlink" Target="https://permalinkbnd.bnportugal.gov.pt/viewer/6839/?offset=" TargetMode="External"/><Relationship Id="rId850" Type="http://schemas.openxmlformats.org/officeDocument/2006/relationships/hyperlink" Target="https://permalinkbnd.bnportugal.gov.pt/viewer/1880/?offset=" TargetMode="External"/><Relationship Id="rId77" Type="http://schemas.openxmlformats.org/officeDocument/2006/relationships/hyperlink" Target="https://permalinkbnd.bnportugal.gov.pt/viewer/35133/?offset=" TargetMode="External"/><Relationship Id="rId282" Type="http://schemas.openxmlformats.org/officeDocument/2006/relationships/hyperlink" Target="https://permalinkbnd.bnportugal.gov.pt/viewer/280465/?offset=" TargetMode="External"/><Relationship Id="rId503" Type="http://schemas.openxmlformats.org/officeDocument/2006/relationships/hyperlink" Target="https://permalinkbnd.bnportugal.gov.pt/viewer/255848/?offset=" TargetMode="External"/><Relationship Id="rId587" Type="http://schemas.openxmlformats.org/officeDocument/2006/relationships/hyperlink" Target="https://permalinkbnd.bnportugal.gov.pt/viewer/14624/?offset=" TargetMode="External"/><Relationship Id="rId710" Type="http://schemas.openxmlformats.org/officeDocument/2006/relationships/hyperlink" Target="https://permalinkbnd.bnportugal.gov.pt/viewer/278400/?offset=" TargetMode="External"/><Relationship Id="rId808" Type="http://schemas.openxmlformats.org/officeDocument/2006/relationships/hyperlink" Target="https://permalinkbnd.bnportugal.gov.pt/viewer/14628/?offset=" TargetMode="External"/><Relationship Id="rId8" Type="http://schemas.openxmlformats.org/officeDocument/2006/relationships/hyperlink" Target="https://permalinkbnd.bnportugal.gov.pt/viewer/270109/?offset=" TargetMode="External"/><Relationship Id="rId142" Type="http://schemas.openxmlformats.org/officeDocument/2006/relationships/hyperlink" Target="https://permalinkbnd.bnportugal.gov.pt/viewer/270087/?offset=" TargetMode="External"/><Relationship Id="rId447" Type="http://schemas.openxmlformats.org/officeDocument/2006/relationships/hyperlink" Target="https://permalinkbnd.bnportugal.gov.pt/viewer/277966/?offset=" TargetMode="External"/><Relationship Id="rId794" Type="http://schemas.openxmlformats.org/officeDocument/2006/relationships/hyperlink" Target="https://permalinkbnd.bnportugal.gov.pt/viewer/14628/?offset=" TargetMode="External"/><Relationship Id="rId654" Type="http://schemas.openxmlformats.org/officeDocument/2006/relationships/hyperlink" Target="https://permalinkbnd.bnportugal.gov.pt/viewer/278782/?offset=" TargetMode="External"/><Relationship Id="rId861" Type="http://schemas.openxmlformats.org/officeDocument/2006/relationships/hyperlink" Target="https://permalinkbnd.bnportugal.gov.pt/viewer/277330/?offset=" TargetMode="External"/><Relationship Id="rId293" Type="http://schemas.openxmlformats.org/officeDocument/2006/relationships/hyperlink" Target="https://permalinkbnd.bnportugal.gov.pt/viewer/279340/?offset=" TargetMode="External"/><Relationship Id="rId307" Type="http://schemas.openxmlformats.org/officeDocument/2006/relationships/hyperlink" Target="https://permalinkbnd.bnportugal.gov.pt/viewer/273782/?offset=" TargetMode="External"/><Relationship Id="rId514" Type="http://schemas.openxmlformats.org/officeDocument/2006/relationships/hyperlink" Target="https://permalinkbnd.bnportugal.gov.pt/viewer/255848/?offset=" TargetMode="External"/><Relationship Id="rId721" Type="http://schemas.openxmlformats.org/officeDocument/2006/relationships/hyperlink" Target="https://permalinkbnd.bnportugal.gov.pt/viewer/279637/?offset=" TargetMode="External"/><Relationship Id="rId88" Type="http://schemas.openxmlformats.org/officeDocument/2006/relationships/hyperlink" Target="https://permalinkbnd.bnportugal.gov.pt/viewer/37663/?offset=" TargetMode="External"/><Relationship Id="rId153" Type="http://schemas.openxmlformats.org/officeDocument/2006/relationships/hyperlink" Target="https://permalinkbnd.bnportugal.gov.pt/viewer/281130/?offset=" TargetMode="External"/><Relationship Id="rId360" Type="http://schemas.openxmlformats.org/officeDocument/2006/relationships/hyperlink" Target="https://permalinkbnd.bnportugal.gov.pt/viewer/277149/?offset=" TargetMode="External"/><Relationship Id="rId598" Type="http://schemas.openxmlformats.org/officeDocument/2006/relationships/hyperlink" Target="https://permalinkbnd.bnportugal.gov.pt/viewer/14624/?offset=" TargetMode="External"/><Relationship Id="rId819" Type="http://schemas.openxmlformats.org/officeDocument/2006/relationships/hyperlink" Target="https://permalinkbnd.bnportugal.gov.pt/viewer/14598/?offset=" TargetMode="External"/><Relationship Id="rId220" Type="http://schemas.openxmlformats.org/officeDocument/2006/relationships/hyperlink" Target="https://permalinkbnd.bnportugal.gov.pt/viewer/272786/?offset=" TargetMode="External"/><Relationship Id="rId458" Type="http://schemas.openxmlformats.org/officeDocument/2006/relationships/hyperlink" Target="https://permalinkbnd.bnportugal.gov.pt/viewer/278097/?offset=" TargetMode="External"/><Relationship Id="rId665" Type="http://schemas.openxmlformats.org/officeDocument/2006/relationships/hyperlink" Target="https://permalinkbnd.bnportugal.gov.pt/viewer/272640/?offset=" TargetMode="External"/><Relationship Id="rId872" Type="http://schemas.openxmlformats.org/officeDocument/2006/relationships/hyperlink" Target="https://purl.pt/441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A1C17-4758-4759-86E8-093829EAC1BC}">
  <dimension ref="A1:X1116"/>
  <sheetViews>
    <sheetView tabSelected="1" topLeftCell="L65" workbookViewId="0">
      <selection activeCell="Q66" sqref="Q66"/>
    </sheetView>
  </sheetViews>
  <sheetFormatPr defaultRowHeight="15"/>
  <cols>
    <col min="1" max="1" width="8" bestFit="1" customWidth="1"/>
    <col min="2" max="2" width="7.85546875" bestFit="1" customWidth="1"/>
    <col min="3" max="3" width="10.28515625" bestFit="1" customWidth="1"/>
    <col min="4" max="4" width="19.28515625" bestFit="1" customWidth="1"/>
    <col min="5" max="9" width="19.28515625" hidden="1" customWidth="1"/>
    <col min="10" max="10" width="110.28515625" hidden="1" customWidth="1"/>
    <col min="11" max="12" width="81.42578125" customWidth="1"/>
    <col min="13" max="13" width="40.42578125" customWidth="1"/>
    <col min="14" max="15" width="27" hidden="1" customWidth="1"/>
    <col min="16" max="17" width="27" customWidth="1"/>
    <col min="18" max="18" width="64.42578125" style="7" customWidth="1"/>
    <col min="19" max="19" width="64.42578125" customWidth="1"/>
    <col min="20" max="20" width="83.42578125" customWidth="1"/>
    <col min="21" max="145" width="40.7109375" customWidth="1"/>
  </cols>
  <sheetData>
    <row r="1" spans="1:23" ht="15.75">
      <c r="A1" s="8" t="s">
        <v>0</v>
      </c>
      <c r="B1" s="8" t="s">
        <v>1</v>
      </c>
      <c r="C1" s="8" t="s">
        <v>2</v>
      </c>
      <c r="D1" s="8" t="s">
        <v>3</v>
      </c>
      <c r="E1" s="8" t="s">
        <v>1502</v>
      </c>
      <c r="F1" s="8" t="s">
        <v>1503</v>
      </c>
      <c r="G1" s="8" t="s">
        <v>1504</v>
      </c>
      <c r="H1" s="8" t="s">
        <v>1505</v>
      </c>
      <c r="I1" s="8" t="s">
        <v>1506</v>
      </c>
      <c r="J1" s="8" t="s">
        <v>1507</v>
      </c>
      <c r="K1" s="8" t="s">
        <v>4</v>
      </c>
      <c r="L1" s="8" t="s">
        <v>3133</v>
      </c>
      <c r="M1" s="8" t="s">
        <v>1498</v>
      </c>
      <c r="N1" s="8" t="s">
        <v>1508</v>
      </c>
      <c r="O1" s="8" t="s">
        <v>1509</v>
      </c>
      <c r="P1" s="8" t="s">
        <v>1499</v>
      </c>
      <c r="Q1" s="8" t="s">
        <v>1510</v>
      </c>
      <c r="R1" s="9" t="s">
        <v>7</v>
      </c>
      <c r="S1" s="10" t="s">
        <v>1511</v>
      </c>
      <c r="T1" s="8" t="s">
        <v>5</v>
      </c>
      <c r="U1" s="10" t="s">
        <v>6</v>
      </c>
      <c r="V1" s="10" t="s">
        <v>1501</v>
      </c>
      <c r="W1" s="8" t="s">
        <v>1500</v>
      </c>
    </row>
    <row r="2" spans="1:23" ht="75">
      <c r="A2" s="1">
        <v>367428</v>
      </c>
      <c r="B2" s="1">
        <v>1</v>
      </c>
      <c r="C2" s="1">
        <v>1</v>
      </c>
      <c r="D2" s="2" t="s">
        <v>8</v>
      </c>
      <c r="E2" s="11" t="s">
        <v>8</v>
      </c>
      <c r="F2" s="11">
        <v>272369</v>
      </c>
      <c r="G2" s="2" t="s">
        <v>1494</v>
      </c>
      <c r="H2" s="2" t="s">
        <v>1495</v>
      </c>
      <c r="I2" s="2" t="s">
        <v>1496</v>
      </c>
      <c r="J2" s="2" t="str">
        <f>CONCATENATE(G2,F2,H2,C2,I2)</f>
        <v>https://permalinkbnd.bnportugal.gov.pt/viewer/272369/?offset=#page=1&amp;viewer=picture&amp;o=info&amp;n=0&amp;q=</v>
      </c>
      <c r="K2" s="1">
        <v>1</v>
      </c>
      <c r="L2" s="1" t="str">
        <f>VLOOKUP(A2,Folha2!$A$2:$B$2019,2,FALSE)</f>
        <v>I Lusiadi. Antonio Nervi, 1882. Trad. Paratextos vida. Trad. Paratextos notas (de rodapé em cada Canto). Trad. Paratextos argumentos.</v>
      </c>
      <c r="M2" s="12" t="str">
        <f>HYPERLINK(J2)</f>
        <v>https://permalinkbnd.bnportugal.gov.pt/viewer/272369/?offset=#page=1&amp;viewer=picture&amp;o=info&amp;n=0&amp;q=</v>
      </c>
      <c r="N2" s="12" t="s">
        <v>1497</v>
      </c>
      <c r="O2" s="12" t="str">
        <f>CONCATENATE(N2,A2,"\",B2,"\",C2,".jpg")</f>
        <v>C:\Users\mbaptista\OneDrive - Biblioteca Nacional de Portugal\Documentos\python\camoniana\imagens\capas\367428\1\1.jpg</v>
      </c>
      <c r="P2" s="12" t="str">
        <f>HYPERLINK(O2)</f>
        <v>C:\Users\mbaptista\OneDrive - Biblioteca Nacional de Portugal\Documentos\python\camoniana\imagens\capas\367428\1\1.jpg</v>
      </c>
      <c r="Q2" s="12"/>
      <c r="R2" s="6" t="s">
        <v>9</v>
      </c>
      <c r="S2" s="4"/>
      <c r="T2" s="1">
        <v>1</v>
      </c>
      <c r="U2" s="3"/>
      <c r="V2" s="3"/>
      <c r="W2" s="5" t="s">
        <v>1491</v>
      </c>
    </row>
    <row r="3" spans="1:23" ht="75">
      <c r="A3" s="1">
        <v>381074</v>
      </c>
      <c r="B3" s="1">
        <v>1</v>
      </c>
      <c r="C3" s="1">
        <v>10</v>
      </c>
      <c r="D3" s="2" t="s">
        <v>10</v>
      </c>
      <c r="E3" s="5" t="s">
        <v>10</v>
      </c>
      <c r="F3" s="5">
        <v>274089</v>
      </c>
      <c r="G3" s="2" t="s">
        <v>1494</v>
      </c>
      <c r="H3" s="2" t="s">
        <v>1495</v>
      </c>
      <c r="I3" s="2" t="s">
        <v>1496</v>
      </c>
      <c r="J3" s="2" t="str">
        <f t="shared" ref="J3:J66" si="0">CONCATENATE(G3,F3,H3,C3,I3)</f>
        <v>https://permalinkbnd.bnportugal.gov.pt/viewer/274089/?offset=#page=10&amp;viewer=picture&amp;o=info&amp;n=0&amp;q=</v>
      </c>
      <c r="K3" s="1" t="s">
        <v>11</v>
      </c>
      <c r="L3" s="1" t="str">
        <f>VLOOKUP(A3,Folha2!$A$2:$B$2019,2,FALSE)</f>
        <v>Os Lusíadas, Rio de Janeiro, 1880, sem argumentos.</v>
      </c>
      <c r="M3" s="12" t="str">
        <f t="shared" ref="M3:M66" si="1">HYPERLINK(J3)</f>
        <v>https://permalinkbnd.bnportugal.gov.pt/viewer/274089/?offset=#page=10&amp;viewer=picture&amp;o=info&amp;n=0&amp;q=</v>
      </c>
      <c r="N3" s="12" t="s">
        <v>1497</v>
      </c>
      <c r="O3" s="12" t="str">
        <f>CONCATENATE(N3,A3,"\",B3,"\",C3,".jpg")</f>
        <v>C:\Users\mbaptista\OneDrive - Biblioteca Nacional de Portugal\Documentos\python\camoniana\imagens\capas\381074\1\10.jpg</v>
      </c>
      <c r="P3" s="12" t="str">
        <f>HYPERLINK(O3)</f>
        <v>C:\Users\mbaptista\OneDrive - Biblioteca Nacional de Portugal\Documentos\python\camoniana\imagens\capas\381074\1\10.jpg</v>
      </c>
      <c r="Q3" s="12"/>
      <c r="R3" s="6"/>
      <c r="S3" s="4"/>
      <c r="T3" s="1" t="s">
        <v>12</v>
      </c>
      <c r="U3" s="3"/>
      <c r="V3" s="3"/>
      <c r="W3" s="5"/>
    </row>
    <row r="4" spans="1:23" ht="75">
      <c r="A4" s="1">
        <v>381074</v>
      </c>
      <c r="B4" s="1">
        <v>1</v>
      </c>
      <c r="C4" s="1">
        <v>11</v>
      </c>
      <c r="D4" s="2" t="s">
        <v>10</v>
      </c>
      <c r="E4" s="11" t="s">
        <v>10</v>
      </c>
      <c r="F4" s="11">
        <v>274089</v>
      </c>
      <c r="G4" s="2" t="s">
        <v>1494</v>
      </c>
      <c r="H4" s="2" t="s">
        <v>1495</v>
      </c>
      <c r="I4" s="2" t="s">
        <v>1496</v>
      </c>
      <c r="J4" s="2" t="str">
        <f t="shared" si="0"/>
        <v>https://permalinkbnd.bnportugal.gov.pt/viewer/274089/?offset=#page=11&amp;viewer=picture&amp;o=info&amp;n=0&amp;q=</v>
      </c>
      <c r="K4" s="1" t="s">
        <v>11</v>
      </c>
      <c r="L4" s="1" t="str">
        <f>VLOOKUP(A4,Folha2!$A$2:$B$2019,2,FALSE)</f>
        <v>Os Lusíadas, Rio de Janeiro, 1880, sem argumentos.</v>
      </c>
      <c r="M4" s="12" t="str">
        <f t="shared" si="1"/>
        <v>https://permalinkbnd.bnportugal.gov.pt/viewer/274089/?offset=#page=11&amp;viewer=picture&amp;o=info&amp;n=0&amp;q=</v>
      </c>
      <c r="N4" s="12" t="s">
        <v>1497</v>
      </c>
      <c r="O4" s="12" t="str">
        <f>CONCATENATE(N4,A4,"\",B4,"\",C4,".jpg")</f>
        <v>C:\Users\mbaptista\OneDrive - Biblioteca Nacional de Portugal\Documentos\python\camoniana\imagens\capas\381074\1\11.jpg</v>
      </c>
      <c r="P4" s="12" t="str">
        <f>HYPERLINK(O4)</f>
        <v>C:\Users\mbaptista\OneDrive - Biblioteca Nacional de Portugal\Documentos\python\camoniana\imagens\capas\381074\1\11.jpg</v>
      </c>
      <c r="Q4" s="12"/>
      <c r="R4" s="6"/>
      <c r="S4" s="4"/>
      <c r="T4" s="1" t="s">
        <v>12</v>
      </c>
      <c r="U4" s="3"/>
      <c r="V4" s="3"/>
      <c r="W4" s="5"/>
    </row>
    <row r="5" spans="1:23" ht="75">
      <c r="A5" s="1">
        <v>381074</v>
      </c>
      <c r="B5" s="1">
        <v>1</v>
      </c>
      <c r="C5" s="1">
        <v>103</v>
      </c>
      <c r="D5" s="2" t="s">
        <v>10</v>
      </c>
      <c r="E5" s="5" t="s">
        <v>10</v>
      </c>
      <c r="F5" s="5">
        <v>274089</v>
      </c>
      <c r="G5" s="2" t="s">
        <v>1494</v>
      </c>
      <c r="H5" s="2" t="s">
        <v>1495</v>
      </c>
      <c r="I5" s="2" t="s">
        <v>1496</v>
      </c>
      <c r="J5" s="2" t="str">
        <f t="shared" si="0"/>
        <v>https://permalinkbnd.bnportugal.gov.pt/viewer/274089/?offset=#page=103&amp;viewer=picture&amp;o=info&amp;n=0&amp;q=</v>
      </c>
      <c r="K5" s="1" t="s">
        <v>11</v>
      </c>
      <c r="L5" s="1" t="str">
        <f>VLOOKUP(A5,Folha2!$A$2:$B$2019,2,FALSE)</f>
        <v>Os Lusíadas, Rio de Janeiro, 1880, sem argumentos.</v>
      </c>
      <c r="M5" s="12" t="str">
        <f t="shared" si="1"/>
        <v>https://permalinkbnd.bnportugal.gov.pt/viewer/274089/?offset=#page=103&amp;viewer=picture&amp;o=info&amp;n=0&amp;q=</v>
      </c>
      <c r="N5" s="12" t="s">
        <v>1497</v>
      </c>
      <c r="O5" s="12" t="str">
        <f>CONCATENATE(N5,A5,"\",B5,"\",C5,".jpg")</f>
        <v>C:\Users\mbaptista\OneDrive - Biblioteca Nacional de Portugal\Documentos\python\camoniana\imagens\capas\381074\1\103.jpg</v>
      </c>
      <c r="P5" s="12" t="str">
        <f>HYPERLINK(O5)</f>
        <v>C:\Users\mbaptista\OneDrive - Biblioteca Nacional de Portugal\Documentos\python\camoniana\imagens\capas\381074\1\103.jpg</v>
      </c>
      <c r="Q5" s="12"/>
      <c r="R5" s="6"/>
      <c r="S5" s="4"/>
      <c r="T5" s="1" t="s">
        <v>12</v>
      </c>
      <c r="U5" s="3"/>
      <c r="V5" s="3"/>
      <c r="W5" s="5"/>
    </row>
    <row r="6" spans="1:23" ht="75">
      <c r="A6" s="1">
        <v>381074</v>
      </c>
      <c r="B6" s="1">
        <v>1</v>
      </c>
      <c r="C6" s="1">
        <v>107</v>
      </c>
      <c r="D6" s="2" t="s">
        <v>10</v>
      </c>
      <c r="E6" s="11" t="s">
        <v>10</v>
      </c>
      <c r="F6" s="11">
        <v>274089</v>
      </c>
      <c r="G6" s="2" t="s">
        <v>1494</v>
      </c>
      <c r="H6" s="2" t="s">
        <v>1495</v>
      </c>
      <c r="I6" s="2" t="s">
        <v>1496</v>
      </c>
      <c r="J6" s="2" t="str">
        <f t="shared" si="0"/>
        <v>https://permalinkbnd.bnportugal.gov.pt/viewer/274089/?offset=#page=107&amp;viewer=picture&amp;o=info&amp;n=0&amp;q=</v>
      </c>
      <c r="K6" s="1" t="s">
        <v>11</v>
      </c>
      <c r="L6" s="1" t="str">
        <f>VLOOKUP(A6,Folha2!$A$2:$B$2019,2,FALSE)</f>
        <v>Os Lusíadas, Rio de Janeiro, 1880, sem argumentos.</v>
      </c>
      <c r="M6" s="12" t="str">
        <f t="shared" si="1"/>
        <v>https://permalinkbnd.bnportugal.gov.pt/viewer/274089/?offset=#page=107&amp;viewer=picture&amp;o=info&amp;n=0&amp;q=</v>
      </c>
      <c r="N6" s="12" t="s">
        <v>1497</v>
      </c>
      <c r="O6" s="12" t="str">
        <f>CONCATENATE(N6,A6,"\",B6,"\",C6,".jpg")</f>
        <v>C:\Users\mbaptista\OneDrive - Biblioteca Nacional de Portugal\Documentos\python\camoniana\imagens\capas\381074\1\107.jpg</v>
      </c>
      <c r="P6" s="12" t="str">
        <f>HYPERLINK(O6)</f>
        <v>C:\Users\mbaptista\OneDrive - Biblioteca Nacional de Portugal\Documentos\python\camoniana\imagens\capas\381074\1\107.jpg</v>
      </c>
      <c r="Q6" s="12"/>
      <c r="R6" s="6"/>
      <c r="S6" s="4"/>
      <c r="T6" s="1" t="s">
        <v>12</v>
      </c>
      <c r="U6" s="3"/>
      <c r="V6" s="3"/>
      <c r="W6" s="5"/>
    </row>
    <row r="7" spans="1:23" ht="75">
      <c r="A7" s="1">
        <v>381074</v>
      </c>
      <c r="B7" s="1">
        <v>1</v>
      </c>
      <c r="C7" s="1">
        <v>142</v>
      </c>
      <c r="D7" s="2" t="s">
        <v>10</v>
      </c>
      <c r="E7" s="5" t="s">
        <v>10</v>
      </c>
      <c r="F7" s="5">
        <v>274089</v>
      </c>
      <c r="G7" s="2" t="s">
        <v>1494</v>
      </c>
      <c r="H7" s="2" t="s">
        <v>1495</v>
      </c>
      <c r="I7" s="2" t="s">
        <v>1496</v>
      </c>
      <c r="J7" s="2" t="str">
        <f t="shared" si="0"/>
        <v>https://permalinkbnd.bnportugal.gov.pt/viewer/274089/?offset=#page=142&amp;viewer=picture&amp;o=info&amp;n=0&amp;q=</v>
      </c>
      <c r="K7" s="1" t="s">
        <v>11</v>
      </c>
      <c r="L7" s="1" t="str">
        <f>VLOOKUP(A7,Folha2!$A$2:$B$2019,2,FALSE)</f>
        <v>Os Lusíadas, Rio de Janeiro, 1880, sem argumentos.</v>
      </c>
      <c r="M7" s="12" t="str">
        <f t="shared" si="1"/>
        <v>https://permalinkbnd.bnportugal.gov.pt/viewer/274089/?offset=#page=142&amp;viewer=picture&amp;o=info&amp;n=0&amp;q=</v>
      </c>
      <c r="N7" s="12" t="s">
        <v>1497</v>
      </c>
      <c r="O7" s="12" t="str">
        <f>CONCATENATE(N7,A7,"\",B7,"\",C7,".jpg")</f>
        <v>C:\Users\mbaptista\OneDrive - Biblioteca Nacional de Portugal\Documentos\python\camoniana\imagens\capas\381074\1\142.jpg</v>
      </c>
      <c r="P7" s="12" t="str">
        <f>HYPERLINK(O7)</f>
        <v>C:\Users\mbaptista\OneDrive - Biblioteca Nacional de Portugal\Documentos\python\camoniana\imagens\capas\381074\1\142.jpg</v>
      </c>
      <c r="Q7" s="12"/>
      <c r="R7" s="6"/>
      <c r="S7" s="4"/>
      <c r="T7" s="1" t="s">
        <v>12</v>
      </c>
      <c r="U7" s="3"/>
      <c r="V7" s="3"/>
      <c r="W7" s="5"/>
    </row>
    <row r="8" spans="1:23" ht="75">
      <c r="A8" s="1">
        <v>381074</v>
      </c>
      <c r="B8" s="1">
        <v>1</v>
      </c>
      <c r="C8" s="1">
        <v>107</v>
      </c>
      <c r="D8" s="2" t="s">
        <v>10</v>
      </c>
      <c r="E8" s="11" t="s">
        <v>10</v>
      </c>
      <c r="F8" s="11">
        <v>274089</v>
      </c>
      <c r="G8" s="2" t="s">
        <v>1494</v>
      </c>
      <c r="H8" s="2" t="s">
        <v>1495</v>
      </c>
      <c r="I8" s="2" t="s">
        <v>1496</v>
      </c>
      <c r="J8" s="2" t="str">
        <f t="shared" si="0"/>
        <v>https://permalinkbnd.bnportugal.gov.pt/viewer/274089/?offset=#page=107&amp;viewer=picture&amp;o=info&amp;n=0&amp;q=</v>
      </c>
      <c r="K8" s="1" t="s">
        <v>11</v>
      </c>
      <c r="L8" s="1" t="str">
        <f>VLOOKUP(A8,Folha2!$A$2:$B$2019,2,FALSE)</f>
        <v>Os Lusíadas, Rio de Janeiro, 1880, sem argumentos.</v>
      </c>
      <c r="M8" s="12" t="str">
        <f t="shared" si="1"/>
        <v>https://permalinkbnd.bnportugal.gov.pt/viewer/274089/?offset=#page=107&amp;viewer=picture&amp;o=info&amp;n=0&amp;q=</v>
      </c>
      <c r="N8" s="12" t="s">
        <v>1497</v>
      </c>
      <c r="O8" s="12" t="str">
        <f>CONCATENATE(N8,A8,"\",B8,"\",C8,".jpg")</f>
        <v>C:\Users\mbaptista\OneDrive - Biblioteca Nacional de Portugal\Documentos\python\camoniana\imagens\capas\381074\1\107.jpg</v>
      </c>
      <c r="P8" s="12" t="str">
        <f>HYPERLINK(O8)</f>
        <v>C:\Users\mbaptista\OneDrive - Biblioteca Nacional de Portugal\Documentos\python\camoniana\imagens\capas\381074\1\107.jpg</v>
      </c>
      <c r="Q8" s="12"/>
      <c r="R8" s="6"/>
      <c r="S8" s="4"/>
      <c r="T8" s="1" t="s">
        <v>12</v>
      </c>
      <c r="U8" s="3"/>
      <c r="V8" s="3"/>
      <c r="W8" s="5"/>
    </row>
    <row r="9" spans="1:23" ht="75">
      <c r="A9" s="1">
        <v>381074</v>
      </c>
      <c r="B9" s="1">
        <v>1</v>
      </c>
      <c r="C9" s="1">
        <v>142</v>
      </c>
      <c r="D9" s="2" t="s">
        <v>10</v>
      </c>
      <c r="E9" s="5" t="s">
        <v>10</v>
      </c>
      <c r="F9" s="5">
        <v>274089</v>
      </c>
      <c r="G9" s="2" t="s">
        <v>1494</v>
      </c>
      <c r="H9" s="2" t="s">
        <v>1495</v>
      </c>
      <c r="I9" s="2" t="s">
        <v>1496</v>
      </c>
      <c r="J9" s="2" t="str">
        <f t="shared" si="0"/>
        <v>https://permalinkbnd.bnportugal.gov.pt/viewer/274089/?offset=#page=142&amp;viewer=picture&amp;o=info&amp;n=0&amp;q=</v>
      </c>
      <c r="K9" s="1" t="s">
        <v>11</v>
      </c>
      <c r="L9" s="1" t="str">
        <f>VLOOKUP(A9,Folha2!$A$2:$B$2019,2,FALSE)</f>
        <v>Os Lusíadas, Rio de Janeiro, 1880, sem argumentos.</v>
      </c>
      <c r="M9" s="12" t="str">
        <f t="shared" si="1"/>
        <v>https://permalinkbnd.bnportugal.gov.pt/viewer/274089/?offset=#page=142&amp;viewer=picture&amp;o=info&amp;n=0&amp;q=</v>
      </c>
      <c r="N9" s="12" t="s">
        <v>1497</v>
      </c>
      <c r="O9" s="12" t="str">
        <f>CONCATENATE(N9,A9,"\",B9,"\",C9,".jpg")</f>
        <v>C:\Users\mbaptista\OneDrive - Biblioteca Nacional de Portugal\Documentos\python\camoniana\imagens\capas\381074\1\142.jpg</v>
      </c>
      <c r="P9" s="12" t="str">
        <f>HYPERLINK(O9)</f>
        <v>C:\Users\mbaptista\OneDrive - Biblioteca Nacional de Portugal\Documentos\python\camoniana\imagens\capas\381074\1\142.jpg</v>
      </c>
      <c r="Q9" s="12"/>
      <c r="R9" s="6"/>
      <c r="S9" s="4"/>
      <c r="T9" s="1" t="s">
        <v>12</v>
      </c>
      <c r="U9" s="3"/>
      <c r="V9" s="3"/>
      <c r="W9" s="5"/>
    </row>
    <row r="10" spans="1:23" ht="75">
      <c r="A10" s="1">
        <v>381074</v>
      </c>
      <c r="B10" s="1">
        <v>1</v>
      </c>
      <c r="C10" s="1">
        <v>145</v>
      </c>
      <c r="D10" s="2" t="s">
        <v>10</v>
      </c>
      <c r="E10" s="11" t="s">
        <v>10</v>
      </c>
      <c r="F10" s="11">
        <v>274089</v>
      </c>
      <c r="G10" s="2" t="s">
        <v>1494</v>
      </c>
      <c r="H10" s="2" t="s">
        <v>1495</v>
      </c>
      <c r="I10" s="2" t="s">
        <v>1496</v>
      </c>
      <c r="J10" s="2" t="str">
        <f t="shared" si="0"/>
        <v>https://permalinkbnd.bnportugal.gov.pt/viewer/274089/?offset=#page=145&amp;viewer=picture&amp;o=info&amp;n=0&amp;q=</v>
      </c>
      <c r="K10" s="1" t="s">
        <v>11</v>
      </c>
      <c r="L10" s="1" t="str">
        <f>VLOOKUP(A10,Folha2!$A$2:$B$2019,2,FALSE)</f>
        <v>Os Lusíadas, Rio de Janeiro, 1880, sem argumentos.</v>
      </c>
      <c r="M10" s="12" t="str">
        <f t="shared" si="1"/>
        <v>https://permalinkbnd.bnportugal.gov.pt/viewer/274089/?offset=#page=145&amp;viewer=picture&amp;o=info&amp;n=0&amp;q=</v>
      </c>
      <c r="N10" s="12" t="s">
        <v>1497</v>
      </c>
      <c r="O10" s="12" t="str">
        <f>CONCATENATE(N10,A10,"\",B10,"\",C10,".jpg")</f>
        <v>C:\Users\mbaptista\OneDrive - Biblioteca Nacional de Portugal\Documentos\python\camoniana\imagens\capas\381074\1\145.jpg</v>
      </c>
      <c r="P10" s="12" t="str">
        <f>HYPERLINK(O10)</f>
        <v>C:\Users\mbaptista\OneDrive - Biblioteca Nacional de Portugal\Documentos\python\camoniana\imagens\capas\381074\1\145.jpg</v>
      </c>
      <c r="Q10" s="12"/>
      <c r="R10" s="6"/>
      <c r="S10" s="4"/>
      <c r="T10" s="1" t="s">
        <v>12</v>
      </c>
      <c r="U10" s="3"/>
      <c r="V10" s="3"/>
      <c r="W10" s="5"/>
    </row>
    <row r="11" spans="1:23" ht="75">
      <c r="A11" s="1">
        <v>381074</v>
      </c>
      <c r="B11" s="1">
        <v>1</v>
      </c>
      <c r="C11" s="1">
        <v>185</v>
      </c>
      <c r="D11" s="2" t="s">
        <v>10</v>
      </c>
      <c r="E11" s="5" t="s">
        <v>10</v>
      </c>
      <c r="F11" s="5">
        <v>274089</v>
      </c>
      <c r="G11" s="2" t="s">
        <v>1494</v>
      </c>
      <c r="H11" s="2" t="s">
        <v>1495</v>
      </c>
      <c r="I11" s="2" t="s">
        <v>1496</v>
      </c>
      <c r="J11" s="2" t="str">
        <f t="shared" si="0"/>
        <v>https://permalinkbnd.bnportugal.gov.pt/viewer/274089/?offset=#page=185&amp;viewer=picture&amp;o=info&amp;n=0&amp;q=</v>
      </c>
      <c r="K11" s="1" t="s">
        <v>11</v>
      </c>
      <c r="L11" s="1" t="str">
        <f>VLOOKUP(A11,Folha2!$A$2:$B$2019,2,FALSE)</f>
        <v>Os Lusíadas, Rio de Janeiro, 1880, sem argumentos.</v>
      </c>
      <c r="M11" s="12" t="str">
        <f t="shared" si="1"/>
        <v>https://permalinkbnd.bnportugal.gov.pt/viewer/274089/?offset=#page=185&amp;viewer=picture&amp;o=info&amp;n=0&amp;q=</v>
      </c>
      <c r="N11" s="12" t="s">
        <v>1497</v>
      </c>
      <c r="O11" s="12" t="str">
        <f>CONCATENATE(N11,A11,"\",B11,"\",C11,".jpg")</f>
        <v>C:\Users\mbaptista\OneDrive - Biblioteca Nacional de Portugal\Documentos\python\camoniana\imagens\capas\381074\1\185.jpg</v>
      </c>
      <c r="P11" s="12" t="str">
        <f>HYPERLINK(O11)</f>
        <v>C:\Users\mbaptista\OneDrive - Biblioteca Nacional de Portugal\Documentos\python\camoniana\imagens\capas\381074\1\185.jpg</v>
      </c>
      <c r="Q11" s="12"/>
      <c r="R11" s="6"/>
      <c r="S11" s="4"/>
      <c r="T11" s="1" t="s">
        <v>12</v>
      </c>
      <c r="U11" s="3"/>
      <c r="V11" s="3"/>
      <c r="W11" s="5"/>
    </row>
    <row r="12" spans="1:23" ht="75">
      <c r="A12" s="1">
        <v>381074</v>
      </c>
      <c r="B12" s="1">
        <v>1</v>
      </c>
      <c r="C12" s="1">
        <v>235</v>
      </c>
      <c r="D12" s="2" t="s">
        <v>10</v>
      </c>
      <c r="E12" s="11" t="s">
        <v>10</v>
      </c>
      <c r="F12" s="11">
        <v>274089</v>
      </c>
      <c r="G12" s="2" t="s">
        <v>1494</v>
      </c>
      <c r="H12" s="2" t="s">
        <v>1495</v>
      </c>
      <c r="I12" s="2" t="s">
        <v>1496</v>
      </c>
      <c r="J12" s="2" t="str">
        <f t="shared" si="0"/>
        <v>https://permalinkbnd.bnportugal.gov.pt/viewer/274089/?offset=#page=235&amp;viewer=picture&amp;o=info&amp;n=0&amp;q=</v>
      </c>
      <c r="K12" s="1" t="s">
        <v>11</v>
      </c>
      <c r="L12" s="1" t="str">
        <f>VLOOKUP(A12,Folha2!$A$2:$B$2019,2,FALSE)</f>
        <v>Os Lusíadas, Rio de Janeiro, 1880, sem argumentos.</v>
      </c>
      <c r="M12" s="12" t="str">
        <f t="shared" si="1"/>
        <v>https://permalinkbnd.bnportugal.gov.pt/viewer/274089/?offset=#page=235&amp;viewer=picture&amp;o=info&amp;n=0&amp;q=</v>
      </c>
      <c r="N12" s="12" t="s">
        <v>1497</v>
      </c>
      <c r="O12" s="12" t="str">
        <f>CONCATENATE(N12,A12,"\",B12,"\",C12,".jpg")</f>
        <v>C:\Users\mbaptista\OneDrive - Biblioteca Nacional de Portugal\Documentos\python\camoniana\imagens\capas\381074\1\235.jpg</v>
      </c>
      <c r="P12" s="12" t="str">
        <f>HYPERLINK(O12)</f>
        <v>C:\Users\mbaptista\OneDrive - Biblioteca Nacional de Portugal\Documentos\python\camoniana\imagens\capas\381074\1\235.jpg</v>
      </c>
      <c r="Q12" s="12"/>
      <c r="R12" s="6"/>
      <c r="S12" s="4"/>
      <c r="T12" s="1" t="s">
        <v>12</v>
      </c>
      <c r="U12" s="3"/>
      <c r="V12" s="3"/>
      <c r="W12" s="5"/>
    </row>
    <row r="13" spans="1:23" ht="75">
      <c r="A13" s="1">
        <v>381074</v>
      </c>
      <c r="B13" s="1">
        <v>1</v>
      </c>
      <c r="C13" s="1">
        <v>270</v>
      </c>
      <c r="D13" s="2" t="s">
        <v>10</v>
      </c>
      <c r="E13" s="5" t="s">
        <v>10</v>
      </c>
      <c r="F13" s="5">
        <v>274089</v>
      </c>
      <c r="G13" s="2" t="s">
        <v>1494</v>
      </c>
      <c r="H13" s="2" t="s">
        <v>1495</v>
      </c>
      <c r="I13" s="2" t="s">
        <v>1496</v>
      </c>
      <c r="J13" s="2" t="str">
        <f t="shared" si="0"/>
        <v>https://permalinkbnd.bnportugal.gov.pt/viewer/274089/?offset=#page=270&amp;viewer=picture&amp;o=info&amp;n=0&amp;q=</v>
      </c>
      <c r="K13" s="1" t="s">
        <v>11</v>
      </c>
      <c r="L13" s="1" t="str">
        <f>VLOOKUP(A13,Folha2!$A$2:$B$2019,2,FALSE)</f>
        <v>Os Lusíadas, Rio de Janeiro, 1880, sem argumentos.</v>
      </c>
      <c r="M13" s="12" t="str">
        <f t="shared" si="1"/>
        <v>https://permalinkbnd.bnportugal.gov.pt/viewer/274089/?offset=#page=270&amp;viewer=picture&amp;o=info&amp;n=0&amp;q=</v>
      </c>
      <c r="N13" s="12" t="s">
        <v>1497</v>
      </c>
      <c r="O13" s="12" t="str">
        <f>CONCATENATE(N13,A13,"\",B13,"\",C13,".jpg")</f>
        <v>C:\Users\mbaptista\OneDrive - Biblioteca Nacional de Portugal\Documentos\python\camoniana\imagens\capas\381074\1\270.jpg</v>
      </c>
      <c r="P13" s="12" t="str">
        <f>HYPERLINK(O13)</f>
        <v>C:\Users\mbaptista\OneDrive - Biblioteca Nacional de Portugal\Documentos\python\camoniana\imagens\capas\381074\1\270.jpg</v>
      </c>
      <c r="Q13" s="12"/>
      <c r="R13" s="6"/>
      <c r="S13" s="4"/>
      <c r="T13" s="1" t="s">
        <v>12</v>
      </c>
      <c r="U13" s="3"/>
      <c r="V13" s="3"/>
      <c r="W13" s="5"/>
    </row>
    <row r="14" spans="1:23" ht="75">
      <c r="A14" s="1">
        <v>381074</v>
      </c>
      <c r="B14" s="1">
        <v>1</v>
      </c>
      <c r="C14" s="1">
        <v>273</v>
      </c>
      <c r="D14" s="2" t="s">
        <v>10</v>
      </c>
      <c r="E14" s="11" t="s">
        <v>10</v>
      </c>
      <c r="F14" s="11">
        <v>274089</v>
      </c>
      <c r="G14" s="2" t="s">
        <v>1494</v>
      </c>
      <c r="H14" s="2" t="s">
        <v>1495</v>
      </c>
      <c r="I14" s="2" t="s">
        <v>1496</v>
      </c>
      <c r="J14" s="2" t="str">
        <f t="shared" si="0"/>
        <v>https://permalinkbnd.bnportugal.gov.pt/viewer/274089/?offset=#page=273&amp;viewer=picture&amp;o=info&amp;n=0&amp;q=</v>
      </c>
      <c r="K14" s="1" t="s">
        <v>11</v>
      </c>
      <c r="L14" s="1" t="str">
        <f>VLOOKUP(A14,Folha2!$A$2:$B$2019,2,FALSE)</f>
        <v>Os Lusíadas, Rio de Janeiro, 1880, sem argumentos.</v>
      </c>
      <c r="M14" s="12" t="str">
        <f t="shared" si="1"/>
        <v>https://permalinkbnd.bnportugal.gov.pt/viewer/274089/?offset=#page=273&amp;viewer=picture&amp;o=info&amp;n=0&amp;q=</v>
      </c>
      <c r="N14" s="12" t="s">
        <v>1497</v>
      </c>
      <c r="O14" s="12" t="str">
        <f>CONCATENATE(N14,A14,"\",B14,"\",C14,".jpg")</f>
        <v>C:\Users\mbaptista\OneDrive - Biblioteca Nacional de Portugal\Documentos\python\camoniana\imagens\capas\381074\1\273.jpg</v>
      </c>
      <c r="P14" s="12" t="str">
        <f>HYPERLINK(O14)</f>
        <v>C:\Users\mbaptista\OneDrive - Biblioteca Nacional de Portugal\Documentos\python\camoniana\imagens\capas\381074\1\273.jpg</v>
      </c>
      <c r="Q14" s="12"/>
      <c r="R14" s="6"/>
      <c r="S14" s="4"/>
      <c r="T14" s="1" t="s">
        <v>12</v>
      </c>
      <c r="U14" s="3"/>
      <c r="V14" s="3"/>
      <c r="W14" s="5"/>
    </row>
    <row r="15" spans="1:23" ht="75">
      <c r="A15" s="1">
        <v>381074</v>
      </c>
      <c r="B15" s="1">
        <v>1</v>
      </c>
      <c r="C15" s="1">
        <v>306</v>
      </c>
      <c r="D15" s="2" t="s">
        <v>10</v>
      </c>
      <c r="E15" s="5" t="s">
        <v>10</v>
      </c>
      <c r="F15" s="5">
        <v>274089</v>
      </c>
      <c r="G15" s="2" t="s">
        <v>1494</v>
      </c>
      <c r="H15" s="2" t="s">
        <v>1495</v>
      </c>
      <c r="I15" s="2" t="s">
        <v>1496</v>
      </c>
      <c r="J15" s="2" t="str">
        <f t="shared" si="0"/>
        <v>https://permalinkbnd.bnportugal.gov.pt/viewer/274089/?offset=#page=306&amp;viewer=picture&amp;o=info&amp;n=0&amp;q=</v>
      </c>
      <c r="K15" s="1" t="s">
        <v>11</v>
      </c>
      <c r="L15" s="1" t="str">
        <f>VLOOKUP(A15,Folha2!$A$2:$B$2019,2,FALSE)</f>
        <v>Os Lusíadas, Rio de Janeiro, 1880, sem argumentos.</v>
      </c>
      <c r="M15" s="12" t="str">
        <f t="shared" si="1"/>
        <v>https://permalinkbnd.bnportugal.gov.pt/viewer/274089/?offset=#page=306&amp;viewer=picture&amp;o=info&amp;n=0&amp;q=</v>
      </c>
      <c r="N15" s="12" t="s">
        <v>1497</v>
      </c>
      <c r="O15" s="12" t="str">
        <f>CONCATENATE(N15,A15,"\",B15,"\",C15,".jpg")</f>
        <v>C:\Users\mbaptista\OneDrive - Biblioteca Nacional de Portugal\Documentos\python\camoniana\imagens\capas\381074\1\306.jpg</v>
      </c>
      <c r="P15" s="12" t="str">
        <f>HYPERLINK(O15)</f>
        <v>C:\Users\mbaptista\OneDrive - Biblioteca Nacional de Portugal\Documentos\python\camoniana\imagens\capas\381074\1\306.jpg</v>
      </c>
      <c r="Q15" s="12"/>
      <c r="R15" s="6"/>
      <c r="S15" s="4"/>
      <c r="T15" s="1" t="s">
        <v>12</v>
      </c>
      <c r="U15" s="3"/>
      <c r="V15" s="3"/>
      <c r="W15" s="5"/>
    </row>
    <row r="16" spans="1:23" ht="75">
      <c r="A16" s="1">
        <v>381074</v>
      </c>
      <c r="B16" s="1">
        <v>1</v>
      </c>
      <c r="C16" s="1">
        <v>309</v>
      </c>
      <c r="D16" s="2" t="s">
        <v>10</v>
      </c>
      <c r="E16" s="11" t="s">
        <v>10</v>
      </c>
      <c r="F16" s="11">
        <v>274089</v>
      </c>
      <c r="G16" s="2" t="s">
        <v>1494</v>
      </c>
      <c r="H16" s="2" t="s">
        <v>1495</v>
      </c>
      <c r="I16" s="2" t="s">
        <v>1496</v>
      </c>
      <c r="J16" s="2" t="str">
        <f t="shared" si="0"/>
        <v>https://permalinkbnd.bnportugal.gov.pt/viewer/274089/?offset=#page=309&amp;viewer=picture&amp;o=info&amp;n=0&amp;q=</v>
      </c>
      <c r="K16" s="1" t="s">
        <v>11</v>
      </c>
      <c r="L16" s="1" t="str">
        <f>VLOOKUP(A16,Folha2!$A$2:$B$2019,2,FALSE)</f>
        <v>Os Lusíadas, Rio de Janeiro, 1880, sem argumentos.</v>
      </c>
      <c r="M16" s="12" t="str">
        <f t="shared" si="1"/>
        <v>https://permalinkbnd.bnportugal.gov.pt/viewer/274089/?offset=#page=309&amp;viewer=picture&amp;o=info&amp;n=0&amp;q=</v>
      </c>
      <c r="N16" s="12" t="s">
        <v>1497</v>
      </c>
      <c r="O16" s="12" t="str">
        <f>CONCATENATE(N16,A16,"\",B16,"\",C16,".jpg")</f>
        <v>C:\Users\mbaptista\OneDrive - Biblioteca Nacional de Portugal\Documentos\python\camoniana\imagens\capas\381074\1\309.jpg</v>
      </c>
      <c r="P16" s="12" t="str">
        <f>HYPERLINK(O16)</f>
        <v>C:\Users\mbaptista\OneDrive - Biblioteca Nacional de Portugal\Documentos\python\camoniana\imagens\capas\381074\1\309.jpg</v>
      </c>
      <c r="Q16" s="12"/>
      <c r="R16" s="6"/>
      <c r="S16" s="4"/>
      <c r="T16" s="1" t="s">
        <v>12</v>
      </c>
      <c r="U16" s="3"/>
      <c r="V16" s="3"/>
      <c r="W16" s="5"/>
    </row>
    <row r="17" spans="1:23" ht="75">
      <c r="A17" s="1">
        <v>381074</v>
      </c>
      <c r="B17" s="1">
        <v>1</v>
      </c>
      <c r="C17" s="1">
        <v>342</v>
      </c>
      <c r="D17" s="2" t="s">
        <v>10</v>
      </c>
      <c r="E17" s="5" t="s">
        <v>10</v>
      </c>
      <c r="F17" s="5">
        <v>274089</v>
      </c>
      <c r="G17" s="2" t="s">
        <v>1494</v>
      </c>
      <c r="H17" s="2" t="s">
        <v>1495</v>
      </c>
      <c r="I17" s="2" t="s">
        <v>1496</v>
      </c>
      <c r="J17" s="2" t="str">
        <f t="shared" si="0"/>
        <v>https://permalinkbnd.bnportugal.gov.pt/viewer/274089/?offset=#page=342&amp;viewer=picture&amp;o=info&amp;n=0&amp;q=</v>
      </c>
      <c r="K17" s="1" t="s">
        <v>11</v>
      </c>
      <c r="L17" s="1" t="str">
        <f>VLOOKUP(A17,Folha2!$A$2:$B$2019,2,FALSE)</f>
        <v>Os Lusíadas, Rio de Janeiro, 1880, sem argumentos.</v>
      </c>
      <c r="M17" s="12" t="str">
        <f t="shared" si="1"/>
        <v>https://permalinkbnd.bnportugal.gov.pt/viewer/274089/?offset=#page=342&amp;viewer=picture&amp;o=info&amp;n=0&amp;q=</v>
      </c>
      <c r="N17" s="12" t="s">
        <v>1497</v>
      </c>
      <c r="O17" s="12" t="str">
        <f>CONCATENATE(N17,A17,"\",B17,"\",C17,".jpg")</f>
        <v>C:\Users\mbaptista\OneDrive - Biblioteca Nacional de Portugal\Documentos\python\camoniana\imagens\capas\381074\1\342.jpg</v>
      </c>
      <c r="P17" s="12" t="str">
        <f>HYPERLINK(O17)</f>
        <v>C:\Users\mbaptista\OneDrive - Biblioteca Nacional de Portugal\Documentos\python\camoniana\imagens\capas\381074\1\342.jpg</v>
      </c>
      <c r="Q17" s="12"/>
      <c r="R17" s="6"/>
      <c r="S17" s="4"/>
      <c r="T17" s="1" t="s">
        <v>12</v>
      </c>
      <c r="U17" s="3"/>
      <c r="V17" s="3"/>
      <c r="W17" s="5"/>
    </row>
    <row r="18" spans="1:23" ht="75">
      <c r="A18" s="1">
        <v>381074</v>
      </c>
      <c r="B18" s="1">
        <v>1</v>
      </c>
      <c r="C18" s="1">
        <v>345</v>
      </c>
      <c r="D18" s="2" t="s">
        <v>10</v>
      </c>
      <c r="E18" s="11" t="s">
        <v>10</v>
      </c>
      <c r="F18" s="11">
        <v>274089</v>
      </c>
      <c r="G18" s="2" t="s">
        <v>1494</v>
      </c>
      <c r="H18" s="2" t="s">
        <v>1495</v>
      </c>
      <c r="I18" s="2" t="s">
        <v>1496</v>
      </c>
      <c r="J18" s="2" t="str">
        <f t="shared" si="0"/>
        <v>https://permalinkbnd.bnportugal.gov.pt/viewer/274089/?offset=#page=345&amp;viewer=picture&amp;o=info&amp;n=0&amp;q=</v>
      </c>
      <c r="K18" s="1" t="s">
        <v>11</v>
      </c>
      <c r="L18" s="1" t="str">
        <f>VLOOKUP(A18,Folha2!$A$2:$B$2019,2,FALSE)</f>
        <v>Os Lusíadas, Rio de Janeiro, 1880, sem argumentos.</v>
      </c>
      <c r="M18" s="12" t="str">
        <f t="shared" si="1"/>
        <v>https://permalinkbnd.bnportugal.gov.pt/viewer/274089/?offset=#page=345&amp;viewer=picture&amp;o=info&amp;n=0&amp;q=</v>
      </c>
      <c r="N18" s="12" t="s">
        <v>1497</v>
      </c>
      <c r="O18" s="12" t="str">
        <f>CONCATENATE(N18,A18,"\",B18,"\",C18,".jpg")</f>
        <v>C:\Users\mbaptista\OneDrive - Biblioteca Nacional de Portugal\Documentos\python\camoniana\imagens\capas\381074\1\345.jpg</v>
      </c>
      <c r="P18" s="12" t="str">
        <f>HYPERLINK(O18)</f>
        <v>C:\Users\mbaptista\OneDrive - Biblioteca Nacional de Portugal\Documentos\python\camoniana\imagens\capas\381074\1\345.jpg</v>
      </c>
      <c r="Q18" s="12"/>
      <c r="R18" s="6"/>
      <c r="S18" s="4"/>
      <c r="T18" s="1" t="s">
        <v>12</v>
      </c>
      <c r="U18" s="3"/>
      <c r="V18" s="3"/>
      <c r="W18" s="5"/>
    </row>
    <row r="19" spans="1:23" ht="75">
      <c r="A19" s="1">
        <v>381074</v>
      </c>
      <c r="B19" s="1">
        <v>1</v>
      </c>
      <c r="C19" s="1">
        <v>347</v>
      </c>
      <c r="D19" s="2" t="s">
        <v>10</v>
      </c>
      <c r="E19" s="5" t="s">
        <v>10</v>
      </c>
      <c r="F19" s="5">
        <v>274089</v>
      </c>
      <c r="G19" s="2" t="s">
        <v>1494</v>
      </c>
      <c r="H19" s="2" t="s">
        <v>1495</v>
      </c>
      <c r="I19" s="2" t="s">
        <v>1496</v>
      </c>
      <c r="J19" s="2" t="str">
        <f t="shared" si="0"/>
        <v>https://permalinkbnd.bnportugal.gov.pt/viewer/274089/?offset=#page=347&amp;viewer=picture&amp;o=info&amp;n=0&amp;q=</v>
      </c>
      <c r="K19" s="1" t="s">
        <v>11</v>
      </c>
      <c r="L19" s="1" t="str">
        <f>VLOOKUP(A19,Folha2!$A$2:$B$2019,2,FALSE)</f>
        <v>Os Lusíadas, Rio de Janeiro, 1880, sem argumentos.</v>
      </c>
      <c r="M19" s="12" t="str">
        <f t="shared" si="1"/>
        <v>https://permalinkbnd.bnportugal.gov.pt/viewer/274089/?offset=#page=347&amp;viewer=picture&amp;o=info&amp;n=0&amp;q=</v>
      </c>
      <c r="N19" s="12" t="s">
        <v>1497</v>
      </c>
      <c r="O19" s="12" t="str">
        <f>CONCATENATE(N19,A19,"\",B19,"\",C19,".jpg")</f>
        <v>C:\Users\mbaptista\OneDrive - Biblioteca Nacional de Portugal\Documentos\python\camoniana\imagens\capas\381074\1\347.jpg</v>
      </c>
      <c r="P19" s="12" t="str">
        <f>HYPERLINK(O19)</f>
        <v>C:\Users\mbaptista\OneDrive - Biblioteca Nacional de Portugal\Documentos\python\camoniana\imagens\capas\381074\1\347.jpg</v>
      </c>
      <c r="Q19" s="12"/>
      <c r="R19" s="6"/>
      <c r="S19" s="4"/>
      <c r="T19" s="1" t="s">
        <v>12</v>
      </c>
      <c r="U19" s="3"/>
      <c r="V19" s="3"/>
      <c r="W19" s="5"/>
    </row>
    <row r="20" spans="1:23" ht="75">
      <c r="A20" s="1">
        <v>381074</v>
      </c>
      <c r="B20" s="1">
        <v>1</v>
      </c>
      <c r="C20" s="1">
        <v>377</v>
      </c>
      <c r="D20" s="2" t="s">
        <v>10</v>
      </c>
      <c r="E20" s="11" t="s">
        <v>10</v>
      </c>
      <c r="F20" s="11">
        <v>274089</v>
      </c>
      <c r="G20" s="2" t="s">
        <v>1494</v>
      </c>
      <c r="H20" s="2" t="s">
        <v>1495</v>
      </c>
      <c r="I20" s="2" t="s">
        <v>1496</v>
      </c>
      <c r="J20" s="2" t="str">
        <f t="shared" si="0"/>
        <v>https://permalinkbnd.bnportugal.gov.pt/viewer/274089/?offset=#page=377&amp;viewer=picture&amp;o=info&amp;n=0&amp;q=</v>
      </c>
      <c r="K20" s="1" t="s">
        <v>11</v>
      </c>
      <c r="L20" s="1" t="str">
        <f>VLOOKUP(A20,Folha2!$A$2:$B$2019,2,FALSE)</f>
        <v>Os Lusíadas, Rio de Janeiro, 1880, sem argumentos.</v>
      </c>
      <c r="M20" s="12" t="str">
        <f t="shared" si="1"/>
        <v>https://permalinkbnd.bnportugal.gov.pt/viewer/274089/?offset=#page=377&amp;viewer=picture&amp;o=info&amp;n=0&amp;q=</v>
      </c>
      <c r="N20" s="12" t="s">
        <v>1497</v>
      </c>
      <c r="O20" s="12" t="str">
        <f>CONCATENATE(N20,A20,"\",B20,"\",C20,".jpg")</f>
        <v>C:\Users\mbaptista\OneDrive - Biblioteca Nacional de Portugal\Documentos\python\camoniana\imagens\capas\381074\1\377.jpg</v>
      </c>
      <c r="P20" s="12" t="str">
        <f>HYPERLINK(O20)</f>
        <v>C:\Users\mbaptista\OneDrive - Biblioteca Nacional de Portugal\Documentos\python\camoniana\imagens\capas\381074\1\377.jpg</v>
      </c>
      <c r="Q20" s="12"/>
      <c r="R20" s="6"/>
      <c r="S20" s="4"/>
      <c r="T20" s="1" t="s">
        <v>12</v>
      </c>
      <c r="U20" s="3"/>
      <c r="V20" s="3"/>
      <c r="W20" s="5"/>
    </row>
    <row r="21" spans="1:23" ht="75">
      <c r="A21" s="1">
        <v>381074</v>
      </c>
      <c r="B21" s="1">
        <v>1</v>
      </c>
      <c r="C21" s="1">
        <v>410</v>
      </c>
      <c r="D21" s="2" t="s">
        <v>10</v>
      </c>
      <c r="E21" s="5" t="s">
        <v>10</v>
      </c>
      <c r="F21" s="5">
        <v>274089</v>
      </c>
      <c r="G21" s="2" t="s">
        <v>1494</v>
      </c>
      <c r="H21" s="2" t="s">
        <v>1495</v>
      </c>
      <c r="I21" s="2" t="s">
        <v>1496</v>
      </c>
      <c r="J21" s="2" t="str">
        <f t="shared" si="0"/>
        <v>https://permalinkbnd.bnportugal.gov.pt/viewer/274089/?offset=#page=410&amp;viewer=picture&amp;o=info&amp;n=0&amp;q=</v>
      </c>
      <c r="K21" s="1" t="s">
        <v>11</v>
      </c>
      <c r="L21" s="1" t="str">
        <f>VLOOKUP(A21,Folha2!$A$2:$B$2019,2,FALSE)</f>
        <v>Os Lusíadas, Rio de Janeiro, 1880, sem argumentos.</v>
      </c>
      <c r="M21" s="12" t="str">
        <f t="shared" si="1"/>
        <v>https://permalinkbnd.bnportugal.gov.pt/viewer/274089/?offset=#page=410&amp;viewer=picture&amp;o=info&amp;n=0&amp;q=</v>
      </c>
      <c r="N21" s="12" t="s">
        <v>1497</v>
      </c>
      <c r="O21" s="12" t="str">
        <f>CONCATENATE(N21,A21,"\",B21,"\",C21,".jpg")</f>
        <v>C:\Users\mbaptista\OneDrive - Biblioteca Nacional de Portugal\Documentos\python\camoniana\imagens\capas\381074\1\410.jpg</v>
      </c>
      <c r="P21" s="12" t="str">
        <f>HYPERLINK(O21)</f>
        <v>C:\Users\mbaptista\OneDrive - Biblioteca Nacional de Portugal\Documentos\python\camoniana\imagens\capas\381074\1\410.jpg</v>
      </c>
      <c r="Q21" s="12"/>
      <c r="R21" s="6"/>
      <c r="S21" s="4"/>
      <c r="T21" s="1" t="s">
        <v>12</v>
      </c>
      <c r="U21" s="3"/>
      <c r="V21" s="3"/>
      <c r="W21" s="5"/>
    </row>
    <row r="22" spans="1:23" ht="75">
      <c r="A22" s="1">
        <v>381074</v>
      </c>
      <c r="B22" s="1">
        <v>1</v>
      </c>
      <c r="C22" s="1">
        <v>413</v>
      </c>
      <c r="D22" s="2" t="s">
        <v>10</v>
      </c>
      <c r="E22" s="11" t="s">
        <v>10</v>
      </c>
      <c r="F22" s="11">
        <v>274089</v>
      </c>
      <c r="G22" s="2" t="s">
        <v>1494</v>
      </c>
      <c r="H22" s="2" t="s">
        <v>1495</v>
      </c>
      <c r="I22" s="2" t="s">
        <v>1496</v>
      </c>
      <c r="J22" s="2" t="str">
        <f t="shared" si="0"/>
        <v>https://permalinkbnd.bnportugal.gov.pt/viewer/274089/?offset=#page=413&amp;viewer=picture&amp;o=info&amp;n=0&amp;q=</v>
      </c>
      <c r="K22" s="1" t="s">
        <v>11</v>
      </c>
      <c r="L22" s="1" t="str">
        <f>VLOOKUP(A22,Folha2!$A$2:$B$2019,2,FALSE)</f>
        <v>Os Lusíadas, Rio de Janeiro, 1880, sem argumentos.</v>
      </c>
      <c r="M22" s="12" t="str">
        <f t="shared" si="1"/>
        <v>https://permalinkbnd.bnportugal.gov.pt/viewer/274089/?offset=#page=413&amp;viewer=picture&amp;o=info&amp;n=0&amp;q=</v>
      </c>
      <c r="N22" s="12" t="s">
        <v>1497</v>
      </c>
      <c r="O22" s="12" t="str">
        <f>CONCATENATE(N22,A22,"\",B22,"\",C22,".jpg")</f>
        <v>C:\Users\mbaptista\OneDrive - Biblioteca Nacional de Portugal\Documentos\python\camoniana\imagens\capas\381074\1\413.jpg</v>
      </c>
      <c r="P22" s="12" t="str">
        <f>HYPERLINK(O22)</f>
        <v>C:\Users\mbaptista\OneDrive - Biblioteca Nacional de Portugal\Documentos\python\camoniana\imagens\capas\381074\1\413.jpg</v>
      </c>
      <c r="Q22" s="12"/>
      <c r="R22" s="6"/>
      <c r="S22" s="4"/>
      <c r="T22" s="1" t="s">
        <v>12</v>
      </c>
      <c r="U22" s="3"/>
      <c r="V22" s="3"/>
      <c r="W22" s="5"/>
    </row>
    <row r="23" spans="1:23" ht="75">
      <c r="A23" s="1">
        <v>381074</v>
      </c>
      <c r="B23" s="1">
        <v>1</v>
      </c>
      <c r="C23" s="1">
        <v>447</v>
      </c>
      <c r="D23" s="2" t="s">
        <v>10</v>
      </c>
      <c r="E23" s="5" t="s">
        <v>10</v>
      </c>
      <c r="F23" s="5">
        <v>274089</v>
      </c>
      <c r="G23" s="2" t="s">
        <v>1494</v>
      </c>
      <c r="H23" s="2" t="s">
        <v>1495</v>
      </c>
      <c r="I23" s="2" t="s">
        <v>1496</v>
      </c>
      <c r="J23" s="2" t="str">
        <f t="shared" si="0"/>
        <v>https://permalinkbnd.bnportugal.gov.pt/viewer/274089/?offset=#page=447&amp;viewer=picture&amp;o=info&amp;n=0&amp;q=</v>
      </c>
      <c r="K23" s="1" t="s">
        <v>11</v>
      </c>
      <c r="L23" s="1" t="str">
        <f>VLOOKUP(A23,Folha2!$A$2:$B$2019,2,FALSE)</f>
        <v>Os Lusíadas, Rio de Janeiro, 1880, sem argumentos.</v>
      </c>
      <c r="M23" s="12" t="str">
        <f t="shared" si="1"/>
        <v>https://permalinkbnd.bnportugal.gov.pt/viewer/274089/?offset=#page=447&amp;viewer=picture&amp;o=info&amp;n=0&amp;q=</v>
      </c>
      <c r="N23" s="12" t="s">
        <v>1497</v>
      </c>
      <c r="O23" s="12" t="str">
        <f>CONCATENATE(N23,A23,"\",B23,"\",C23,".jpg")</f>
        <v>C:\Users\mbaptista\OneDrive - Biblioteca Nacional de Portugal\Documentos\python\camoniana\imagens\capas\381074\1\447.jpg</v>
      </c>
      <c r="P23" s="12" t="str">
        <f>HYPERLINK(O23)</f>
        <v>C:\Users\mbaptista\OneDrive - Biblioteca Nacional de Portugal\Documentos\python\camoniana\imagens\capas\381074\1\447.jpg</v>
      </c>
      <c r="Q23" s="12"/>
      <c r="R23" s="6"/>
      <c r="S23" s="4"/>
      <c r="T23" s="1" t="s">
        <v>12</v>
      </c>
      <c r="U23" s="3"/>
      <c r="V23" s="3"/>
      <c r="W23" s="5"/>
    </row>
    <row r="24" spans="1:23" ht="75">
      <c r="A24" s="1">
        <v>381074</v>
      </c>
      <c r="B24" s="1">
        <v>1</v>
      </c>
      <c r="C24" s="1">
        <v>499</v>
      </c>
      <c r="D24" s="2" t="s">
        <v>10</v>
      </c>
      <c r="E24" s="11" t="s">
        <v>10</v>
      </c>
      <c r="F24" s="11">
        <v>274089</v>
      </c>
      <c r="G24" s="2" t="s">
        <v>1494</v>
      </c>
      <c r="H24" s="2" t="s">
        <v>1495</v>
      </c>
      <c r="I24" s="2" t="s">
        <v>1496</v>
      </c>
      <c r="J24" s="2" t="str">
        <f t="shared" si="0"/>
        <v>https://permalinkbnd.bnportugal.gov.pt/viewer/274089/?offset=#page=499&amp;viewer=picture&amp;o=info&amp;n=0&amp;q=</v>
      </c>
      <c r="K24" s="1" t="s">
        <v>11</v>
      </c>
      <c r="L24" s="1" t="str">
        <f>VLOOKUP(A24,Folha2!$A$2:$B$2019,2,FALSE)</f>
        <v>Os Lusíadas, Rio de Janeiro, 1880, sem argumentos.</v>
      </c>
      <c r="M24" s="12" t="str">
        <f t="shared" si="1"/>
        <v>https://permalinkbnd.bnportugal.gov.pt/viewer/274089/?offset=#page=499&amp;viewer=picture&amp;o=info&amp;n=0&amp;q=</v>
      </c>
      <c r="N24" s="12" t="s">
        <v>1497</v>
      </c>
      <c r="O24" s="12" t="str">
        <f>CONCATENATE(N24,A24,"\",B24,"\",C24,".jpg")</f>
        <v>C:\Users\mbaptista\OneDrive - Biblioteca Nacional de Portugal\Documentos\python\camoniana\imagens\capas\381074\1\499.jpg</v>
      </c>
      <c r="P24" s="12" t="str">
        <f>HYPERLINK(O24)</f>
        <v>C:\Users\mbaptista\OneDrive - Biblioteca Nacional de Portugal\Documentos\python\camoniana\imagens\capas\381074\1\499.jpg</v>
      </c>
      <c r="Q24" s="12"/>
      <c r="R24" s="6" t="s">
        <v>13</v>
      </c>
      <c r="S24" s="4"/>
      <c r="T24" s="1" t="s">
        <v>12</v>
      </c>
      <c r="U24" s="3"/>
      <c r="V24" s="3"/>
      <c r="W24" s="5" t="s">
        <v>1491</v>
      </c>
    </row>
    <row r="25" spans="1:23" ht="75">
      <c r="A25" s="1">
        <v>381074</v>
      </c>
      <c r="B25" s="1">
        <v>1</v>
      </c>
      <c r="C25" s="1">
        <v>526</v>
      </c>
      <c r="D25" s="2" t="s">
        <v>10</v>
      </c>
      <c r="E25" s="5" t="s">
        <v>10</v>
      </c>
      <c r="F25" s="5">
        <v>274089</v>
      </c>
      <c r="G25" s="2" t="s">
        <v>1494</v>
      </c>
      <c r="H25" s="2" t="s">
        <v>1495</v>
      </c>
      <c r="I25" s="2" t="s">
        <v>1496</v>
      </c>
      <c r="J25" s="2" t="str">
        <f t="shared" si="0"/>
        <v>https://permalinkbnd.bnportugal.gov.pt/viewer/274089/?offset=#page=526&amp;viewer=picture&amp;o=info&amp;n=0&amp;q=</v>
      </c>
      <c r="K25" s="1" t="s">
        <v>11</v>
      </c>
      <c r="L25" s="1" t="str">
        <f>VLOOKUP(A25,Folha2!$A$2:$B$2019,2,FALSE)</f>
        <v>Os Lusíadas, Rio de Janeiro, 1880, sem argumentos.</v>
      </c>
      <c r="M25" s="12" t="str">
        <f t="shared" si="1"/>
        <v>https://permalinkbnd.bnportugal.gov.pt/viewer/274089/?offset=#page=526&amp;viewer=picture&amp;o=info&amp;n=0&amp;q=</v>
      </c>
      <c r="N25" s="12" t="s">
        <v>1497</v>
      </c>
      <c r="O25" s="12" t="str">
        <f>CONCATENATE(N25,A25,"\",B25,"\",C25,".jpg")</f>
        <v>C:\Users\mbaptista\OneDrive - Biblioteca Nacional de Portugal\Documentos\python\camoniana\imagens\capas\381074\1\526.jpg</v>
      </c>
      <c r="P25" s="12" t="str">
        <f>HYPERLINK(O25)</f>
        <v>C:\Users\mbaptista\OneDrive - Biblioteca Nacional de Portugal\Documentos\python\camoniana\imagens\capas\381074\1\526.jpg</v>
      </c>
      <c r="Q25" s="12"/>
      <c r="R25" s="6"/>
      <c r="S25" s="4"/>
      <c r="T25" s="1" t="s">
        <v>12</v>
      </c>
      <c r="U25" s="3"/>
      <c r="V25" s="3"/>
      <c r="W25" s="5"/>
    </row>
    <row r="26" spans="1:23" ht="75">
      <c r="A26" s="1">
        <v>381465</v>
      </c>
      <c r="B26" s="1"/>
      <c r="C26" s="1">
        <v>5</v>
      </c>
      <c r="D26" s="2" t="s">
        <v>14</v>
      </c>
      <c r="E26" s="11" t="s">
        <v>14</v>
      </c>
      <c r="F26" s="11">
        <v>271573</v>
      </c>
      <c r="G26" s="2" t="s">
        <v>1494</v>
      </c>
      <c r="H26" s="2" t="s">
        <v>1495</v>
      </c>
      <c r="I26" s="2" t="s">
        <v>1496</v>
      </c>
      <c r="J26" s="2" t="str">
        <f t="shared" si="0"/>
        <v>https://permalinkbnd.bnportugal.gov.pt/viewer/271573/?offset=#page=5&amp;viewer=picture&amp;o=info&amp;n=0&amp;q=</v>
      </c>
      <c r="K26" s="1" t="s">
        <v>15</v>
      </c>
      <c r="L26" s="1" t="str">
        <f>VLOOKUP(A26,Folha2!$A$2:$B$2019,2,FALSE)</f>
        <v>Os Lusíadas, 1898, obra dedicada à Comissão do Centenário e nos paratextos é referida a Celebração: Celebrações (1880); Paratextos argumentos e Iconografia figuras históricas.</v>
      </c>
      <c r="M26" s="12" t="str">
        <f t="shared" si="1"/>
        <v>https://permalinkbnd.bnportugal.gov.pt/viewer/271573/?offset=#page=5&amp;viewer=picture&amp;o=info&amp;n=0&amp;q=</v>
      </c>
      <c r="N26" s="12" t="s">
        <v>1497</v>
      </c>
      <c r="O26" s="12" t="str">
        <f>CONCATENATE(N26,A26,"\",B26,"\",C26,".jpg")</f>
        <v>C:\Users\mbaptista\OneDrive - Biblioteca Nacional de Portugal\Documentos\python\camoniana\imagens\capas\381465\\5.jpg</v>
      </c>
      <c r="P26" s="12" t="str">
        <f>HYPERLINK(O26)</f>
        <v>C:\Users\mbaptista\OneDrive - Biblioteca Nacional de Portugal\Documentos\python\camoniana\imagens\capas\381465\\5.jpg</v>
      </c>
      <c r="Q26" s="12"/>
      <c r="R26" s="6"/>
      <c r="S26" s="4"/>
      <c r="T26" s="1" t="s">
        <v>16</v>
      </c>
      <c r="U26" s="3"/>
      <c r="V26" s="3"/>
      <c r="W26" s="5"/>
    </row>
    <row r="27" spans="1:23" ht="75">
      <c r="A27" s="1">
        <v>381465</v>
      </c>
      <c r="B27" s="1"/>
      <c r="C27" s="1">
        <v>10</v>
      </c>
      <c r="D27" s="2" t="s">
        <v>14</v>
      </c>
      <c r="E27" s="5" t="s">
        <v>14</v>
      </c>
      <c r="F27" s="5">
        <v>271573</v>
      </c>
      <c r="G27" s="2" t="s">
        <v>1494</v>
      </c>
      <c r="H27" s="2" t="s">
        <v>1495</v>
      </c>
      <c r="I27" s="2" t="s">
        <v>1496</v>
      </c>
      <c r="J27" s="2" t="str">
        <f t="shared" si="0"/>
        <v>https://permalinkbnd.bnportugal.gov.pt/viewer/271573/?offset=#page=10&amp;viewer=picture&amp;o=info&amp;n=0&amp;q=</v>
      </c>
      <c r="K27" s="1" t="s">
        <v>15</v>
      </c>
      <c r="L27" s="1" t="str">
        <f>VLOOKUP(A27,Folha2!$A$2:$B$2019,2,FALSE)</f>
        <v>Os Lusíadas, 1898, obra dedicada à Comissão do Centenário e nos paratextos é referida a Celebração: Celebrações (1880); Paratextos argumentos e Iconografia figuras históricas.</v>
      </c>
      <c r="M27" s="12" t="str">
        <f t="shared" si="1"/>
        <v>https://permalinkbnd.bnportugal.gov.pt/viewer/271573/?offset=#page=10&amp;viewer=picture&amp;o=info&amp;n=0&amp;q=</v>
      </c>
      <c r="N27" s="12" t="s">
        <v>1497</v>
      </c>
      <c r="O27" s="12" t="str">
        <f>CONCATENATE(N27,A27,"\",B27,"\",C27,".jpg")</f>
        <v>C:\Users\mbaptista\OneDrive - Biblioteca Nacional de Portugal\Documentos\python\camoniana\imagens\capas\381465\\10.jpg</v>
      </c>
      <c r="P27" s="12" t="str">
        <f>HYPERLINK(O27)</f>
        <v>C:\Users\mbaptista\OneDrive - Biblioteca Nacional de Portugal\Documentos\python\camoniana\imagens\capas\381465\\10.jpg</v>
      </c>
      <c r="Q27" s="12"/>
      <c r="R27" s="6"/>
      <c r="S27" s="4"/>
      <c r="T27" s="1" t="s">
        <v>16</v>
      </c>
      <c r="U27" s="3"/>
      <c r="V27" s="3"/>
      <c r="W27" s="5"/>
    </row>
    <row r="28" spans="1:23" ht="75">
      <c r="A28" s="1">
        <v>381465</v>
      </c>
      <c r="B28" s="1"/>
      <c r="C28" s="1">
        <v>43</v>
      </c>
      <c r="D28" s="2" t="s">
        <v>14</v>
      </c>
      <c r="E28" s="11" t="s">
        <v>14</v>
      </c>
      <c r="F28" s="11">
        <v>271573</v>
      </c>
      <c r="G28" s="2" t="s">
        <v>1494</v>
      </c>
      <c r="H28" s="2" t="s">
        <v>1495</v>
      </c>
      <c r="I28" s="2" t="s">
        <v>1496</v>
      </c>
      <c r="J28" s="2" t="str">
        <f t="shared" si="0"/>
        <v>https://permalinkbnd.bnportugal.gov.pt/viewer/271573/?offset=#page=43&amp;viewer=picture&amp;o=info&amp;n=0&amp;q=</v>
      </c>
      <c r="K28" s="1" t="s">
        <v>15</v>
      </c>
      <c r="L28" s="1" t="str">
        <f>VLOOKUP(A28,Folha2!$A$2:$B$2019,2,FALSE)</f>
        <v>Os Lusíadas, 1898, obra dedicada à Comissão do Centenário e nos paratextos é referida a Celebração: Celebrações (1880); Paratextos argumentos e Iconografia figuras históricas.</v>
      </c>
      <c r="M28" s="12" t="str">
        <f t="shared" si="1"/>
        <v>https://permalinkbnd.bnportugal.gov.pt/viewer/271573/?offset=#page=43&amp;viewer=picture&amp;o=info&amp;n=0&amp;q=</v>
      </c>
      <c r="N28" s="12" t="s">
        <v>1497</v>
      </c>
      <c r="O28" s="12" t="str">
        <f>CONCATENATE(N28,A28,"\",B28,"\",C28,".jpg")</f>
        <v>C:\Users\mbaptista\OneDrive - Biblioteca Nacional de Portugal\Documentos\python\camoniana\imagens\capas\381465\\43.jpg</v>
      </c>
      <c r="P28" s="12" t="str">
        <f>HYPERLINK(O28)</f>
        <v>C:\Users\mbaptista\OneDrive - Biblioteca Nacional de Portugal\Documentos\python\camoniana\imagens\capas\381465\\43.jpg</v>
      </c>
      <c r="Q28" s="12"/>
      <c r="R28" s="6"/>
      <c r="S28" s="4"/>
      <c r="T28" s="1" t="s">
        <v>16</v>
      </c>
      <c r="U28" s="3"/>
      <c r="V28" s="3"/>
      <c r="W28" s="5"/>
    </row>
    <row r="29" spans="1:23" ht="75">
      <c r="A29" s="1">
        <v>381465</v>
      </c>
      <c r="B29" s="1"/>
      <c r="C29" s="1">
        <v>46</v>
      </c>
      <c r="D29" s="2" t="s">
        <v>14</v>
      </c>
      <c r="E29" s="5" t="s">
        <v>14</v>
      </c>
      <c r="F29" s="5">
        <v>271573</v>
      </c>
      <c r="G29" s="2" t="s">
        <v>1494</v>
      </c>
      <c r="H29" s="2" t="s">
        <v>1495</v>
      </c>
      <c r="I29" s="2" t="s">
        <v>1496</v>
      </c>
      <c r="J29" s="2" t="str">
        <f t="shared" si="0"/>
        <v>https://permalinkbnd.bnportugal.gov.pt/viewer/271573/?offset=#page=46&amp;viewer=picture&amp;o=info&amp;n=0&amp;q=</v>
      </c>
      <c r="K29" s="1" t="s">
        <v>15</v>
      </c>
      <c r="L29" s="1" t="str">
        <f>VLOOKUP(A29,Folha2!$A$2:$B$2019,2,FALSE)</f>
        <v>Os Lusíadas, 1898, obra dedicada à Comissão do Centenário e nos paratextos é referida a Celebração: Celebrações (1880); Paratextos argumentos e Iconografia figuras históricas.</v>
      </c>
      <c r="M29" s="12" t="str">
        <f t="shared" si="1"/>
        <v>https://permalinkbnd.bnportugal.gov.pt/viewer/271573/?offset=#page=46&amp;viewer=picture&amp;o=info&amp;n=0&amp;q=</v>
      </c>
      <c r="N29" s="12" t="s">
        <v>1497</v>
      </c>
      <c r="O29" s="12" t="str">
        <f>CONCATENATE(N29,A29,"\",B29,"\",C29,".jpg")</f>
        <v>C:\Users\mbaptista\OneDrive - Biblioteca Nacional de Portugal\Documentos\python\camoniana\imagens\capas\381465\\46.jpg</v>
      </c>
      <c r="P29" s="12" t="str">
        <f>HYPERLINK(O29)</f>
        <v>C:\Users\mbaptista\OneDrive - Biblioteca Nacional de Portugal\Documentos\python\camoniana\imagens\capas\381465\\46.jpg</v>
      </c>
      <c r="Q29" s="12"/>
      <c r="R29" s="6"/>
      <c r="S29" s="4"/>
      <c r="T29" s="1" t="s">
        <v>16</v>
      </c>
      <c r="U29" s="3"/>
      <c r="V29" s="3"/>
      <c r="W29" s="5"/>
    </row>
    <row r="30" spans="1:23" ht="75">
      <c r="A30" s="1">
        <v>381465</v>
      </c>
      <c r="B30" s="1"/>
      <c r="C30" s="1">
        <v>47</v>
      </c>
      <c r="D30" s="2" t="s">
        <v>14</v>
      </c>
      <c r="E30" s="11" t="s">
        <v>14</v>
      </c>
      <c r="F30" s="11">
        <v>271573</v>
      </c>
      <c r="G30" s="2" t="s">
        <v>1494</v>
      </c>
      <c r="H30" s="2" t="s">
        <v>1495</v>
      </c>
      <c r="I30" s="2" t="s">
        <v>1496</v>
      </c>
      <c r="J30" s="2" t="str">
        <f t="shared" si="0"/>
        <v>https://permalinkbnd.bnportugal.gov.pt/viewer/271573/?offset=#page=47&amp;viewer=picture&amp;o=info&amp;n=0&amp;q=</v>
      </c>
      <c r="K30" s="1" t="s">
        <v>15</v>
      </c>
      <c r="L30" s="1" t="str">
        <f>VLOOKUP(A30,Folha2!$A$2:$B$2019,2,FALSE)</f>
        <v>Os Lusíadas, 1898, obra dedicada à Comissão do Centenário e nos paratextos é referida a Celebração: Celebrações (1880); Paratextos argumentos e Iconografia figuras históricas.</v>
      </c>
      <c r="M30" s="12" t="str">
        <f t="shared" si="1"/>
        <v>https://permalinkbnd.bnportugal.gov.pt/viewer/271573/?offset=#page=47&amp;viewer=picture&amp;o=info&amp;n=0&amp;q=</v>
      </c>
      <c r="N30" s="12" t="s">
        <v>1497</v>
      </c>
      <c r="O30" s="12" t="str">
        <f>CONCATENATE(N30,A30,"\",B30,"\",C30,".jpg")</f>
        <v>C:\Users\mbaptista\OneDrive - Biblioteca Nacional de Portugal\Documentos\python\camoniana\imagens\capas\381465\\47.jpg</v>
      </c>
      <c r="P30" s="12" t="str">
        <f>HYPERLINK(O30)</f>
        <v>C:\Users\mbaptista\OneDrive - Biblioteca Nacional de Portugal\Documentos\python\camoniana\imagens\capas\381465\\47.jpg</v>
      </c>
      <c r="Q30" s="12"/>
      <c r="R30" s="6"/>
      <c r="S30" s="4"/>
      <c r="T30" s="1" t="s">
        <v>16</v>
      </c>
      <c r="U30" s="3"/>
      <c r="V30" s="3"/>
      <c r="W30" s="5"/>
    </row>
    <row r="31" spans="1:23" ht="75">
      <c r="A31" s="1">
        <v>381465</v>
      </c>
      <c r="B31" s="1"/>
      <c r="C31" s="1">
        <v>100</v>
      </c>
      <c r="D31" s="2" t="s">
        <v>14</v>
      </c>
      <c r="E31" s="5" t="s">
        <v>14</v>
      </c>
      <c r="F31" s="5">
        <v>271573</v>
      </c>
      <c r="G31" s="2" t="s">
        <v>1494</v>
      </c>
      <c r="H31" s="2" t="s">
        <v>1495</v>
      </c>
      <c r="I31" s="2" t="s">
        <v>1496</v>
      </c>
      <c r="J31" s="2" t="str">
        <f t="shared" si="0"/>
        <v>https://permalinkbnd.bnportugal.gov.pt/viewer/271573/?offset=#page=100&amp;viewer=picture&amp;o=info&amp;n=0&amp;q=</v>
      </c>
      <c r="K31" s="1" t="s">
        <v>15</v>
      </c>
      <c r="L31" s="1" t="str">
        <f>VLOOKUP(A31,Folha2!$A$2:$B$2019,2,FALSE)</f>
        <v>Os Lusíadas, 1898, obra dedicada à Comissão do Centenário e nos paratextos é referida a Celebração: Celebrações (1880); Paratextos argumentos e Iconografia figuras históricas.</v>
      </c>
      <c r="M31" s="12" t="str">
        <f t="shared" si="1"/>
        <v>https://permalinkbnd.bnportugal.gov.pt/viewer/271573/?offset=#page=100&amp;viewer=picture&amp;o=info&amp;n=0&amp;q=</v>
      </c>
      <c r="N31" s="12" t="s">
        <v>1497</v>
      </c>
      <c r="O31" s="12" t="str">
        <f>CONCATENATE(N31,A31,"\",B31,"\",C31,".jpg")</f>
        <v>C:\Users\mbaptista\OneDrive - Biblioteca Nacional de Portugal\Documentos\python\camoniana\imagens\capas\381465\\100.jpg</v>
      </c>
      <c r="P31" s="12" t="str">
        <f>HYPERLINK(O31)</f>
        <v>C:\Users\mbaptista\OneDrive - Biblioteca Nacional de Portugal\Documentos\python\camoniana\imagens\capas\381465\\100.jpg</v>
      </c>
      <c r="Q31" s="12"/>
      <c r="R31" s="6"/>
      <c r="S31" s="4"/>
      <c r="T31" s="1" t="s">
        <v>16</v>
      </c>
      <c r="U31" s="3"/>
      <c r="V31" s="3"/>
      <c r="W31" s="5"/>
    </row>
    <row r="32" spans="1:23" ht="75">
      <c r="A32" s="1">
        <v>381465</v>
      </c>
      <c r="B32" s="1"/>
      <c r="C32" s="1">
        <v>101</v>
      </c>
      <c r="D32" s="2" t="s">
        <v>14</v>
      </c>
      <c r="E32" s="11" t="s">
        <v>14</v>
      </c>
      <c r="F32" s="11">
        <v>271573</v>
      </c>
      <c r="G32" s="2" t="s">
        <v>1494</v>
      </c>
      <c r="H32" s="2" t="s">
        <v>1495</v>
      </c>
      <c r="I32" s="2" t="s">
        <v>1496</v>
      </c>
      <c r="J32" s="2" t="str">
        <f t="shared" si="0"/>
        <v>https://permalinkbnd.bnportugal.gov.pt/viewer/271573/?offset=#page=101&amp;viewer=picture&amp;o=info&amp;n=0&amp;q=</v>
      </c>
      <c r="K32" s="1" t="s">
        <v>15</v>
      </c>
      <c r="L32" s="1" t="str">
        <f>VLOOKUP(A32,Folha2!$A$2:$B$2019,2,FALSE)</f>
        <v>Os Lusíadas, 1898, obra dedicada à Comissão do Centenário e nos paratextos é referida a Celebração: Celebrações (1880); Paratextos argumentos e Iconografia figuras históricas.</v>
      </c>
      <c r="M32" s="12" t="str">
        <f t="shared" si="1"/>
        <v>https://permalinkbnd.bnportugal.gov.pt/viewer/271573/?offset=#page=101&amp;viewer=picture&amp;o=info&amp;n=0&amp;q=</v>
      </c>
      <c r="N32" s="12" t="s">
        <v>1497</v>
      </c>
      <c r="O32" s="12" t="str">
        <f>CONCATENATE(N32,A32,"\",B32,"\",C32,".jpg")</f>
        <v>C:\Users\mbaptista\OneDrive - Biblioteca Nacional de Portugal\Documentos\python\camoniana\imagens\capas\381465\\101.jpg</v>
      </c>
      <c r="P32" s="12" t="str">
        <f>HYPERLINK(O32)</f>
        <v>C:\Users\mbaptista\OneDrive - Biblioteca Nacional de Portugal\Documentos\python\camoniana\imagens\capas\381465\\101.jpg</v>
      </c>
      <c r="Q32" s="12"/>
      <c r="R32" s="6"/>
      <c r="S32" s="4"/>
      <c r="T32" s="1" t="s">
        <v>16</v>
      </c>
      <c r="U32" s="3"/>
      <c r="V32" s="3"/>
      <c r="W32" s="5"/>
    </row>
    <row r="33" spans="1:23" ht="75">
      <c r="A33" s="1">
        <v>381465</v>
      </c>
      <c r="B33" s="1"/>
      <c r="C33" s="1">
        <v>160</v>
      </c>
      <c r="D33" s="2" t="s">
        <v>14</v>
      </c>
      <c r="E33" s="5" t="s">
        <v>14</v>
      </c>
      <c r="F33" s="5">
        <v>271573</v>
      </c>
      <c r="G33" s="2" t="s">
        <v>1494</v>
      </c>
      <c r="H33" s="2" t="s">
        <v>1495</v>
      </c>
      <c r="I33" s="2" t="s">
        <v>1496</v>
      </c>
      <c r="J33" s="2" t="str">
        <f t="shared" si="0"/>
        <v>https://permalinkbnd.bnportugal.gov.pt/viewer/271573/?offset=#page=160&amp;viewer=picture&amp;o=info&amp;n=0&amp;q=</v>
      </c>
      <c r="K33" s="1" t="s">
        <v>15</v>
      </c>
      <c r="L33" s="1" t="str">
        <f>VLOOKUP(A33,Folha2!$A$2:$B$2019,2,FALSE)</f>
        <v>Os Lusíadas, 1898, obra dedicada à Comissão do Centenário e nos paratextos é referida a Celebração: Celebrações (1880); Paratextos argumentos e Iconografia figuras históricas.</v>
      </c>
      <c r="M33" s="12" t="str">
        <f t="shared" si="1"/>
        <v>https://permalinkbnd.bnportugal.gov.pt/viewer/271573/?offset=#page=160&amp;viewer=picture&amp;o=info&amp;n=0&amp;q=</v>
      </c>
      <c r="N33" s="12" t="s">
        <v>1497</v>
      </c>
      <c r="O33" s="12" t="str">
        <f>CONCATENATE(N33,A33,"\",B33,"\",C33,".jpg")</f>
        <v>C:\Users\mbaptista\OneDrive - Biblioteca Nacional de Portugal\Documentos\python\camoniana\imagens\capas\381465\\160.jpg</v>
      </c>
      <c r="P33" s="12" t="str">
        <f>HYPERLINK(O33)</f>
        <v>C:\Users\mbaptista\OneDrive - Biblioteca Nacional de Portugal\Documentos\python\camoniana\imagens\capas\381465\\160.jpg</v>
      </c>
      <c r="Q33" s="12"/>
      <c r="R33" s="6"/>
      <c r="S33" s="4"/>
      <c r="T33" s="1" t="s">
        <v>16</v>
      </c>
      <c r="U33" s="3"/>
      <c r="V33" s="3"/>
      <c r="W33" s="5"/>
    </row>
    <row r="34" spans="1:23" ht="75">
      <c r="A34" s="1">
        <v>381465</v>
      </c>
      <c r="B34" s="1"/>
      <c r="C34" s="1">
        <v>161</v>
      </c>
      <c r="D34" s="2" t="s">
        <v>14</v>
      </c>
      <c r="E34" s="11" t="s">
        <v>14</v>
      </c>
      <c r="F34" s="11">
        <v>271573</v>
      </c>
      <c r="G34" s="2" t="s">
        <v>1494</v>
      </c>
      <c r="H34" s="2" t="s">
        <v>1495</v>
      </c>
      <c r="I34" s="2" t="s">
        <v>1496</v>
      </c>
      <c r="J34" s="2" t="str">
        <f t="shared" si="0"/>
        <v>https://permalinkbnd.bnportugal.gov.pt/viewer/271573/?offset=#page=161&amp;viewer=picture&amp;o=info&amp;n=0&amp;q=</v>
      </c>
      <c r="K34" s="1" t="s">
        <v>15</v>
      </c>
      <c r="L34" s="1" t="str">
        <f>VLOOKUP(A34,Folha2!$A$2:$B$2019,2,FALSE)</f>
        <v>Os Lusíadas, 1898, obra dedicada à Comissão do Centenário e nos paratextos é referida a Celebração: Celebrações (1880); Paratextos argumentos e Iconografia figuras históricas.</v>
      </c>
      <c r="M34" s="12" t="str">
        <f t="shared" si="1"/>
        <v>https://permalinkbnd.bnportugal.gov.pt/viewer/271573/?offset=#page=161&amp;viewer=picture&amp;o=info&amp;n=0&amp;q=</v>
      </c>
      <c r="N34" s="12" t="s">
        <v>1497</v>
      </c>
      <c r="O34" s="12" t="str">
        <f>CONCATENATE(N34,A34,"\",B34,"\",C34,".jpg")</f>
        <v>C:\Users\mbaptista\OneDrive - Biblioteca Nacional de Portugal\Documentos\python\camoniana\imagens\capas\381465\\161.jpg</v>
      </c>
      <c r="P34" s="12" t="str">
        <f>HYPERLINK(O34)</f>
        <v>C:\Users\mbaptista\OneDrive - Biblioteca Nacional de Portugal\Documentos\python\camoniana\imagens\capas\381465\\161.jpg</v>
      </c>
      <c r="Q34" s="12"/>
      <c r="R34" s="6"/>
      <c r="S34" s="4"/>
      <c r="T34" s="1" t="s">
        <v>16</v>
      </c>
      <c r="U34" s="3"/>
      <c r="V34" s="3"/>
      <c r="W34" s="5"/>
    </row>
    <row r="35" spans="1:23" ht="75">
      <c r="A35" s="1">
        <v>381465</v>
      </c>
      <c r="B35" s="1"/>
      <c r="C35" s="1">
        <v>163</v>
      </c>
      <c r="D35" s="2" t="s">
        <v>14</v>
      </c>
      <c r="E35" s="5" t="s">
        <v>14</v>
      </c>
      <c r="F35" s="5">
        <v>271573</v>
      </c>
      <c r="G35" s="2" t="s">
        <v>1494</v>
      </c>
      <c r="H35" s="2" t="s">
        <v>1495</v>
      </c>
      <c r="I35" s="2" t="s">
        <v>1496</v>
      </c>
      <c r="J35" s="2" t="str">
        <f t="shared" si="0"/>
        <v>https://permalinkbnd.bnportugal.gov.pt/viewer/271573/?offset=#page=163&amp;viewer=picture&amp;o=info&amp;n=0&amp;q=</v>
      </c>
      <c r="K35" s="1" t="s">
        <v>15</v>
      </c>
      <c r="L35" s="1" t="str">
        <f>VLOOKUP(A35,Folha2!$A$2:$B$2019,2,FALSE)</f>
        <v>Os Lusíadas, 1898, obra dedicada à Comissão do Centenário e nos paratextos é referida a Celebração: Celebrações (1880); Paratextos argumentos e Iconografia figuras históricas.</v>
      </c>
      <c r="M35" s="12" t="str">
        <f t="shared" si="1"/>
        <v>https://permalinkbnd.bnportugal.gov.pt/viewer/271573/?offset=#page=163&amp;viewer=picture&amp;o=info&amp;n=0&amp;q=</v>
      </c>
      <c r="N35" s="12" t="s">
        <v>1497</v>
      </c>
      <c r="O35" s="12" t="str">
        <f>CONCATENATE(N35,A35,"\",B35,"\",C35,".jpg")</f>
        <v>C:\Users\mbaptista\OneDrive - Biblioteca Nacional de Portugal\Documentos\python\camoniana\imagens\capas\381465\\163.jpg</v>
      </c>
      <c r="P35" s="12" t="str">
        <f>HYPERLINK(O35)</f>
        <v>C:\Users\mbaptista\OneDrive - Biblioteca Nacional de Portugal\Documentos\python\camoniana\imagens\capas\381465\\163.jpg</v>
      </c>
      <c r="Q35" s="12"/>
      <c r="R35" s="6"/>
      <c r="S35" s="4"/>
      <c r="T35" s="1" t="s">
        <v>16</v>
      </c>
      <c r="U35" s="3"/>
      <c r="V35" s="3"/>
      <c r="W35" s="5"/>
    </row>
    <row r="36" spans="1:23" ht="75">
      <c r="A36" s="1">
        <v>381465</v>
      </c>
      <c r="B36" s="1"/>
      <c r="C36" s="1">
        <v>235</v>
      </c>
      <c r="D36" s="2" t="s">
        <v>14</v>
      </c>
      <c r="E36" s="11" t="s">
        <v>14</v>
      </c>
      <c r="F36" s="11">
        <v>271573</v>
      </c>
      <c r="G36" s="2" t="s">
        <v>1494</v>
      </c>
      <c r="H36" s="2" t="s">
        <v>1495</v>
      </c>
      <c r="I36" s="2" t="s">
        <v>1496</v>
      </c>
      <c r="J36" s="2" t="str">
        <f t="shared" si="0"/>
        <v>https://permalinkbnd.bnportugal.gov.pt/viewer/271573/?offset=#page=235&amp;viewer=picture&amp;o=info&amp;n=0&amp;q=</v>
      </c>
      <c r="K36" s="1" t="s">
        <v>15</v>
      </c>
      <c r="L36" s="1" t="str">
        <f>VLOOKUP(A36,Folha2!$A$2:$B$2019,2,FALSE)</f>
        <v>Os Lusíadas, 1898, obra dedicada à Comissão do Centenário e nos paratextos é referida a Celebração: Celebrações (1880); Paratextos argumentos e Iconografia figuras históricas.</v>
      </c>
      <c r="M36" s="12" t="str">
        <f t="shared" si="1"/>
        <v>https://permalinkbnd.bnportugal.gov.pt/viewer/271573/?offset=#page=235&amp;viewer=picture&amp;o=info&amp;n=0&amp;q=</v>
      </c>
      <c r="N36" s="12" t="s">
        <v>1497</v>
      </c>
      <c r="O36" s="12" t="str">
        <f>CONCATENATE(N36,A36,"\",B36,"\",C36,".jpg")</f>
        <v>C:\Users\mbaptista\OneDrive - Biblioteca Nacional de Portugal\Documentos\python\camoniana\imagens\capas\381465\\235.jpg</v>
      </c>
      <c r="P36" s="12" t="str">
        <f>HYPERLINK(O36)</f>
        <v>C:\Users\mbaptista\OneDrive - Biblioteca Nacional de Portugal\Documentos\python\camoniana\imagens\capas\381465\\235.jpg</v>
      </c>
      <c r="Q36" s="12"/>
      <c r="R36" s="6"/>
      <c r="S36" s="4"/>
      <c r="T36" s="1" t="s">
        <v>16</v>
      </c>
      <c r="U36" s="3"/>
      <c r="V36" s="3"/>
      <c r="W36" s="5"/>
    </row>
    <row r="37" spans="1:23" ht="75">
      <c r="A37" s="1">
        <v>381465</v>
      </c>
      <c r="B37" s="1"/>
      <c r="C37" s="1">
        <v>237</v>
      </c>
      <c r="D37" s="2" t="s">
        <v>14</v>
      </c>
      <c r="E37" s="5" t="s">
        <v>14</v>
      </c>
      <c r="F37" s="5">
        <v>271573</v>
      </c>
      <c r="G37" s="2" t="s">
        <v>1494</v>
      </c>
      <c r="H37" s="2" t="s">
        <v>1495</v>
      </c>
      <c r="I37" s="2" t="s">
        <v>1496</v>
      </c>
      <c r="J37" s="2" t="str">
        <f t="shared" si="0"/>
        <v>https://permalinkbnd.bnportugal.gov.pt/viewer/271573/?offset=#page=237&amp;viewer=picture&amp;o=info&amp;n=0&amp;q=</v>
      </c>
      <c r="K37" s="1" t="s">
        <v>15</v>
      </c>
      <c r="L37" s="1" t="str">
        <f>VLOOKUP(A37,Folha2!$A$2:$B$2019,2,FALSE)</f>
        <v>Os Lusíadas, 1898, obra dedicada à Comissão do Centenário e nos paratextos é referida a Celebração: Celebrações (1880); Paratextos argumentos e Iconografia figuras históricas.</v>
      </c>
      <c r="M37" s="12" t="str">
        <f t="shared" si="1"/>
        <v>https://permalinkbnd.bnportugal.gov.pt/viewer/271573/?offset=#page=237&amp;viewer=picture&amp;o=info&amp;n=0&amp;q=</v>
      </c>
      <c r="N37" s="12" t="s">
        <v>1497</v>
      </c>
      <c r="O37" s="12" t="str">
        <f>CONCATENATE(N37,A37,"\",B37,"\",C37,".jpg")</f>
        <v>C:\Users\mbaptista\OneDrive - Biblioteca Nacional de Portugal\Documentos\python\camoniana\imagens\capas\381465\\237.jpg</v>
      </c>
      <c r="P37" s="12" t="str">
        <f>HYPERLINK(O37)</f>
        <v>C:\Users\mbaptista\OneDrive - Biblioteca Nacional de Portugal\Documentos\python\camoniana\imagens\capas\381465\\237.jpg</v>
      </c>
      <c r="Q37" s="12"/>
      <c r="R37" s="6"/>
      <c r="S37" s="4"/>
      <c r="T37" s="1" t="s">
        <v>16</v>
      </c>
      <c r="U37" s="3"/>
      <c r="V37" s="3"/>
      <c r="W37" s="5"/>
    </row>
    <row r="38" spans="1:23" ht="75">
      <c r="A38" s="1">
        <v>381465</v>
      </c>
      <c r="B38" s="1"/>
      <c r="C38" s="1">
        <v>289</v>
      </c>
      <c r="D38" s="2" t="s">
        <v>14</v>
      </c>
      <c r="E38" s="11" t="s">
        <v>14</v>
      </c>
      <c r="F38" s="11">
        <v>271573</v>
      </c>
      <c r="G38" s="2" t="s">
        <v>1494</v>
      </c>
      <c r="H38" s="2" t="s">
        <v>1495</v>
      </c>
      <c r="I38" s="2" t="s">
        <v>1496</v>
      </c>
      <c r="J38" s="2" t="str">
        <f t="shared" si="0"/>
        <v>https://permalinkbnd.bnportugal.gov.pt/viewer/271573/?offset=#page=289&amp;viewer=picture&amp;o=info&amp;n=0&amp;q=</v>
      </c>
      <c r="K38" s="1" t="s">
        <v>15</v>
      </c>
      <c r="L38" s="1" t="str">
        <f>VLOOKUP(A38,Folha2!$A$2:$B$2019,2,FALSE)</f>
        <v>Os Lusíadas, 1898, obra dedicada à Comissão do Centenário e nos paratextos é referida a Celebração: Celebrações (1880); Paratextos argumentos e Iconografia figuras históricas.</v>
      </c>
      <c r="M38" s="12" t="str">
        <f t="shared" si="1"/>
        <v>https://permalinkbnd.bnportugal.gov.pt/viewer/271573/?offset=#page=289&amp;viewer=picture&amp;o=info&amp;n=0&amp;q=</v>
      </c>
      <c r="N38" s="12" t="s">
        <v>1497</v>
      </c>
      <c r="O38" s="12" t="str">
        <f>CONCATENATE(N38,A38,"\",B38,"\",C38,".jpg")</f>
        <v>C:\Users\mbaptista\OneDrive - Biblioteca Nacional de Portugal\Documentos\python\camoniana\imagens\capas\381465\\289.jpg</v>
      </c>
      <c r="P38" s="12" t="str">
        <f>HYPERLINK(O38)</f>
        <v>C:\Users\mbaptista\OneDrive - Biblioteca Nacional de Portugal\Documentos\python\camoniana\imagens\capas\381465\\289.jpg</v>
      </c>
      <c r="Q38" s="12"/>
      <c r="R38" s="6"/>
      <c r="S38" s="4"/>
      <c r="T38" s="1" t="s">
        <v>16</v>
      </c>
      <c r="U38" s="3"/>
      <c r="V38" s="3"/>
      <c r="W38" s="5"/>
    </row>
    <row r="39" spans="1:23" ht="75">
      <c r="A39" s="1">
        <v>381465</v>
      </c>
      <c r="B39" s="1"/>
      <c r="C39" s="1">
        <v>291</v>
      </c>
      <c r="D39" s="2" t="s">
        <v>14</v>
      </c>
      <c r="E39" s="5" t="s">
        <v>14</v>
      </c>
      <c r="F39" s="5">
        <v>271573</v>
      </c>
      <c r="G39" s="2" t="s">
        <v>1494</v>
      </c>
      <c r="H39" s="2" t="s">
        <v>1495</v>
      </c>
      <c r="I39" s="2" t="s">
        <v>1496</v>
      </c>
      <c r="J39" s="2" t="str">
        <f t="shared" si="0"/>
        <v>https://permalinkbnd.bnportugal.gov.pt/viewer/271573/?offset=#page=291&amp;viewer=picture&amp;o=info&amp;n=0&amp;q=</v>
      </c>
      <c r="K39" s="1" t="s">
        <v>15</v>
      </c>
      <c r="L39" s="1" t="str">
        <f>VLOOKUP(A39,Folha2!$A$2:$B$2019,2,FALSE)</f>
        <v>Os Lusíadas, 1898, obra dedicada à Comissão do Centenário e nos paratextos é referida a Celebração: Celebrações (1880); Paratextos argumentos e Iconografia figuras históricas.</v>
      </c>
      <c r="M39" s="12" t="str">
        <f t="shared" si="1"/>
        <v>https://permalinkbnd.bnportugal.gov.pt/viewer/271573/?offset=#page=291&amp;viewer=picture&amp;o=info&amp;n=0&amp;q=</v>
      </c>
      <c r="N39" s="12" t="s">
        <v>1497</v>
      </c>
      <c r="O39" s="12" t="str">
        <f>CONCATENATE(N39,A39,"\",B39,"\",C39,".jpg")</f>
        <v>C:\Users\mbaptista\OneDrive - Biblioteca Nacional de Portugal\Documentos\python\camoniana\imagens\capas\381465\\291.jpg</v>
      </c>
      <c r="P39" s="12" t="str">
        <f>HYPERLINK(O39)</f>
        <v>C:\Users\mbaptista\OneDrive - Biblioteca Nacional de Portugal\Documentos\python\camoniana\imagens\capas\381465\\291.jpg</v>
      </c>
      <c r="Q39" s="12"/>
      <c r="R39" s="6"/>
      <c r="S39" s="4"/>
      <c r="T39" s="1" t="s">
        <v>16</v>
      </c>
      <c r="U39" s="3"/>
      <c r="V39" s="3"/>
      <c r="W39" s="5"/>
    </row>
    <row r="40" spans="1:23" ht="75">
      <c r="A40" s="1">
        <v>381465</v>
      </c>
      <c r="B40" s="1"/>
      <c r="C40" s="1">
        <v>293</v>
      </c>
      <c r="D40" s="2" t="s">
        <v>14</v>
      </c>
      <c r="E40" s="11" t="s">
        <v>14</v>
      </c>
      <c r="F40" s="11">
        <v>271573</v>
      </c>
      <c r="G40" s="2" t="s">
        <v>1494</v>
      </c>
      <c r="H40" s="2" t="s">
        <v>1495</v>
      </c>
      <c r="I40" s="2" t="s">
        <v>1496</v>
      </c>
      <c r="J40" s="2" t="str">
        <f t="shared" si="0"/>
        <v>https://permalinkbnd.bnportugal.gov.pt/viewer/271573/?offset=#page=293&amp;viewer=picture&amp;o=info&amp;n=0&amp;q=</v>
      </c>
      <c r="K40" s="1" t="s">
        <v>15</v>
      </c>
      <c r="L40" s="1" t="str">
        <f>VLOOKUP(A40,Folha2!$A$2:$B$2019,2,FALSE)</f>
        <v>Os Lusíadas, 1898, obra dedicada à Comissão do Centenário e nos paratextos é referida a Celebração: Celebrações (1880); Paratextos argumentos e Iconografia figuras históricas.</v>
      </c>
      <c r="M40" s="12" t="str">
        <f t="shared" si="1"/>
        <v>https://permalinkbnd.bnportugal.gov.pt/viewer/271573/?offset=#page=293&amp;viewer=picture&amp;o=info&amp;n=0&amp;q=</v>
      </c>
      <c r="N40" s="12" t="s">
        <v>1497</v>
      </c>
      <c r="O40" s="12" t="str">
        <f>CONCATENATE(N40,A40,"\",B40,"\",C40,".jpg")</f>
        <v>C:\Users\mbaptista\OneDrive - Biblioteca Nacional de Portugal\Documentos\python\camoniana\imagens\capas\381465\\293.jpg</v>
      </c>
      <c r="P40" s="12" t="str">
        <f>HYPERLINK(O40)</f>
        <v>C:\Users\mbaptista\OneDrive - Biblioteca Nacional de Portugal\Documentos\python\camoniana\imagens\capas\381465\\293.jpg</v>
      </c>
      <c r="Q40" s="12"/>
      <c r="R40" s="6"/>
      <c r="S40" s="4"/>
      <c r="T40" s="1" t="s">
        <v>16</v>
      </c>
      <c r="U40" s="3"/>
      <c r="V40" s="3"/>
      <c r="W40" s="5"/>
    </row>
    <row r="41" spans="1:23" ht="75">
      <c r="A41" s="1">
        <v>381465</v>
      </c>
      <c r="B41" s="1"/>
      <c r="C41" s="1">
        <v>343</v>
      </c>
      <c r="D41" s="2" t="s">
        <v>14</v>
      </c>
      <c r="E41" s="5" t="s">
        <v>14</v>
      </c>
      <c r="F41" s="5">
        <v>271573</v>
      </c>
      <c r="G41" s="2" t="s">
        <v>1494</v>
      </c>
      <c r="H41" s="2" t="s">
        <v>1495</v>
      </c>
      <c r="I41" s="2" t="s">
        <v>1496</v>
      </c>
      <c r="J41" s="2" t="str">
        <f t="shared" si="0"/>
        <v>https://permalinkbnd.bnportugal.gov.pt/viewer/271573/?offset=#page=343&amp;viewer=picture&amp;o=info&amp;n=0&amp;q=</v>
      </c>
      <c r="K41" s="1" t="s">
        <v>15</v>
      </c>
      <c r="L41" s="1" t="str">
        <f>VLOOKUP(A41,Folha2!$A$2:$B$2019,2,FALSE)</f>
        <v>Os Lusíadas, 1898, obra dedicada à Comissão do Centenário e nos paratextos é referida a Celebração: Celebrações (1880); Paratextos argumentos e Iconografia figuras históricas.</v>
      </c>
      <c r="M41" s="12" t="str">
        <f t="shared" si="1"/>
        <v>https://permalinkbnd.bnportugal.gov.pt/viewer/271573/?offset=#page=343&amp;viewer=picture&amp;o=info&amp;n=0&amp;q=</v>
      </c>
      <c r="N41" s="12" t="s">
        <v>1497</v>
      </c>
      <c r="O41" s="12" t="str">
        <f>CONCATENATE(N41,A41,"\",B41,"\",C41,".jpg")</f>
        <v>C:\Users\mbaptista\OneDrive - Biblioteca Nacional de Portugal\Documentos\python\camoniana\imagens\capas\381465\\343.jpg</v>
      </c>
      <c r="P41" s="12" t="str">
        <f>HYPERLINK(O41)</f>
        <v>C:\Users\mbaptista\OneDrive - Biblioteca Nacional de Portugal\Documentos\python\camoniana\imagens\capas\381465\\343.jpg</v>
      </c>
      <c r="Q41" s="12"/>
      <c r="R41" s="6"/>
      <c r="S41" s="4"/>
      <c r="T41" s="1" t="s">
        <v>16</v>
      </c>
      <c r="U41" s="3"/>
      <c r="V41" s="3"/>
      <c r="W41" s="5"/>
    </row>
    <row r="42" spans="1:23" ht="75">
      <c r="A42" s="1">
        <v>381465</v>
      </c>
      <c r="B42" s="1"/>
      <c r="C42" s="1">
        <v>345</v>
      </c>
      <c r="D42" s="2" t="s">
        <v>14</v>
      </c>
      <c r="E42" s="11" t="s">
        <v>14</v>
      </c>
      <c r="F42" s="11">
        <v>271573</v>
      </c>
      <c r="G42" s="2" t="s">
        <v>1494</v>
      </c>
      <c r="H42" s="2" t="s">
        <v>1495</v>
      </c>
      <c r="I42" s="2" t="s">
        <v>1496</v>
      </c>
      <c r="J42" s="2" t="str">
        <f t="shared" si="0"/>
        <v>https://permalinkbnd.bnportugal.gov.pt/viewer/271573/?offset=#page=345&amp;viewer=picture&amp;o=info&amp;n=0&amp;q=</v>
      </c>
      <c r="K42" s="1" t="s">
        <v>15</v>
      </c>
      <c r="L42" s="1" t="str">
        <f>VLOOKUP(A42,Folha2!$A$2:$B$2019,2,FALSE)</f>
        <v>Os Lusíadas, 1898, obra dedicada à Comissão do Centenário e nos paratextos é referida a Celebração: Celebrações (1880); Paratextos argumentos e Iconografia figuras históricas.</v>
      </c>
      <c r="M42" s="12" t="str">
        <f t="shared" si="1"/>
        <v>https://permalinkbnd.bnportugal.gov.pt/viewer/271573/?offset=#page=345&amp;viewer=picture&amp;o=info&amp;n=0&amp;q=</v>
      </c>
      <c r="N42" s="12" t="s">
        <v>1497</v>
      </c>
      <c r="O42" s="12" t="str">
        <f>CONCATENATE(N42,A42,"\",B42,"\",C42,".jpg")</f>
        <v>C:\Users\mbaptista\OneDrive - Biblioteca Nacional de Portugal\Documentos\python\camoniana\imagens\capas\381465\\345.jpg</v>
      </c>
      <c r="P42" s="12" t="str">
        <f>HYPERLINK(O42)</f>
        <v>C:\Users\mbaptista\OneDrive - Biblioteca Nacional de Portugal\Documentos\python\camoniana\imagens\capas\381465\\345.jpg</v>
      </c>
      <c r="Q42" s="12"/>
      <c r="R42" s="6"/>
      <c r="S42" s="4"/>
      <c r="T42" s="1" t="s">
        <v>16</v>
      </c>
      <c r="U42" s="3"/>
      <c r="V42" s="3"/>
      <c r="W42" s="5"/>
    </row>
    <row r="43" spans="1:23" ht="75">
      <c r="A43" s="1">
        <v>381465</v>
      </c>
      <c r="B43" s="1"/>
      <c r="C43" s="1">
        <v>347</v>
      </c>
      <c r="D43" s="2" t="s">
        <v>14</v>
      </c>
      <c r="E43" s="5" t="s">
        <v>14</v>
      </c>
      <c r="F43" s="5">
        <v>271573</v>
      </c>
      <c r="G43" s="2" t="s">
        <v>1494</v>
      </c>
      <c r="H43" s="2" t="s">
        <v>1495</v>
      </c>
      <c r="I43" s="2" t="s">
        <v>1496</v>
      </c>
      <c r="J43" s="2" t="str">
        <f t="shared" si="0"/>
        <v>https://permalinkbnd.bnportugal.gov.pt/viewer/271573/?offset=#page=347&amp;viewer=picture&amp;o=info&amp;n=0&amp;q=</v>
      </c>
      <c r="K43" s="1" t="s">
        <v>15</v>
      </c>
      <c r="L43" s="1" t="str">
        <f>VLOOKUP(A43,Folha2!$A$2:$B$2019,2,FALSE)</f>
        <v>Os Lusíadas, 1898, obra dedicada à Comissão do Centenário e nos paratextos é referida a Celebração: Celebrações (1880); Paratextos argumentos e Iconografia figuras históricas.</v>
      </c>
      <c r="M43" s="12" t="str">
        <f t="shared" si="1"/>
        <v>https://permalinkbnd.bnportugal.gov.pt/viewer/271573/?offset=#page=347&amp;viewer=picture&amp;o=info&amp;n=0&amp;q=</v>
      </c>
      <c r="N43" s="12" t="s">
        <v>1497</v>
      </c>
      <c r="O43" s="12" t="str">
        <f>CONCATENATE(N43,A43,"\",B43,"\",C43,".jpg")</f>
        <v>C:\Users\mbaptista\OneDrive - Biblioteca Nacional de Portugal\Documentos\python\camoniana\imagens\capas\381465\\347.jpg</v>
      </c>
      <c r="P43" s="12" t="str">
        <f>HYPERLINK(O43)</f>
        <v>C:\Users\mbaptista\OneDrive - Biblioteca Nacional de Portugal\Documentos\python\camoniana\imagens\capas\381465\\347.jpg</v>
      </c>
      <c r="Q43" s="12"/>
      <c r="R43" s="6"/>
      <c r="S43" s="4"/>
      <c r="T43" s="1" t="s">
        <v>16</v>
      </c>
      <c r="U43" s="3"/>
      <c r="V43" s="3"/>
      <c r="W43" s="5"/>
    </row>
    <row r="44" spans="1:23" ht="75">
      <c r="A44" s="1">
        <v>381465</v>
      </c>
      <c r="B44" s="1"/>
      <c r="C44" s="1">
        <v>397</v>
      </c>
      <c r="D44" s="2" t="s">
        <v>14</v>
      </c>
      <c r="E44" s="11" t="s">
        <v>14</v>
      </c>
      <c r="F44" s="11">
        <v>271573</v>
      </c>
      <c r="G44" s="2" t="s">
        <v>1494</v>
      </c>
      <c r="H44" s="2" t="s">
        <v>1495</v>
      </c>
      <c r="I44" s="2" t="s">
        <v>1496</v>
      </c>
      <c r="J44" s="2" t="str">
        <f t="shared" si="0"/>
        <v>https://permalinkbnd.bnportugal.gov.pt/viewer/271573/?offset=#page=397&amp;viewer=picture&amp;o=info&amp;n=0&amp;q=</v>
      </c>
      <c r="K44" s="1" t="s">
        <v>15</v>
      </c>
      <c r="L44" s="1" t="str">
        <f>VLOOKUP(A44,Folha2!$A$2:$B$2019,2,FALSE)</f>
        <v>Os Lusíadas, 1898, obra dedicada à Comissão do Centenário e nos paratextos é referida a Celebração: Celebrações (1880); Paratextos argumentos e Iconografia figuras históricas.</v>
      </c>
      <c r="M44" s="12" t="str">
        <f t="shared" si="1"/>
        <v>https://permalinkbnd.bnportugal.gov.pt/viewer/271573/?offset=#page=397&amp;viewer=picture&amp;o=info&amp;n=0&amp;q=</v>
      </c>
      <c r="N44" s="12" t="s">
        <v>1497</v>
      </c>
      <c r="O44" s="12" t="str">
        <f>CONCATENATE(N44,A44,"\",B44,"\",C44,".jpg")</f>
        <v>C:\Users\mbaptista\OneDrive - Biblioteca Nacional de Portugal\Documentos\python\camoniana\imagens\capas\381465\\397.jpg</v>
      </c>
      <c r="P44" s="12" t="str">
        <f>HYPERLINK(O44)</f>
        <v>C:\Users\mbaptista\OneDrive - Biblioteca Nacional de Portugal\Documentos\python\camoniana\imagens\capas\381465\\397.jpg</v>
      </c>
      <c r="Q44" s="12"/>
      <c r="R44" s="6"/>
      <c r="S44" s="4"/>
      <c r="T44" s="1" t="s">
        <v>16</v>
      </c>
      <c r="U44" s="3"/>
      <c r="V44" s="3"/>
      <c r="W44" s="5"/>
    </row>
    <row r="45" spans="1:23" ht="75">
      <c r="A45" s="1">
        <v>381465</v>
      </c>
      <c r="B45" s="1"/>
      <c r="C45" s="1">
        <v>443</v>
      </c>
      <c r="D45" s="2" t="s">
        <v>14</v>
      </c>
      <c r="E45" s="5" t="s">
        <v>14</v>
      </c>
      <c r="F45" s="5">
        <v>271573</v>
      </c>
      <c r="G45" s="2" t="s">
        <v>1494</v>
      </c>
      <c r="H45" s="2" t="s">
        <v>1495</v>
      </c>
      <c r="I45" s="2" t="s">
        <v>1496</v>
      </c>
      <c r="J45" s="2" t="str">
        <f t="shared" si="0"/>
        <v>https://permalinkbnd.bnportugal.gov.pt/viewer/271573/?offset=#page=443&amp;viewer=picture&amp;o=info&amp;n=0&amp;q=</v>
      </c>
      <c r="K45" s="1" t="s">
        <v>15</v>
      </c>
      <c r="L45" s="1" t="str">
        <f>VLOOKUP(A45,Folha2!$A$2:$B$2019,2,FALSE)</f>
        <v>Os Lusíadas, 1898, obra dedicada à Comissão do Centenário e nos paratextos é referida a Celebração: Celebrações (1880); Paratextos argumentos e Iconografia figuras históricas.</v>
      </c>
      <c r="M45" s="12" t="str">
        <f t="shared" si="1"/>
        <v>https://permalinkbnd.bnportugal.gov.pt/viewer/271573/?offset=#page=443&amp;viewer=picture&amp;o=info&amp;n=0&amp;q=</v>
      </c>
      <c r="N45" s="12" t="s">
        <v>1497</v>
      </c>
      <c r="O45" s="12" t="str">
        <f>CONCATENATE(N45,A45,"\",B45,"\",C45,".jpg")</f>
        <v>C:\Users\mbaptista\OneDrive - Biblioteca Nacional de Portugal\Documentos\python\camoniana\imagens\capas\381465\\443.jpg</v>
      </c>
      <c r="P45" s="12" t="str">
        <f>HYPERLINK(O45)</f>
        <v>C:\Users\mbaptista\OneDrive - Biblioteca Nacional de Portugal\Documentos\python\camoniana\imagens\capas\381465\\443.jpg</v>
      </c>
      <c r="Q45" s="12"/>
      <c r="R45" s="6"/>
      <c r="S45" s="4"/>
      <c r="T45" s="1" t="s">
        <v>16</v>
      </c>
      <c r="U45" s="3"/>
      <c r="V45" s="3"/>
      <c r="W45" s="5"/>
    </row>
    <row r="46" spans="1:23" ht="75">
      <c r="A46" s="1">
        <v>381465</v>
      </c>
      <c r="B46" s="1"/>
      <c r="C46" s="1">
        <v>445</v>
      </c>
      <c r="D46" s="2" t="s">
        <v>14</v>
      </c>
      <c r="E46" s="11" t="s">
        <v>14</v>
      </c>
      <c r="F46" s="11">
        <v>271573</v>
      </c>
      <c r="G46" s="2" t="s">
        <v>1494</v>
      </c>
      <c r="H46" s="2" t="s">
        <v>1495</v>
      </c>
      <c r="I46" s="2" t="s">
        <v>1496</v>
      </c>
      <c r="J46" s="2" t="str">
        <f t="shared" si="0"/>
        <v>https://permalinkbnd.bnportugal.gov.pt/viewer/271573/?offset=#page=445&amp;viewer=picture&amp;o=info&amp;n=0&amp;q=</v>
      </c>
      <c r="K46" s="1" t="s">
        <v>15</v>
      </c>
      <c r="L46" s="1" t="str">
        <f>VLOOKUP(A46,Folha2!$A$2:$B$2019,2,FALSE)</f>
        <v>Os Lusíadas, 1898, obra dedicada à Comissão do Centenário e nos paratextos é referida a Celebração: Celebrações (1880); Paratextos argumentos e Iconografia figuras históricas.</v>
      </c>
      <c r="M46" s="12" t="str">
        <f t="shared" si="1"/>
        <v>https://permalinkbnd.bnportugal.gov.pt/viewer/271573/?offset=#page=445&amp;viewer=picture&amp;o=info&amp;n=0&amp;q=</v>
      </c>
      <c r="N46" s="12" t="s">
        <v>1497</v>
      </c>
      <c r="O46" s="12" t="str">
        <f>CONCATENATE(N46,A46,"\",B46,"\",C46,".jpg")</f>
        <v>C:\Users\mbaptista\OneDrive - Biblioteca Nacional de Portugal\Documentos\python\camoniana\imagens\capas\381465\\445.jpg</v>
      </c>
      <c r="P46" s="12" t="str">
        <f>HYPERLINK(O46)</f>
        <v>C:\Users\mbaptista\OneDrive - Biblioteca Nacional de Portugal\Documentos\python\camoniana\imagens\capas\381465\\445.jpg</v>
      </c>
      <c r="Q46" s="12"/>
      <c r="R46" s="6"/>
      <c r="S46" s="4"/>
      <c r="T46" s="1" t="s">
        <v>16</v>
      </c>
      <c r="U46" s="3"/>
      <c r="V46" s="3"/>
      <c r="W46" s="5"/>
    </row>
    <row r="47" spans="1:23" ht="75">
      <c r="A47" s="1">
        <v>381465</v>
      </c>
      <c r="B47" s="1"/>
      <c r="C47" s="1">
        <v>495</v>
      </c>
      <c r="D47" s="2" t="s">
        <v>14</v>
      </c>
      <c r="E47" s="5" t="s">
        <v>14</v>
      </c>
      <c r="F47" s="5">
        <v>271573</v>
      </c>
      <c r="G47" s="2" t="s">
        <v>1494</v>
      </c>
      <c r="H47" s="2" t="s">
        <v>1495</v>
      </c>
      <c r="I47" s="2" t="s">
        <v>1496</v>
      </c>
      <c r="J47" s="2" t="str">
        <f t="shared" si="0"/>
        <v>https://permalinkbnd.bnportugal.gov.pt/viewer/271573/?offset=#page=495&amp;viewer=picture&amp;o=info&amp;n=0&amp;q=</v>
      </c>
      <c r="K47" s="1" t="s">
        <v>15</v>
      </c>
      <c r="L47" s="1" t="str">
        <f>VLOOKUP(A47,Folha2!$A$2:$B$2019,2,FALSE)</f>
        <v>Os Lusíadas, 1898, obra dedicada à Comissão do Centenário e nos paratextos é referida a Celebração: Celebrações (1880); Paratextos argumentos e Iconografia figuras históricas.</v>
      </c>
      <c r="M47" s="12" t="str">
        <f t="shared" si="1"/>
        <v>https://permalinkbnd.bnportugal.gov.pt/viewer/271573/?offset=#page=495&amp;viewer=picture&amp;o=info&amp;n=0&amp;q=</v>
      </c>
      <c r="N47" s="12" t="s">
        <v>1497</v>
      </c>
      <c r="O47" s="12" t="str">
        <f>CONCATENATE(N47,A47,"\",B47,"\",C47,".jpg")</f>
        <v>C:\Users\mbaptista\OneDrive - Biblioteca Nacional de Portugal\Documentos\python\camoniana\imagens\capas\381465\\495.jpg</v>
      </c>
      <c r="P47" s="12" t="str">
        <f>HYPERLINK(O47)</f>
        <v>C:\Users\mbaptista\OneDrive - Biblioteca Nacional de Portugal\Documentos\python\camoniana\imagens\capas\381465\\495.jpg</v>
      </c>
      <c r="Q47" s="12"/>
      <c r="R47" s="6"/>
      <c r="S47" s="4"/>
      <c r="T47" s="1" t="s">
        <v>16</v>
      </c>
      <c r="U47" s="3"/>
      <c r="V47" s="3"/>
      <c r="W47" s="5"/>
    </row>
    <row r="48" spans="1:23" ht="75">
      <c r="A48" s="1">
        <v>381465</v>
      </c>
      <c r="B48" s="1"/>
      <c r="C48" s="1">
        <v>545</v>
      </c>
      <c r="D48" s="2" t="s">
        <v>14</v>
      </c>
      <c r="E48" s="11" t="s">
        <v>14</v>
      </c>
      <c r="F48" s="11">
        <v>271573</v>
      </c>
      <c r="G48" s="2" t="s">
        <v>1494</v>
      </c>
      <c r="H48" s="2" t="s">
        <v>1495</v>
      </c>
      <c r="I48" s="2" t="s">
        <v>1496</v>
      </c>
      <c r="J48" s="2" t="str">
        <f t="shared" si="0"/>
        <v>https://permalinkbnd.bnportugal.gov.pt/viewer/271573/?offset=#page=545&amp;viewer=picture&amp;o=info&amp;n=0&amp;q=</v>
      </c>
      <c r="K48" s="1" t="s">
        <v>15</v>
      </c>
      <c r="L48" s="1" t="str">
        <f>VLOOKUP(A48,Folha2!$A$2:$B$2019,2,FALSE)</f>
        <v>Os Lusíadas, 1898, obra dedicada à Comissão do Centenário e nos paratextos é referida a Celebração: Celebrações (1880); Paratextos argumentos e Iconografia figuras históricas.</v>
      </c>
      <c r="M48" s="12" t="str">
        <f t="shared" si="1"/>
        <v>https://permalinkbnd.bnportugal.gov.pt/viewer/271573/?offset=#page=545&amp;viewer=picture&amp;o=info&amp;n=0&amp;q=</v>
      </c>
      <c r="N48" s="12" t="s">
        <v>1497</v>
      </c>
      <c r="O48" s="12" t="str">
        <f>CONCATENATE(N48,A48,"\",B48,"\",C48,".jpg")</f>
        <v>C:\Users\mbaptista\OneDrive - Biblioteca Nacional de Portugal\Documentos\python\camoniana\imagens\capas\381465\\545.jpg</v>
      </c>
      <c r="P48" s="12" t="str">
        <f>HYPERLINK(O48)</f>
        <v>C:\Users\mbaptista\OneDrive - Biblioteca Nacional de Portugal\Documentos\python\camoniana\imagens\capas\381465\\545.jpg</v>
      </c>
      <c r="Q48" s="12"/>
      <c r="R48" s="6"/>
      <c r="S48" s="4"/>
      <c r="T48" s="1" t="s">
        <v>16</v>
      </c>
      <c r="U48" s="3"/>
      <c r="V48" s="3"/>
      <c r="W48" s="5"/>
    </row>
    <row r="49" spans="1:23" ht="75">
      <c r="A49" s="1">
        <v>381465</v>
      </c>
      <c r="B49" s="1"/>
      <c r="C49" s="1">
        <v>547</v>
      </c>
      <c r="D49" s="2" t="s">
        <v>14</v>
      </c>
      <c r="E49" s="5" t="s">
        <v>14</v>
      </c>
      <c r="F49" s="5">
        <v>271573</v>
      </c>
      <c r="G49" s="2" t="s">
        <v>1494</v>
      </c>
      <c r="H49" s="2" t="s">
        <v>1495</v>
      </c>
      <c r="I49" s="2" t="s">
        <v>1496</v>
      </c>
      <c r="J49" s="2" t="str">
        <f t="shared" si="0"/>
        <v>https://permalinkbnd.bnportugal.gov.pt/viewer/271573/?offset=#page=547&amp;viewer=picture&amp;o=info&amp;n=0&amp;q=</v>
      </c>
      <c r="K49" s="1" t="s">
        <v>15</v>
      </c>
      <c r="L49" s="1" t="str">
        <f>VLOOKUP(A49,Folha2!$A$2:$B$2019,2,FALSE)</f>
        <v>Os Lusíadas, 1898, obra dedicada à Comissão do Centenário e nos paratextos é referida a Celebração: Celebrações (1880); Paratextos argumentos e Iconografia figuras históricas.</v>
      </c>
      <c r="M49" s="12" t="str">
        <f t="shared" si="1"/>
        <v>https://permalinkbnd.bnportugal.gov.pt/viewer/271573/?offset=#page=547&amp;viewer=picture&amp;o=info&amp;n=0&amp;q=</v>
      </c>
      <c r="N49" s="12" t="s">
        <v>1497</v>
      </c>
      <c r="O49" s="12" t="str">
        <f>CONCATENATE(N49,A49,"\",B49,"\",C49,".jpg")</f>
        <v>C:\Users\mbaptista\OneDrive - Biblioteca Nacional de Portugal\Documentos\python\camoniana\imagens\capas\381465\\547.jpg</v>
      </c>
      <c r="P49" s="12" t="str">
        <f>HYPERLINK(O49)</f>
        <v>C:\Users\mbaptista\OneDrive - Biblioteca Nacional de Portugal\Documentos\python\camoniana\imagens\capas\381465\\547.jpg</v>
      </c>
      <c r="Q49" s="12"/>
      <c r="R49" s="6"/>
      <c r="S49" s="4"/>
      <c r="T49" s="1" t="s">
        <v>16</v>
      </c>
      <c r="U49" s="3"/>
      <c r="V49" s="3"/>
      <c r="W49" s="5"/>
    </row>
    <row r="50" spans="1:23" ht="75">
      <c r="A50" s="1">
        <v>381465</v>
      </c>
      <c r="B50" s="1"/>
      <c r="C50" s="1">
        <v>625</v>
      </c>
      <c r="D50" s="2" t="s">
        <v>14</v>
      </c>
      <c r="E50" s="11" t="s">
        <v>14</v>
      </c>
      <c r="F50" s="11">
        <v>271573</v>
      </c>
      <c r="G50" s="2" t="s">
        <v>1494</v>
      </c>
      <c r="H50" s="2" t="s">
        <v>1495</v>
      </c>
      <c r="I50" s="2" t="s">
        <v>1496</v>
      </c>
      <c r="J50" s="2" t="str">
        <f t="shared" si="0"/>
        <v>https://permalinkbnd.bnportugal.gov.pt/viewer/271573/?offset=#page=625&amp;viewer=picture&amp;o=info&amp;n=0&amp;q=</v>
      </c>
      <c r="K50" s="1" t="s">
        <v>15</v>
      </c>
      <c r="L50" s="1" t="str">
        <f>VLOOKUP(A50,Folha2!$A$2:$B$2019,2,FALSE)</f>
        <v>Os Lusíadas, 1898, obra dedicada à Comissão do Centenário e nos paratextos é referida a Celebração: Celebrações (1880); Paratextos argumentos e Iconografia figuras históricas.</v>
      </c>
      <c r="M50" s="12" t="str">
        <f t="shared" si="1"/>
        <v>https://permalinkbnd.bnportugal.gov.pt/viewer/271573/?offset=#page=625&amp;viewer=picture&amp;o=info&amp;n=0&amp;q=</v>
      </c>
      <c r="N50" s="12" t="s">
        <v>1497</v>
      </c>
      <c r="O50" s="12" t="str">
        <f>CONCATENATE(N50,A50,"\",B50,"\",C50,".jpg")</f>
        <v>C:\Users\mbaptista\OneDrive - Biblioteca Nacional de Portugal\Documentos\python\camoniana\imagens\capas\381465\\625.jpg</v>
      </c>
      <c r="P50" s="12" t="str">
        <f>HYPERLINK(O50)</f>
        <v>C:\Users\mbaptista\OneDrive - Biblioteca Nacional de Portugal\Documentos\python\camoniana\imagens\capas\381465\\625.jpg</v>
      </c>
      <c r="Q50" s="12"/>
      <c r="R50" s="6"/>
      <c r="S50" s="4"/>
      <c r="T50" s="1" t="s">
        <v>16</v>
      </c>
      <c r="U50" s="3"/>
      <c r="V50" s="3"/>
      <c r="W50" s="5"/>
    </row>
    <row r="51" spans="1:23" ht="75">
      <c r="A51" s="1">
        <v>381465</v>
      </c>
      <c r="B51" s="1"/>
      <c r="C51" s="1">
        <v>627</v>
      </c>
      <c r="D51" s="2" t="s">
        <v>14</v>
      </c>
      <c r="E51" s="5" t="s">
        <v>14</v>
      </c>
      <c r="F51" s="5">
        <v>271573</v>
      </c>
      <c r="G51" s="2" t="s">
        <v>1494</v>
      </c>
      <c r="H51" s="2" t="s">
        <v>1495</v>
      </c>
      <c r="I51" s="2" t="s">
        <v>1496</v>
      </c>
      <c r="J51" s="2" t="str">
        <f t="shared" si="0"/>
        <v>https://permalinkbnd.bnportugal.gov.pt/viewer/271573/?offset=#page=627&amp;viewer=picture&amp;o=info&amp;n=0&amp;q=</v>
      </c>
      <c r="K51" s="1" t="s">
        <v>15</v>
      </c>
      <c r="L51" s="1" t="str">
        <f>VLOOKUP(A51,Folha2!$A$2:$B$2019,2,FALSE)</f>
        <v>Os Lusíadas, 1898, obra dedicada à Comissão do Centenário e nos paratextos é referida a Celebração: Celebrações (1880); Paratextos argumentos e Iconografia figuras históricas.</v>
      </c>
      <c r="M51" s="12" t="str">
        <f t="shared" si="1"/>
        <v>https://permalinkbnd.bnportugal.gov.pt/viewer/271573/?offset=#page=627&amp;viewer=picture&amp;o=info&amp;n=0&amp;q=</v>
      </c>
      <c r="N51" s="12" t="s">
        <v>1497</v>
      </c>
      <c r="O51" s="12" t="str">
        <f>CONCATENATE(N51,A51,"\",B51,"\",C51,".jpg")</f>
        <v>C:\Users\mbaptista\OneDrive - Biblioteca Nacional de Portugal\Documentos\python\camoniana\imagens\capas\381465\\627.jpg</v>
      </c>
      <c r="P51" s="12" t="str">
        <f>HYPERLINK(O51)</f>
        <v>C:\Users\mbaptista\OneDrive - Biblioteca Nacional de Portugal\Documentos\python\camoniana\imagens\capas\381465\\627.jpg</v>
      </c>
      <c r="Q51" s="12"/>
      <c r="R51" s="6"/>
      <c r="S51" s="4"/>
      <c r="T51" s="1" t="s">
        <v>16</v>
      </c>
      <c r="U51" s="3"/>
      <c r="V51" s="3"/>
      <c r="W51" s="5"/>
    </row>
    <row r="52" spans="1:23" ht="75">
      <c r="A52" s="1">
        <v>381465</v>
      </c>
      <c r="B52" s="1">
        <v>1</v>
      </c>
      <c r="C52" s="1">
        <v>644</v>
      </c>
      <c r="D52" s="2" t="s">
        <v>14</v>
      </c>
      <c r="E52" s="11" t="s">
        <v>14</v>
      </c>
      <c r="F52" s="11">
        <v>271573</v>
      </c>
      <c r="G52" s="2" t="s">
        <v>1494</v>
      </c>
      <c r="H52" s="2" t="s">
        <v>1495</v>
      </c>
      <c r="I52" s="2" t="s">
        <v>1496</v>
      </c>
      <c r="J52" s="2" t="str">
        <f t="shared" si="0"/>
        <v>https://permalinkbnd.bnportugal.gov.pt/viewer/271573/?offset=#page=644&amp;viewer=picture&amp;o=info&amp;n=0&amp;q=</v>
      </c>
      <c r="K52" s="1" t="s">
        <v>15</v>
      </c>
      <c r="L52" s="1" t="str">
        <f>VLOOKUP(A52,Folha2!$A$2:$B$2019,2,FALSE)</f>
        <v>Os Lusíadas, 1898, obra dedicada à Comissão do Centenário e nos paratextos é referida a Celebração: Celebrações (1880); Paratextos argumentos e Iconografia figuras históricas.</v>
      </c>
      <c r="M52" s="12" t="str">
        <f t="shared" si="1"/>
        <v>https://permalinkbnd.bnportugal.gov.pt/viewer/271573/?offset=#page=644&amp;viewer=picture&amp;o=info&amp;n=0&amp;q=</v>
      </c>
      <c r="N52" s="12" t="s">
        <v>1497</v>
      </c>
      <c r="O52" s="12" t="str">
        <f>CONCATENATE(N52,A52,"\",B52,"\",C52,".jpg")</f>
        <v>C:\Users\mbaptista\OneDrive - Biblioteca Nacional de Portugal\Documentos\python\camoniana\imagens\capas\381465\1\644.jpg</v>
      </c>
      <c r="P52" s="12" t="str">
        <f>HYPERLINK(O52)</f>
        <v>C:\Users\mbaptista\OneDrive - Biblioteca Nacional de Portugal\Documentos\python\camoniana\imagens\capas\381465\1\644.jpg</v>
      </c>
      <c r="Q52" s="12"/>
      <c r="R52" s="6" t="s">
        <v>17</v>
      </c>
      <c r="S52" s="4"/>
      <c r="T52" s="1" t="s">
        <v>16</v>
      </c>
      <c r="U52" s="3"/>
      <c r="V52" s="3"/>
      <c r="W52" s="5" t="s">
        <v>1491</v>
      </c>
    </row>
    <row r="53" spans="1:23" ht="75">
      <c r="A53" s="1">
        <v>381468</v>
      </c>
      <c r="B53" s="1">
        <v>1</v>
      </c>
      <c r="C53" s="1">
        <v>8</v>
      </c>
      <c r="D53" s="2" t="s">
        <v>18</v>
      </c>
      <c r="E53" s="5" t="s">
        <v>18</v>
      </c>
      <c r="F53" s="5">
        <v>274087</v>
      </c>
      <c r="G53" s="2" t="s">
        <v>1494</v>
      </c>
      <c r="H53" s="2" t="s">
        <v>1495</v>
      </c>
      <c r="I53" s="2" t="s">
        <v>1496</v>
      </c>
      <c r="J53" s="2" t="str">
        <f t="shared" si="0"/>
        <v>https://permalinkbnd.bnportugal.gov.pt/viewer/274087/?offset=#page=8&amp;viewer=picture&amp;o=info&amp;n=0&amp;q=</v>
      </c>
      <c r="K53" s="1" t="s">
        <v>19</v>
      </c>
      <c r="L53" s="1" t="str">
        <f>VLOOKUP(A53,Folha2!$A$2:$B$2019,2,FALSE)</f>
        <v xml:space="preserve">Os Lusíadas/Los Portugueses, D. Carlos Soler y Arques, 1873. Bilingue, sem argumentos. Trad. Paratextos; Trad. Paratextos vida; Trad. Paratextos notas. </v>
      </c>
      <c r="M53" s="12" t="str">
        <f t="shared" si="1"/>
        <v>https://permalinkbnd.bnportugal.gov.pt/viewer/274087/?offset=#page=8&amp;viewer=picture&amp;o=info&amp;n=0&amp;q=</v>
      </c>
      <c r="N53" s="12" t="s">
        <v>1497</v>
      </c>
      <c r="O53" s="12" t="str">
        <f>CONCATENATE(N53,A53,"\",B53,"\",C53,".jpg")</f>
        <v>C:\Users\mbaptista\OneDrive - Biblioteca Nacional de Portugal\Documentos\python\camoniana\imagens\capas\381468\1\8.jpg</v>
      </c>
      <c r="P53" s="12" t="str">
        <f>HYPERLINK(O53)</f>
        <v>C:\Users\mbaptista\OneDrive - Biblioteca Nacional de Portugal\Documentos\python\camoniana\imagens\capas\381468\1\8.jpg</v>
      </c>
      <c r="Q53" s="12"/>
      <c r="R53" s="6" t="s">
        <v>20</v>
      </c>
      <c r="S53" s="4"/>
      <c r="T53" s="1">
        <v>8</v>
      </c>
      <c r="U53" s="3"/>
      <c r="V53" s="3"/>
      <c r="W53" s="5" t="s">
        <v>1491</v>
      </c>
    </row>
    <row r="54" spans="1:23" ht="75">
      <c r="A54" s="1">
        <v>381701</v>
      </c>
      <c r="B54" s="1">
        <v>1</v>
      </c>
      <c r="C54" s="1">
        <v>11</v>
      </c>
      <c r="D54" s="2" t="s">
        <v>21</v>
      </c>
      <c r="E54" s="11" t="s">
        <v>21</v>
      </c>
      <c r="F54" s="11">
        <v>281141</v>
      </c>
      <c r="G54" s="2" t="s">
        <v>1494</v>
      </c>
      <c r="H54" s="2" t="s">
        <v>1495</v>
      </c>
      <c r="I54" s="2" t="s">
        <v>1496</v>
      </c>
      <c r="J54" s="2" t="str">
        <f t="shared" si="0"/>
        <v>https://permalinkbnd.bnportugal.gov.pt/viewer/281141/?offset=#page=11&amp;viewer=picture&amp;o=info&amp;n=0&amp;q=</v>
      </c>
      <c r="K54" s="1">
        <v>11</v>
      </c>
      <c r="L54" s="1" t="str">
        <f>VLOOKUP(A54,Folha2!$A$2:$B$2019,2,FALSE)</f>
        <v>Inês de Castro, 1873. [cópia digital não abre, consultado PDF via Miguel] Edição em catorze línguas, um ano depois das Celebrações (1872), mas sem referência.</v>
      </c>
      <c r="M54" s="12" t="str">
        <f t="shared" si="1"/>
        <v>https://permalinkbnd.bnportugal.gov.pt/viewer/281141/?offset=#page=11&amp;viewer=picture&amp;o=info&amp;n=0&amp;q=</v>
      </c>
      <c r="N54" s="12" t="s">
        <v>1497</v>
      </c>
      <c r="O54" s="12" t="str">
        <f>CONCATENATE(N54,A54,"\",B54,"\",C54,".jpg")</f>
        <v>C:\Users\mbaptista\OneDrive - Biblioteca Nacional de Portugal\Documentos\python\camoniana\imagens\capas\381701\1\11.jpg</v>
      </c>
      <c r="P54" s="12" t="str">
        <f>HYPERLINK(O54)</f>
        <v>C:\Users\mbaptista\OneDrive - Biblioteca Nacional de Portugal\Documentos\python\camoniana\imagens\capas\381701\1\11.jpg</v>
      </c>
      <c r="Q54" s="12"/>
      <c r="R54" s="6" t="s">
        <v>22</v>
      </c>
      <c r="S54" s="4"/>
      <c r="T54" s="1">
        <v>11</v>
      </c>
      <c r="U54" s="3"/>
      <c r="V54" s="3"/>
      <c r="W54" s="5" t="s">
        <v>1491</v>
      </c>
    </row>
    <row r="55" spans="1:23" ht="75">
      <c r="A55" s="1">
        <v>381889</v>
      </c>
      <c r="B55" s="1">
        <v>1</v>
      </c>
      <c r="C55" s="1">
        <v>1</v>
      </c>
      <c r="D55" s="2" t="s">
        <v>23</v>
      </c>
      <c r="E55" s="5" t="s">
        <v>23</v>
      </c>
      <c r="F55" s="5">
        <v>273118</v>
      </c>
      <c r="G55" s="2" t="s">
        <v>1494</v>
      </c>
      <c r="H55" s="2" t="s">
        <v>1495</v>
      </c>
      <c r="I55" s="2" t="s">
        <v>1496</v>
      </c>
      <c r="J55" s="2" t="str">
        <f t="shared" si="0"/>
        <v>https://permalinkbnd.bnportugal.gov.pt/viewer/273118/?offset=#page=1&amp;viewer=picture&amp;o=info&amp;n=0&amp;q=</v>
      </c>
      <c r="K55" s="1" t="s">
        <v>24</v>
      </c>
      <c r="L55" s="1" t="str">
        <f>VLOOKUP(A55,Folha2!$A$2:$B$2019,2,FALSE)</f>
        <v>Pérolas de Camões. 1880. Inês de Castro, Adamastor, Ilha dos Amores, sem argumentos, Soneto a Natércia [em Antologia não existe fragmento/soneto lírica?]. Iconografia, figuras históricas.</v>
      </c>
      <c r="M55" s="12" t="str">
        <f t="shared" si="1"/>
        <v>https://permalinkbnd.bnportugal.gov.pt/viewer/273118/?offset=#page=1&amp;viewer=picture&amp;o=info&amp;n=0&amp;q=</v>
      </c>
      <c r="N55" s="12" t="s">
        <v>1497</v>
      </c>
      <c r="O55" s="12" t="str">
        <f>CONCATENATE(N55,A55,"\",B55,"\",C55,".jpg")</f>
        <v>C:\Users\mbaptista\OneDrive - Biblioteca Nacional de Portugal\Documentos\python\camoniana\imagens\capas\381889\1\1.jpg</v>
      </c>
      <c r="P55" s="12" t="str">
        <f>HYPERLINK(O55)</f>
        <v>C:\Users\mbaptista\OneDrive - Biblioteca Nacional de Portugal\Documentos\python\camoniana\imagens\capas\381889\1\1.jpg</v>
      </c>
      <c r="Q55" s="12"/>
      <c r="R55" s="6" t="s">
        <v>25</v>
      </c>
      <c r="S55" s="4"/>
      <c r="T55" s="1">
        <v>1</v>
      </c>
      <c r="U55" s="13"/>
      <c r="V55" s="13"/>
      <c r="W55" s="5" t="s">
        <v>1491</v>
      </c>
    </row>
    <row r="56" spans="1:23" ht="75">
      <c r="A56" s="1">
        <v>381903</v>
      </c>
      <c r="B56" s="1">
        <v>1</v>
      </c>
      <c r="C56" s="1">
        <v>5</v>
      </c>
      <c r="D56" s="2" t="s">
        <v>26</v>
      </c>
      <c r="E56" s="11" t="s">
        <v>26</v>
      </c>
      <c r="F56" s="11">
        <v>270037</v>
      </c>
      <c r="G56" s="2" t="s">
        <v>1494</v>
      </c>
      <c r="H56" s="2" t="s">
        <v>1495</v>
      </c>
      <c r="I56" s="2" t="s">
        <v>1496</v>
      </c>
      <c r="J56" s="2" t="str">
        <f t="shared" si="0"/>
        <v>https://permalinkbnd.bnportugal.gov.pt/viewer/270037/?offset=#page=5&amp;viewer=picture&amp;o=info&amp;n=0&amp;q=</v>
      </c>
      <c r="K56" s="1" t="s">
        <v>27</v>
      </c>
      <c r="L56" s="1" t="str">
        <f>VLOOKUP(A56,Folha2!$A$2:$B$2019,2,FALSE)</f>
        <v>Artigo polaco? Séc. XIX:  " Luiz de Camoens" da autoria de K. Kaszewskiego 1880, continuação do texto no CAM. 45//3 A.</v>
      </c>
      <c r="M56" s="12" t="str">
        <f t="shared" si="1"/>
        <v>https://permalinkbnd.bnportugal.gov.pt/viewer/270037/?offset=#page=5&amp;viewer=picture&amp;o=info&amp;n=0&amp;q=</v>
      </c>
      <c r="N56" s="12" t="s">
        <v>1497</v>
      </c>
      <c r="O56" s="12" t="str">
        <f>CONCATENATE(N56,A56,"\",B56,"\",C56,".jpg")</f>
        <v>C:\Users\mbaptista\OneDrive - Biblioteca Nacional de Portugal\Documentos\python\camoniana\imagens\capas\381903\1\5.jpg</v>
      </c>
      <c r="P56" s="12" t="str">
        <f>HYPERLINK(O56)</f>
        <v>C:\Users\mbaptista\OneDrive - Biblioteca Nacional de Portugal\Documentos\python\camoniana\imagens\capas\381903\1\5.jpg</v>
      </c>
      <c r="Q56" s="12"/>
      <c r="R56" s="6" t="s">
        <v>28</v>
      </c>
      <c r="S56" s="4"/>
      <c r="T56" s="1">
        <v>5</v>
      </c>
      <c r="U56" s="13"/>
      <c r="V56" s="13"/>
      <c r="W56" s="5" t="s">
        <v>1491</v>
      </c>
    </row>
    <row r="57" spans="1:23" ht="90">
      <c r="A57" s="1">
        <v>382749</v>
      </c>
      <c r="B57" s="1">
        <v>1</v>
      </c>
      <c r="C57" s="1">
        <v>7</v>
      </c>
      <c r="D57" s="2" t="s">
        <v>29</v>
      </c>
      <c r="E57" s="5" t="s">
        <v>29</v>
      </c>
      <c r="F57" s="5">
        <v>270109</v>
      </c>
      <c r="G57" s="2" t="s">
        <v>1494</v>
      </c>
      <c r="H57" s="2" t="s">
        <v>1495</v>
      </c>
      <c r="I57" s="2" t="s">
        <v>1496</v>
      </c>
      <c r="J57" s="2" t="str">
        <f t="shared" si="0"/>
        <v>https://permalinkbnd.bnportugal.gov.pt/viewer/270109/?offset=#page=7&amp;viewer=picture&amp;o=info&amp;n=0&amp;q=</v>
      </c>
      <c r="K57" s="1" t="s">
        <v>30</v>
      </c>
      <c r="L57" s="1" t="str">
        <f>VLOOKUP(A57,Folha2!$A$2:$B$2019,2,FALSE)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7" s="12" t="str">
        <f t="shared" si="1"/>
        <v>https://permalinkbnd.bnportugal.gov.pt/viewer/270109/?offset=#page=7&amp;viewer=picture&amp;o=info&amp;n=0&amp;q=</v>
      </c>
      <c r="N57" s="12" t="s">
        <v>1497</v>
      </c>
      <c r="O57" s="12" t="str">
        <f>CONCATENATE(N57,A57,"\",B57,"\",C57,".jpg")</f>
        <v>C:\Users\mbaptista\OneDrive - Biblioteca Nacional de Portugal\Documentos\python\camoniana\imagens\capas\382749\1\7.jpg</v>
      </c>
      <c r="P57" s="12" t="str">
        <f>HYPERLINK(O57)</f>
        <v>C:\Users\mbaptista\OneDrive - Biblioteca Nacional de Portugal\Documentos\python\camoniana\imagens\capas\382749\1\7.jpg</v>
      </c>
      <c r="Q57" s="12"/>
      <c r="R57" s="6" t="s">
        <v>31</v>
      </c>
      <c r="S57" s="4"/>
      <c r="T57" s="1"/>
      <c r="U57" s="13"/>
      <c r="V57" s="13"/>
      <c r="W57" s="5" t="s">
        <v>1491</v>
      </c>
    </row>
    <row r="58" spans="1:23" ht="90">
      <c r="A58" s="1">
        <v>382749</v>
      </c>
      <c r="B58" s="14">
        <v>1</v>
      </c>
      <c r="C58" s="1">
        <v>19</v>
      </c>
      <c r="D58" s="2" t="s">
        <v>29</v>
      </c>
      <c r="E58" s="11" t="s">
        <v>29</v>
      </c>
      <c r="F58" s="11">
        <v>270109</v>
      </c>
      <c r="G58" s="2" t="s">
        <v>1494</v>
      </c>
      <c r="H58" s="2" t="s">
        <v>1495</v>
      </c>
      <c r="I58" s="2" t="s">
        <v>1496</v>
      </c>
      <c r="J58" s="2" t="str">
        <f t="shared" si="0"/>
        <v>https://permalinkbnd.bnportugal.gov.pt/viewer/270109/?offset=#page=19&amp;viewer=picture&amp;o=info&amp;n=0&amp;q=</v>
      </c>
      <c r="K58" s="14"/>
      <c r="L58" s="1" t="str">
        <f>VLOOKUP(A58,Folha2!$A$2:$B$2019,2,FALSE)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8" s="12" t="str">
        <f t="shared" si="1"/>
        <v>https://permalinkbnd.bnportugal.gov.pt/viewer/270109/?offset=#page=19&amp;viewer=picture&amp;o=info&amp;n=0&amp;q=</v>
      </c>
      <c r="N58" s="12" t="s">
        <v>1497</v>
      </c>
      <c r="O58" s="12" t="str">
        <f>CONCATENATE(N58,A58,"\",B58,"\",C58,".jpg")</f>
        <v>C:\Users\mbaptista\OneDrive - Biblioteca Nacional de Portugal\Documentos\python\camoniana\imagens\capas\382749\1\19.jpg</v>
      </c>
      <c r="P58" s="12" t="str">
        <f>HYPERLINK(O58)</f>
        <v>C:\Users\mbaptista\OneDrive - Biblioteca Nacional de Portugal\Documentos\python\camoniana\imagens\capas\382749\1\19.jpg</v>
      </c>
      <c r="Q58" s="12"/>
      <c r="R58" s="6" t="s">
        <v>32</v>
      </c>
      <c r="S58" s="4"/>
      <c r="T58" s="14"/>
      <c r="U58" s="13"/>
      <c r="V58" s="13"/>
      <c r="W58" s="5" t="s">
        <v>1491</v>
      </c>
    </row>
    <row r="59" spans="1:23" ht="90">
      <c r="A59" s="1">
        <v>382749</v>
      </c>
      <c r="B59" s="1">
        <v>1</v>
      </c>
      <c r="C59" s="1">
        <v>23</v>
      </c>
      <c r="D59" s="2" t="s">
        <v>29</v>
      </c>
      <c r="E59" s="5" t="s">
        <v>29</v>
      </c>
      <c r="F59" s="5">
        <v>270109</v>
      </c>
      <c r="G59" s="2" t="s">
        <v>1494</v>
      </c>
      <c r="H59" s="2" t="s">
        <v>1495</v>
      </c>
      <c r="I59" s="2" t="s">
        <v>1496</v>
      </c>
      <c r="J59" s="2" t="str">
        <f t="shared" si="0"/>
        <v>https://permalinkbnd.bnportugal.gov.pt/viewer/270109/?offset=#page=23&amp;viewer=picture&amp;o=info&amp;n=0&amp;q=</v>
      </c>
      <c r="K59" s="1"/>
      <c r="L59" s="1" t="str">
        <f>VLOOKUP(A59,Folha2!$A$2:$B$2019,2,FALSE)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9" s="12" t="str">
        <f t="shared" si="1"/>
        <v>https://permalinkbnd.bnportugal.gov.pt/viewer/270109/?offset=#page=23&amp;viewer=picture&amp;o=info&amp;n=0&amp;q=</v>
      </c>
      <c r="N59" s="12" t="s">
        <v>1497</v>
      </c>
      <c r="O59" s="12" t="str">
        <f>CONCATENATE(N59,A59,"\",B59,"\",C59,".jpg")</f>
        <v>C:\Users\mbaptista\OneDrive - Biblioteca Nacional de Portugal\Documentos\python\camoniana\imagens\capas\382749\1\23.jpg</v>
      </c>
      <c r="P59" s="12" t="str">
        <f>HYPERLINK(O59)</f>
        <v>C:\Users\mbaptista\OneDrive - Biblioteca Nacional de Portugal\Documentos\python\camoniana\imagens\capas\382749\1\23.jpg</v>
      </c>
      <c r="Q59" s="12"/>
      <c r="R59" s="6" t="s">
        <v>33</v>
      </c>
      <c r="S59" s="4"/>
      <c r="T59" s="1"/>
      <c r="U59" s="13"/>
      <c r="V59" s="13"/>
      <c r="W59" s="5" t="s">
        <v>1491</v>
      </c>
    </row>
    <row r="60" spans="1:23" ht="75">
      <c r="A60" s="1">
        <v>382834</v>
      </c>
      <c r="B60" s="1">
        <v>1</v>
      </c>
      <c r="C60" s="1">
        <v>11</v>
      </c>
      <c r="D60" s="2" t="s">
        <v>34</v>
      </c>
      <c r="E60" s="11" t="s">
        <v>34</v>
      </c>
      <c r="F60" s="11">
        <v>273316</v>
      </c>
      <c r="G60" s="2" t="s">
        <v>1494</v>
      </c>
      <c r="H60" s="2" t="s">
        <v>1495</v>
      </c>
      <c r="I60" s="2" t="s">
        <v>1496</v>
      </c>
      <c r="J60" s="2" t="str">
        <f t="shared" si="0"/>
        <v>https://permalinkbnd.bnportugal.gov.pt/viewer/273316/?offset=#page=11&amp;viewer=picture&amp;o=info&amp;n=0&amp;q=</v>
      </c>
      <c r="K60" s="1" t="s">
        <v>35</v>
      </c>
      <c r="L60" s="1" t="str">
        <f>VLOOKUP(A60,Folha2!$A$2:$B$2019,2,FALSE)</f>
        <v>Benoliel, Sobre o episódio do Adamastor, 1898. Bibliografia crítica, estudo.</v>
      </c>
      <c r="M60" s="12" t="str">
        <f t="shared" si="1"/>
        <v>https://permalinkbnd.bnportugal.gov.pt/viewer/273316/?offset=#page=11&amp;viewer=picture&amp;o=info&amp;n=0&amp;q=</v>
      </c>
      <c r="N60" s="12" t="s">
        <v>1497</v>
      </c>
      <c r="O60" s="12" t="str">
        <f>CONCATENATE(N60,A60,"\",B60,"\",C60,".jpg")</f>
        <v>C:\Users\mbaptista\OneDrive - Biblioteca Nacional de Portugal\Documentos\python\camoniana\imagens\capas\382834\1\11.jpg</v>
      </c>
      <c r="P60" s="12" t="str">
        <f>HYPERLINK(O60)</f>
        <v>C:\Users\mbaptista\OneDrive - Biblioteca Nacional de Portugal\Documentos\python\camoniana\imagens\capas\382834\1\11.jpg</v>
      </c>
      <c r="Q60" s="12"/>
      <c r="R60" s="6" t="s">
        <v>36</v>
      </c>
      <c r="S60" s="4"/>
      <c r="T60" s="1">
        <v>11</v>
      </c>
      <c r="U60" s="13"/>
      <c r="V60" s="13"/>
      <c r="W60" s="5" t="s">
        <v>1491</v>
      </c>
    </row>
    <row r="61" spans="1:23" ht="75">
      <c r="A61" s="1">
        <v>382844</v>
      </c>
      <c r="B61" s="1">
        <v>1</v>
      </c>
      <c r="C61" s="1">
        <v>3</v>
      </c>
      <c r="D61" s="2" t="s">
        <v>37</v>
      </c>
      <c r="E61" s="5" t="s">
        <v>37</v>
      </c>
      <c r="F61" s="5">
        <v>271559</v>
      </c>
      <c r="G61" s="2" t="s">
        <v>1494</v>
      </c>
      <c r="H61" s="2" t="s">
        <v>1495</v>
      </c>
      <c r="I61" s="2" t="s">
        <v>1496</v>
      </c>
      <c r="J61" s="2" t="str">
        <f t="shared" si="0"/>
        <v>https://permalinkbnd.bnportugal.gov.pt/viewer/271559/?offset=#page=3&amp;viewer=picture&amp;o=info&amp;n=0&amp;q=</v>
      </c>
      <c r="K61" s="1">
        <v>3</v>
      </c>
      <c r="L61" s="1" t="str">
        <f>VLOOKUP(A61,Folha2!$A$2:$B$2019,2,FALSE)</f>
        <v>Poema a Camões*Vida+Notas1880 [notas sobre a vida do Poeta, Im. 13]. Celebrações (1880), recepção criativa, tematização. Inclui soneto de Camões.</v>
      </c>
      <c r="M61" s="12" t="str">
        <f t="shared" si="1"/>
        <v>https://permalinkbnd.bnportugal.gov.pt/viewer/271559/?offset=#page=3&amp;viewer=picture&amp;o=info&amp;n=0&amp;q=</v>
      </c>
      <c r="N61" s="12" t="s">
        <v>1497</v>
      </c>
      <c r="O61" s="12" t="str">
        <f>CONCATENATE(N61,A61,"\",B61,"\",C61,".jpg")</f>
        <v>C:\Users\mbaptista\OneDrive - Biblioteca Nacional de Portugal\Documentos\python\camoniana\imagens\capas\382844\1\3.jpg</v>
      </c>
      <c r="P61" s="12" t="str">
        <f>HYPERLINK(O61)</f>
        <v>C:\Users\mbaptista\OneDrive - Biblioteca Nacional de Portugal\Documentos\python\camoniana\imagens\capas\382844\1\3.jpg</v>
      </c>
      <c r="Q61" s="12"/>
      <c r="R61" s="6" t="s">
        <v>38</v>
      </c>
      <c r="S61" s="4"/>
      <c r="T61" s="1"/>
      <c r="U61" s="13"/>
      <c r="V61" s="13"/>
      <c r="W61" s="5" t="s">
        <v>1491</v>
      </c>
    </row>
    <row r="62" spans="1:23" ht="75">
      <c r="A62" s="1">
        <v>382955</v>
      </c>
      <c r="B62" s="1">
        <v>1</v>
      </c>
      <c r="C62" s="1">
        <v>6</v>
      </c>
      <c r="D62" s="2" t="s">
        <v>39</v>
      </c>
      <c r="E62" s="11" t="s">
        <v>39</v>
      </c>
      <c r="F62" s="11">
        <v>274171</v>
      </c>
      <c r="G62" s="2" t="s">
        <v>1494</v>
      </c>
      <c r="H62" s="2" t="s">
        <v>1495</v>
      </c>
      <c r="I62" s="2" t="s">
        <v>1496</v>
      </c>
      <c r="J62" s="2" t="str">
        <f t="shared" si="0"/>
        <v>https://permalinkbnd.bnportugal.gov.pt/viewer/274171/?offset=#page=6&amp;viewer=picture&amp;o=info&amp;n=0&amp;q=</v>
      </c>
      <c r="K62" s="1" t="s">
        <v>40</v>
      </c>
      <c r="L62" s="1" t="str">
        <f>VLOOKUP(A62,Folha2!$A$2:$B$2019,2,FALSE)</f>
        <v>Auto da cunhagem. Textos+poesias de homenagem a Camões+Retrato, 1880. A inserir Celebrações (1880), recepção criativa, tematização.</v>
      </c>
      <c r="M62" s="12" t="str">
        <f t="shared" si="1"/>
        <v>https://permalinkbnd.bnportugal.gov.pt/viewer/274171/?offset=#page=6&amp;viewer=picture&amp;o=info&amp;n=0&amp;q=</v>
      </c>
      <c r="N62" s="12" t="s">
        <v>1497</v>
      </c>
      <c r="O62" s="12" t="str">
        <f>CONCATENATE(N62,A62,"\",B62,"\",C62,".jpg")</f>
        <v>C:\Users\mbaptista\OneDrive - Biblioteca Nacional de Portugal\Documentos\python\camoniana\imagens\capas\382955\1\6.jpg</v>
      </c>
      <c r="P62" s="12" t="str">
        <f>HYPERLINK(O62)</f>
        <v>C:\Users\mbaptista\OneDrive - Biblioteca Nacional de Portugal\Documentos\python\camoniana\imagens\capas\382955\1\6.jpg</v>
      </c>
      <c r="Q62" s="12"/>
      <c r="R62" s="6" t="s">
        <v>41</v>
      </c>
      <c r="S62" s="4"/>
      <c r="T62" s="1">
        <v>6</v>
      </c>
      <c r="U62" s="13"/>
      <c r="V62" s="13"/>
      <c r="W62" s="5" t="s">
        <v>1491</v>
      </c>
    </row>
    <row r="63" spans="1:23" ht="75">
      <c r="A63" s="1">
        <v>382972</v>
      </c>
      <c r="B63" s="1">
        <v>1</v>
      </c>
      <c r="C63" s="1">
        <v>14</v>
      </c>
      <c r="D63" s="2" t="s">
        <v>42</v>
      </c>
      <c r="E63" s="5" t="s">
        <v>42</v>
      </c>
      <c r="F63" s="5">
        <v>274229</v>
      </c>
      <c r="G63" s="2" t="s">
        <v>1494</v>
      </c>
      <c r="H63" s="2" t="s">
        <v>1495</v>
      </c>
      <c r="I63" s="2" t="s">
        <v>1496</v>
      </c>
      <c r="J63" s="2" t="str">
        <f t="shared" si="0"/>
        <v>https://permalinkbnd.bnportugal.gov.pt/viewer/274229/?offset=#page=14&amp;viewer=picture&amp;o=info&amp;n=0&amp;q=</v>
      </c>
      <c r="K63" s="1" t="s">
        <v>43</v>
      </c>
      <c r="L63" s="1" t="str">
        <f>VLOOKUP(A63,Folha2!$A$2:$B$2019,2,FALSE)</f>
        <v>Tomás Ribeiro, Surrexit, 1880. Celebrações (1880), recepção criativa, tematização.</v>
      </c>
      <c r="M63" s="12" t="str">
        <f t="shared" si="1"/>
        <v>https://permalinkbnd.bnportugal.gov.pt/viewer/274229/?offset=#page=14&amp;viewer=picture&amp;o=info&amp;n=0&amp;q=</v>
      </c>
      <c r="N63" s="12" t="s">
        <v>1497</v>
      </c>
      <c r="O63" s="12" t="str">
        <f>CONCATENATE(N63,A63,"\",B63,"\",C63,".jpg")</f>
        <v>C:\Users\mbaptista\OneDrive - Biblioteca Nacional de Portugal\Documentos\python\camoniana\imagens\capas\382972\1\14.jpg</v>
      </c>
      <c r="P63" s="12" t="str">
        <f>HYPERLINK(O63)</f>
        <v>C:\Users\mbaptista\OneDrive - Biblioteca Nacional de Portugal\Documentos\python\camoniana\imagens\capas\382972\1\14.jpg</v>
      </c>
      <c r="Q63" s="12"/>
      <c r="R63" s="6" t="s">
        <v>44</v>
      </c>
      <c r="S63" s="4"/>
      <c r="T63" s="1">
        <v>14</v>
      </c>
      <c r="U63" s="13"/>
      <c r="V63" s="13"/>
      <c r="W63" s="5" t="s">
        <v>1491</v>
      </c>
    </row>
    <row r="64" spans="1:23" ht="75">
      <c r="A64" s="1">
        <v>382978</v>
      </c>
      <c r="B64" s="1">
        <v>1</v>
      </c>
      <c r="C64" s="1">
        <v>7</v>
      </c>
      <c r="D64" s="2" t="s">
        <v>45</v>
      </c>
      <c r="E64" s="11" t="s">
        <v>45</v>
      </c>
      <c r="F64" s="11">
        <v>274235</v>
      </c>
      <c r="G64" s="2" t="s">
        <v>1494</v>
      </c>
      <c r="H64" s="2" t="s">
        <v>1495</v>
      </c>
      <c r="I64" s="2" t="s">
        <v>1496</v>
      </c>
      <c r="J64" s="2" t="str">
        <f t="shared" si="0"/>
        <v>https://permalinkbnd.bnportugal.gov.pt/viewer/274235/?offset=#page=7&amp;viewer=picture&amp;o=info&amp;n=0&amp;q=</v>
      </c>
      <c r="K64" s="1" t="s">
        <v>46</v>
      </c>
      <c r="L64" s="1" t="str">
        <f>VLOOKUP(A64,Folha2!$A$2:$B$2019,2,FALSE)</f>
        <v>Programa, 1880. Iconografia, Lugares de memória.</v>
      </c>
      <c r="M64" s="12" t="str">
        <f t="shared" si="1"/>
        <v>https://permalinkbnd.bnportugal.gov.pt/viewer/274235/?offset=#page=7&amp;viewer=picture&amp;o=info&amp;n=0&amp;q=</v>
      </c>
      <c r="N64" s="12" t="s">
        <v>1497</v>
      </c>
      <c r="O64" s="12" t="str">
        <f>CONCATENATE(N64,A64,"\",B64,"\",C64,".jpg")</f>
        <v>C:\Users\mbaptista\OneDrive - Biblioteca Nacional de Portugal\Documentos\python\camoniana\imagens\capas\382978\1\7.jpg</v>
      </c>
      <c r="P64" s="12" t="str">
        <f>HYPERLINK(O64)</f>
        <v>C:\Users\mbaptista\OneDrive - Biblioteca Nacional de Portugal\Documentos\python\camoniana\imagens\capas\382978\1\7.jpg</v>
      </c>
      <c r="Q64" s="12"/>
      <c r="R64" s="6" t="s">
        <v>48</v>
      </c>
      <c r="S64" s="4"/>
      <c r="T64" s="1" t="s">
        <v>47</v>
      </c>
      <c r="U64" s="13"/>
      <c r="V64" s="13"/>
      <c r="W64" s="5" t="s">
        <v>1491</v>
      </c>
    </row>
    <row r="65" spans="1:23" ht="75">
      <c r="A65" s="1">
        <v>382978</v>
      </c>
      <c r="B65" s="1">
        <v>1</v>
      </c>
      <c r="C65" s="1">
        <v>13</v>
      </c>
      <c r="D65" s="2" t="s">
        <v>45</v>
      </c>
      <c r="E65" s="5" t="s">
        <v>45</v>
      </c>
      <c r="F65" s="5">
        <v>274235</v>
      </c>
      <c r="G65" s="2" t="s">
        <v>1494</v>
      </c>
      <c r="H65" s="2" t="s">
        <v>1495</v>
      </c>
      <c r="I65" s="2" t="s">
        <v>1496</v>
      </c>
      <c r="J65" s="2" t="str">
        <f t="shared" si="0"/>
        <v>https://permalinkbnd.bnportugal.gov.pt/viewer/274235/?offset=#page=13&amp;viewer=picture&amp;o=info&amp;n=0&amp;q=</v>
      </c>
      <c r="K65" s="1" t="s">
        <v>46</v>
      </c>
      <c r="L65" s="1" t="str">
        <f>VLOOKUP(A65,Folha2!$A$2:$B$2019,2,FALSE)</f>
        <v>Programa, 1880. Iconografia, Lugares de memória.</v>
      </c>
      <c r="M65" s="12" t="str">
        <f t="shared" si="1"/>
        <v>https://permalinkbnd.bnportugal.gov.pt/viewer/274235/?offset=#page=13&amp;viewer=picture&amp;o=info&amp;n=0&amp;q=</v>
      </c>
      <c r="N65" s="12" t="s">
        <v>1497</v>
      </c>
      <c r="O65" s="12" t="str">
        <f>CONCATENATE(N65,A65,"\",B65,"\",C65,".jpg")</f>
        <v>C:\Users\mbaptista\OneDrive - Biblioteca Nacional de Portugal\Documentos\python\camoniana\imagens\capas\382978\1\13.jpg</v>
      </c>
      <c r="P65" s="12" t="str">
        <f>HYPERLINK(O65)</f>
        <v>C:\Users\mbaptista\OneDrive - Biblioteca Nacional de Portugal\Documentos\python\camoniana\imagens\capas\382978\1\13.jpg</v>
      </c>
      <c r="Q65" s="12"/>
      <c r="R65" s="6" t="s">
        <v>49</v>
      </c>
      <c r="S65" s="4"/>
      <c r="T65" s="1" t="s">
        <v>47</v>
      </c>
      <c r="U65" s="13"/>
      <c r="V65" s="13"/>
      <c r="W65" s="5" t="s">
        <v>1491</v>
      </c>
    </row>
    <row r="66" spans="1:23" ht="75">
      <c r="A66" s="1">
        <v>382978</v>
      </c>
      <c r="B66" s="1">
        <v>1</v>
      </c>
      <c r="C66" s="1">
        <v>15</v>
      </c>
      <c r="D66" s="2" t="s">
        <v>45</v>
      </c>
      <c r="E66" s="11" t="s">
        <v>45</v>
      </c>
      <c r="F66" s="11">
        <v>274235</v>
      </c>
      <c r="G66" s="2" t="s">
        <v>1494</v>
      </c>
      <c r="H66" s="2" t="s">
        <v>1495</v>
      </c>
      <c r="I66" s="2" t="s">
        <v>1496</v>
      </c>
      <c r="J66" s="2" t="str">
        <f t="shared" si="0"/>
        <v>https://permalinkbnd.bnportugal.gov.pt/viewer/274235/?offset=#page=15&amp;viewer=picture&amp;o=info&amp;n=0&amp;q=</v>
      </c>
      <c r="K66" s="1" t="s">
        <v>46</v>
      </c>
      <c r="L66" s="1" t="str">
        <f>VLOOKUP(A66,Folha2!$A$2:$B$2019,2,FALSE)</f>
        <v>Programa, 1880. Iconografia, Lugares de memória.</v>
      </c>
      <c r="M66" s="12" t="str">
        <f t="shared" si="1"/>
        <v>https://permalinkbnd.bnportugal.gov.pt/viewer/274235/?offset=#page=15&amp;viewer=picture&amp;o=info&amp;n=0&amp;q=</v>
      </c>
      <c r="N66" s="12" t="s">
        <v>1497</v>
      </c>
      <c r="O66" s="12" t="str">
        <f>CONCATENATE(N66,A66,"\",B66,"\",C66,".jpg")</f>
        <v>C:\Users\mbaptista\OneDrive - Biblioteca Nacional de Portugal\Documentos\python\camoniana\imagens\capas\382978\1\15.jpg</v>
      </c>
      <c r="P66" s="12" t="str">
        <f>HYPERLINK(O66)</f>
        <v>C:\Users\mbaptista\OneDrive - Biblioteca Nacional de Portugal\Documentos\python\camoniana\imagens\capas\382978\1\15.jpg</v>
      </c>
      <c r="Q66" s="12"/>
      <c r="R66" s="6" t="s">
        <v>50</v>
      </c>
      <c r="S66" s="4"/>
      <c r="T66" s="1" t="s">
        <v>47</v>
      </c>
      <c r="U66" s="13"/>
      <c r="V66" s="13"/>
      <c r="W66" s="5" t="s">
        <v>1491</v>
      </c>
    </row>
    <row r="67" spans="1:23" ht="75">
      <c r="A67" s="1">
        <v>382981</v>
      </c>
      <c r="B67" s="1">
        <v>1</v>
      </c>
      <c r="C67" s="1">
        <v>9</v>
      </c>
      <c r="D67" s="2" t="s">
        <v>51</v>
      </c>
      <c r="E67" s="5" t="s">
        <v>51</v>
      </c>
      <c r="F67" s="5">
        <v>1880</v>
      </c>
      <c r="G67" s="2" t="s">
        <v>1494</v>
      </c>
      <c r="H67" s="2" t="s">
        <v>1495</v>
      </c>
      <c r="I67" s="2" t="s">
        <v>1496</v>
      </c>
      <c r="J67" s="2" t="str">
        <f t="shared" ref="J67:J129" si="2">CONCATENATE(G67,F67,H67,C67,I67)</f>
        <v>https://permalinkbnd.bnportugal.gov.pt/viewer/1880/?offset=#page=9&amp;viewer=picture&amp;o=info&amp;n=0&amp;q=</v>
      </c>
      <c r="K67" s="1">
        <v>9</v>
      </c>
      <c r="L67" s="1" t="str">
        <f>VLOOKUP(A67,Folha2!$A$2:$B$2019,2,FALSE)</f>
        <v>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v>
      </c>
      <c r="M67" s="12" t="str">
        <f t="shared" ref="M67:M129" si="3">HYPERLINK(J67)</f>
        <v>https://permalinkbnd.bnportugal.gov.pt/viewer/1880/?offset=#page=9&amp;viewer=picture&amp;o=info&amp;n=0&amp;q=</v>
      </c>
      <c r="N67" s="12" t="s">
        <v>1497</v>
      </c>
      <c r="O67" s="12" t="str">
        <f>CONCATENATE(N67,A67,"\",B67,"\",C67,".jpg")</f>
        <v>C:\Users\mbaptista\OneDrive - Biblioteca Nacional de Portugal\Documentos\python\camoniana\imagens\capas\382981\1\9.jpg</v>
      </c>
      <c r="P67" s="12" t="str">
        <f>HYPERLINK(O67)</f>
        <v>C:\Users\mbaptista\OneDrive - Biblioteca Nacional de Portugal\Documentos\python\camoniana\imagens\capas\382981\1\9.jpg</v>
      </c>
      <c r="Q67" s="12"/>
      <c r="R67" s="6" t="s">
        <v>52</v>
      </c>
      <c r="S67" s="4"/>
      <c r="T67" s="1"/>
      <c r="U67" s="13"/>
      <c r="V67" s="13"/>
      <c r="W67" s="5" t="s">
        <v>1491</v>
      </c>
    </row>
    <row r="68" spans="1:23" ht="75">
      <c r="A68" s="1">
        <v>385945</v>
      </c>
      <c r="B68" s="1">
        <v>1</v>
      </c>
      <c r="C68" s="1">
        <v>10</v>
      </c>
      <c r="D68" s="2" t="s">
        <v>53</v>
      </c>
      <c r="E68" s="11" t="s">
        <v>53</v>
      </c>
      <c r="F68" s="11">
        <v>273149</v>
      </c>
      <c r="G68" s="2" t="s">
        <v>1494</v>
      </c>
      <c r="H68" s="2" t="s">
        <v>1495</v>
      </c>
      <c r="I68" s="2" t="s">
        <v>1496</v>
      </c>
      <c r="J68" s="2" t="str">
        <f t="shared" si="2"/>
        <v>https://permalinkbnd.bnportugal.gov.pt/viewer/273149/?offset=#page=10&amp;viewer=picture&amp;o=info&amp;n=0&amp;q=</v>
      </c>
      <c r="K68" s="1" t="s">
        <v>54</v>
      </c>
      <c r="L68" s="1" t="str">
        <f>VLOOKUP(A68,Folha2!$A$2:$B$2019,2,FALSE)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8" s="12" t="str">
        <f t="shared" si="3"/>
        <v>https://permalinkbnd.bnportugal.gov.pt/viewer/273149/?offset=#page=10&amp;viewer=picture&amp;o=info&amp;n=0&amp;q=</v>
      </c>
      <c r="N68" s="12" t="s">
        <v>1497</v>
      </c>
      <c r="O68" s="12" t="str">
        <f>CONCATENATE(N68,A68,"\",B68,"\",C68,".jpg")</f>
        <v>C:\Users\mbaptista\OneDrive - Biblioteca Nacional de Portugal\Documentos\python\camoniana\imagens\capas\385945\1\10.jpg</v>
      </c>
      <c r="P68" s="12" t="str">
        <f>HYPERLINK(O68)</f>
        <v>C:\Users\mbaptista\OneDrive - Biblioteca Nacional de Portugal\Documentos\python\camoniana\imagens\capas\385945\1\10.jpg</v>
      </c>
      <c r="Q68" s="12"/>
      <c r="R68" s="6"/>
      <c r="S68" s="4"/>
      <c r="T68" s="1"/>
      <c r="U68" s="13"/>
      <c r="V68" s="13"/>
      <c r="W68" s="5"/>
    </row>
    <row r="69" spans="1:23" ht="75">
      <c r="A69" s="1">
        <v>385945</v>
      </c>
      <c r="B69" s="1">
        <v>1</v>
      </c>
      <c r="C69" s="1">
        <v>11</v>
      </c>
      <c r="D69" s="2" t="s">
        <v>53</v>
      </c>
      <c r="E69" s="5" t="s">
        <v>53</v>
      </c>
      <c r="F69" s="5">
        <v>273149</v>
      </c>
      <c r="G69" s="2" t="s">
        <v>1494</v>
      </c>
      <c r="H69" s="2" t="s">
        <v>1495</v>
      </c>
      <c r="I69" s="2" t="s">
        <v>1496</v>
      </c>
      <c r="J69" s="2" t="str">
        <f t="shared" si="2"/>
        <v>https://permalinkbnd.bnportugal.gov.pt/viewer/273149/?offset=#page=11&amp;viewer=picture&amp;o=info&amp;n=0&amp;q=</v>
      </c>
      <c r="K69" s="1" t="s">
        <v>54</v>
      </c>
      <c r="L69" s="1" t="str">
        <f>VLOOKUP(A69,Folha2!$A$2:$B$2019,2,FALSE)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9" s="12" t="str">
        <f t="shared" si="3"/>
        <v>https://permalinkbnd.bnportugal.gov.pt/viewer/273149/?offset=#page=11&amp;viewer=picture&amp;o=info&amp;n=0&amp;q=</v>
      </c>
      <c r="N69" s="12" t="s">
        <v>1497</v>
      </c>
      <c r="O69" s="12" t="str">
        <f>CONCATENATE(N69,A69,"\",B69,"\",C69,".jpg")</f>
        <v>C:\Users\mbaptista\OneDrive - Biblioteca Nacional de Portugal\Documentos\python\camoniana\imagens\capas\385945\1\11.jpg</v>
      </c>
      <c r="P69" s="12" t="str">
        <f>HYPERLINK(O69)</f>
        <v>C:\Users\mbaptista\OneDrive - Biblioteca Nacional de Portugal\Documentos\python\camoniana\imagens\capas\385945\1\11.jpg</v>
      </c>
      <c r="Q69" s="12"/>
      <c r="R69" s="6"/>
      <c r="S69" s="4"/>
      <c r="T69" s="1"/>
      <c r="U69" s="13"/>
      <c r="V69" s="13"/>
      <c r="W69" s="5"/>
    </row>
    <row r="70" spans="1:23" ht="75">
      <c r="A70" s="1">
        <v>385945</v>
      </c>
      <c r="B70" s="1">
        <v>1</v>
      </c>
      <c r="C70" s="1">
        <v>15</v>
      </c>
      <c r="D70" s="2" t="s">
        <v>53</v>
      </c>
      <c r="E70" s="11" t="s">
        <v>53</v>
      </c>
      <c r="F70" s="11">
        <v>273149</v>
      </c>
      <c r="G70" s="2" t="s">
        <v>1494</v>
      </c>
      <c r="H70" s="2" t="s">
        <v>1495</v>
      </c>
      <c r="I70" s="2" t="s">
        <v>1496</v>
      </c>
      <c r="J70" s="2" t="str">
        <f t="shared" si="2"/>
        <v>https://permalinkbnd.bnportugal.gov.pt/viewer/273149/?offset=#page=15&amp;viewer=picture&amp;o=info&amp;n=0&amp;q=</v>
      </c>
      <c r="K70" s="1" t="s">
        <v>54</v>
      </c>
      <c r="L70" s="1" t="str">
        <f>VLOOKUP(A70,Folha2!$A$2:$B$2019,2,FALSE)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70" s="12" t="str">
        <f t="shared" si="3"/>
        <v>https://permalinkbnd.bnportugal.gov.pt/viewer/273149/?offset=#page=15&amp;viewer=picture&amp;o=info&amp;n=0&amp;q=</v>
      </c>
      <c r="N70" s="12" t="s">
        <v>1497</v>
      </c>
      <c r="O70" s="12" t="str">
        <f>CONCATENATE(N70,A70,"\",B70,"\",C70,".jpg")</f>
        <v>C:\Users\mbaptista\OneDrive - Biblioteca Nacional de Portugal\Documentos\python\camoniana\imagens\capas\385945\1\15.jpg</v>
      </c>
      <c r="P70" s="12" t="str">
        <f>HYPERLINK(O70)</f>
        <v>C:\Users\mbaptista\OneDrive - Biblioteca Nacional de Portugal\Documentos\python\camoniana\imagens\capas\385945\1\15.jpg</v>
      </c>
      <c r="Q70" s="12"/>
      <c r="R70" s="6" t="s">
        <v>55</v>
      </c>
      <c r="S70" s="4"/>
      <c r="T70" s="1">
        <v>15</v>
      </c>
      <c r="U70" s="13"/>
      <c r="V70" s="13"/>
      <c r="W70" s="5" t="s">
        <v>1491</v>
      </c>
    </row>
    <row r="71" spans="1:23" ht="75">
      <c r="A71" s="1">
        <v>385949</v>
      </c>
      <c r="B71" s="1">
        <v>1</v>
      </c>
      <c r="C71" s="1">
        <v>1</v>
      </c>
      <c r="D71" s="2" t="s">
        <v>56</v>
      </c>
      <c r="E71" s="5" t="s">
        <v>56</v>
      </c>
      <c r="F71" s="5">
        <v>274256</v>
      </c>
      <c r="G71" s="2" t="s">
        <v>1494</v>
      </c>
      <c r="H71" s="2" t="s">
        <v>1495</v>
      </c>
      <c r="I71" s="2" t="s">
        <v>1496</v>
      </c>
      <c r="J71" s="2" t="str">
        <f t="shared" si="2"/>
        <v>https://permalinkbnd.bnportugal.gov.pt/viewer/274256/?offset=#page=1&amp;viewer=picture&amp;o=info&amp;n=0&amp;q=</v>
      </c>
      <c r="K71" s="1">
        <v>1</v>
      </c>
      <c r="L71" s="1" t="str">
        <f>VLOOKUP(A71,Folha2!$A$2:$B$2019,2,FALSE)</f>
        <v>Centro Republicano. Açores, 1880. Fragmentos épica e canção: Recolha epigráfica?</v>
      </c>
      <c r="M71" s="12" t="str">
        <f t="shared" si="3"/>
        <v>https://permalinkbnd.bnportugal.gov.pt/viewer/274256/?offset=#page=1&amp;viewer=picture&amp;o=info&amp;n=0&amp;q=</v>
      </c>
      <c r="N71" s="12" t="s">
        <v>1497</v>
      </c>
      <c r="O71" s="12" t="str">
        <f>CONCATENATE(N71,A71,"\",B71,"\",C71,".jpg")</f>
        <v>C:\Users\mbaptista\OneDrive - Biblioteca Nacional de Portugal\Documentos\python\camoniana\imagens\capas\385949\1\1.jpg</v>
      </c>
      <c r="P71" s="12" t="str">
        <f>HYPERLINK(O71)</f>
        <v>C:\Users\mbaptista\OneDrive - Biblioteca Nacional de Portugal\Documentos\python\camoniana\imagens\capas\385949\1\1.jpg</v>
      </c>
      <c r="Q71" s="12"/>
      <c r="R71" s="6" t="s">
        <v>57</v>
      </c>
      <c r="S71" s="4"/>
      <c r="T71" s="1">
        <v>1</v>
      </c>
      <c r="U71" s="13"/>
      <c r="V71" s="13"/>
      <c r="W71" s="5" t="s">
        <v>1491</v>
      </c>
    </row>
    <row r="72" spans="1:23" ht="75">
      <c r="A72" s="1">
        <v>386935</v>
      </c>
      <c r="B72" s="1">
        <v>1</v>
      </c>
      <c r="C72" s="1">
        <v>1</v>
      </c>
      <c r="D72" s="2" t="s">
        <v>58</v>
      </c>
      <c r="E72" s="11" t="s">
        <v>58</v>
      </c>
      <c r="F72" s="11">
        <v>273122</v>
      </c>
      <c r="G72" s="2" t="s">
        <v>1494</v>
      </c>
      <c r="H72" s="2" t="s">
        <v>1495</v>
      </c>
      <c r="I72" s="2" t="s">
        <v>1496</v>
      </c>
      <c r="J72" s="2" t="str">
        <f t="shared" si="2"/>
        <v>https://permalinkbnd.bnportugal.gov.pt/viewer/273122/?offset=#page=1&amp;viewer=picture&amp;o=info&amp;n=0&amp;q=</v>
      </c>
      <c r="K72" s="1">
        <v>1</v>
      </c>
      <c r="L72" s="1" t="str">
        <f>VLOOKUP(A72,Folha2!$A$2:$B$2019,2,FALSE)</f>
        <v>Viana a Camões, 1880.  Publicação Comemorativa: não parece periódico do Tricentenário do Imortal Cantor dos Lusíadas. Figuras Femininas [Zulmira E. A. de Sá, poema em homenagem ao Poeta]. Celebrações (1880), recepção criativa, tematização</v>
      </c>
      <c r="M72" s="12" t="str">
        <f t="shared" si="3"/>
        <v>https://permalinkbnd.bnportugal.gov.pt/viewer/273122/?offset=#page=1&amp;viewer=picture&amp;o=info&amp;n=0&amp;q=</v>
      </c>
      <c r="N72" s="12" t="s">
        <v>1497</v>
      </c>
      <c r="O72" s="12" t="str">
        <f>CONCATENATE(N72,A72,"\",B72,"\",C72,".jpg")</f>
        <v>C:\Users\mbaptista\OneDrive - Biblioteca Nacional de Portugal\Documentos\python\camoniana\imagens\capas\386935\1\1.jpg</v>
      </c>
      <c r="P72" s="12" t="str">
        <f>HYPERLINK(O72)</f>
        <v>C:\Users\mbaptista\OneDrive - Biblioteca Nacional de Portugal\Documentos\python\camoniana\imagens\capas\386935\1\1.jpg</v>
      </c>
      <c r="Q72" s="12"/>
      <c r="R72" s="6" t="s">
        <v>59</v>
      </c>
      <c r="S72" s="4"/>
      <c r="T72" s="1"/>
      <c r="U72" s="13"/>
      <c r="V72" s="13"/>
      <c r="W72" s="5" t="s">
        <v>1491</v>
      </c>
    </row>
    <row r="73" spans="1:23" ht="75">
      <c r="A73" s="1">
        <v>386992</v>
      </c>
      <c r="B73" s="1">
        <v>1</v>
      </c>
      <c r="C73" s="1">
        <v>1</v>
      </c>
      <c r="D73" s="2" t="s">
        <v>60</v>
      </c>
      <c r="E73" s="5" t="s">
        <v>60</v>
      </c>
      <c r="F73" s="5">
        <v>273124</v>
      </c>
      <c r="G73" s="2" t="s">
        <v>1494</v>
      </c>
      <c r="H73" s="2" t="s">
        <v>1495</v>
      </c>
      <c r="I73" s="2" t="s">
        <v>1496</v>
      </c>
      <c r="J73" s="2" t="str">
        <f t="shared" si="2"/>
        <v>https://permalinkbnd.bnportugal.gov.pt/viewer/273124/?offset=#page=1&amp;viewer=picture&amp;o=info&amp;n=0&amp;q=</v>
      </c>
      <c r="K73" s="1">
        <v>1</v>
      </c>
      <c r="L73" s="1" t="str">
        <f>VLOOKUP(A73,Folha2!$A$2:$B$2019,2,FALSE)</f>
        <v xml:space="preserve">Homenagem. S. Miguel, Açores, 1880, com duas digitalizações em cores distintas da mesma peça. Será um periódico? Não. </v>
      </c>
      <c r="M73" s="12" t="str">
        <f t="shared" si="3"/>
        <v>https://permalinkbnd.bnportugal.gov.pt/viewer/273124/?offset=#page=1&amp;viewer=picture&amp;o=info&amp;n=0&amp;q=</v>
      </c>
      <c r="N73" s="12" t="s">
        <v>1497</v>
      </c>
      <c r="O73" s="12" t="str">
        <f>CONCATENATE(N73,A73,"\",B73,"\",C73,".jpg")</f>
        <v>C:\Users\mbaptista\OneDrive - Biblioteca Nacional de Portugal\Documentos\python\camoniana\imagens\capas\386992\1\1.jpg</v>
      </c>
      <c r="P73" s="12" t="str">
        <f>HYPERLINK(O73)</f>
        <v>C:\Users\mbaptista\OneDrive - Biblioteca Nacional de Portugal\Documentos\python\camoniana\imagens\capas\386992\1\1.jpg</v>
      </c>
      <c r="Q73" s="12"/>
      <c r="R73" s="6" t="s">
        <v>61</v>
      </c>
      <c r="S73" s="4"/>
      <c r="T73" s="1">
        <v>1</v>
      </c>
      <c r="U73" s="13"/>
      <c r="V73" s="13"/>
      <c r="W73" s="5" t="s">
        <v>1491</v>
      </c>
    </row>
    <row r="74" spans="1:23" ht="75">
      <c r="A74" s="1">
        <v>396405</v>
      </c>
      <c r="B74" s="1">
        <v>1</v>
      </c>
      <c r="C74" s="1">
        <v>1</v>
      </c>
      <c r="D74" s="2" t="s">
        <v>62</v>
      </c>
      <c r="E74" s="11" t="s">
        <v>62</v>
      </c>
      <c r="F74" s="11">
        <v>36059</v>
      </c>
      <c r="G74" s="2" t="s">
        <v>1494</v>
      </c>
      <c r="H74" s="2" t="s">
        <v>1495</v>
      </c>
      <c r="I74" s="2" t="s">
        <v>1496</v>
      </c>
      <c r="J74" s="2" t="str">
        <f t="shared" si="2"/>
        <v>https://permalinkbnd.bnportugal.gov.pt/viewer/36059/?offset=#page=1&amp;viewer=picture&amp;o=info&amp;n=0&amp;q=</v>
      </c>
      <c r="K74" s="1">
        <v>1</v>
      </c>
      <c r="L74" s="1" t="str">
        <f>VLOOKUP(A74,Folha2!$A$2:$B$2019,2,FALSE)</f>
        <v>Fernando Jorge Fialho, 1992, com epígrafe: "Daquele cuja lira sonorosa/ será mais afamada que ditosa". Consultada cópia interna.</v>
      </c>
      <c r="M74" s="12" t="str">
        <f t="shared" si="3"/>
        <v>https://permalinkbnd.bnportugal.gov.pt/viewer/36059/?offset=#page=1&amp;viewer=picture&amp;o=info&amp;n=0&amp;q=</v>
      </c>
      <c r="N74" s="12" t="s">
        <v>1497</v>
      </c>
      <c r="O74" s="12" t="str">
        <f>CONCATENATE(N74,A74,"\",B74,"\",C74,".jpg")</f>
        <v>C:\Users\mbaptista\OneDrive - Biblioteca Nacional de Portugal\Documentos\python\camoniana\imagens\capas\396405\1\1.jpg</v>
      </c>
      <c r="P74" s="12" t="str">
        <f>HYPERLINK(O74)</f>
        <v>C:\Users\mbaptista\OneDrive - Biblioteca Nacional de Portugal\Documentos\python\camoniana\imagens\capas\396405\1\1.jpg</v>
      </c>
      <c r="Q74" s="12"/>
      <c r="R74" s="6" t="s">
        <v>63</v>
      </c>
      <c r="S74" s="4"/>
      <c r="T74" s="1">
        <v>1</v>
      </c>
      <c r="U74" s="13"/>
      <c r="V74" s="13"/>
      <c r="W74" s="5" t="s">
        <v>1491</v>
      </c>
    </row>
    <row r="75" spans="1:23" ht="75">
      <c r="A75" s="1">
        <v>397670</v>
      </c>
      <c r="B75" s="1">
        <v>1</v>
      </c>
      <c r="C75" s="13">
        <v>11</v>
      </c>
      <c r="D75" s="2" t="s">
        <v>64</v>
      </c>
      <c r="E75" s="5" t="s">
        <v>64</v>
      </c>
      <c r="F75" s="5">
        <v>273150</v>
      </c>
      <c r="G75" s="2" t="s">
        <v>1494</v>
      </c>
      <c r="H75" s="2" t="s">
        <v>1495</v>
      </c>
      <c r="I75" s="2" t="s">
        <v>1496</v>
      </c>
      <c r="J75" s="2" t="str">
        <f t="shared" si="2"/>
        <v>https://permalinkbnd.bnportugal.gov.pt/viewer/273150/?offset=#page=11&amp;viewer=picture&amp;o=info&amp;n=0&amp;q=</v>
      </c>
      <c r="K75" s="1" t="s">
        <v>65</v>
      </c>
      <c r="L75" s="1" t="str">
        <f>VLOOKUP(A75,Folha2!$A$2:$B$2019,2,FALSE)</f>
        <v>Episódio da Ilha de Vénus. Trd. De Cournand, 1880, sem argumento. Bilingue. Trad. Paratextos gerais e Celebrações (1880), traduções.</v>
      </c>
      <c r="M75" s="12" t="str">
        <f t="shared" si="3"/>
        <v>https://permalinkbnd.bnportugal.gov.pt/viewer/273150/?offset=#page=11&amp;viewer=picture&amp;o=info&amp;n=0&amp;q=</v>
      </c>
      <c r="N75" s="12" t="s">
        <v>1497</v>
      </c>
      <c r="O75" s="12" t="str">
        <f>CONCATENATE(N75,A75,"\",B75,"\",C75,".jpg")</f>
        <v>C:\Users\mbaptista\OneDrive - Biblioteca Nacional de Portugal\Documentos\python\camoniana\imagens\capas\397670\1\11.jpg</v>
      </c>
      <c r="P75" s="12" t="str">
        <f>HYPERLINK(O75)</f>
        <v>C:\Users\mbaptista\OneDrive - Biblioteca Nacional de Portugal\Documentos\python\camoniana\imagens\capas\397670\1\11.jpg</v>
      </c>
      <c r="Q75" s="12"/>
      <c r="R75" s="6" t="s">
        <v>67</v>
      </c>
      <c r="S75" s="4"/>
      <c r="T75" s="1"/>
      <c r="U75" s="13" t="s">
        <v>66</v>
      </c>
      <c r="V75" s="13"/>
      <c r="W75" s="5" t="s">
        <v>1491</v>
      </c>
    </row>
    <row r="76" spans="1:23" ht="75">
      <c r="A76" s="1">
        <v>397670</v>
      </c>
      <c r="B76" s="1"/>
      <c r="C76" s="13">
        <v>13</v>
      </c>
      <c r="D76" s="2" t="s">
        <v>64</v>
      </c>
      <c r="E76" s="11" t="s">
        <v>64</v>
      </c>
      <c r="F76" s="11">
        <v>273150</v>
      </c>
      <c r="G76" s="2" t="s">
        <v>1494</v>
      </c>
      <c r="H76" s="2" t="s">
        <v>1495</v>
      </c>
      <c r="I76" s="2" t="s">
        <v>1496</v>
      </c>
      <c r="J76" s="2" t="str">
        <f t="shared" si="2"/>
        <v>https://permalinkbnd.bnportugal.gov.pt/viewer/273150/?offset=#page=13&amp;viewer=picture&amp;o=info&amp;n=0&amp;q=</v>
      </c>
      <c r="K76" s="1" t="s">
        <v>65</v>
      </c>
      <c r="L76" s="1" t="str">
        <f>VLOOKUP(A76,Folha2!$A$2:$B$2019,2,FALSE)</f>
        <v>Episódio da Ilha de Vénus. Trd. De Cournand, 1880, sem argumento. Bilingue. Trad. Paratextos gerais e Celebrações (1880), traduções.</v>
      </c>
      <c r="M76" s="12" t="str">
        <f t="shared" si="3"/>
        <v>https://permalinkbnd.bnportugal.gov.pt/viewer/273150/?offset=#page=13&amp;viewer=picture&amp;o=info&amp;n=0&amp;q=</v>
      </c>
      <c r="N76" s="12" t="s">
        <v>1497</v>
      </c>
      <c r="O76" s="12" t="str">
        <f>CONCATENATE(N76,A76,"\",B76,"\",C76,".jpg")</f>
        <v>C:\Users\mbaptista\OneDrive - Biblioteca Nacional de Portugal\Documentos\python\camoniana\imagens\capas\397670\\13.jpg</v>
      </c>
      <c r="P76" s="12" t="str">
        <f>HYPERLINK(O76)</f>
        <v>C:\Users\mbaptista\OneDrive - Biblioteca Nacional de Portugal\Documentos\python\camoniana\imagens\capas\397670\\13.jpg</v>
      </c>
      <c r="Q76" s="12"/>
      <c r="R76" s="6"/>
      <c r="S76" s="4"/>
      <c r="T76" s="1"/>
      <c r="U76" s="13"/>
      <c r="V76" s="13"/>
      <c r="W76" s="5"/>
    </row>
    <row r="77" spans="1:23" ht="75">
      <c r="A77" s="1">
        <v>397818</v>
      </c>
      <c r="B77" s="1">
        <v>1</v>
      </c>
      <c r="C77" s="1">
        <v>6</v>
      </c>
      <c r="D77" s="2" t="s">
        <v>68</v>
      </c>
      <c r="E77" s="5" t="s">
        <v>68</v>
      </c>
      <c r="F77" s="5">
        <v>272368</v>
      </c>
      <c r="G77" s="2" t="s">
        <v>1494</v>
      </c>
      <c r="H77" s="2" t="s">
        <v>1495</v>
      </c>
      <c r="I77" s="2" t="s">
        <v>1496</v>
      </c>
      <c r="J77" s="2" t="str">
        <f t="shared" si="2"/>
        <v>https://permalinkbnd.bnportugal.gov.pt/viewer/272368/?offset=#page=6&amp;viewer=picture&amp;o=info&amp;n=0&amp;q=</v>
      </c>
      <c r="K77" s="1" t="s">
        <v>69</v>
      </c>
      <c r="L77" s="1" t="str">
        <f>VLOOKUP(A77,Folha2!$A$2:$B$2019,2,FALSE)</f>
        <v>Os Lusíadas. Inocêncio Francisco da Silva, 1891. Paratextos vida e Paratextos argumentos. Iconografia outros [padrão].</v>
      </c>
      <c r="M77" s="12" t="str">
        <f t="shared" si="3"/>
        <v>https://permalinkbnd.bnportugal.gov.pt/viewer/272368/?offset=#page=6&amp;viewer=picture&amp;o=info&amp;n=0&amp;q=</v>
      </c>
      <c r="N77" s="12" t="s">
        <v>1497</v>
      </c>
      <c r="O77" s="12" t="str">
        <f>CONCATENATE(N77,A77,"\",B77,"\",C77,".jpg")</f>
        <v>C:\Users\mbaptista\OneDrive - Biblioteca Nacional de Portugal\Documentos\python\camoniana\imagens\capas\397818\1\6.jpg</v>
      </c>
      <c r="P77" s="12" t="str">
        <f>HYPERLINK(O77)</f>
        <v>C:\Users\mbaptista\OneDrive - Biblioteca Nacional de Portugal\Documentos\python\camoniana\imagens\capas\397818\1\6.jpg</v>
      </c>
      <c r="Q77" s="12"/>
      <c r="R77" s="6" t="s">
        <v>70</v>
      </c>
      <c r="S77" s="4"/>
      <c r="T77" s="1">
        <v>6</v>
      </c>
      <c r="U77" s="13"/>
      <c r="V77" s="13"/>
      <c r="W77" s="5" t="s">
        <v>1491</v>
      </c>
    </row>
    <row r="78" spans="1:23" ht="75">
      <c r="A78" s="1">
        <v>397818</v>
      </c>
      <c r="B78" s="1">
        <v>1</v>
      </c>
      <c r="C78" s="1">
        <v>106</v>
      </c>
      <c r="D78" s="2" t="s">
        <v>68</v>
      </c>
      <c r="E78" s="11" t="s">
        <v>68</v>
      </c>
      <c r="F78" s="11">
        <v>272368</v>
      </c>
      <c r="G78" s="2" t="s">
        <v>1494</v>
      </c>
      <c r="H78" s="2" t="s">
        <v>1495</v>
      </c>
      <c r="I78" s="2" t="s">
        <v>1496</v>
      </c>
      <c r="J78" s="2" t="str">
        <f t="shared" si="2"/>
        <v>https://permalinkbnd.bnportugal.gov.pt/viewer/272368/?offset=#page=106&amp;viewer=picture&amp;o=info&amp;n=0&amp;q=</v>
      </c>
      <c r="K78" s="1" t="s">
        <v>69</v>
      </c>
      <c r="L78" s="1" t="str">
        <f>VLOOKUP(A78,Folha2!$A$2:$B$2019,2,FALSE)</f>
        <v>Os Lusíadas. Inocêncio Francisco da Silva, 1891. Paratextos vida e Paratextos argumentos. Iconografia outros [padrão].</v>
      </c>
      <c r="M78" s="12" t="str">
        <f t="shared" si="3"/>
        <v>https://permalinkbnd.bnportugal.gov.pt/viewer/272368/?offset=#page=106&amp;viewer=picture&amp;o=info&amp;n=0&amp;q=</v>
      </c>
      <c r="N78" s="12" t="s">
        <v>1497</v>
      </c>
      <c r="O78" s="12" t="str">
        <f>CONCATENATE(N78,A78,"\",B78,"\",C78,".jpg")</f>
        <v>C:\Users\mbaptista\OneDrive - Biblioteca Nacional de Portugal\Documentos\python\camoniana\imagens\capas\397818\1\106.jpg</v>
      </c>
      <c r="P78" s="12" t="str">
        <f>HYPERLINK(O78)</f>
        <v>C:\Users\mbaptista\OneDrive - Biblioteca Nacional de Portugal\Documentos\python\camoniana\imagens\capas\397818\1\106.jpg</v>
      </c>
      <c r="Q78" s="12"/>
      <c r="R78" s="6"/>
      <c r="S78" s="4"/>
      <c r="T78" s="1"/>
      <c r="U78" s="13"/>
      <c r="V78" s="13"/>
      <c r="W78" s="5"/>
    </row>
    <row r="79" spans="1:23" ht="75">
      <c r="A79" s="1">
        <v>397822</v>
      </c>
      <c r="B79" s="1">
        <v>1</v>
      </c>
      <c r="C79" s="13">
        <v>7</v>
      </c>
      <c r="D79" s="2" t="s">
        <v>71</v>
      </c>
      <c r="E79" s="5" t="s">
        <v>71</v>
      </c>
      <c r="F79" s="5">
        <v>274090</v>
      </c>
      <c r="G79" s="2" t="s">
        <v>1494</v>
      </c>
      <c r="H79" s="2" t="s">
        <v>1495</v>
      </c>
      <c r="I79" s="2" t="s">
        <v>1496</v>
      </c>
      <c r="J79" s="2" t="str">
        <f t="shared" si="2"/>
        <v>https://permalinkbnd.bnportugal.gov.pt/viewer/274090/?offset=#page=7&amp;viewer=picture&amp;o=info&amp;n=0&amp;q=</v>
      </c>
      <c r="K79" s="1" t="s">
        <v>72</v>
      </c>
      <c r="L79" s="1" t="str">
        <f>VLOOKUP(A79,Folha2!$A$2:$B$2019,2,FALSE)</f>
        <v xml:space="preserve">Os Lusíadas, 1898, sem argumentos. Paratextos notas [espécie de didascália]. </v>
      </c>
      <c r="M79" s="12" t="str">
        <f t="shared" si="3"/>
        <v>https://permalinkbnd.bnportugal.gov.pt/viewer/274090/?offset=#page=7&amp;viewer=picture&amp;o=info&amp;n=0&amp;q=</v>
      </c>
      <c r="N79" s="12" t="s">
        <v>1497</v>
      </c>
      <c r="O79" s="12" t="str">
        <f>CONCATENATE(N79,A79,"\",B79,"\",C79,".jpg")</f>
        <v>C:\Users\mbaptista\OneDrive - Biblioteca Nacional de Portugal\Documentos\python\camoniana\imagens\capas\397822\1\7.jpg</v>
      </c>
      <c r="P79" s="12" t="str">
        <f>HYPERLINK(O79)</f>
        <v>C:\Users\mbaptista\OneDrive - Biblioteca Nacional de Portugal\Documentos\python\camoniana\imagens\capas\397822\1\7.jpg</v>
      </c>
      <c r="Q79" s="12"/>
      <c r="R79" s="6" t="s">
        <v>74</v>
      </c>
      <c r="S79" s="4"/>
      <c r="T79" s="1"/>
      <c r="U79" s="13" t="s">
        <v>73</v>
      </c>
      <c r="V79" s="13"/>
      <c r="W79" s="5" t="s">
        <v>1491</v>
      </c>
    </row>
    <row r="80" spans="1:23" ht="75">
      <c r="A80" s="1">
        <v>397822</v>
      </c>
      <c r="B80" s="1">
        <v>1</v>
      </c>
      <c r="C80" s="13">
        <v>388</v>
      </c>
      <c r="D80" s="2" t="s">
        <v>71</v>
      </c>
      <c r="E80" s="11" t="s">
        <v>71</v>
      </c>
      <c r="F80" s="11">
        <v>274090</v>
      </c>
      <c r="G80" s="2" t="s">
        <v>1494</v>
      </c>
      <c r="H80" s="2" t="s">
        <v>1495</v>
      </c>
      <c r="I80" s="2" t="s">
        <v>1496</v>
      </c>
      <c r="J80" s="2" t="str">
        <f t="shared" si="2"/>
        <v>https://permalinkbnd.bnportugal.gov.pt/viewer/274090/?offset=#page=388&amp;viewer=picture&amp;o=info&amp;n=0&amp;q=</v>
      </c>
      <c r="K80" s="1" t="s">
        <v>72</v>
      </c>
      <c r="L80" s="1" t="str">
        <f>VLOOKUP(A80,Folha2!$A$2:$B$2019,2,FALSE)</f>
        <v xml:space="preserve">Os Lusíadas, 1898, sem argumentos. Paratextos notas [espécie de didascália]. </v>
      </c>
      <c r="M80" s="12" t="str">
        <f t="shared" si="3"/>
        <v>https://permalinkbnd.bnportugal.gov.pt/viewer/274090/?offset=#page=388&amp;viewer=picture&amp;o=info&amp;n=0&amp;q=</v>
      </c>
      <c r="N80" s="12" t="s">
        <v>1497</v>
      </c>
      <c r="O80" s="12" t="str">
        <f>CONCATENATE(N80,A80,"\",B80,"\",C80,".jpg")</f>
        <v>C:\Users\mbaptista\OneDrive - Biblioteca Nacional de Portugal\Documentos\python\camoniana\imagens\capas\397822\1\388.jpg</v>
      </c>
      <c r="P80" s="12" t="str">
        <f>HYPERLINK(O80)</f>
        <v>C:\Users\mbaptista\OneDrive - Biblioteca Nacional de Portugal\Documentos\python\camoniana\imagens\capas\397822\1\388.jpg</v>
      </c>
      <c r="Q80" s="12"/>
      <c r="R80" s="6"/>
      <c r="S80" s="4"/>
      <c r="T80" s="1"/>
      <c r="U80" s="13"/>
      <c r="V80" s="13"/>
      <c r="W80" s="5"/>
    </row>
    <row r="81" spans="1:23" ht="75">
      <c r="A81" s="1">
        <v>397852</v>
      </c>
      <c r="B81" s="1">
        <v>1</v>
      </c>
      <c r="C81" s="13">
        <v>14</v>
      </c>
      <c r="D81" s="2" t="s">
        <v>75</v>
      </c>
      <c r="E81" s="5" t="s">
        <v>75</v>
      </c>
      <c r="F81" s="5">
        <v>274172</v>
      </c>
      <c r="G81" s="2" t="s">
        <v>1494</v>
      </c>
      <c r="H81" s="2" t="s">
        <v>1495</v>
      </c>
      <c r="I81" s="2" t="s">
        <v>1496</v>
      </c>
      <c r="J81" s="2" t="str">
        <f t="shared" si="2"/>
        <v>https://permalinkbnd.bnportugal.gov.pt/viewer/274172/?offset=#page=14&amp;viewer=picture&amp;o=info&amp;n=0&amp;q=</v>
      </c>
      <c r="K81" s="1" t="s">
        <v>76</v>
      </c>
      <c r="L81" s="1" t="str">
        <f>VLOOKUP(A81,Folha2!$A$2:$B$2019,2,FALSE)</f>
        <v>Les Lusiades (I), Henri Courtois, 1887, sem argumentos. Bilingue. 1.º fascículo, que inclui apenas o C. I. no sétimo aniversário do Tricentenário. Trad. Paratextos gerais e Celebrações (1880), traduções.</v>
      </c>
      <c r="M81" s="12" t="str">
        <f t="shared" si="3"/>
        <v>https://permalinkbnd.bnportugal.gov.pt/viewer/274172/?offset=#page=14&amp;viewer=picture&amp;o=info&amp;n=0&amp;q=</v>
      </c>
      <c r="N81" s="12" t="s">
        <v>1497</v>
      </c>
      <c r="O81" s="12" t="str">
        <f>CONCATENATE(N81,A81,"\",B81,"\",C81,".jpg")</f>
        <v>C:\Users\mbaptista\OneDrive - Biblioteca Nacional de Portugal\Documentos\python\camoniana\imagens\capas\397852\1\14.jpg</v>
      </c>
      <c r="P81" s="12" t="str">
        <f>HYPERLINK(O81)</f>
        <v>C:\Users\mbaptista\OneDrive - Biblioteca Nacional de Portugal\Documentos\python\camoniana\imagens\capas\397852\1\14.jpg</v>
      </c>
      <c r="Q81" s="12"/>
      <c r="R81" s="6" t="s">
        <v>78</v>
      </c>
      <c r="S81" s="4"/>
      <c r="T81" s="1"/>
      <c r="U81" s="13" t="s">
        <v>77</v>
      </c>
      <c r="V81" s="13"/>
      <c r="W81" s="5" t="s">
        <v>1491</v>
      </c>
    </row>
    <row r="82" spans="1:23" ht="75">
      <c r="A82" s="1">
        <v>397863</v>
      </c>
      <c r="B82" s="1">
        <v>1</v>
      </c>
      <c r="C82" s="13">
        <v>11</v>
      </c>
      <c r="D82" s="2" t="s">
        <v>79</v>
      </c>
      <c r="E82" s="11" t="s">
        <v>79</v>
      </c>
      <c r="F82" s="11">
        <v>273148</v>
      </c>
      <c r="G82" s="2" t="s">
        <v>1494</v>
      </c>
      <c r="H82" s="2" t="s">
        <v>1495</v>
      </c>
      <c r="I82" s="2" t="s">
        <v>1496</v>
      </c>
      <c r="J82" s="2" t="str">
        <f t="shared" si="2"/>
        <v>https://permalinkbnd.bnportugal.gov.pt/viewer/273148/?offset=#page=11&amp;viewer=picture&amp;o=info&amp;n=0&amp;q=</v>
      </c>
      <c r="K82" s="1" t="s">
        <v>80</v>
      </c>
      <c r="L82" s="1" t="str">
        <f>VLOOKUP(A82,Folha2!$A$2:$B$2019,2,FALSE)</f>
        <v>A ode ao Conde de Redondo, 1884. No quarto aniversário do Tricentenário.</v>
      </c>
      <c r="M82" s="12" t="str">
        <f t="shared" si="3"/>
        <v>https://permalinkbnd.bnportugal.gov.pt/viewer/273148/?offset=#page=11&amp;viewer=picture&amp;o=info&amp;n=0&amp;q=</v>
      </c>
      <c r="N82" s="12" t="s">
        <v>1497</v>
      </c>
      <c r="O82" s="12" t="str">
        <f>CONCATENATE(N82,A82,"\",B82,"\",C82,".jpg")</f>
        <v>C:\Users\mbaptista\OneDrive - Biblioteca Nacional de Portugal\Documentos\python\camoniana\imagens\capas\397863\1\11.jpg</v>
      </c>
      <c r="P82" s="12" t="str">
        <f>HYPERLINK(O82)</f>
        <v>C:\Users\mbaptista\OneDrive - Biblioteca Nacional de Portugal\Documentos\python\camoniana\imagens\capas\397863\1\11.jpg</v>
      </c>
      <c r="Q82" s="12"/>
      <c r="R82" s="6" t="s">
        <v>81</v>
      </c>
      <c r="S82" s="4"/>
      <c r="T82" s="1"/>
      <c r="U82" s="13" t="s">
        <v>66</v>
      </c>
      <c r="V82" s="13"/>
      <c r="W82" s="5" t="s">
        <v>1491</v>
      </c>
    </row>
    <row r="83" spans="1:23" ht="75">
      <c r="A83" s="1">
        <v>397876</v>
      </c>
      <c r="B83" s="1">
        <v>1</v>
      </c>
      <c r="C83" s="13">
        <v>9</v>
      </c>
      <c r="D83" s="2" t="s">
        <v>82</v>
      </c>
      <c r="E83" s="5" t="s">
        <v>82</v>
      </c>
      <c r="F83" s="5">
        <v>274230</v>
      </c>
      <c r="G83" s="2" t="s">
        <v>1494</v>
      </c>
      <c r="H83" s="2" t="s">
        <v>1495</v>
      </c>
      <c r="I83" s="2" t="s">
        <v>1496</v>
      </c>
      <c r="J83" s="2" t="str">
        <f t="shared" si="2"/>
        <v>https://permalinkbnd.bnportugal.gov.pt/viewer/274230/?offset=#page=9&amp;viewer=picture&amp;o=info&amp;n=0&amp;q=</v>
      </c>
      <c r="K83" s="1">
        <v>9</v>
      </c>
      <c r="L83" s="1" t="str">
        <f>VLOOKUP(A83,Folha2!$A$2:$B$2019,2,FALSE)</f>
        <v xml:space="preserve">Sonnets choisis, 1879 . Trad. Paratextos gerais e trad. paratextos notas [em rodapé]. </v>
      </c>
      <c r="M83" s="12" t="str">
        <f t="shared" si="3"/>
        <v>https://permalinkbnd.bnportugal.gov.pt/viewer/274230/?offset=#page=9&amp;viewer=picture&amp;o=info&amp;n=0&amp;q=</v>
      </c>
      <c r="N83" s="12" t="s">
        <v>1497</v>
      </c>
      <c r="O83" s="12" t="str">
        <f>CONCATENATE(N83,A83,"\",B83,"\",C83,".jpg")</f>
        <v>C:\Users\mbaptista\OneDrive - Biblioteca Nacional de Portugal\Documentos\python\camoniana\imagens\capas\397876\1\9.jpg</v>
      </c>
      <c r="P83" s="12" t="str">
        <f>HYPERLINK(O83)</f>
        <v>C:\Users\mbaptista\OneDrive - Biblioteca Nacional de Portugal\Documentos\python\camoniana\imagens\capas\397876\1\9.jpg</v>
      </c>
      <c r="Q83" s="12"/>
      <c r="R83" s="6" t="s">
        <v>84</v>
      </c>
      <c r="S83" s="4"/>
      <c r="T83" s="1"/>
      <c r="U83" s="13" t="s">
        <v>83</v>
      </c>
      <c r="V83" s="13"/>
      <c r="W83" s="5" t="s">
        <v>1491</v>
      </c>
    </row>
    <row r="84" spans="1:23" ht="75">
      <c r="A84" s="1">
        <v>397877</v>
      </c>
      <c r="B84" s="1">
        <v>1</v>
      </c>
      <c r="C84" s="1">
        <v>9</v>
      </c>
      <c r="D84" s="2" t="s">
        <v>85</v>
      </c>
      <c r="E84" s="11" t="s">
        <v>85</v>
      </c>
      <c r="F84" s="11">
        <v>1576</v>
      </c>
      <c r="G84" s="2" t="s">
        <v>1494</v>
      </c>
      <c r="H84" s="2" t="s">
        <v>1495</v>
      </c>
      <c r="I84" s="2" t="s">
        <v>1496</v>
      </c>
      <c r="J84" s="2" t="str">
        <f t="shared" si="2"/>
        <v>https://permalinkbnd.bnportugal.gov.pt/viewer/1576/?offset=#page=9&amp;viewer=picture&amp;o=info&amp;n=0&amp;q=</v>
      </c>
      <c r="K84" s="1" t="s">
        <v>86</v>
      </c>
      <c r="L84" s="1" t="str">
        <f>VLOOKUP(A84,Folha2!$A$2:$B$2019,2,FALSE)</f>
        <v xml:space="preserve">Tercetos e um soneto. Magalhães Gandavo, 1894. Tercetos entram em elegias. </v>
      </c>
      <c r="M84" s="12" t="str">
        <f t="shared" si="3"/>
        <v>https://permalinkbnd.bnportugal.gov.pt/viewer/1576/?offset=#page=9&amp;viewer=picture&amp;o=info&amp;n=0&amp;q=</v>
      </c>
      <c r="N84" s="12" t="s">
        <v>1497</v>
      </c>
      <c r="O84" s="12" t="str">
        <f>CONCATENATE(N84,A84,"\",B84,"\",C84,".jpg")</f>
        <v>C:\Users\mbaptista\OneDrive - Biblioteca Nacional de Portugal\Documentos\python\camoniana\imagens\capas\397877\1\9.jpg</v>
      </c>
      <c r="P84" s="12" t="str">
        <f>HYPERLINK(O84)</f>
        <v>C:\Users\mbaptista\OneDrive - Biblioteca Nacional de Portugal\Documentos\python\camoniana\imagens\capas\397877\1\9.jpg</v>
      </c>
      <c r="Q84" s="12"/>
      <c r="R84" s="6" t="s">
        <v>87</v>
      </c>
      <c r="S84" s="4"/>
      <c r="T84" s="1">
        <v>9</v>
      </c>
      <c r="U84" s="13"/>
      <c r="V84" s="13"/>
      <c r="W84" s="5" t="s">
        <v>1491</v>
      </c>
    </row>
    <row r="85" spans="1:23" ht="75">
      <c r="A85" s="1">
        <v>401648</v>
      </c>
      <c r="B85" s="1">
        <v>1</v>
      </c>
      <c r="C85" s="1">
        <v>1</v>
      </c>
      <c r="D85" s="2" t="s">
        <v>88</v>
      </c>
      <c r="E85" s="5" t="s">
        <v>88</v>
      </c>
      <c r="F85" s="5">
        <v>273125</v>
      </c>
      <c r="G85" s="2" t="s">
        <v>1494</v>
      </c>
      <c r="H85" s="2" t="s">
        <v>1495</v>
      </c>
      <c r="I85" s="2" t="s">
        <v>1496</v>
      </c>
      <c r="J85" s="2" t="str">
        <f t="shared" si="2"/>
        <v>https://permalinkbnd.bnportugal.gov.pt/viewer/273125/?offset=#page=1&amp;viewer=picture&amp;o=info&amp;n=0&amp;q=</v>
      </c>
      <c r="K85" s="1" t="s">
        <v>89</v>
      </c>
      <c r="L85" s="1" t="str">
        <f>VLOOKUP(A85,Folha2!$A$2:$B$2019,2,FALSE)</f>
        <v>Plutarcho Portuguez+Retrato 1881. Inserir em Celebrações (1880), vida.</v>
      </c>
      <c r="M85" s="12" t="str">
        <f t="shared" si="3"/>
        <v>https://permalinkbnd.bnportugal.gov.pt/viewer/273125/?offset=#page=1&amp;viewer=picture&amp;o=info&amp;n=0&amp;q=</v>
      </c>
      <c r="N85" s="12" t="s">
        <v>1497</v>
      </c>
      <c r="O85" s="12" t="str">
        <f>CONCATENATE(N85,A85,"\",B85,"\",C85,".jpg")</f>
        <v>C:\Users\mbaptista\OneDrive - Biblioteca Nacional de Portugal\Documentos\python\camoniana\imagens\capas\401648\1\1.jpg</v>
      </c>
      <c r="P85" s="12" t="str">
        <f>HYPERLINK(O85)</f>
        <v>C:\Users\mbaptista\OneDrive - Biblioteca Nacional de Portugal\Documentos\python\camoniana\imagens\capas\401648\1\1.jpg</v>
      </c>
      <c r="Q85" s="12"/>
      <c r="R85" s="6"/>
      <c r="S85" s="4"/>
      <c r="T85" s="1"/>
      <c r="U85" s="13"/>
      <c r="V85" s="13"/>
      <c r="W85" s="5"/>
    </row>
    <row r="86" spans="1:23" ht="75">
      <c r="A86" s="1">
        <v>401648</v>
      </c>
      <c r="B86" s="1">
        <v>1</v>
      </c>
      <c r="C86" s="1">
        <v>3</v>
      </c>
      <c r="D86" s="2" t="s">
        <v>88</v>
      </c>
      <c r="E86" s="11" t="s">
        <v>88</v>
      </c>
      <c r="F86" s="11">
        <v>273125</v>
      </c>
      <c r="G86" s="2" t="s">
        <v>1494</v>
      </c>
      <c r="H86" s="2" t="s">
        <v>1495</v>
      </c>
      <c r="I86" s="2" t="s">
        <v>1496</v>
      </c>
      <c r="J86" s="2" t="str">
        <f t="shared" si="2"/>
        <v>https://permalinkbnd.bnportugal.gov.pt/viewer/273125/?offset=#page=3&amp;viewer=picture&amp;o=info&amp;n=0&amp;q=</v>
      </c>
      <c r="K86" s="1" t="s">
        <v>89</v>
      </c>
      <c r="L86" s="1" t="str">
        <f>VLOOKUP(A86,Folha2!$A$2:$B$2019,2,FALSE)</f>
        <v>Plutarcho Portuguez+Retrato 1881. Inserir em Celebrações (1880), vida.</v>
      </c>
      <c r="M86" s="12" t="str">
        <f t="shared" si="3"/>
        <v>https://permalinkbnd.bnportugal.gov.pt/viewer/273125/?offset=#page=3&amp;viewer=picture&amp;o=info&amp;n=0&amp;q=</v>
      </c>
      <c r="N86" s="12" t="s">
        <v>1497</v>
      </c>
      <c r="O86" s="12" t="str">
        <f>CONCATENATE(N86,A86,"\",B86,"\",C86,".jpg")</f>
        <v>C:\Users\mbaptista\OneDrive - Biblioteca Nacional de Portugal\Documentos\python\camoniana\imagens\capas\401648\1\3.jpg</v>
      </c>
      <c r="P86" s="12" t="str">
        <f>HYPERLINK(O86)</f>
        <v>C:\Users\mbaptista\OneDrive - Biblioteca Nacional de Portugal\Documentos\python\camoniana\imagens\capas\401648\1\3.jpg</v>
      </c>
      <c r="Q86" s="12"/>
      <c r="R86" s="6" t="s">
        <v>90</v>
      </c>
      <c r="S86" s="4"/>
      <c r="T86" s="1">
        <v>3</v>
      </c>
      <c r="U86" s="13"/>
      <c r="V86" s="13"/>
      <c r="W86" s="5" t="s">
        <v>1491</v>
      </c>
    </row>
    <row r="87" spans="1:23" ht="75">
      <c r="A87" s="1">
        <v>401658</v>
      </c>
      <c r="B87" s="1">
        <v>1</v>
      </c>
      <c r="C87" s="1">
        <v>1</v>
      </c>
      <c r="D87" s="2" t="s">
        <v>91</v>
      </c>
      <c r="E87" s="5" t="s">
        <v>91</v>
      </c>
      <c r="F87" s="5">
        <v>3</v>
      </c>
      <c r="G87" s="2" t="s">
        <v>1494</v>
      </c>
      <c r="H87" s="2" t="s">
        <v>1495</v>
      </c>
      <c r="I87" s="2" t="s">
        <v>1496</v>
      </c>
      <c r="J87" s="2" t="str">
        <f t="shared" si="2"/>
        <v>https://permalinkbnd.bnportugal.gov.pt/viewer/3/?offset=#page=1&amp;viewer=picture&amp;o=info&amp;n=0&amp;q=</v>
      </c>
      <c r="K87" s="1">
        <v>1</v>
      </c>
      <c r="L87" s="1" t="str">
        <f>VLOOKUP(A87,Folha2!$A$2:$B$2019,2,FALSE)</f>
        <v>Victor Hugo celebra Camões, 1880. Celebrações (1880), nótulas</v>
      </c>
      <c r="M87" s="12" t="str">
        <f t="shared" si="3"/>
        <v>https://permalinkbnd.bnportugal.gov.pt/viewer/3/?offset=#page=1&amp;viewer=picture&amp;o=info&amp;n=0&amp;q=</v>
      </c>
      <c r="N87" s="12" t="s">
        <v>1497</v>
      </c>
      <c r="O87" s="12" t="str">
        <f>CONCATENATE(N87,A87,"\",B87,"\",C87,".jpg")</f>
        <v>C:\Users\mbaptista\OneDrive - Biblioteca Nacional de Portugal\Documentos\python\camoniana\imagens\capas\401658\1\1.jpg</v>
      </c>
      <c r="P87" s="12" t="str">
        <f>HYPERLINK(O87)</f>
        <v>C:\Users\mbaptista\OneDrive - Biblioteca Nacional de Portugal\Documentos\python\camoniana\imagens\capas\401658\1\1.jpg</v>
      </c>
      <c r="Q87" s="12"/>
      <c r="R87" s="6" t="s">
        <v>92</v>
      </c>
      <c r="S87" s="4"/>
      <c r="T87" s="1">
        <v>1</v>
      </c>
      <c r="U87" s="13"/>
      <c r="V87" s="13"/>
      <c r="W87" s="5" t="s">
        <v>1491</v>
      </c>
    </row>
    <row r="88" spans="1:23" ht="75">
      <c r="A88" s="1">
        <v>401739</v>
      </c>
      <c r="B88" s="1">
        <v>1</v>
      </c>
      <c r="C88" s="1">
        <v>1</v>
      </c>
      <c r="D88" s="2" t="s">
        <v>93</v>
      </c>
      <c r="E88" s="11" t="s">
        <v>93</v>
      </c>
      <c r="F88" s="11">
        <v>274260</v>
      </c>
      <c r="G88" s="2" t="s">
        <v>1494</v>
      </c>
      <c r="H88" s="2" t="s">
        <v>1495</v>
      </c>
      <c r="I88" s="2" t="s">
        <v>1496</v>
      </c>
      <c r="J88" s="2" t="str">
        <f t="shared" si="2"/>
        <v>https://permalinkbnd.bnportugal.gov.pt/viewer/274260/?offset=#page=1&amp;viewer=picture&amp;o=info&amp;n=0&amp;q=</v>
      </c>
      <c r="K88" s="1">
        <v>1</v>
      </c>
      <c r="L88" s="1" t="str">
        <f>VLOOKUP(A88,Folha2!$A$2:$B$2019,2,FALSE)</f>
        <v>Homenagem a Camões, 1880</v>
      </c>
      <c r="M88" s="12" t="str">
        <f t="shared" si="3"/>
        <v>https://permalinkbnd.bnportugal.gov.pt/viewer/274260/?offset=#page=1&amp;viewer=picture&amp;o=info&amp;n=0&amp;q=</v>
      </c>
      <c r="N88" s="12" t="s">
        <v>1497</v>
      </c>
      <c r="O88" s="12" t="str">
        <f>CONCATENATE(N88,A88,"\",B88,"\",C88,".jpg")</f>
        <v>C:\Users\mbaptista\OneDrive - Biblioteca Nacional de Portugal\Documentos\python\camoniana\imagens\capas\401739\1\1.jpg</v>
      </c>
      <c r="P88" s="12" t="str">
        <f>HYPERLINK(O88)</f>
        <v>C:\Users\mbaptista\OneDrive - Biblioteca Nacional de Portugal\Documentos\python\camoniana\imagens\capas\401739\1\1.jpg</v>
      </c>
      <c r="Q88" s="12"/>
      <c r="R88" s="6" t="s">
        <v>94</v>
      </c>
      <c r="S88" s="4"/>
      <c r="T88" s="1">
        <v>1</v>
      </c>
      <c r="U88" s="13"/>
      <c r="V88" s="13"/>
      <c r="W88" s="5" t="s">
        <v>1491</v>
      </c>
    </row>
    <row r="89" spans="1:23" ht="75">
      <c r="A89" s="1">
        <v>402086</v>
      </c>
      <c r="B89" s="1">
        <v>1</v>
      </c>
      <c r="C89" s="1">
        <v>16</v>
      </c>
      <c r="D89" s="2" t="s">
        <v>95</v>
      </c>
      <c r="E89" s="5" t="s">
        <v>95</v>
      </c>
      <c r="F89" s="5">
        <v>274280</v>
      </c>
      <c r="G89" s="2" t="s">
        <v>1494</v>
      </c>
      <c r="H89" s="2" t="s">
        <v>1495</v>
      </c>
      <c r="I89" s="2" t="s">
        <v>1496</v>
      </c>
      <c r="J89" s="2" t="str">
        <f t="shared" si="2"/>
        <v>https://permalinkbnd.bnportugal.gov.pt/viewer/274280/?offset=#page=16&amp;viewer=picture&amp;o=info&amp;n=0&amp;q=</v>
      </c>
      <c r="K89" s="1" t="s">
        <v>96</v>
      </c>
      <c r="L89" s="1" t="str">
        <f>VLOOKUP(A89,Folha2!$A$2:$B$2019,2,FALSE)</f>
        <v>José do Canto, Colecção Camoniana, 1895</v>
      </c>
      <c r="M89" s="12" t="str">
        <f t="shared" si="3"/>
        <v>https://permalinkbnd.bnportugal.gov.pt/viewer/274280/?offset=#page=16&amp;viewer=picture&amp;o=info&amp;n=0&amp;q=</v>
      </c>
      <c r="N89" s="12" t="s">
        <v>1497</v>
      </c>
      <c r="O89" s="12" t="str">
        <f>CONCATENATE(N89,A89,"\",B89,"\",C89,".jpg")</f>
        <v>C:\Users\mbaptista\OneDrive - Biblioteca Nacional de Portugal\Documentos\python\camoniana\imagens\capas\402086\1\16.jpg</v>
      </c>
      <c r="P89" s="12" t="str">
        <f>HYPERLINK(O89)</f>
        <v>C:\Users\mbaptista\OneDrive - Biblioteca Nacional de Portugal\Documentos\python\camoniana\imagens\capas\402086\1\16.jpg</v>
      </c>
      <c r="Q89" s="12"/>
      <c r="R89" s="6" t="s">
        <v>98</v>
      </c>
      <c r="S89" s="4"/>
      <c r="T89" s="1" t="s">
        <v>97</v>
      </c>
      <c r="U89" s="13"/>
      <c r="V89" s="13"/>
      <c r="W89" s="5" t="s">
        <v>1491</v>
      </c>
    </row>
    <row r="90" spans="1:23" ht="75">
      <c r="A90" s="1">
        <v>402086</v>
      </c>
      <c r="B90" s="1">
        <v>1</v>
      </c>
      <c r="C90" s="1">
        <v>22</v>
      </c>
      <c r="D90" s="2" t="s">
        <v>95</v>
      </c>
      <c r="E90" s="11" t="s">
        <v>95</v>
      </c>
      <c r="F90" s="11">
        <v>274280</v>
      </c>
      <c r="G90" s="2" t="s">
        <v>1494</v>
      </c>
      <c r="H90" s="2" t="s">
        <v>1495</v>
      </c>
      <c r="I90" s="2" t="s">
        <v>1496</v>
      </c>
      <c r="J90" s="2" t="str">
        <f t="shared" si="2"/>
        <v>https://permalinkbnd.bnportugal.gov.pt/viewer/274280/?offset=#page=22&amp;viewer=picture&amp;o=info&amp;n=0&amp;q=</v>
      </c>
      <c r="K90" s="1" t="s">
        <v>96</v>
      </c>
      <c r="L90" s="1" t="str">
        <f>VLOOKUP(A90,Folha2!$A$2:$B$2019,2,FALSE)</f>
        <v>José do Canto, Colecção Camoniana, 1895</v>
      </c>
      <c r="M90" s="12" t="str">
        <f t="shared" si="3"/>
        <v>https://permalinkbnd.bnportugal.gov.pt/viewer/274280/?offset=#page=22&amp;viewer=picture&amp;o=info&amp;n=0&amp;q=</v>
      </c>
      <c r="N90" s="12" t="s">
        <v>1497</v>
      </c>
      <c r="O90" s="12" t="str">
        <f>CONCATENATE(N90,A90,"\",B90,"\",C90,".jpg")</f>
        <v>C:\Users\mbaptista\OneDrive - Biblioteca Nacional de Portugal\Documentos\python\camoniana\imagens\capas\402086\1\22.jpg</v>
      </c>
      <c r="P90" s="12" t="str">
        <f>HYPERLINK(O90)</f>
        <v>C:\Users\mbaptista\OneDrive - Biblioteca Nacional de Portugal\Documentos\python\camoniana\imagens\capas\402086\1\22.jpg</v>
      </c>
      <c r="Q90" s="12"/>
      <c r="R90" s="6" t="s">
        <v>99</v>
      </c>
      <c r="S90" s="4"/>
      <c r="T90" s="1" t="s">
        <v>97</v>
      </c>
      <c r="U90" s="13"/>
      <c r="V90" s="13"/>
      <c r="W90" s="5" t="s">
        <v>1491</v>
      </c>
    </row>
    <row r="91" spans="1:23" ht="75">
      <c r="A91" s="1">
        <v>402917</v>
      </c>
      <c r="B91" s="1">
        <v>1</v>
      </c>
      <c r="C91" s="13">
        <v>9</v>
      </c>
      <c r="D91" s="2" t="s">
        <v>100</v>
      </c>
      <c r="E91" s="5" t="s">
        <v>100</v>
      </c>
      <c r="F91" s="5">
        <v>273560</v>
      </c>
      <c r="G91" s="2" t="s">
        <v>1494</v>
      </c>
      <c r="H91" s="2" t="s">
        <v>1495</v>
      </c>
      <c r="I91" s="2" t="s">
        <v>1496</v>
      </c>
      <c r="J91" s="2" t="str">
        <f t="shared" si="2"/>
        <v>https://permalinkbnd.bnportugal.gov.pt/viewer/273560/?offset=#page=9&amp;viewer=picture&amp;o=info&amp;n=0&amp;q=</v>
      </c>
      <c r="K91" s="1">
        <v>9</v>
      </c>
      <c r="L91" s="1" t="str">
        <f>VLOOKUP(A91,Folha2!$A$2:$B$2019,2,FALSE)</f>
        <v>Adolf Von Schack, Camões em Sinta, 1891. No 311.º aniversário da morte do Poeta: Celebrações Recepção criativa. Tematização.</v>
      </c>
      <c r="M91" s="12" t="str">
        <f t="shared" si="3"/>
        <v>https://permalinkbnd.bnportugal.gov.pt/viewer/273560/?offset=#page=9&amp;viewer=picture&amp;o=info&amp;n=0&amp;q=</v>
      </c>
      <c r="N91" s="12" t="s">
        <v>1497</v>
      </c>
      <c r="O91" s="12" t="str">
        <f>CONCATENATE(N91,A91,"\",B91,"\",C91,".jpg")</f>
        <v>C:\Users\mbaptista\OneDrive - Biblioteca Nacional de Portugal\Documentos\python\camoniana\imagens\capas\402917\1\9.jpg</v>
      </c>
      <c r="P91" s="12" t="str">
        <f>HYPERLINK(O91)</f>
        <v>C:\Users\mbaptista\OneDrive - Biblioteca Nacional de Portugal\Documentos\python\camoniana\imagens\capas\402917\1\9.jpg</v>
      </c>
      <c r="Q91" s="12"/>
      <c r="R91" s="6" t="s">
        <v>101</v>
      </c>
      <c r="S91" s="4"/>
      <c r="T91" s="1"/>
      <c r="U91" s="13" t="s">
        <v>83</v>
      </c>
      <c r="V91" s="13"/>
      <c r="W91" s="5" t="s">
        <v>1491</v>
      </c>
    </row>
    <row r="92" spans="1:23" ht="75">
      <c r="A92" s="1">
        <v>404543</v>
      </c>
      <c r="B92" s="1">
        <v>1</v>
      </c>
      <c r="C92" s="13">
        <v>7</v>
      </c>
      <c r="D92" s="2" t="s">
        <v>102</v>
      </c>
      <c r="E92" s="11" t="s">
        <v>102</v>
      </c>
      <c r="F92" s="11">
        <v>273347</v>
      </c>
      <c r="G92" s="2" t="s">
        <v>1494</v>
      </c>
      <c r="H92" s="2" t="s">
        <v>1495</v>
      </c>
      <c r="I92" s="2" t="s">
        <v>1496</v>
      </c>
      <c r="J92" s="2" t="str">
        <f t="shared" si="2"/>
        <v>https://permalinkbnd.bnportugal.gov.pt/viewer/273347/?offset=#page=7&amp;viewer=picture&amp;o=info&amp;n=0&amp;q=</v>
      </c>
      <c r="K92" s="1">
        <v>7</v>
      </c>
      <c r="L92" s="1" t="str">
        <f>VLOOKUP(A92,Folha2!$A$2:$B$2019,2,FALSE)</f>
        <v>Excertos d'Os Lusíadas, canto II, 1889. Vénus e os Portugueses, Canto III, Inês de Castro e Batalha de Salado; C. IV: Batalha de Aljubarrota; C. V: Adamastor; C. VI: Os Doze; C. IX: Ilha dos Amores, sem argumentos.</v>
      </c>
      <c r="M92" s="12" t="str">
        <f t="shared" si="3"/>
        <v>https://permalinkbnd.bnportugal.gov.pt/viewer/273347/?offset=#page=7&amp;viewer=picture&amp;o=info&amp;n=0&amp;q=</v>
      </c>
      <c r="N92" s="12" t="s">
        <v>1497</v>
      </c>
      <c r="O92" s="12" t="str">
        <f>CONCATENATE(N92,A92,"\",B92,"\",C92,".jpg")</f>
        <v>C:\Users\mbaptista\OneDrive - Biblioteca Nacional de Portugal\Documentos\python\camoniana\imagens\capas\404543\1\7.jpg</v>
      </c>
      <c r="P92" s="12" t="str">
        <f>HYPERLINK(O92)</f>
        <v>C:\Users\mbaptista\OneDrive - Biblioteca Nacional de Portugal\Documentos\python\camoniana\imagens\capas\404543\1\7.jpg</v>
      </c>
      <c r="Q92" s="12"/>
      <c r="R92" s="6" t="s">
        <v>103</v>
      </c>
      <c r="S92" s="4"/>
      <c r="T92" s="1"/>
      <c r="U92" s="13" t="s">
        <v>73</v>
      </c>
      <c r="V92" s="13"/>
      <c r="W92" s="5" t="s">
        <v>1491</v>
      </c>
    </row>
    <row r="93" spans="1:23" ht="75">
      <c r="A93" s="1">
        <v>404800</v>
      </c>
      <c r="B93" s="1">
        <v>1</v>
      </c>
      <c r="C93" s="1">
        <v>3</v>
      </c>
      <c r="D93" s="2" t="s">
        <v>104</v>
      </c>
      <c r="E93" s="5" t="s">
        <v>104</v>
      </c>
      <c r="F93" s="5">
        <v>274348</v>
      </c>
      <c r="G93" s="2" t="s">
        <v>1494</v>
      </c>
      <c r="H93" s="2" t="s">
        <v>1495</v>
      </c>
      <c r="I93" s="2" t="s">
        <v>1496</v>
      </c>
      <c r="J93" s="2" t="str">
        <f t="shared" si="2"/>
        <v>https://permalinkbnd.bnportugal.gov.pt/viewer/274348/?offset=#page=3&amp;viewer=picture&amp;o=info&amp;n=0&amp;q=</v>
      </c>
      <c r="K93" s="1" t="s">
        <v>105</v>
      </c>
      <c r="L93" s="1" t="str">
        <f>VLOOKUP(A93,Folha2!$A$2:$B$2019,2,FALSE)</f>
        <v>Os festejos do centenário da Índia, 1898. 4.º centenário da Índia. A inserir celebrações (1898), iconografia.</v>
      </c>
      <c r="M93" s="12" t="str">
        <f t="shared" si="3"/>
        <v>https://permalinkbnd.bnportugal.gov.pt/viewer/274348/?offset=#page=3&amp;viewer=picture&amp;o=info&amp;n=0&amp;q=</v>
      </c>
      <c r="N93" s="12" t="s">
        <v>1497</v>
      </c>
      <c r="O93" s="12" t="str">
        <f>CONCATENATE(N93,A93,"\",B93,"\",C93,".jpg")</f>
        <v>C:\Users\mbaptista\OneDrive - Biblioteca Nacional de Portugal\Documentos\python\camoniana\imagens\capas\404800\1\3.jpg</v>
      </c>
      <c r="P93" s="12" t="str">
        <f>HYPERLINK(O93)</f>
        <v>C:\Users\mbaptista\OneDrive - Biblioteca Nacional de Portugal\Documentos\python\camoniana\imagens\capas\404800\1\3.jpg</v>
      </c>
      <c r="Q93" s="12"/>
      <c r="R93" s="6"/>
      <c r="S93" s="4"/>
      <c r="T93" s="1"/>
      <c r="U93" s="13"/>
      <c r="V93" s="13"/>
      <c r="W93" s="5"/>
    </row>
    <row r="94" spans="1:23" ht="75">
      <c r="A94" s="1">
        <v>404800</v>
      </c>
      <c r="B94" s="1">
        <v>1</v>
      </c>
      <c r="C94" s="1">
        <v>21</v>
      </c>
      <c r="D94" s="2" t="s">
        <v>104</v>
      </c>
      <c r="E94" s="11" t="s">
        <v>104</v>
      </c>
      <c r="F94" s="11">
        <v>274348</v>
      </c>
      <c r="G94" s="2" t="s">
        <v>1494</v>
      </c>
      <c r="H94" s="2" t="s">
        <v>1495</v>
      </c>
      <c r="I94" s="2" t="s">
        <v>1496</v>
      </c>
      <c r="J94" s="2" t="str">
        <f t="shared" si="2"/>
        <v>https://permalinkbnd.bnportugal.gov.pt/viewer/274348/?offset=#page=21&amp;viewer=picture&amp;o=info&amp;n=0&amp;q=</v>
      </c>
      <c r="K94" s="1" t="s">
        <v>105</v>
      </c>
      <c r="L94" s="1" t="str">
        <f>VLOOKUP(A94,Folha2!$A$2:$B$2019,2,FALSE)</f>
        <v>Os festejos do centenário da Índia, 1898. 4.º centenário da Índia. A inserir celebrações (1898), iconografia.</v>
      </c>
      <c r="M94" s="12" t="str">
        <f t="shared" si="3"/>
        <v>https://permalinkbnd.bnportugal.gov.pt/viewer/274348/?offset=#page=21&amp;viewer=picture&amp;o=info&amp;n=0&amp;q=</v>
      </c>
      <c r="N94" s="12" t="s">
        <v>1497</v>
      </c>
      <c r="O94" s="12" t="str">
        <f>CONCATENATE(N94,A94,"\",B94,"\",C94,".jpg")</f>
        <v>C:\Users\mbaptista\OneDrive - Biblioteca Nacional de Portugal\Documentos\python\camoniana\imagens\capas\404800\1\21.jpg</v>
      </c>
      <c r="P94" s="12" t="str">
        <f>HYPERLINK(O94)</f>
        <v>C:\Users\mbaptista\OneDrive - Biblioteca Nacional de Portugal\Documentos\python\camoniana\imagens\capas\404800\1\21.jpg</v>
      </c>
      <c r="Q94" s="12"/>
      <c r="R94" s="6" t="s">
        <v>107</v>
      </c>
      <c r="S94" s="4"/>
      <c r="T94" s="1" t="s">
        <v>106</v>
      </c>
      <c r="U94" s="13"/>
      <c r="V94" s="13"/>
      <c r="W94" s="5" t="s">
        <v>1491</v>
      </c>
    </row>
    <row r="95" spans="1:23" ht="75">
      <c r="A95" s="1">
        <v>404800</v>
      </c>
      <c r="B95" s="1">
        <v>1</v>
      </c>
      <c r="C95" s="1">
        <v>69</v>
      </c>
      <c r="D95" s="2" t="s">
        <v>104</v>
      </c>
      <c r="E95" s="5" t="s">
        <v>104</v>
      </c>
      <c r="F95" s="5">
        <v>274348</v>
      </c>
      <c r="G95" s="2" t="s">
        <v>1494</v>
      </c>
      <c r="H95" s="2" t="s">
        <v>1495</v>
      </c>
      <c r="I95" s="2" t="s">
        <v>1496</v>
      </c>
      <c r="J95" s="2" t="str">
        <f t="shared" si="2"/>
        <v>https://permalinkbnd.bnportugal.gov.pt/viewer/274348/?offset=#page=69&amp;viewer=picture&amp;o=info&amp;n=0&amp;q=</v>
      </c>
      <c r="K95" s="1" t="s">
        <v>105</v>
      </c>
      <c r="L95" s="1" t="str">
        <f>VLOOKUP(A95,Folha2!$A$2:$B$2019,2,FALSE)</f>
        <v>Os festejos do centenário da Índia, 1898. 4.º centenário da Índia. A inserir celebrações (1898), iconografia.</v>
      </c>
      <c r="M95" s="12" t="str">
        <f t="shared" si="3"/>
        <v>https://permalinkbnd.bnportugal.gov.pt/viewer/274348/?offset=#page=69&amp;viewer=picture&amp;o=info&amp;n=0&amp;q=</v>
      </c>
      <c r="N95" s="12" t="s">
        <v>1497</v>
      </c>
      <c r="O95" s="12" t="str">
        <f>CONCATENATE(N95,A95,"\",B95,"\",C95,".jpg")</f>
        <v>C:\Users\mbaptista\OneDrive - Biblioteca Nacional de Portugal\Documentos\python\camoniana\imagens\capas\404800\1\69.jpg</v>
      </c>
      <c r="P95" s="12" t="str">
        <f>HYPERLINK(O95)</f>
        <v>C:\Users\mbaptista\OneDrive - Biblioteca Nacional de Portugal\Documentos\python\camoniana\imagens\capas\404800\1\69.jpg</v>
      </c>
      <c r="Q95" s="12"/>
      <c r="R95" s="6" t="s">
        <v>108</v>
      </c>
      <c r="S95" s="4"/>
      <c r="T95" s="1" t="s">
        <v>106</v>
      </c>
      <c r="U95" s="13"/>
      <c r="V95" s="13"/>
      <c r="W95" s="5" t="s">
        <v>1491</v>
      </c>
    </row>
    <row r="96" spans="1:23" ht="75">
      <c r="A96" s="1">
        <v>410449</v>
      </c>
      <c r="B96" s="1">
        <v>1</v>
      </c>
      <c r="C96" s="1">
        <v>6</v>
      </c>
      <c r="D96" s="2" t="s">
        <v>109</v>
      </c>
      <c r="E96" s="11" t="s">
        <v>109</v>
      </c>
      <c r="F96" s="11">
        <v>274346</v>
      </c>
      <c r="G96" s="2" t="s">
        <v>1494</v>
      </c>
      <c r="H96" s="2" t="s">
        <v>1495</v>
      </c>
      <c r="I96" s="2" t="s">
        <v>1496</v>
      </c>
      <c r="J96" s="2" t="str">
        <f t="shared" si="2"/>
        <v>https://permalinkbnd.bnportugal.gov.pt/viewer/274346/?offset=#page=6&amp;viewer=picture&amp;o=info&amp;n=0&amp;q=</v>
      </c>
      <c r="K96" s="1" t="s">
        <v>110</v>
      </c>
      <c r="L96" s="1" t="str">
        <f>VLOOKUP(A96,Folha2!$A$2:$B$2019,2,FALSE)</f>
        <v>Los Lusiadas, D. Carlos Soler y Arques, 1873. Bilingue, sem argumentos. Trad. Paratextos; Trad. Paratextos notas; Trad. Paratextos vida. Celebrações 1872, ainda que sem referência explícita.</v>
      </c>
      <c r="M96" s="12" t="str">
        <f t="shared" si="3"/>
        <v>https://permalinkbnd.bnportugal.gov.pt/viewer/274346/?offset=#page=6&amp;viewer=picture&amp;o=info&amp;n=0&amp;q=</v>
      </c>
      <c r="N96" s="12" t="s">
        <v>1497</v>
      </c>
      <c r="O96" s="12" t="str">
        <f>CONCATENATE(N96,A96,"\",B96,"\",C96,".jpg")</f>
        <v>C:\Users\mbaptista\OneDrive - Biblioteca Nacional de Portugal\Documentos\python\camoniana\imagens\capas\410449\1\6.jpg</v>
      </c>
      <c r="P96" s="12" t="str">
        <f>HYPERLINK(O96)</f>
        <v>C:\Users\mbaptista\OneDrive - Biblioteca Nacional de Portugal\Documentos\python\camoniana\imagens\capas\410449\1\6.jpg</v>
      </c>
      <c r="Q96" s="12"/>
      <c r="R96" s="6" t="s">
        <v>111</v>
      </c>
      <c r="S96" s="4"/>
      <c r="T96" s="1">
        <v>6</v>
      </c>
      <c r="U96" s="13"/>
      <c r="V96" s="13"/>
      <c r="W96" s="5" t="s">
        <v>1491</v>
      </c>
    </row>
    <row r="97" spans="1:23" ht="75">
      <c r="A97" s="1">
        <v>411542</v>
      </c>
      <c r="B97" s="1">
        <v>1</v>
      </c>
      <c r="C97" s="13">
        <v>1</v>
      </c>
      <c r="D97" s="2" t="s">
        <v>112</v>
      </c>
      <c r="E97" s="5" t="s">
        <v>112</v>
      </c>
      <c r="F97" s="5">
        <v>273798</v>
      </c>
      <c r="G97" s="2" t="s">
        <v>1494</v>
      </c>
      <c r="H97" s="2" t="s">
        <v>1495</v>
      </c>
      <c r="I97" s="2" t="s">
        <v>1496</v>
      </c>
      <c r="J97" s="2" t="str">
        <f t="shared" si="2"/>
        <v>https://permalinkbnd.bnportugal.gov.pt/viewer/273798/?offset=#page=1&amp;viewer=picture&amp;o=info&amp;n=0&amp;q=</v>
      </c>
      <c r="K97" s="1">
        <v>1</v>
      </c>
      <c r="L97" s="1" t="str">
        <f>VLOOKUP(A97,Folha2!$A$2:$B$2019,2,FALSE)</f>
        <v>Magalhães Lima, O centenário no estrangeiro, 1897 conferência.</v>
      </c>
      <c r="M97" s="12" t="str">
        <f t="shared" si="3"/>
        <v>https://permalinkbnd.bnportugal.gov.pt/viewer/273798/?offset=#page=1&amp;viewer=picture&amp;o=info&amp;n=0&amp;q=</v>
      </c>
      <c r="N97" s="12" t="s">
        <v>1497</v>
      </c>
      <c r="O97" s="12" t="str">
        <f>CONCATENATE(N97,A97,"\",B97,"\",C97,".jpg")</f>
        <v>C:\Users\mbaptista\OneDrive - Biblioteca Nacional de Portugal\Documentos\python\camoniana\imagens\capas\411542\1\1.jpg</v>
      </c>
      <c r="P97" s="12" t="str">
        <f>HYPERLINK(O97)</f>
        <v>C:\Users\mbaptista\OneDrive - Biblioteca Nacional de Portugal\Documentos\python\camoniana\imagens\capas\411542\1\1.jpg</v>
      </c>
      <c r="Q97" s="12"/>
      <c r="R97" s="6" t="s">
        <v>114</v>
      </c>
      <c r="S97" s="4"/>
      <c r="T97" s="1"/>
      <c r="U97" s="13" t="s">
        <v>113</v>
      </c>
      <c r="V97" s="13"/>
      <c r="W97" s="5" t="s">
        <v>1491</v>
      </c>
    </row>
    <row r="98" spans="1:23" ht="75">
      <c r="A98" s="1">
        <v>426512</v>
      </c>
      <c r="B98" s="1">
        <v>1</v>
      </c>
      <c r="C98" s="1">
        <v>1</v>
      </c>
      <c r="D98" s="2" t="s">
        <v>115</v>
      </c>
      <c r="E98" s="11" t="s">
        <v>115</v>
      </c>
      <c r="F98" s="11">
        <v>272882</v>
      </c>
      <c r="G98" s="2" t="s">
        <v>1494</v>
      </c>
      <c r="H98" s="2" t="s">
        <v>1495</v>
      </c>
      <c r="I98" s="2" t="s">
        <v>1496</v>
      </c>
      <c r="J98" s="2" t="str">
        <f t="shared" si="2"/>
        <v>https://permalinkbnd.bnportugal.gov.pt/viewer/272882/?offset=#page=1&amp;viewer=picture&amp;o=info&amp;n=0&amp;q=</v>
      </c>
      <c r="K98" s="1">
        <v>1</v>
      </c>
      <c r="L98" s="1" t="str">
        <f>VLOOKUP(A98,Folha2!$A$2:$B$2019,2,FALSE)</f>
        <v>D. Maria Cornélia Pacheco, Homenagem a Camões. Lamentações de Jau, 187?</v>
      </c>
      <c r="M98" s="12" t="str">
        <f t="shared" si="3"/>
        <v>https://permalinkbnd.bnportugal.gov.pt/viewer/272882/?offset=#page=1&amp;viewer=picture&amp;o=info&amp;n=0&amp;q=</v>
      </c>
      <c r="N98" s="12" t="s">
        <v>1497</v>
      </c>
      <c r="O98" s="12" t="str">
        <f>CONCATENATE(N98,A98,"\",B98,"\",C98,".jpg")</f>
        <v>C:\Users\mbaptista\OneDrive - Biblioteca Nacional de Portugal\Documentos\python\camoniana\imagens\capas\426512\1\1.jpg</v>
      </c>
      <c r="P98" s="12" t="str">
        <f>HYPERLINK(O98)</f>
        <v>C:\Users\mbaptista\OneDrive - Biblioteca Nacional de Portugal\Documentos\python\camoniana\imagens\capas\426512\1\1.jpg</v>
      </c>
      <c r="Q98" s="12"/>
      <c r="R98" s="6" t="s">
        <v>116</v>
      </c>
      <c r="S98" s="4"/>
      <c r="T98" s="1">
        <v>1</v>
      </c>
      <c r="U98" s="13"/>
      <c r="V98" s="13"/>
      <c r="W98" s="5" t="s">
        <v>1491</v>
      </c>
    </row>
    <row r="99" spans="1:23" ht="75">
      <c r="A99" s="1">
        <v>446302</v>
      </c>
      <c r="B99" s="1">
        <v>1</v>
      </c>
      <c r="C99" s="1">
        <v>11</v>
      </c>
      <c r="D99" s="2" t="s">
        <v>117</v>
      </c>
      <c r="E99" s="5" t="s">
        <v>117</v>
      </c>
      <c r="F99" s="5">
        <v>1880</v>
      </c>
      <c r="G99" s="2" t="s">
        <v>1494</v>
      </c>
      <c r="H99" s="2" t="s">
        <v>1495</v>
      </c>
      <c r="I99" s="2" t="s">
        <v>1496</v>
      </c>
      <c r="J99" s="2" t="str">
        <f t="shared" si="2"/>
        <v>https://permalinkbnd.bnportugal.gov.pt/viewer/1880/?offset=#page=11&amp;viewer=picture&amp;o=info&amp;n=0&amp;q=</v>
      </c>
      <c r="K99" s="1">
        <v>11</v>
      </c>
      <c r="L99" s="1" t="str">
        <f>VLOOKUP(A99,Folha2!$A$2:$B$2019,2,FALSE)</f>
        <v xml:space="preserve">Primeiros documentos para a história da comemoração camoniana de 1880, 1887. </v>
      </c>
      <c r="M99" s="12" t="str">
        <f t="shared" si="3"/>
        <v>https://permalinkbnd.bnportugal.gov.pt/viewer/1880/?offset=#page=11&amp;viewer=picture&amp;o=info&amp;n=0&amp;q=</v>
      </c>
      <c r="N99" s="12" t="s">
        <v>1497</v>
      </c>
      <c r="O99" s="12" t="str">
        <f>CONCATENATE(N99,A99,"\",B99,"\",C99,".jpg")</f>
        <v>C:\Users\mbaptista\OneDrive - Biblioteca Nacional de Portugal\Documentos\python\camoniana\imagens\capas\446302\1\11.jpg</v>
      </c>
      <c r="P99" s="12" t="str">
        <f>HYPERLINK(O99)</f>
        <v>C:\Users\mbaptista\OneDrive - Biblioteca Nacional de Portugal\Documentos\python\camoniana\imagens\capas\446302\1\11.jpg</v>
      </c>
      <c r="Q99" s="12"/>
      <c r="R99" s="6" t="s">
        <v>118</v>
      </c>
      <c r="S99" s="4"/>
      <c r="T99" s="1"/>
      <c r="U99" s="13"/>
      <c r="V99" s="13"/>
      <c r="W99" s="5" t="s">
        <v>1491</v>
      </c>
    </row>
    <row r="100" spans="1:23" ht="75">
      <c r="A100" s="1">
        <v>452363</v>
      </c>
      <c r="B100" s="1">
        <v>1</v>
      </c>
      <c r="C100" s="1">
        <v>1</v>
      </c>
      <c r="D100" s="2" t="s">
        <v>119</v>
      </c>
      <c r="E100" s="11" t="s">
        <v>119</v>
      </c>
      <c r="F100" s="11">
        <v>35644</v>
      </c>
      <c r="G100" s="2" t="s">
        <v>1494</v>
      </c>
      <c r="H100" s="2" t="s">
        <v>1495</v>
      </c>
      <c r="I100" s="2" t="s">
        <v>1496</v>
      </c>
      <c r="J100" s="2" t="str">
        <f t="shared" si="2"/>
        <v>https://permalinkbnd.bnportugal.gov.pt/viewer/35644/?offset=#page=1&amp;viewer=picture&amp;o=info&amp;n=0&amp;q=</v>
      </c>
      <c r="K100" s="1" t="s">
        <v>120</v>
      </c>
      <c r="L100" s="1" t="str">
        <f>VLOOKUP(A100,Folha2!$A$2:$B$2019,2,FALSE)</f>
        <v>Lubin David, Camões, 1887?</v>
      </c>
      <c r="M100" s="12" t="str">
        <f t="shared" si="3"/>
        <v>https://permalinkbnd.bnportugal.gov.pt/viewer/35644/?offset=#page=1&amp;viewer=picture&amp;o=info&amp;n=0&amp;q=</v>
      </c>
      <c r="N100" s="12" t="s">
        <v>1497</v>
      </c>
      <c r="O100" s="12" t="str">
        <f>CONCATENATE(N100,A100,"\",B100,"\",C100,".jpg")</f>
        <v>C:\Users\mbaptista\OneDrive - Biblioteca Nacional de Portugal\Documentos\python\camoniana\imagens\capas\452363\1\1.jpg</v>
      </c>
      <c r="P100" s="12" t="str">
        <f>HYPERLINK(O100)</f>
        <v>C:\Users\mbaptista\OneDrive - Biblioteca Nacional de Portugal\Documentos\python\camoniana\imagens\capas\452363\1\1.jpg</v>
      </c>
      <c r="Q100" s="12"/>
      <c r="R100" s="6" t="s">
        <v>121</v>
      </c>
      <c r="S100" s="4"/>
      <c r="T100" s="1">
        <v>1</v>
      </c>
      <c r="U100" s="13"/>
      <c r="V100" s="13"/>
      <c r="W100" s="5" t="s">
        <v>1491</v>
      </c>
    </row>
    <row r="101" spans="1:23" ht="75">
      <c r="A101" s="1">
        <v>453897</v>
      </c>
      <c r="B101" s="1">
        <v>1</v>
      </c>
      <c r="C101" s="1">
        <v>9</v>
      </c>
      <c r="D101" s="2" t="s">
        <v>122</v>
      </c>
      <c r="E101" s="5" t="s">
        <v>122</v>
      </c>
      <c r="F101" s="5">
        <v>1880</v>
      </c>
      <c r="G101" s="2" t="s">
        <v>1494</v>
      </c>
      <c r="H101" s="2" t="s">
        <v>1495</v>
      </c>
      <c r="I101" s="2" t="s">
        <v>1496</v>
      </c>
      <c r="J101" s="2" t="str">
        <f t="shared" si="2"/>
        <v>https://permalinkbnd.bnportugal.gov.pt/viewer/1880/?offset=#page=9&amp;viewer=picture&amp;o=info&amp;n=0&amp;q=</v>
      </c>
      <c r="K101" s="1">
        <v>9</v>
      </c>
      <c r="L101" s="1" t="str">
        <f>VLOOKUP(A101,Folha2!$A$2:$B$2019,2,FALSE)</f>
        <v xml:space="preserve">À memória de Luís de Camões, 1880. Excerto do episódio Os doze. In A sentinela, semanário bracarense. </v>
      </c>
      <c r="M101" s="12" t="str">
        <f t="shared" si="3"/>
        <v>https://permalinkbnd.bnportugal.gov.pt/viewer/1880/?offset=#page=9&amp;viewer=picture&amp;o=info&amp;n=0&amp;q=</v>
      </c>
      <c r="N101" s="12" t="s">
        <v>1497</v>
      </c>
      <c r="O101" s="12" t="str">
        <f>CONCATENATE(N101,A101,"\",B101,"\",C101,".jpg")</f>
        <v>C:\Users\mbaptista\OneDrive - Biblioteca Nacional de Portugal\Documentos\python\camoniana\imagens\capas\453897\1\9.jpg</v>
      </c>
      <c r="P101" s="12" t="str">
        <f>HYPERLINK(O101)</f>
        <v>C:\Users\mbaptista\OneDrive - Biblioteca Nacional de Portugal\Documentos\python\camoniana\imagens\capas\453897\1\9.jpg</v>
      </c>
      <c r="Q101" s="12"/>
      <c r="R101" s="6" t="s">
        <v>52</v>
      </c>
      <c r="S101" s="4"/>
      <c r="T101" s="1">
        <v>9</v>
      </c>
      <c r="U101" s="13"/>
      <c r="V101" s="13"/>
      <c r="W101" s="5" t="s">
        <v>1491</v>
      </c>
    </row>
    <row r="102" spans="1:23" ht="75">
      <c r="A102" s="1">
        <v>454218</v>
      </c>
      <c r="B102" s="1">
        <v>1</v>
      </c>
      <c r="C102" s="1">
        <v>3</v>
      </c>
      <c r="D102" s="2" t="s">
        <v>123</v>
      </c>
      <c r="E102" s="11" t="s">
        <v>123</v>
      </c>
      <c r="F102" s="11">
        <v>273923</v>
      </c>
      <c r="G102" s="2" t="s">
        <v>1494</v>
      </c>
      <c r="H102" s="2" t="s">
        <v>1495</v>
      </c>
      <c r="I102" s="2" t="s">
        <v>1496</v>
      </c>
      <c r="J102" s="2" t="str">
        <f t="shared" si="2"/>
        <v>https://permalinkbnd.bnportugal.gov.pt/viewer/273923/?offset=#page=3&amp;viewer=picture&amp;o=info&amp;n=0&amp;q=</v>
      </c>
      <c r="K102" s="1">
        <v>3</v>
      </c>
      <c r="L102" s="1" t="str">
        <f>VLOOKUP(A102,Folha2!$A$2:$B$2019,2,FALSE)</f>
        <v>Vida de Luís de Camões e seu retrato (retoma o texto de 1772), 1881</v>
      </c>
      <c r="M102" s="12" t="str">
        <f t="shared" si="3"/>
        <v>https://permalinkbnd.bnportugal.gov.pt/viewer/273923/?offset=#page=3&amp;viewer=picture&amp;o=info&amp;n=0&amp;q=</v>
      </c>
      <c r="N102" s="12" t="s">
        <v>1497</v>
      </c>
      <c r="O102" s="12" t="str">
        <f>CONCATENATE(N102,A102,"\",B102,"\",C102,".jpg")</f>
        <v>C:\Users\mbaptista\OneDrive - Biblioteca Nacional de Portugal\Documentos\python\camoniana\imagens\capas\454218\1\3.jpg</v>
      </c>
      <c r="P102" s="12" t="str">
        <f>HYPERLINK(O102)</f>
        <v>C:\Users\mbaptista\OneDrive - Biblioteca Nacional de Portugal\Documentos\python\camoniana\imagens\capas\454218\1\3.jpg</v>
      </c>
      <c r="Q102" s="12"/>
      <c r="R102" s="6" t="s">
        <v>124</v>
      </c>
      <c r="S102" s="4"/>
      <c r="T102" s="1">
        <v>3</v>
      </c>
      <c r="U102" s="13"/>
      <c r="V102" s="13"/>
      <c r="W102" s="5" t="s">
        <v>1491</v>
      </c>
    </row>
    <row r="103" spans="1:23" ht="75">
      <c r="A103" s="1">
        <v>455268</v>
      </c>
      <c r="B103" s="1">
        <v>1</v>
      </c>
      <c r="C103" s="1">
        <v>8</v>
      </c>
      <c r="D103" s="2" t="s">
        <v>125</v>
      </c>
      <c r="E103" s="5" t="s">
        <v>125</v>
      </c>
      <c r="F103" s="5">
        <v>270331</v>
      </c>
      <c r="G103" s="2" t="s">
        <v>1494</v>
      </c>
      <c r="H103" s="2" t="s">
        <v>1495</v>
      </c>
      <c r="I103" s="2" t="s">
        <v>1496</v>
      </c>
      <c r="J103" s="2" t="str">
        <f t="shared" si="2"/>
        <v>https://permalinkbnd.bnportugal.gov.pt/viewer/270331/?offset=#page=8&amp;viewer=picture&amp;o=info&amp;n=0&amp;q=</v>
      </c>
      <c r="K103" s="1" t="s">
        <v>126</v>
      </c>
      <c r="L103" s="1" t="str">
        <f>VLOOKUP(A103,Folha2!$A$2:$B$2019,2,FALSE)</f>
        <v>I Lusiadi, Antonio Nervi, 1821, 2.ª ed. 2 Vols [1.º: até ao C. V, com notas; 2.º até ao C. X, com notas]. Trad. Paratextos; Trad. Paratextos vida; Trad. Paratextos notas; Trad. Paratextos argumentos; Mulheres [M. de Staël].</v>
      </c>
      <c r="M103" s="12" t="str">
        <f t="shared" si="3"/>
        <v>https://permalinkbnd.bnportugal.gov.pt/viewer/270331/?offset=#page=8&amp;viewer=picture&amp;o=info&amp;n=0&amp;q=</v>
      </c>
      <c r="N103" s="12" t="s">
        <v>1497</v>
      </c>
      <c r="O103" s="12" t="str">
        <f>CONCATENATE(N103,A103,"\",B103,"\",C103,".jpg")</f>
        <v>C:\Users\mbaptista\OneDrive - Biblioteca Nacional de Portugal\Documentos\python\camoniana\imagens\capas\455268\1\8.jpg</v>
      </c>
      <c r="P103" s="12" t="str">
        <f>HYPERLINK(O103)</f>
        <v>C:\Users\mbaptista\OneDrive - Biblioteca Nacional de Portugal\Documentos\python\camoniana\imagens\capas\455268\1\8.jpg</v>
      </c>
      <c r="Q103" s="12"/>
      <c r="R103" s="6" t="s">
        <v>128</v>
      </c>
      <c r="S103" s="4"/>
      <c r="T103" s="1" t="s">
        <v>127</v>
      </c>
      <c r="U103" s="13"/>
      <c r="V103" s="13"/>
      <c r="W103" s="5" t="s">
        <v>1491</v>
      </c>
    </row>
    <row r="104" spans="1:23" ht="75">
      <c r="A104" s="1">
        <v>455268</v>
      </c>
      <c r="B104" s="1">
        <v>1</v>
      </c>
      <c r="C104" s="1">
        <v>62</v>
      </c>
      <c r="D104" s="2" t="s">
        <v>125</v>
      </c>
      <c r="E104" s="11" t="s">
        <v>125</v>
      </c>
      <c r="F104" s="11">
        <v>270331</v>
      </c>
      <c r="G104" s="2" t="s">
        <v>1494</v>
      </c>
      <c r="H104" s="2" t="s">
        <v>1495</v>
      </c>
      <c r="I104" s="2" t="s">
        <v>1496</v>
      </c>
      <c r="J104" s="2" t="str">
        <f t="shared" si="2"/>
        <v>https://permalinkbnd.bnportugal.gov.pt/viewer/270331/?offset=#page=62&amp;viewer=picture&amp;o=info&amp;n=0&amp;q=</v>
      </c>
      <c r="K104" s="1" t="s">
        <v>126</v>
      </c>
      <c r="L104" s="1" t="str">
        <f>VLOOKUP(A104,Folha2!$A$2:$B$2019,2,FALSE)</f>
        <v>I Lusiadi, Antonio Nervi, 1821, 2.ª ed. 2 Vols [1.º: até ao C. V, com notas; 2.º até ao C. X, com notas]. Trad. Paratextos; Trad. Paratextos vida; Trad. Paratextos notas; Trad. Paratextos argumentos; Mulheres [M. de Staël].</v>
      </c>
      <c r="M104" s="12" t="str">
        <f t="shared" si="3"/>
        <v>https://permalinkbnd.bnportugal.gov.pt/viewer/270331/?offset=#page=62&amp;viewer=picture&amp;o=info&amp;n=0&amp;q=</v>
      </c>
      <c r="N104" s="12" t="s">
        <v>1497</v>
      </c>
      <c r="O104" s="12" t="str">
        <f>CONCATENATE(N104,A104,"\",B104,"\",C104,".jpg")</f>
        <v>C:\Users\mbaptista\OneDrive - Biblioteca Nacional de Portugal\Documentos\python\camoniana\imagens\capas\455268\1\62.jpg</v>
      </c>
      <c r="P104" s="12" t="str">
        <f>HYPERLINK(O104)</f>
        <v>C:\Users\mbaptista\OneDrive - Biblioteca Nacional de Portugal\Documentos\python\camoniana\imagens\capas\455268\1\62.jpg</v>
      </c>
      <c r="Q104" s="12"/>
      <c r="R104" s="6" t="s">
        <v>129</v>
      </c>
      <c r="S104" s="4"/>
      <c r="T104" s="1" t="s">
        <v>127</v>
      </c>
      <c r="U104" s="13"/>
      <c r="V104" s="13"/>
      <c r="W104" s="5" t="s">
        <v>1491</v>
      </c>
    </row>
    <row r="105" spans="1:23" ht="75">
      <c r="A105" s="1">
        <v>455268</v>
      </c>
      <c r="B105" s="1">
        <v>2</v>
      </c>
      <c r="C105" s="1">
        <v>8</v>
      </c>
      <c r="D105" s="2" t="s">
        <v>125</v>
      </c>
      <c r="E105" s="5" t="s">
        <v>125</v>
      </c>
      <c r="F105" s="5">
        <v>270331</v>
      </c>
      <c r="G105" s="2" t="s">
        <v>1494</v>
      </c>
      <c r="H105" s="2" t="s">
        <v>1495</v>
      </c>
      <c r="I105" s="2" t="s">
        <v>1496</v>
      </c>
      <c r="J105" s="2" t="str">
        <f t="shared" si="2"/>
        <v>https://permalinkbnd.bnportugal.gov.pt/viewer/270331/?offset=#page=8&amp;viewer=picture&amp;o=info&amp;n=0&amp;q=</v>
      </c>
      <c r="K105" s="1" t="s">
        <v>126</v>
      </c>
      <c r="L105" s="1" t="str">
        <f>VLOOKUP(A105,Folha2!$A$2:$B$2019,2,FALSE)</f>
        <v>I Lusiadi, Antonio Nervi, 1821, 2.ª ed. 2 Vols [1.º: até ao C. V, com notas; 2.º até ao C. X, com notas]. Trad. Paratextos; Trad. Paratextos vida; Trad. Paratextos notas; Trad. Paratextos argumentos; Mulheres [M. de Staël].</v>
      </c>
      <c r="M105" s="12" t="s">
        <v>1520</v>
      </c>
      <c r="N105" s="12" t="s">
        <v>1497</v>
      </c>
      <c r="O105" s="12" t="str">
        <f>CONCATENATE(N105,A105,"\",B105,"\",C105,".jpg")</f>
        <v>C:\Users\mbaptista\OneDrive - Biblioteca Nacional de Portugal\Documentos\python\camoniana\imagens\capas\455268\2\8.jpg</v>
      </c>
      <c r="P105" s="12" t="str">
        <f>HYPERLINK(O105)</f>
        <v>C:\Users\mbaptista\OneDrive - Biblioteca Nacional de Portugal\Documentos\python\camoniana\imagens\capas\455268\2\8.jpg</v>
      </c>
      <c r="Q105" s="12"/>
      <c r="R105" s="6" t="s">
        <v>128</v>
      </c>
      <c r="S105" s="4"/>
      <c r="T105" s="1" t="s">
        <v>127</v>
      </c>
      <c r="U105" s="13"/>
      <c r="V105" s="13"/>
      <c r="W105" s="5" t="s">
        <v>1491</v>
      </c>
    </row>
    <row r="106" spans="1:23" ht="90">
      <c r="A106" s="1">
        <v>455275</v>
      </c>
      <c r="B106" s="1">
        <v>1</v>
      </c>
      <c r="C106" s="1">
        <v>10</v>
      </c>
      <c r="D106" s="2" t="s">
        <v>130</v>
      </c>
      <c r="E106" s="5" t="s">
        <v>130</v>
      </c>
      <c r="F106" s="5">
        <v>270345</v>
      </c>
      <c r="G106" s="2" t="s">
        <v>1494</v>
      </c>
      <c r="H106" s="2" t="s">
        <v>1495</v>
      </c>
      <c r="I106" s="2" t="s">
        <v>1496</v>
      </c>
      <c r="J106" s="2" t="str">
        <f t="shared" si="2"/>
        <v>https://permalinkbnd.bnportugal.gov.pt/viewer/270345/?offset=#page=10&amp;viewer=picture&amp;o=info&amp;n=0&amp;q=</v>
      </c>
      <c r="K106" s="1" t="s">
        <v>131</v>
      </c>
      <c r="L106" s="1" t="str">
        <f>VLOOKUP(A106,Folha2!$A$2:$B$2019,2,FALSE)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6" s="12" t="str">
        <f t="shared" si="3"/>
        <v>https://permalinkbnd.bnportugal.gov.pt/viewer/270345/?offset=#page=10&amp;viewer=picture&amp;o=info&amp;n=0&amp;q=</v>
      </c>
      <c r="N106" s="12" t="s">
        <v>1497</v>
      </c>
      <c r="O106" s="12" t="str">
        <f>CONCATENATE(N106,A106,"\",B106,"\",C106,".jpg")</f>
        <v>C:\Users\mbaptista\OneDrive - Biblioteca Nacional de Portugal\Documentos\python\camoniana\imagens\capas\455275\1\10.jpg</v>
      </c>
      <c r="P106" s="12" t="str">
        <f>HYPERLINK(O106)</f>
        <v>C:\Users\mbaptista\OneDrive - Biblioteca Nacional de Portugal\Documentos\python\camoniana\imagens\capas\455275\1\10.jpg</v>
      </c>
      <c r="Q106" s="12"/>
      <c r="R106" s="6" t="s">
        <v>132</v>
      </c>
      <c r="S106" s="4"/>
      <c r="T106" s="1">
        <v>10</v>
      </c>
      <c r="U106" s="13"/>
      <c r="V106" s="13"/>
      <c r="W106" s="5" t="s">
        <v>1491</v>
      </c>
    </row>
    <row r="107" spans="1:23" ht="90">
      <c r="A107" s="1">
        <v>455275</v>
      </c>
      <c r="B107" s="1">
        <v>1</v>
      </c>
      <c r="C107" s="1">
        <v>13</v>
      </c>
      <c r="D107" s="2" t="s">
        <v>130</v>
      </c>
      <c r="E107" s="11" t="s">
        <v>130</v>
      </c>
      <c r="F107" s="11">
        <v>270345</v>
      </c>
      <c r="G107" s="2" t="s">
        <v>1494</v>
      </c>
      <c r="H107" s="2" t="s">
        <v>1495</v>
      </c>
      <c r="I107" s="2" t="s">
        <v>1496</v>
      </c>
      <c r="J107" s="2" t="str">
        <f t="shared" si="2"/>
        <v>https://permalinkbnd.bnportugal.gov.pt/viewer/270345/?offset=#page=13&amp;viewer=picture&amp;o=info&amp;n=0&amp;q=</v>
      </c>
      <c r="K107" s="1" t="s">
        <v>131</v>
      </c>
      <c r="L107" s="1" t="str">
        <f>VLOOKUP(A107,Folha2!$A$2:$B$2019,2,FALSE)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7" s="12" t="str">
        <f t="shared" si="3"/>
        <v>https://permalinkbnd.bnportugal.gov.pt/viewer/270345/?offset=#page=13&amp;viewer=picture&amp;o=info&amp;n=0&amp;q=</v>
      </c>
      <c r="N107" s="12" t="s">
        <v>1497</v>
      </c>
      <c r="O107" s="12" t="str">
        <f>CONCATENATE(N107,A107,"\",B107,"\",C107,".jpg")</f>
        <v>C:\Users\mbaptista\OneDrive - Biblioteca Nacional de Portugal\Documentos\python\camoniana\imagens\capas\455275\1\13.jpg</v>
      </c>
      <c r="P107" s="12" t="str">
        <f>HYPERLINK(O107)</f>
        <v>C:\Users\mbaptista\OneDrive - Biblioteca Nacional de Portugal\Documentos\python\camoniana\imagens\capas\455275\1\13.jpg</v>
      </c>
      <c r="Q107" s="12"/>
      <c r="R107" s="6"/>
      <c r="S107" s="4"/>
      <c r="T107" s="1"/>
      <c r="U107" s="13"/>
      <c r="V107" s="13"/>
      <c r="W107" s="5"/>
    </row>
    <row r="108" spans="1:23" ht="90">
      <c r="A108" s="1">
        <v>455275</v>
      </c>
      <c r="B108" s="1">
        <v>1</v>
      </c>
      <c r="C108" s="1">
        <v>426</v>
      </c>
      <c r="D108" s="2" t="s">
        <v>130</v>
      </c>
      <c r="E108" s="5" t="s">
        <v>130</v>
      </c>
      <c r="F108" s="5">
        <v>270345</v>
      </c>
      <c r="G108" s="2" t="s">
        <v>1494</v>
      </c>
      <c r="H108" s="2" t="s">
        <v>1495</v>
      </c>
      <c r="I108" s="2" t="s">
        <v>1496</v>
      </c>
      <c r="J108" s="2" t="str">
        <f t="shared" si="2"/>
        <v>https://permalinkbnd.bnportugal.gov.pt/viewer/270345/?offset=#page=426&amp;viewer=picture&amp;o=info&amp;n=0&amp;q=</v>
      </c>
      <c r="K108" s="1" t="s">
        <v>131</v>
      </c>
      <c r="L108" s="1" t="str">
        <f>VLOOKUP(A108,Folha2!$A$2:$B$2019,2,FALSE)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8" s="12" t="str">
        <f t="shared" si="3"/>
        <v>https://permalinkbnd.bnportugal.gov.pt/viewer/270345/?offset=#page=426&amp;viewer=picture&amp;o=info&amp;n=0&amp;q=</v>
      </c>
      <c r="N108" s="12" t="s">
        <v>1497</v>
      </c>
      <c r="O108" s="12" t="str">
        <f>CONCATENATE(N108,A108,"\",B108,"\",C108,".jpg")</f>
        <v>C:\Users\mbaptista\OneDrive - Biblioteca Nacional de Portugal\Documentos\python\camoniana\imagens\capas\455275\1\426.jpg</v>
      </c>
      <c r="P108" s="12" t="str">
        <f>HYPERLINK(O108)</f>
        <v>C:\Users\mbaptista\OneDrive - Biblioteca Nacional de Portugal\Documentos\python\camoniana\imagens\capas\455275\1\426.jpg</v>
      </c>
      <c r="Q108" s="12"/>
      <c r="R108" s="6"/>
      <c r="S108" s="4"/>
      <c r="T108" s="1"/>
      <c r="U108" s="13"/>
      <c r="V108" s="13"/>
      <c r="W108" s="5"/>
    </row>
    <row r="109" spans="1:23" ht="90">
      <c r="A109" s="1">
        <v>455275</v>
      </c>
      <c r="B109" s="1">
        <v>3</v>
      </c>
      <c r="C109" s="1">
        <v>154</v>
      </c>
      <c r="D109" s="2" t="s">
        <v>130</v>
      </c>
      <c r="E109" s="11" t="s">
        <v>130</v>
      </c>
      <c r="F109" s="11">
        <v>270345</v>
      </c>
      <c r="G109" s="2" t="s">
        <v>1494</v>
      </c>
      <c r="H109" s="2" t="s">
        <v>1495</v>
      </c>
      <c r="I109" s="2" t="s">
        <v>1496</v>
      </c>
      <c r="J109" s="2" t="str">
        <f t="shared" si="2"/>
        <v>https://permalinkbnd.bnportugal.gov.pt/viewer/270345/?offset=#page=154&amp;viewer=picture&amp;o=info&amp;n=0&amp;q=</v>
      </c>
      <c r="K109" s="1" t="s">
        <v>131</v>
      </c>
      <c r="L109" s="1" t="str">
        <f>VLOOKUP(A109,Folha2!$A$2:$B$2019,2,FALSE)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9" s="12" t="s">
        <v>1521</v>
      </c>
      <c r="N109" s="12" t="s">
        <v>1497</v>
      </c>
      <c r="O109" s="12" t="str">
        <f>CONCATENATE(N109,A109,"\",B109,"\",C109,".jpg")</f>
        <v>C:\Users\mbaptista\OneDrive - Biblioteca Nacional de Portugal\Documentos\python\camoniana\imagens\capas\455275\3\154.jpg</v>
      </c>
      <c r="P109" s="12" t="str">
        <f>HYPERLINK(O109)</f>
        <v>C:\Users\mbaptista\OneDrive - Biblioteca Nacional de Portugal\Documentos\python\camoniana\imagens\capas\455275\3\154.jpg</v>
      </c>
      <c r="Q109" s="12"/>
      <c r="R109" s="6"/>
      <c r="S109" s="4"/>
      <c r="T109" s="1"/>
      <c r="U109" s="13"/>
      <c r="V109" s="13"/>
      <c r="W109" s="5"/>
    </row>
    <row r="110" spans="1:23" ht="75">
      <c r="A110" s="1">
        <v>458290</v>
      </c>
      <c r="B110" s="1">
        <v>1</v>
      </c>
      <c r="C110" s="1">
        <v>10</v>
      </c>
      <c r="D110" s="2" t="s">
        <v>133</v>
      </c>
      <c r="E110" s="5" t="s">
        <v>133</v>
      </c>
      <c r="F110" s="5">
        <v>273525</v>
      </c>
      <c r="G110" s="2" t="s">
        <v>1494</v>
      </c>
      <c r="H110" s="2" t="s">
        <v>1495</v>
      </c>
      <c r="I110" s="2" t="s">
        <v>1496</v>
      </c>
      <c r="J110" s="2" t="str">
        <f t="shared" si="2"/>
        <v>https://permalinkbnd.bnportugal.gov.pt/viewer/273525/?offset=#page=10&amp;viewer=picture&amp;o=info&amp;n=0&amp;q=</v>
      </c>
      <c r="K110" s="1" t="s">
        <v>134</v>
      </c>
      <c r="L110" s="1" t="str">
        <f>VLOOKUP(A110,Folha2!$A$2:$B$2019,2,FALSE)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0" s="12" t="str">
        <f t="shared" si="3"/>
        <v>https://permalinkbnd.bnportugal.gov.pt/viewer/273525/?offset=#page=10&amp;viewer=picture&amp;o=info&amp;n=0&amp;q=</v>
      </c>
      <c r="N110" s="12" t="s">
        <v>1497</v>
      </c>
      <c r="O110" s="12" t="str">
        <f>CONCATENATE(N110,A110,"\",B110,"\",C110,".jpg")</f>
        <v>C:\Users\mbaptista\OneDrive - Biblioteca Nacional de Portugal\Documentos\python\camoniana\imagens\capas\458290\1\10.jpg</v>
      </c>
      <c r="P110" s="12" t="str">
        <f>HYPERLINK(O110)</f>
        <v>C:\Users\mbaptista\OneDrive - Biblioteca Nacional de Portugal\Documentos\python\camoniana\imagens\capas\458290\1\10.jpg</v>
      </c>
      <c r="Q110" s="12"/>
      <c r="R110" s="6" t="s">
        <v>136</v>
      </c>
      <c r="S110" s="4"/>
      <c r="T110" s="1">
        <v>10</v>
      </c>
      <c r="U110" s="13" t="s">
        <v>135</v>
      </c>
      <c r="V110" s="13"/>
      <c r="W110" s="5" t="s">
        <v>1491</v>
      </c>
    </row>
    <row r="111" spans="1:23" ht="75">
      <c r="A111" s="1">
        <v>458290</v>
      </c>
      <c r="B111" s="1">
        <v>1</v>
      </c>
      <c r="C111" s="1">
        <v>11</v>
      </c>
      <c r="D111" s="2" t="s">
        <v>133</v>
      </c>
      <c r="E111" s="11" t="s">
        <v>133</v>
      </c>
      <c r="F111" s="11">
        <v>273525</v>
      </c>
      <c r="G111" s="2" t="s">
        <v>1494</v>
      </c>
      <c r="H111" s="2" t="s">
        <v>1495</v>
      </c>
      <c r="I111" s="2" t="s">
        <v>1496</v>
      </c>
      <c r="J111" s="2" t="str">
        <f t="shared" si="2"/>
        <v>https://permalinkbnd.bnportugal.gov.pt/viewer/273525/?offset=#page=11&amp;viewer=picture&amp;o=info&amp;n=0&amp;q=</v>
      </c>
      <c r="K111" s="1" t="s">
        <v>134</v>
      </c>
      <c r="L111" s="1" t="str">
        <f>VLOOKUP(A111,Folha2!$A$2:$B$2019,2,FALSE)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1" s="12" t="str">
        <f t="shared" si="3"/>
        <v>https://permalinkbnd.bnportugal.gov.pt/viewer/273525/?offset=#page=11&amp;viewer=picture&amp;o=info&amp;n=0&amp;q=</v>
      </c>
      <c r="N111" s="12" t="s">
        <v>1497</v>
      </c>
      <c r="O111" s="12" t="str">
        <f>CONCATENATE(N111,A111,"\",B111,"\",C111,".jpg")</f>
        <v>C:\Users\mbaptista\OneDrive - Biblioteca Nacional de Portugal\Documentos\python\camoniana\imagens\capas\458290\1\11.jpg</v>
      </c>
      <c r="P111" s="12" t="str">
        <f>HYPERLINK(O111)</f>
        <v>C:\Users\mbaptista\OneDrive - Biblioteca Nacional de Portugal\Documentos\python\camoniana\imagens\capas\458290\1\11.jpg</v>
      </c>
      <c r="Q111" s="12"/>
      <c r="R111" s="6"/>
      <c r="S111" s="4"/>
      <c r="T111" s="1"/>
      <c r="U111" s="13"/>
      <c r="V111" s="13"/>
      <c r="W111" s="5"/>
    </row>
    <row r="112" spans="1:23" ht="75">
      <c r="A112" s="1">
        <v>458290</v>
      </c>
      <c r="B112" s="1">
        <v>1</v>
      </c>
      <c r="C112" s="1">
        <v>7</v>
      </c>
      <c r="D112" s="2" t="s">
        <v>133</v>
      </c>
      <c r="E112" s="5" t="s">
        <v>133</v>
      </c>
      <c r="F112" s="5">
        <v>273525</v>
      </c>
      <c r="G112" s="2" t="s">
        <v>1494</v>
      </c>
      <c r="H112" s="2" t="s">
        <v>1495</v>
      </c>
      <c r="I112" s="2" t="s">
        <v>1496</v>
      </c>
      <c r="J112" s="2" t="str">
        <f t="shared" si="2"/>
        <v>https://permalinkbnd.bnportugal.gov.pt/viewer/273525/?offset=#page=7&amp;viewer=picture&amp;o=info&amp;n=0&amp;q=</v>
      </c>
      <c r="K112" s="1" t="s">
        <v>134</v>
      </c>
      <c r="L112" s="1" t="str">
        <f>VLOOKUP(A112,Folha2!$A$2:$B$2019,2,FALSE)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2" s="12" t="str">
        <f t="shared" si="3"/>
        <v>https://permalinkbnd.bnportugal.gov.pt/viewer/273525/?offset=#page=7&amp;viewer=picture&amp;o=info&amp;n=0&amp;q=</v>
      </c>
      <c r="N112" s="12" t="s">
        <v>1497</v>
      </c>
      <c r="O112" s="12" t="str">
        <f>CONCATENATE(N112,A112,"\",B112,"\",C112,".jpg")</f>
        <v>C:\Users\mbaptista\OneDrive - Biblioteca Nacional de Portugal\Documentos\python\camoniana\imagens\capas\458290\1\7.jpg</v>
      </c>
      <c r="P112" s="12" t="str">
        <f>HYPERLINK(O112)</f>
        <v>C:\Users\mbaptista\OneDrive - Biblioteca Nacional de Portugal\Documentos\python\camoniana\imagens\capas\458290\1\7.jpg</v>
      </c>
      <c r="Q112" s="12"/>
      <c r="R112" s="6"/>
      <c r="S112" s="4"/>
      <c r="T112" s="1"/>
      <c r="U112" s="13"/>
      <c r="V112" s="13"/>
      <c r="W112" s="5"/>
    </row>
    <row r="113" spans="1:24" ht="75">
      <c r="A113" s="1">
        <v>458290</v>
      </c>
      <c r="B113" s="1">
        <v>1</v>
      </c>
      <c r="C113" s="1">
        <v>15</v>
      </c>
      <c r="D113" s="2" t="s">
        <v>133</v>
      </c>
      <c r="E113" s="11" t="s">
        <v>133</v>
      </c>
      <c r="F113" s="11">
        <v>273525</v>
      </c>
      <c r="G113" s="2" t="s">
        <v>1494</v>
      </c>
      <c r="H113" s="2" t="s">
        <v>1495</v>
      </c>
      <c r="I113" s="2" t="s">
        <v>1496</v>
      </c>
      <c r="J113" s="2" t="str">
        <f t="shared" si="2"/>
        <v>https://permalinkbnd.bnportugal.gov.pt/viewer/273525/?offset=#page=15&amp;viewer=picture&amp;o=info&amp;n=0&amp;q=</v>
      </c>
      <c r="K113" s="1" t="s">
        <v>134</v>
      </c>
      <c r="L113" s="1" t="str">
        <f>VLOOKUP(A113,Folha2!$A$2:$B$2019,2,FALSE)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3" s="12" t="str">
        <f t="shared" si="3"/>
        <v>https://permalinkbnd.bnportugal.gov.pt/viewer/273525/?offset=#page=15&amp;viewer=picture&amp;o=info&amp;n=0&amp;q=</v>
      </c>
      <c r="N113" s="12" t="s">
        <v>1497</v>
      </c>
      <c r="O113" s="12" t="str">
        <f>CONCATENATE(N113,A113,"\",B113,"\",C113,".jpg")</f>
        <v>C:\Users\mbaptista\OneDrive - Biblioteca Nacional de Portugal\Documentos\python\camoniana\imagens\capas\458290\1\15.jpg</v>
      </c>
      <c r="P113" s="12" t="str">
        <f>HYPERLINK(O113)</f>
        <v>C:\Users\mbaptista\OneDrive - Biblioteca Nacional de Portugal\Documentos\python\camoniana\imagens\capas\458290\1\15.jpg</v>
      </c>
      <c r="Q113" s="12"/>
      <c r="R113" s="6"/>
      <c r="S113" s="4"/>
      <c r="T113" s="1"/>
      <c r="U113" s="13"/>
      <c r="V113" s="13"/>
      <c r="W113" s="5"/>
    </row>
    <row r="114" spans="1:24" ht="75">
      <c r="A114" s="1">
        <v>458290</v>
      </c>
      <c r="B114" s="1">
        <v>1</v>
      </c>
      <c r="C114" s="1">
        <v>37</v>
      </c>
      <c r="D114" s="2" t="s">
        <v>133</v>
      </c>
      <c r="E114" s="5" t="s">
        <v>133</v>
      </c>
      <c r="F114" s="5">
        <v>273525</v>
      </c>
      <c r="G114" s="2" t="s">
        <v>1494</v>
      </c>
      <c r="H114" s="2" t="s">
        <v>1495</v>
      </c>
      <c r="I114" s="2" t="s">
        <v>1496</v>
      </c>
      <c r="J114" s="2" t="str">
        <f t="shared" si="2"/>
        <v>https://permalinkbnd.bnportugal.gov.pt/viewer/273525/?offset=#page=37&amp;viewer=picture&amp;o=info&amp;n=0&amp;q=</v>
      </c>
      <c r="K114" s="1" t="s">
        <v>134</v>
      </c>
      <c r="L114" s="1" t="str">
        <f>VLOOKUP(A114,Folha2!$A$2:$B$2019,2,FALSE)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4" s="12" t="str">
        <f t="shared" si="3"/>
        <v>https://permalinkbnd.bnportugal.gov.pt/viewer/273525/?offset=#page=37&amp;viewer=picture&amp;o=info&amp;n=0&amp;q=</v>
      </c>
      <c r="N114" s="12" t="s">
        <v>1497</v>
      </c>
      <c r="O114" s="12" t="str">
        <f>CONCATENATE(N114,A114,"\",B114,"\",C114,".jpg")</f>
        <v>C:\Users\mbaptista\OneDrive - Biblioteca Nacional de Portugal\Documentos\python\camoniana\imagens\capas\458290\1\37.jpg</v>
      </c>
      <c r="P114" s="12" t="str">
        <f>HYPERLINK(O114)</f>
        <v>C:\Users\mbaptista\OneDrive - Biblioteca Nacional de Portugal\Documentos\python\camoniana\imagens\capas\458290\1\37.jpg</v>
      </c>
      <c r="Q114" s="12"/>
      <c r="R114" s="6"/>
      <c r="S114" s="4"/>
      <c r="T114" s="1"/>
      <c r="U114" s="13"/>
      <c r="V114" s="13"/>
      <c r="W114" s="5"/>
    </row>
    <row r="115" spans="1:24" ht="285">
      <c r="A115" s="1">
        <v>458655</v>
      </c>
      <c r="B115" s="1">
        <v>1</v>
      </c>
      <c r="C115" s="1">
        <v>5</v>
      </c>
      <c r="D115" s="2" t="s">
        <v>137</v>
      </c>
      <c r="E115" s="11" t="s">
        <v>137</v>
      </c>
      <c r="F115" s="11">
        <v>270116</v>
      </c>
      <c r="G115" s="2" t="s">
        <v>1494</v>
      </c>
      <c r="H115" s="2" t="s">
        <v>1495</v>
      </c>
      <c r="I115" s="2" t="s">
        <v>1496</v>
      </c>
      <c r="J115" s="2" t="str">
        <f t="shared" si="2"/>
        <v>https://permalinkbnd.bnportugal.gov.pt/viewer/270116/?offset=#page=5&amp;viewer=picture&amp;o=info&amp;n=0&amp;q=</v>
      </c>
      <c r="K115" s="1" t="s">
        <v>138</v>
      </c>
      <c r="L115" s="1" t="str">
        <f>VLOOKUP(A115,Folha2!$A$2:$B$2019,2,FALSE)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5" s="12" t="str">
        <f t="shared" si="3"/>
        <v>https://permalinkbnd.bnportugal.gov.pt/viewer/270116/?offset=#page=5&amp;viewer=picture&amp;o=info&amp;n=0&amp;q=</v>
      </c>
      <c r="N115" s="12" t="s">
        <v>1497</v>
      </c>
      <c r="O115" s="12" t="str">
        <f>CONCATENATE(N115,A115,"\",B115,"\",C115,".jpg")</f>
        <v>C:\Users\mbaptista\OneDrive - Biblioteca Nacional de Portugal\Documentos\python\camoniana\imagens\capas\458655\1\5.jpg</v>
      </c>
      <c r="P115" s="12" t="str">
        <f>HYPERLINK(O115)</f>
        <v>C:\Users\mbaptista\OneDrive - Biblioteca Nacional de Portugal\Documentos\python\camoniana\imagens\capas\458655\1\5.jpg</v>
      </c>
      <c r="Q115" s="12"/>
      <c r="R115" s="6"/>
      <c r="S115" s="4"/>
      <c r="T115" s="1" t="s">
        <v>139</v>
      </c>
      <c r="U115" s="13"/>
      <c r="V115" s="13"/>
      <c r="W115" s="5"/>
    </row>
    <row r="116" spans="1:24" ht="285">
      <c r="A116" s="1">
        <v>458655</v>
      </c>
      <c r="B116" s="1">
        <v>1</v>
      </c>
      <c r="C116" s="1">
        <v>11</v>
      </c>
      <c r="D116" s="2" t="s">
        <v>137</v>
      </c>
      <c r="E116" s="5" t="s">
        <v>137</v>
      </c>
      <c r="F116" s="5">
        <v>270116</v>
      </c>
      <c r="G116" s="2" t="s">
        <v>1494</v>
      </c>
      <c r="H116" s="2" t="s">
        <v>1495</v>
      </c>
      <c r="I116" s="2" t="s">
        <v>1496</v>
      </c>
      <c r="J116" s="2" t="str">
        <f t="shared" si="2"/>
        <v>https://permalinkbnd.bnportugal.gov.pt/viewer/270116/?offset=#page=11&amp;viewer=picture&amp;o=info&amp;n=0&amp;q=</v>
      </c>
      <c r="K116" s="1" t="s">
        <v>138</v>
      </c>
      <c r="L116" s="1" t="str">
        <f>VLOOKUP(A116,Folha2!$A$2:$B$2019,2,FALSE)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6" s="12" t="str">
        <f t="shared" si="3"/>
        <v>https://permalinkbnd.bnportugal.gov.pt/viewer/270116/?offset=#page=11&amp;viewer=picture&amp;o=info&amp;n=0&amp;q=</v>
      </c>
      <c r="N116" s="12" t="s">
        <v>1497</v>
      </c>
      <c r="O116" s="12" t="str">
        <f>CONCATENATE(N116,A116,"\",B116,"\",C116,".jpg")</f>
        <v>C:\Users\mbaptista\OneDrive - Biblioteca Nacional de Portugal\Documentos\python\camoniana\imagens\capas\458655\1\11.jpg</v>
      </c>
      <c r="P116" s="12" t="str">
        <f>HYPERLINK(O116)</f>
        <v>C:\Users\mbaptista\OneDrive - Biblioteca Nacional de Portugal\Documentos\python\camoniana\imagens\capas\458655\1\11.jpg</v>
      </c>
      <c r="Q116" s="12"/>
      <c r="R116" s="6" t="s">
        <v>140</v>
      </c>
      <c r="S116" s="4"/>
      <c r="T116" s="1" t="s">
        <v>139</v>
      </c>
      <c r="U116" s="13"/>
      <c r="V116" s="13"/>
      <c r="W116" s="5" t="s">
        <v>1491</v>
      </c>
    </row>
    <row r="117" spans="1:24" ht="285">
      <c r="A117" s="1">
        <v>458655</v>
      </c>
      <c r="B117" s="1">
        <v>2</v>
      </c>
      <c r="C117" s="1">
        <v>5</v>
      </c>
      <c r="D117" s="2" t="s">
        <v>137</v>
      </c>
      <c r="E117" s="11" t="s">
        <v>137</v>
      </c>
      <c r="F117" s="11">
        <v>270116</v>
      </c>
      <c r="G117" s="2" t="s">
        <v>1494</v>
      </c>
      <c r="H117" s="2" t="s">
        <v>1495</v>
      </c>
      <c r="I117" s="2" t="s">
        <v>1496</v>
      </c>
      <c r="J117" s="2" t="str">
        <f t="shared" si="2"/>
        <v>https://permalinkbnd.bnportugal.gov.pt/viewer/270116/?offset=#page=5&amp;viewer=picture&amp;o=info&amp;n=0&amp;q=</v>
      </c>
      <c r="K117" s="1" t="s">
        <v>138</v>
      </c>
      <c r="L117" s="1" t="str">
        <f>VLOOKUP(A117,Folha2!$A$2:$B$2019,2,FALSE)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7" s="12" t="s">
        <v>1512</v>
      </c>
      <c r="N117" s="12" t="s">
        <v>1497</v>
      </c>
      <c r="O117" s="12" t="str">
        <f>CONCATENATE(N117,A117,"\",B117,"\",C117,".jpg")</f>
        <v>C:\Users\mbaptista\OneDrive - Biblioteca Nacional de Portugal\Documentos\python\camoniana\imagens\capas\458655\2\5.jpg</v>
      </c>
      <c r="P117" s="12" t="str">
        <f>HYPERLINK(O117)</f>
        <v>C:\Users\mbaptista\OneDrive - Biblioteca Nacional de Portugal\Documentos\python\camoniana\imagens\capas\458655\2\5.jpg</v>
      </c>
      <c r="Q117" s="12"/>
      <c r="R117" s="6" t="s">
        <v>141</v>
      </c>
      <c r="S117" s="4"/>
      <c r="T117" s="1" t="s">
        <v>139</v>
      </c>
      <c r="U117" s="13"/>
      <c r="V117" s="13"/>
      <c r="W117" s="5" t="s">
        <v>1491</v>
      </c>
    </row>
    <row r="118" spans="1:24" ht="285">
      <c r="A118" s="1">
        <v>458655</v>
      </c>
      <c r="B118" s="1">
        <v>3</v>
      </c>
      <c r="C118" s="1">
        <v>12</v>
      </c>
      <c r="D118" s="2" t="s">
        <v>137</v>
      </c>
      <c r="E118" s="5" t="s">
        <v>137</v>
      </c>
      <c r="F118" s="5">
        <v>270116</v>
      </c>
      <c r="G118" s="2" t="s">
        <v>1494</v>
      </c>
      <c r="H118" s="2" t="s">
        <v>1495</v>
      </c>
      <c r="I118" s="2" t="s">
        <v>1496</v>
      </c>
      <c r="J118" s="2" t="str">
        <f t="shared" si="2"/>
        <v>https://permalinkbnd.bnportugal.gov.pt/viewer/270116/?offset=#page=12&amp;viewer=picture&amp;o=info&amp;n=0&amp;q=</v>
      </c>
      <c r="K118" s="1" t="s">
        <v>138</v>
      </c>
      <c r="L118" s="1" t="str">
        <f>VLOOKUP(A118,Folha2!$A$2:$B$2019,2,FALSE)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8" s="12" t="s">
        <v>1513</v>
      </c>
      <c r="N118" s="12" t="s">
        <v>1497</v>
      </c>
      <c r="O118" s="12" t="str">
        <f>CONCATENATE(N118,A118,"\",B118,"\",C118,".jpg")</f>
        <v>C:\Users\mbaptista\OneDrive - Biblioteca Nacional de Portugal\Documentos\python\camoniana\imagens\capas\458655\3\12.jpg</v>
      </c>
      <c r="P118" s="12" t="str">
        <f>HYPERLINK(O118)</f>
        <v>C:\Users\mbaptista\OneDrive - Biblioteca Nacional de Portugal\Documentos\python\camoniana\imagens\capas\458655\3\12.jpg</v>
      </c>
      <c r="Q118" s="12"/>
      <c r="R118" s="6" t="s">
        <v>143</v>
      </c>
      <c r="S118" s="4"/>
      <c r="T118" s="1" t="s">
        <v>139</v>
      </c>
      <c r="U118" s="13" t="s">
        <v>142</v>
      </c>
      <c r="V118" s="13"/>
      <c r="W118" s="5" t="s">
        <v>1491</v>
      </c>
    </row>
    <row r="119" spans="1:24" ht="285">
      <c r="A119" s="1">
        <v>458655</v>
      </c>
      <c r="B119" s="1">
        <v>4</v>
      </c>
      <c r="C119" s="1">
        <v>12</v>
      </c>
      <c r="D119" s="2" t="s">
        <v>137</v>
      </c>
      <c r="E119" s="11" t="s">
        <v>137</v>
      </c>
      <c r="F119" s="11">
        <v>270116</v>
      </c>
      <c r="G119" s="2" t="s">
        <v>1494</v>
      </c>
      <c r="H119" s="2" t="s">
        <v>1495</v>
      </c>
      <c r="I119" s="2" t="s">
        <v>1496</v>
      </c>
      <c r="J119" s="2" t="str">
        <f t="shared" si="2"/>
        <v>https://permalinkbnd.bnportugal.gov.pt/viewer/270116/?offset=#page=12&amp;viewer=picture&amp;o=info&amp;n=0&amp;q=</v>
      </c>
      <c r="K119" s="1" t="s">
        <v>138</v>
      </c>
      <c r="L119" s="1" t="str">
        <f>VLOOKUP(A119,Folha2!$A$2:$B$2019,2,FALSE)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9" s="12" t="s">
        <v>1514</v>
      </c>
      <c r="N119" s="12" t="s">
        <v>1497</v>
      </c>
      <c r="O119" s="12" t="str">
        <f>CONCATENATE(N119,A119,"\",B119,"\",C119,".jpg")</f>
        <v>C:\Users\mbaptista\OneDrive - Biblioteca Nacional de Portugal\Documentos\python\camoniana\imagens\capas\458655\4\12.jpg</v>
      </c>
      <c r="P119" s="12" t="str">
        <f>HYPERLINK(O119)</f>
        <v>C:\Users\mbaptista\OneDrive - Biblioteca Nacional de Portugal\Documentos\python\camoniana\imagens\capas\458655\4\12.jpg</v>
      </c>
      <c r="Q119" s="12"/>
      <c r="R119" s="6" t="s">
        <v>143</v>
      </c>
      <c r="S119" s="4"/>
      <c r="T119" s="1" t="s">
        <v>139</v>
      </c>
      <c r="U119" s="13" t="s">
        <v>142</v>
      </c>
      <c r="V119" s="13"/>
      <c r="W119" s="5" t="s">
        <v>1491</v>
      </c>
    </row>
    <row r="120" spans="1:24" ht="285">
      <c r="A120" s="1">
        <v>458655</v>
      </c>
      <c r="B120" s="1"/>
      <c r="C120" s="1">
        <v>11</v>
      </c>
      <c r="D120" s="2" t="s">
        <v>137</v>
      </c>
      <c r="E120" s="5" t="s">
        <v>137</v>
      </c>
      <c r="F120" s="5">
        <v>270116</v>
      </c>
      <c r="G120" s="2" t="s">
        <v>1494</v>
      </c>
      <c r="H120" s="2" t="s">
        <v>1495</v>
      </c>
      <c r="I120" s="2" t="s">
        <v>1496</v>
      </c>
      <c r="J120" s="2" t="str">
        <f t="shared" si="2"/>
        <v>https://permalinkbnd.bnportugal.gov.pt/viewer/270116/?offset=#page=11&amp;viewer=picture&amp;o=info&amp;n=0&amp;q=</v>
      </c>
      <c r="K120" s="1" t="s">
        <v>138</v>
      </c>
      <c r="L120" s="1" t="str">
        <f>VLOOKUP(A120,Folha2!$A$2:$B$2019,2,FALSE)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0" s="12"/>
      <c r="N120" s="12" t="s">
        <v>1497</v>
      </c>
      <c r="O120" s="12" t="str">
        <f>CONCATENATE(N120,A120,"\",B120,"\",C120,".jpg")</f>
        <v>C:\Users\mbaptista\OneDrive - Biblioteca Nacional de Portugal\Documentos\python\camoniana\imagens\capas\458655\\11.jpg</v>
      </c>
      <c r="P120" s="12" t="str">
        <f>HYPERLINK(O120)</f>
        <v>C:\Users\mbaptista\OneDrive - Biblioteca Nacional de Portugal\Documentos\python\camoniana\imagens\capas\458655\\11.jpg</v>
      </c>
      <c r="Q120" s="12"/>
      <c r="R120" s="6" t="s">
        <v>140</v>
      </c>
      <c r="S120" s="4"/>
      <c r="T120" s="1" t="s">
        <v>139</v>
      </c>
      <c r="U120" s="13" t="s">
        <v>142</v>
      </c>
      <c r="V120" s="13"/>
      <c r="W120" s="5" t="s">
        <v>1491</v>
      </c>
      <c r="X120" t="s">
        <v>1516</v>
      </c>
    </row>
    <row r="121" spans="1:24" ht="285">
      <c r="A121" s="1">
        <v>458655</v>
      </c>
      <c r="B121" s="1">
        <v>8</v>
      </c>
      <c r="C121" s="1">
        <v>12</v>
      </c>
      <c r="D121" s="2" t="s">
        <v>137</v>
      </c>
      <c r="E121" s="11" t="s">
        <v>137</v>
      </c>
      <c r="F121" s="11">
        <v>270116</v>
      </c>
      <c r="G121" s="2" t="s">
        <v>1494</v>
      </c>
      <c r="H121" s="2" t="s">
        <v>1495</v>
      </c>
      <c r="I121" s="2" t="s">
        <v>1496</v>
      </c>
      <c r="J121" s="2" t="str">
        <f t="shared" si="2"/>
        <v>https://permalinkbnd.bnportugal.gov.pt/viewer/270116/?offset=#page=12&amp;viewer=picture&amp;o=info&amp;n=0&amp;q=</v>
      </c>
      <c r="K121" s="1" t="s">
        <v>138</v>
      </c>
      <c r="L121" s="1" t="str">
        <f>VLOOKUP(A121,Folha2!$A$2:$B$2019,2,FALSE)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1" s="12" t="s">
        <v>1515</v>
      </c>
      <c r="N121" s="12" t="s">
        <v>1497</v>
      </c>
      <c r="O121" s="12" t="str">
        <f>CONCATENATE(N121,A121,"\",B121,"\",C121,".jpg")</f>
        <v>C:\Users\mbaptista\OneDrive - Biblioteca Nacional de Portugal\Documentos\python\camoniana\imagens\capas\458655\8\12.jpg</v>
      </c>
      <c r="P121" s="12" t="str">
        <f>HYPERLINK(O121)</f>
        <v>C:\Users\mbaptista\OneDrive - Biblioteca Nacional de Portugal\Documentos\python\camoniana\imagens\capas\458655\8\12.jpg</v>
      </c>
      <c r="Q121" s="12"/>
      <c r="R121" s="6" t="s">
        <v>143</v>
      </c>
      <c r="S121" s="4"/>
      <c r="T121" s="1" t="s">
        <v>139</v>
      </c>
      <c r="U121" s="13" t="s">
        <v>142</v>
      </c>
      <c r="V121" s="13"/>
      <c r="W121" s="5" t="s">
        <v>1491</v>
      </c>
    </row>
    <row r="122" spans="1:24" ht="75">
      <c r="A122" s="1">
        <v>465606</v>
      </c>
      <c r="B122" s="1">
        <v>1</v>
      </c>
      <c r="C122" s="13">
        <v>3</v>
      </c>
      <c r="D122" s="2" t="s">
        <v>144</v>
      </c>
      <c r="E122" s="5" t="s">
        <v>144</v>
      </c>
      <c r="F122" s="5">
        <v>274117</v>
      </c>
      <c r="G122" s="2" t="s">
        <v>1494</v>
      </c>
      <c r="H122" s="2" t="s">
        <v>1495</v>
      </c>
      <c r="I122" s="2" t="s">
        <v>1496</v>
      </c>
      <c r="J122" s="2" t="str">
        <f t="shared" si="2"/>
        <v>https://permalinkbnd.bnportugal.gov.pt/viewer/274117/?offset=#page=3&amp;viewer=picture&amp;o=info&amp;n=0&amp;q=</v>
      </c>
      <c r="K122" s="1">
        <v>3</v>
      </c>
      <c r="L122" s="1" t="str">
        <f>VLOOKUP(A122,Folha2!$A$2:$B$2019,2,FALSE)</f>
        <v>J. Adamson, Sonnets, 1845, os sonetos são imitações de Camões?, cf. nota de rodapé, Im. 12.</v>
      </c>
      <c r="M122" s="12" t="str">
        <f t="shared" si="3"/>
        <v>https://permalinkbnd.bnportugal.gov.pt/viewer/274117/?offset=#page=3&amp;viewer=picture&amp;o=info&amp;n=0&amp;q=</v>
      </c>
      <c r="N122" s="12" t="s">
        <v>1497</v>
      </c>
      <c r="O122" s="12" t="str">
        <f>CONCATENATE(N122,A122,"\",B122,"\",C122,".jpg")</f>
        <v>C:\Users\mbaptista\OneDrive - Biblioteca Nacional de Portugal\Documentos\python\camoniana\imagens\capas\465606\1\3.jpg</v>
      </c>
      <c r="P122" s="12" t="str">
        <f>HYPERLINK(O122)</f>
        <v>C:\Users\mbaptista\OneDrive - Biblioteca Nacional de Portugal\Documentos\python\camoniana\imagens\capas\465606\1\3.jpg</v>
      </c>
      <c r="Q122" s="12"/>
      <c r="R122" s="6" t="s">
        <v>146</v>
      </c>
      <c r="S122" s="4"/>
      <c r="T122" s="1"/>
      <c r="U122" s="13" t="s">
        <v>145</v>
      </c>
      <c r="V122" s="13"/>
      <c r="W122" s="5" t="s">
        <v>1491</v>
      </c>
    </row>
    <row r="123" spans="1:24" ht="75">
      <c r="A123" s="1">
        <v>471392</v>
      </c>
      <c r="B123" s="1">
        <v>1</v>
      </c>
      <c r="C123" s="13">
        <v>5</v>
      </c>
      <c r="D123" s="2" t="s">
        <v>147</v>
      </c>
      <c r="E123" s="11" t="s">
        <v>147</v>
      </c>
      <c r="F123" s="11">
        <v>274153</v>
      </c>
      <c r="G123" s="2" t="s">
        <v>1494</v>
      </c>
      <c r="H123" s="2" t="s">
        <v>1495</v>
      </c>
      <c r="I123" s="2" t="s">
        <v>1496</v>
      </c>
      <c r="J123" s="2" t="str">
        <f t="shared" si="2"/>
        <v>https://permalinkbnd.bnportugal.gov.pt/viewer/274153/?offset=#page=5&amp;viewer=picture&amp;o=info&amp;n=0&amp;q=</v>
      </c>
      <c r="K123" s="1">
        <v>5</v>
      </c>
      <c r="L123" s="1" t="str">
        <f>VLOOKUP(A123,Folha2!$A$2:$B$2019,2,FALSE)</f>
        <v>Camões, Drama lírico, Pádua, 1857. Inserir Celebrações (1860), textos ficcionais?</v>
      </c>
      <c r="M123" s="12" t="str">
        <f t="shared" si="3"/>
        <v>https://permalinkbnd.bnportugal.gov.pt/viewer/274153/?offset=#page=5&amp;viewer=picture&amp;o=info&amp;n=0&amp;q=</v>
      </c>
      <c r="N123" s="12" t="s">
        <v>1497</v>
      </c>
      <c r="O123" s="12" t="str">
        <f>CONCATENATE(N123,A123,"\",B123,"\",C123,".jpg")</f>
        <v>C:\Users\mbaptista\OneDrive - Biblioteca Nacional de Portugal\Documentos\python\camoniana\imagens\capas\471392\1\5.jpg</v>
      </c>
      <c r="P123" s="12" t="str">
        <f>HYPERLINK(O123)</f>
        <v>C:\Users\mbaptista\OneDrive - Biblioteca Nacional de Portugal\Documentos\python\camoniana\imagens\capas\471392\1\5.jpg</v>
      </c>
      <c r="Q123" s="12"/>
      <c r="R123" s="6" t="s">
        <v>149</v>
      </c>
      <c r="S123" s="4"/>
      <c r="T123" s="1"/>
      <c r="U123" s="13" t="s">
        <v>148</v>
      </c>
      <c r="V123" s="13"/>
      <c r="W123" s="5" t="s">
        <v>1491</v>
      </c>
    </row>
    <row r="124" spans="1:24" ht="75">
      <c r="A124" s="1">
        <v>475171</v>
      </c>
      <c r="B124" s="1">
        <v>1</v>
      </c>
      <c r="C124" s="1">
        <v>13</v>
      </c>
      <c r="D124" s="2" t="s">
        <v>150</v>
      </c>
      <c r="E124" s="5" t="s">
        <v>150</v>
      </c>
      <c r="F124" s="5">
        <v>272371</v>
      </c>
      <c r="G124" s="2" t="s">
        <v>1494</v>
      </c>
      <c r="H124" s="2" t="s">
        <v>1495</v>
      </c>
      <c r="I124" s="2" t="s">
        <v>1496</v>
      </c>
      <c r="J124" s="2" t="str">
        <f t="shared" si="2"/>
        <v>https://permalinkbnd.bnportugal.gov.pt/viewer/272371/?offset=#page=13&amp;viewer=picture&amp;o=info&amp;n=0&amp;q=</v>
      </c>
      <c r="K124" s="1">
        <v>13</v>
      </c>
      <c r="L124" s="1" t="str">
        <f>VLOOKUP(A124,Folha2!$A$2:$B$2019,2,FALSE)</f>
        <v>Os Lusíadas traduzidos por fr. André Baião, 1625. A trad. do Canto II parece não estar terminada. Trad. Paratextos gerais manuscritos; Trad. Paratextos argumentos manuscritos.</v>
      </c>
      <c r="M124" s="12" t="str">
        <f t="shared" si="3"/>
        <v>https://permalinkbnd.bnportugal.gov.pt/viewer/272371/?offset=#page=13&amp;viewer=picture&amp;o=info&amp;n=0&amp;q=</v>
      </c>
      <c r="N124" s="12" t="s">
        <v>1497</v>
      </c>
      <c r="O124" s="12" t="str">
        <f>CONCATENATE(N124,A124,"\",B124,"\",C124,".jpg")</f>
        <v>C:\Users\mbaptista\OneDrive - Biblioteca Nacional de Portugal\Documentos\python\camoniana\imagens\capas\475171\1\13.jpg</v>
      </c>
      <c r="P124" s="12" t="str">
        <f>HYPERLINK(O124)</f>
        <v>C:\Users\mbaptista\OneDrive - Biblioteca Nacional de Portugal\Documentos\python\camoniana\imagens\capas\475171\1\13.jpg</v>
      </c>
      <c r="Q124" s="12"/>
      <c r="R124" s="6" t="s">
        <v>151</v>
      </c>
      <c r="S124" s="4"/>
      <c r="T124" s="1">
        <v>13</v>
      </c>
      <c r="U124" s="13"/>
      <c r="V124" s="13"/>
      <c r="W124" s="5" t="s">
        <v>1491</v>
      </c>
    </row>
    <row r="125" spans="1:24" ht="75">
      <c r="A125" s="1">
        <v>475214</v>
      </c>
      <c r="B125" s="1">
        <v>1</v>
      </c>
      <c r="C125" s="13">
        <v>7</v>
      </c>
      <c r="D125" s="2" t="s">
        <v>152</v>
      </c>
      <c r="E125" s="11" t="s">
        <v>152</v>
      </c>
      <c r="F125" s="11">
        <v>273182</v>
      </c>
      <c r="G125" s="2" t="s">
        <v>1494</v>
      </c>
      <c r="H125" s="2" t="s">
        <v>1495</v>
      </c>
      <c r="I125" s="2" t="s">
        <v>1496</v>
      </c>
      <c r="J125" s="2" t="str">
        <f t="shared" si="2"/>
        <v>https://permalinkbnd.bnportugal.gov.pt/viewer/273182/?offset=#page=7&amp;viewer=picture&amp;o=info&amp;n=0&amp;q=</v>
      </c>
      <c r="K125" s="1">
        <v>7</v>
      </c>
      <c r="L125" s="1" t="str">
        <f>VLOOKUP(A125,Folha2!$A$2:$B$2019,2,FALSE)</f>
        <v>Inès de Castro, Traduit en vers hébreux, 1892. Bilingue, apresentado na 10.ª sessão do Congresso Internacional de Orientalistas. Trad. Paratextos Frag. gerais; Trad. Frag. Paratextos notas; Mulheres [dedicatória do tradutor a Madame]</v>
      </c>
      <c r="M125" s="12" t="str">
        <f t="shared" si="3"/>
        <v>https://permalinkbnd.bnportugal.gov.pt/viewer/273182/?offset=#page=7&amp;viewer=picture&amp;o=info&amp;n=0&amp;q=</v>
      </c>
      <c r="N125" s="12" t="s">
        <v>1497</v>
      </c>
      <c r="O125" s="12" t="str">
        <f>CONCATENATE(N125,A125,"\",B125,"\",C125,".jpg")</f>
        <v>C:\Users\mbaptista\OneDrive - Biblioteca Nacional de Portugal\Documentos\python\camoniana\imagens\capas\475214\1\7.jpg</v>
      </c>
      <c r="P125" s="12" t="str">
        <f>HYPERLINK(O125)</f>
        <v>C:\Users\mbaptista\OneDrive - Biblioteca Nacional de Portugal\Documentos\python\camoniana\imagens\capas\475214\1\7.jpg</v>
      </c>
      <c r="Q125" s="12"/>
      <c r="R125" s="6" t="s">
        <v>153</v>
      </c>
      <c r="S125" s="4"/>
      <c r="T125" s="1"/>
      <c r="U125" s="13" t="s">
        <v>73</v>
      </c>
      <c r="V125" s="13"/>
      <c r="W125" s="5" t="s">
        <v>1491</v>
      </c>
    </row>
    <row r="126" spans="1:24" ht="75">
      <c r="A126" s="1">
        <v>475453</v>
      </c>
      <c r="B126" s="1">
        <v>1</v>
      </c>
      <c r="C126" s="1">
        <v>1</v>
      </c>
      <c r="D126" s="2" t="s">
        <v>154</v>
      </c>
      <c r="E126" s="5" t="s">
        <v>154</v>
      </c>
      <c r="F126" s="5">
        <v>273318</v>
      </c>
      <c r="G126" s="2" t="s">
        <v>1494</v>
      </c>
      <c r="H126" s="2" t="s">
        <v>1495</v>
      </c>
      <c r="I126" s="2" t="s">
        <v>1496</v>
      </c>
      <c r="J126" s="2" t="str">
        <f t="shared" si="2"/>
        <v>https://permalinkbnd.bnportugal.gov.pt/viewer/273318/?offset=#page=1&amp;viewer=picture&amp;o=info&amp;n=0&amp;q=</v>
      </c>
      <c r="K126" s="1">
        <v>1</v>
      </c>
      <c r="L126" s="1" t="str">
        <f>VLOOKUP(A126,Folha2!$A$2:$B$2019,2,FALSE)</f>
        <v>Valsa Azulina. Outros números do Recreio Musical. 1880. Pedir para retirar ponto de interrogação [1880?] do purl</v>
      </c>
      <c r="M126" s="12" t="str">
        <f t="shared" si="3"/>
        <v>https://permalinkbnd.bnportugal.gov.pt/viewer/273318/?offset=#page=1&amp;viewer=picture&amp;o=info&amp;n=0&amp;q=</v>
      </c>
      <c r="N126" s="12" t="s">
        <v>1497</v>
      </c>
      <c r="O126" s="12" t="str">
        <f>CONCATENATE(N126,A126,"\",B126,"\",C126,".jpg")</f>
        <v>C:\Users\mbaptista\OneDrive - Biblioteca Nacional de Portugal\Documentos\python\camoniana\imagens\capas\475453\1\1.jpg</v>
      </c>
      <c r="P126" s="12" t="str">
        <f>HYPERLINK(O126)</f>
        <v>C:\Users\mbaptista\OneDrive - Biblioteca Nacional de Portugal\Documentos\python\camoniana\imagens\capas\475453\1\1.jpg</v>
      </c>
      <c r="Q126" s="12"/>
      <c r="R126" s="6" t="s">
        <v>155</v>
      </c>
      <c r="S126" s="4"/>
      <c r="T126" s="1">
        <v>1</v>
      </c>
      <c r="U126" s="13"/>
      <c r="V126" s="13"/>
      <c r="W126" s="5" t="s">
        <v>1491</v>
      </c>
    </row>
    <row r="127" spans="1:24" ht="75">
      <c r="A127" s="1">
        <v>475458</v>
      </c>
      <c r="B127" s="1">
        <v>1</v>
      </c>
      <c r="C127" s="1">
        <v>1</v>
      </c>
      <c r="D127" s="2" t="s">
        <v>156</v>
      </c>
      <c r="E127" s="11" t="s">
        <v>156</v>
      </c>
      <c r="F127" s="11">
        <v>273319</v>
      </c>
      <c r="G127" s="2" t="s">
        <v>1494</v>
      </c>
      <c r="H127" s="2" t="s">
        <v>1495</v>
      </c>
      <c r="I127" s="2" t="s">
        <v>1496</v>
      </c>
      <c r="J127" s="2" t="str">
        <f t="shared" si="2"/>
        <v>https://permalinkbnd.bnportugal.gov.pt/viewer/273319/?offset=#page=1&amp;viewer=picture&amp;o=info&amp;n=0&amp;q=</v>
      </c>
      <c r="K127" s="1">
        <v>1</v>
      </c>
      <c r="L127" s="1" t="str">
        <f>VLOOKUP(A127,Folha2!$A$2:$B$2019,2,FALSE)</f>
        <v>Augusto José de Carvalho, Os Lusíadas. Música para piano e canto, 1880 Canto I e X.</v>
      </c>
      <c r="M127" s="12" t="str">
        <f t="shared" si="3"/>
        <v>https://permalinkbnd.bnportugal.gov.pt/viewer/273319/?offset=#page=1&amp;viewer=picture&amp;o=info&amp;n=0&amp;q=</v>
      </c>
      <c r="N127" s="12" t="s">
        <v>1497</v>
      </c>
      <c r="O127" s="12" t="str">
        <f>CONCATENATE(N127,A127,"\",B127,"\",C127,".jpg")</f>
        <v>C:\Users\mbaptista\OneDrive - Biblioteca Nacional de Portugal\Documentos\python\camoniana\imagens\capas\475458\1\1.jpg</v>
      </c>
      <c r="P127" s="12" t="str">
        <f>HYPERLINK(O127)</f>
        <v>C:\Users\mbaptista\OneDrive - Biblioteca Nacional de Portugal\Documentos\python\camoniana\imagens\capas\475458\1\1.jpg</v>
      </c>
      <c r="Q127" s="12"/>
      <c r="R127" s="6" t="s">
        <v>157</v>
      </c>
      <c r="S127" s="4"/>
      <c r="T127" s="1">
        <v>1</v>
      </c>
      <c r="U127" s="13"/>
      <c r="V127" s="13"/>
      <c r="W127" s="5" t="s">
        <v>1491</v>
      </c>
    </row>
    <row r="128" spans="1:24" ht="75">
      <c r="A128" s="1">
        <v>476957</v>
      </c>
      <c r="B128" s="1">
        <v>1</v>
      </c>
      <c r="C128" s="13">
        <v>5</v>
      </c>
      <c r="D128" s="2" t="s">
        <v>158</v>
      </c>
      <c r="E128" s="5" t="s">
        <v>158</v>
      </c>
      <c r="F128" s="5">
        <v>273102</v>
      </c>
      <c r="G128" s="2" t="s">
        <v>1494</v>
      </c>
      <c r="H128" s="2" t="s">
        <v>1495</v>
      </c>
      <c r="I128" s="2" t="s">
        <v>1496</v>
      </c>
      <c r="J128" s="2" t="str">
        <f t="shared" si="2"/>
        <v>https://permalinkbnd.bnportugal.gov.pt/viewer/273102/?offset=#page=5&amp;viewer=picture&amp;o=info&amp;n=0&amp;q=</v>
      </c>
      <c r="K128" s="1" t="s">
        <v>159</v>
      </c>
      <c r="L128" s="1" t="str">
        <f>VLOOKUP(A128,Folha2!$A$2:$B$2019,2,FALSE)</f>
        <v>Os Lusíadas. Edição popular gratuita, 1880, sem argumentos.</v>
      </c>
      <c r="M128" s="12" t="str">
        <f t="shared" si="3"/>
        <v>https://permalinkbnd.bnportugal.gov.pt/viewer/273102/?offset=#page=5&amp;viewer=picture&amp;o=info&amp;n=0&amp;q=</v>
      </c>
      <c r="N128" s="12" t="s">
        <v>1497</v>
      </c>
      <c r="O128" s="12" t="str">
        <f>CONCATENATE(N128,A128,"\",B128,"\",C128,".jpg")</f>
        <v>C:\Users\mbaptista\OneDrive - Biblioteca Nacional de Portugal\Documentos\python\camoniana\imagens\capas\476957\1\5.jpg</v>
      </c>
      <c r="P128" s="12" t="str">
        <f>HYPERLINK(O128)</f>
        <v>C:\Users\mbaptista\OneDrive - Biblioteca Nacional de Portugal\Documentos\python\camoniana\imagens\capas\476957\1\5.jpg</v>
      </c>
      <c r="Q128" s="12"/>
      <c r="R128" s="6" t="s">
        <v>160</v>
      </c>
      <c r="S128" s="4"/>
      <c r="T128" s="1"/>
      <c r="U128" s="13" t="s">
        <v>148</v>
      </c>
      <c r="V128" s="13"/>
      <c r="W128" s="5" t="s">
        <v>1491</v>
      </c>
    </row>
    <row r="129" spans="1:23" ht="75">
      <c r="A129" s="1">
        <v>479076</v>
      </c>
      <c r="B129" s="1">
        <v>1</v>
      </c>
      <c r="C129" s="1">
        <v>1</v>
      </c>
      <c r="D129" s="2" t="s">
        <v>161</v>
      </c>
      <c r="E129" s="11" t="s">
        <v>161</v>
      </c>
      <c r="F129" s="11">
        <v>270341</v>
      </c>
      <c r="G129" s="2" t="s">
        <v>1494</v>
      </c>
      <c r="H129" s="2" t="s">
        <v>1495</v>
      </c>
      <c r="I129" s="2" t="s">
        <v>1496</v>
      </c>
      <c r="J129" s="2" t="str">
        <f t="shared" si="2"/>
        <v>https://permalinkbnd.bnportugal.gov.pt/viewer/270341/?offset=#page=1&amp;viewer=picture&amp;o=info&amp;n=0&amp;q=</v>
      </c>
      <c r="K129" s="1" t="s">
        <v>162</v>
      </c>
      <c r="L129" s="1" t="str">
        <f>VLOOKUP(A129,Folha2!$A$2:$B$2019,2,FALSE)</f>
        <v>Tygnodik, 1880 [1.º: artigo sobre Camões de Edward Grabuwski?, cf. Im.: 3-4 e 2.º: cf. Im. 2, com várias imagens alheias a Camões].</v>
      </c>
      <c r="M129" s="12" t="str">
        <f t="shared" si="3"/>
        <v>https://permalinkbnd.bnportugal.gov.pt/viewer/270341/?offset=#page=1&amp;viewer=picture&amp;o=info&amp;n=0&amp;q=</v>
      </c>
      <c r="N129" s="12" t="s">
        <v>1497</v>
      </c>
      <c r="O129" s="12" t="str">
        <f>CONCATENATE(N129,A129,"\",B129,"\",C129,".jpg")</f>
        <v>C:\Users\mbaptista\OneDrive - Biblioteca Nacional de Portugal\Documentos\python\camoniana\imagens\capas\479076\1\1.jpg</v>
      </c>
      <c r="P129" s="12" t="str">
        <f>HYPERLINK(O129)</f>
        <v>C:\Users\mbaptista\OneDrive - Biblioteca Nacional de Portugal\Documentos\python\camoniana\imagens\capas\479076\1\1.jpg</v>
      </c>
      <c r="Q129" s="12"/>
      <c r="R129" s="6" t="s">
        <v>163</v>
      </c>
      <c r="S129" s="4"/>
      <c r="T129" s="1">
        <v>1</v>
      </c>
      <c r="U129" s="13"/>
      <c r="V129" s="13"/>
      <c r="W129" s="5" t="s">
        <v>1491</v>
      </c>
    </row>
    <row r="130" spans="1:23" ht="75">
      <c r="A130" s="1">
        <v>479079</v>
      </c>
      <c r="B130" s="1">
        <v>1</v>
      </c>
      <c r="C130" s="1">
        <v>1</v>
      </c>
      <c r="D130" s="2" t="s">
        <v>164</v>
      </c>
      <c r="E130" s="5" t="s">
        <v>164</v>
      </c>
      <c r="F130" s="5">
        <v>270336</v>
      </c>
      <c r="G130" s="2" t="s">
        <v>1494</v>
      </c>
      <c r="H130" s="2" t="s">
        <v>1495</v>
      </c>
      <c r="I130" s="2" t="s">
        <v>1496</v>
      </c>
      <c r="J130" s="2" t="str">
        <f t="shared" ref="J130:J193" si="4">CONCATENATE(G130,F130,H130,C130,I130)</f>
        <v>https://permalinkbnd.bnportugal.gov.pt/viewer/270336/?offset=#page=1&amp;viewer=picture&amp;o=info&amp;n=0&amp;q=</v>
      </c>
      <c r="K130" s="1" t="s">
        <v>162</v>
      </c>
      <c r="L130" s="1" t="str">
        <f>VLOOKUP(A130,Folha2!$A$2:$B$2019,2,FALSE)</f>
        <v>Tygnodik, 1880  [1.º: artigos sobre Camões, cf. Im.: 3-4 e 2.º Vol.: cf. Im. 1-3 de D. n., com várias imagens alheias a Camões].</v>
      </c>
      <c r="M130" s="12" t="str">
        <f t="shared" ref="M130:M193" si="5">HYPERLINK(J130)</f>
        <v>https://permalinkbnd.bnportugal.gov.pt/viewer/270336/?offset=#page=1&amp;viewer=picture&amp;o=info&amp;n=0&amp;q=</v>
      </c>
      <c r="N130" s="12" t="s">
        <v>1497</v>
      </c>
      <c r="O130" s="12" t="str">
        <f>CONCATENATE(N130,A130,"\",B130,"\",C130,".jpg")</f>
        <v>C:\Users\mbaptista\OneDrive - Biblioteca Nacional de Portugal\Documentos\python\camoniana\imagens\capas\479079\1\1.jpg</v>
      </c>
      <c r="P130" s="12" t="str">
        <f>HYPERLINK(O130)</f>
        <v>C:\Users\mbaptista\OneDrive - Biblioteca Nacional de Portugal\Documentos\python\camoniana\imagens\capas\479079\1\1.jpg</v>
      </c>
      <c r="Q130" s="12"/>
      <c r="R130" s="6" t="s">
        <v>165</v>
      </c>
      <c r="S130" s="4"/>
      <c r="T130" s="1">
        <v>1</v>
      </c>
      <c r="U130" s="13"/>
      <c r="V130" s="13"/>
      <c r="W130" s="5" t="s">
        <v>1491</v>
      </c>
    </row>
    <row r="131" spans="1:23" ht="75">
      <c r="A131" s="1">
        <v>480058</v>
      </c>
      <c r="B131" s="1">
        <v>1</v>
      </c>
      <c r="C131" s="1">
        <v>1</v>
      </c>
      <c r="D131" s="2" t="s">
        <v>166</v>
      </c>
      <c r="E131" s="11" t="s">
        <v>166</v>
      </c>
      <c r="F131" s="11">
        <v>273314</v>
      </c>
      <c r="G131" s="2" t="s">
        <v>1494</v>
      </c>
      <c r="H131" s="2" t="s">
        <v>1495</v>
      </c>
      <c r="I131" s="2" t="s">
        <v>1496</v>
      </c>
      <c r="J131" s="2" t="str">
        <f t="shared" si="4"/>
        <v>https://permalinkbnd.bnportugal.gov.pt/viewer/273314/?offset=#page=1&amp;viewer=picture&amp;o=info&amp;n=0&amp;q=</v>
      </c>
      <c r="K131" s="1">
        <v>1</v>
      </c>
      <c r="L131" s="1" t="str">
        <f>VLOOKUP(A131,Folha2!$A$2:$B$2019,2,FALSE)</f>
        <v>Jornal do Comércio, 1880  Figuras Femininas [Aura? de Castro, soneto, cf. Im. 2]. Recepção criativa, tematização e centão.</v>
      </c>
      <c r="M131" s="12" t="str">
        <f t="shared" si="5"/>
        <v>https://permalinkbnd.bnportugal.gov.pt/viewer/273314/?offset=#page=1&amp;viewer=picture&amp;o=info&amp;n=0&amp;q=</v>
      </c>
      <c r="N131" s="12" t="s">
        <v>1497</v>
      </c>
      <c r="O131" s="12" t="str">
        <f>CONCATENATE(N131,A131,"\",B131,"\",C131,".jpg")</f>
        <v>C:\Users\mbaptista\OneDrive - Biblioteca Nacional de Portugal\Documentos\python\camoniana\imagens\capas\480058\1\1.jpg</v>
      </c>
      <c r="P131" s="12" t="str">
        <f>HYPERLINK(O131)</f>
        <v>C:\Users\mbaptista\OneDrive - Biblioteca Nacional de Portugal\Documentos\python\camoniana\imagens\capas\480058\1\1.jpg</v>
      </c>
      <c r="Q131" s="12"/>
      <c r="R131" s="6" t="s">
        <v>167</v>
      </c>
      <c r="S131" s="4"/>
      <c r="T131" s="1">
        <v>1</v>
      </c>
      <c r="U131" s="13"/>
      <c r="V131" s="13"/>
      <c r="W131" s="5" t="s">
        <v>1491</v>
      </c>
    </row>
    <row r="132" spans="1:23" ht="75">
      <c r="A132" s="1">
        <v>357297</v>
      </c>
      <c r="B132" s="1">
        <v>1</v>
      </c>
      <c r="C132" s="13">
        <v>10</v>
      </c>
      <c r="D132" s="2" t="s">
        <v>168</v>
      </c>
      <c r="E132" s="5" t="s">
        <v>168</v>
      </c>
      <c r="F132" s="5">
        <v>281908</v>
      </c>
      <c r="G132" s="2" t="s">
        <v>1494</v>
      </c>
      <c r="H132" s="2" t="s">
        <v>1495</v>
      </c>
      <c r="I132" s="2" t="s">
        <v>1496</v>
      </c>
      <c r="J132" s="2" t="str">
        <f t="shared" si="4"/>
        <v>https://permalinkbnd.bnportugal.gov.pt/viewer/281908/?offset=#page=10&amp;viewer=picture&amp;o=info&amp;n=0&amp;q=</v>
      </c>
      <c r="K132" s="1" t="s">
        <v>169</v>
      </c>
      <c r="L132" s="1" t="str">
        <f>VLOOKUP(A132,Folha2!$A$2:$B$2019,2,FALSE)</f>
        <v>Os Lusíadas. Morgado de Mateus, 1819, sem argumentos.  Refere catálogos de Os Lusíadas.  Paratextos vida (inclui ainda notas de vida), Paratextos notas e lista.</v>
      </c>
      <c r="M132" s="12" t="str">
        <f t="shared" si="5"/>
        <v>https://permalinkbnd.bnportugal.gov.pt/viewer/281908/?offset=#page=10&amp;viewer=picture&amp;o=info&amp;n=0&amp;q=</v>
      </c>
      <c r="N132" s="12" t="s">
        <v>1497</v>
      </c>
      <c r="O132" s="12" t="str">
        <f>CONCATENATE(N132,A132,"\",B132,"\",C132,".jpg")</f>
        <v>C:\Users\mbaptista\OneDrive - Biblioteca Nacional de Portugal\Documentos\python\camoniana\imagens\capas\357297\1\10.jpg</v>
      </c>
      <c r="P132" s="12" t="str">
        <f>HYPERLINK(O132)</f>
        <v>C:\Users\mbaptista\OneDrive - Biblioteca Nacional de Portugal\Documentos\python\camoniana\imagens\capas\357297\1\10.jpg</v>
      </c>
      <c r="Q132" s="12"/>
      <c r="R132" s="6" t="s">
        <v>171</v>
      </c>
      <c r="S132" s="4"/>
      <c r="T132" s="1">
        <v>1</v>
      </c>
      <c r="U132" s="13" t="s">
        <v>170</v>
      </c>
      <c r="V132" s="13"/>
      <c r="W132" s="5" t="s">
        <v>1491</v>
      </c>
    </row>
    <row r="133" spans="1:23" ht="75">
      <c r="A133" s="1">
        <v>601741</v>
      </c>
      <c r="B133" s="1">
        <v>1</v>
      </c>
      <c r="C133" s="1">
        <v>1</v>
      </c>
      <c r="D133" s="2" t="s">
        <v>172</v>
      </c>
      <c r="E133" s="11" t="s">
        <v>172</v>
      </c>
      <c r="F133" s="11">
        <v>36540</v>
      </c>
      <c r="G133" s="2" t="s">
        <v>1494</v>
      </c>
      <c r="H133" s="2" t="s">
        <v>1495</v>
      </c>
      <c r="I133" s="2" t="s">
        <v>1496</v>
      </c>
      <c r="J133" s="2" t="str">
        <f t="shared" si="4"/>
        <v>https://permalinkbnd.bnportugal.gov.pt/viewer/36540/?offset=#page=1&amp;viewer=picture&amp;o=info&amp;n=0&amp;q=</v>
      </c>
      <c r="K133" s="1" t="s">
        <v>120</v>
      </c>
      <c r="L133" s="1" t="str">
        <f>VLOOKUP(A133,Folha2!$A$2:$B$2019,2,FALSE)</f>
        <v>Camões, litografia, 1880</v>
      </c>
      <c r="M133" s="12" t="str">
        <f t="shared" si="5"/>
        <v>https://permalinkbnd.bnportugal.gov.pt/viewer/36540/?offset=#page=1&amp;viewer=picture&amp;o=info&amp;n=0&amp;q=</v>
      </c>
      <c r="N133" s="12" t="s">
        <v>1497</v>
      </c>
      <c r="O133" s="12" t="str">
        <f>CONCATENATE(N133,A133,"\",B133,"\",C133,".jpg")</f>
        <v>C:\Users\mbaptista\OneDrive - Biblioteca Nacional de Portugal\Documentos\python\camoniana\imagens\capas\601741\1\1.jpg</v>
      </c>
      <c r="P133" s="12" t="str">
        <f>HYPERLINK(O133)</f>
        <v>C:\Users\mbaptista\OneDrive - Biblioteca Nacional de Portugal\Documentos\python\camoniana\imagens\capas\601741\1\1.jpg</v>
      </c>
      <c r="Q133" s="12"/>
      <c r="R133" s="6" t="s">
        <v>173</v>
      </c>
      <c r="S133" s="4"/>
      <c r="T133" s="1">
        <v>1</v>
      </c>
      <c r="U133" s="13"/>
      <c r="V133" s="13"/>
      <c r="W133" s="5" t="s">
        <v>1491</v>
      </c>
    </row>
    <row r="134" spans="1:23" ht="75">
      <c r="A134" s="1">
        <v>604127</v>
      </c>
      <c r="B134" s="1">
        <v>1</v>
      </c>
      <c r="C134" s="1">
        <v>1</v>
      </c>
      <c r="D134" s="2" t="s">
        <v>174</v>
      </c>
      <c r="E134" s="5" t="s">
        <v>174</v>
      </c>
      <c r="F134" s="5">
        <v>14040</v>
      </c>
      <c r="G134" s="2" t="s">
        <v>1494</v>
      </c>
      <c r="H134" s="2" t="s">
        <v>1495</v>
      </c>
      <c r="I134" s="2" t="s">
        <v>1496</v>
      </c>
      <c r="J134" s="2" t="str">
        <f t="shared" si="4"/>
        <v>https://permalinkbnd.bnportugal.gov.pt/viewer/14040/?offset=#page=1&amp;viewer=picture&amp;o=info&amp;n=0&amp;q=</v>
      </c>
      <c r="K134" s="1" t="s">
        <v>175</v>
      </c>
      <c r="L134" s="1" t="str">
        <f>VLOOKUP(A134,Folha2!$A$2:$B$2019,2,FALSE)</f>
        <v>Borges Figueiredo, Carta da geografia, 1883</v>
      </c>
      <c r="M134" s="12" t="str">
        <f t="shared" si="5"/>
        <v>https://permalinkbnd.bnportugal.gov.pt/viewer/14040/?offset=#page=1&amp;viewer=picture&amp;o=info&amp;n=0&amp;q=</v>
      </c>
      <c r="N134" s="12" t="s">
        <v>1497</v>
      </c>
      <c r="O134" s="12" t="str">
        <f>CONCATENATE(N134,A134,"\",B134,"\",C134,".jpg")</f>
        <v>C:\Users\mbaptista\OneDrive - Biblioteca Nacional de Portugal\Documentos\python\camoniana\imagens\capas\604127\1\1.jpg</v>
      </c>
      <c r="P134" s="12" t="str">
        <f>HYPERLINK(O134)</f>
        <v>C:\Users\mbaptista\OneDrive - Biblioteca Nacional de Portugal\Documentos\python\camoniana\imagens\capas\604127\1\1.jpg</v>
      </c>
      <c r="Q134" s="12"/>
      <c r="R134" s="6" t="s">
        <v>176</v>
      </c>
      <c r="S134" s="4"/>
      <c r="T134" s="1">
        <v>1</v>
      </c>
      <c r="U134" s="13"/>
      <c r="V134" s="13"/>
      <c r="W134" s="5" t="s">
        <v>1491</v>
      </c>
    </row>
    <row r="135" spans="1:23" ht="75">
      <c r="A135" s="1">
        <v>613457</v>
      </c>
      <c r="B135" s="1">
        <v>1</v>
      </c>
      <c r="C135" s="1">
        <v>1</v>
      </c>
      <c r="D135" s="2" t="s">
        <v>177</v>
      </c>
      <c r="E135" s="11" t="s">
        <v>177</v>
      </c>
      <c r="F135" s="11">
        <v>272734</v>
      </c>
      <c r="G135" s="2" t="s">
        <v>1494</v>
      </c>
      <c r="H135" s="2" t="s">
        <v>1495</v>
      </c>
      <c r="I135" s="2" t="s">
        <v>1496</v>
      </c>
      <c r="J135" s="2" t="str">
        <f t="shared" si="4"/>
        <v>https://permalinkbnd.bnportugal.gov.pt/viewer/272734/?offset=#page=1&amp;viewer=picture&amp;o=info&amp;n=0&amp;q=</v>
      </c>
      <c r="K135" s="1">
        <v>1</v>
      </c>
      <c r="L135" s="1" t="str">
        <f>VLOOKUP(A135,Folha2!$A$2:$B$2019,2,FALSE)</f>
        <v>Camões, 1970</v>
      </c>
      <c r="M135" s="12" t="str">
        <f t="shared" si="5"/>
        <v>https://permalinkbnd.bnportugal.gov.pt/viewer/272734/?offset=#page=1&amp;viewer=picture&amp;o=info&amp;n=0&amp;q=</v>
      </c>
      <c r="N135" s="12" t="s">
        <v>1497</v>
      </c>
      <c r="O135" s="12" t="str">
        <f>CONCATENATE(N135,A135,"\",B135,"\",C135,".jpg")</f>
        <v>C:\Users\mbaptista\OneDrive - Biblioteca Nacional de Portugal\Documentos\python\camoniana\imagens\capas\613457\1\1.jpg</v>
      </c>
      <c r="P135" s="12" t="str">
        <f>HYPERLINK(O135)</f>
        <v>C:\Users\mbaptista\OneDrive - Biblioteca Nacional de Portugal\Documentos\python\camoniana\imagens\capas\613457\1\1.jpg</v>
      </c>
      <c r="Q135" s="12"/>
      <c r="R135" s="6" t="s">
        <v>178</v>
      </c>
      <c r="S135" s="4"/>
      <c r="T135" s="1">
        <v>1</v>
      </c>
      <c r="U135" s="13"/>
      <c r="V135" s="13"/>
      <c r="W135" s="5" t="s">
        <v>1491</v>
      </c>
    </row>
    <row r="136" spans="1:23" ht="75">
      <c r="A136" s="1">
        <v>614521</v>
      </c>
      <c r="B136" s="1">
        <v>1</v>
      </c>
      <c r="C136" s="1">
        <v>1</v>
      </c>
      <c r="D136" s="2" t="s">
        <v>179</v>
      </c>
      <c r="E136" s="5" t="s">
        <v>179</v>
      </c>
      <c r="F136" s="5">
        <v>36741</v>
      </c>
      <c r="G136" s="2" t="s">
        <v>1494</v>
      </c>
      <c r="H136" s="2" t="s">
        <v>1495</v>
      </c>
      <c r="I136" s="2" t="s">
        <v>1496</v>
      </c>
      <c r="J136" s="2" t="str">
        <f t="shared" si="4"/>
        <v>https://permalinkbnd.bnportugal.gov.pt/viewer/36741/?offset=#page=1&amp;viewer=picture&amp;o=info&amp;n=0&amp;q=</v>
      </c>
      <c r="K136" s="1">
        <v>1</v>
      </c>
      <c r="L136" s="1" t="str">
        <f>VLOOKUP(A136,Folha2!$A$2:$B$2019,2,FALSE)</f>
        <v>Camões, 1873</v>
      </c>
      <c r="M136" s="12" t="str">
        <f t="shared" si="5"/>
        <v>https://permalinkbnd.bnportugal.gov.pt/viewer/36741/?offset=#page=1&amp;viewer=picture&amp;o=info&amp;n=0&amp;q=</v>
      </c>
      <c r="N136" s="12" t="s">
        <v>1497</v>
      </c>
      <c r="O136" s="12" t="str">
        <f>CONCATENATE(N136,A136,"\",B136,"\",C136,".jpg")</f>
        <v>C:\Users\mbaptista\OneDrive - Biblioteca Nacional de Portugal\Documentos\python\camoniana\imagens\capas\614521\1\1.jpg</v>
      </c>
      <c r="P136" s="12" t="str">
        <f>HYPERLINK(O136)</f>
        <v>C:\Users\mbaptista\OneDrive - Biblioteca Nacional de Portugal\Documentos\python\camoniana\imagens\capas\614521\1\1.jpg</v>
      </c>
      <c r="Q136" s="12"/>
      <c r="R136" s="6" t="s">
        <v>180</v>
      </c>
      <c r="S136" s="4"/>
      <c r="T136" s="1">
        <v>1</v>
      </c>
      <c r="U136" s="13"/>
      <c r="V136" s="13"/>
      <c r="W136" s="5" t="s">
        <v>1491</v>
      </c>
    </row>
    <row r="137" spans="1:23" ht="75">
      <c r="A137" s="1">
        <v>626460</v>
      </c>
      <c r="B137" s="1">
        <v>1</v>
      </c>
      <c r="C137" s="1">
        <v>1</v>
      </c>
      <c r="D137" s="2" t="s">
        <v>181</v>
      </c>
      <c r="E137" s="11" t="s">
        <v>181</v>
      </c>
      <c r="F137" s="11">
        <v>37180</v>
      </c>
      <c r="G137" s="2" t="s">
        <v>1494</v>
      </c>
      <c r="H137" s="2" t="s">
        <v>1495</v>
      </c>
      <c r="I137" s="2" t="s">
        <v>1496</v>
      </c>
      <c r="J137" s="2" t="str">
        <f t="shared" si="4"/>
        <v>https://permalinkbnd.bnportugal.gov.pt/viewer/37180/?offset=#page=1&amp;viewer=picture&amp;o=info&amp;n=0&amp;q=</v>
      </c>
      <c r="K137" s="1" t="s">
        <v>120</v>
      </c>
      <c r="L137" s="1" t="str">
        <f>VLOOKUP(A137,Folha2!$A$2:$B$2019,2,FALSE)</f>
        <v>Augustin Lemaître, Camões, 1846</v>
      </c>
      <c r="M137" s="12" t="str">
        <f t="shared" si="5"/>
        <v>https://permalinkbnd.bnportugal.gov.pt/viewer/37180/?offset=#page=1&amp;viewer=picture&amp;o=info&amp;n=0&amp;q=</v>
      </c>
      <c r="N137" s="12" t="s">
        <v>1497</v>
      </c>
      <c r="O137" s="12" t="str">
        <f>CONCATENATE(N137,A137,"\",B137,"\",C137,".jpg")</f>
        <v>C:\Users\mbaptista\OneDrive - Biblioteca Nacional de Portugal\Documentos\python\camoniana\imagens\capas\626460\1\1.jpg</v>
      </c>
      <c r="P137" s="12" t="str">
        <f>HYPERLINK(O137)</f>
        <v>C:\Users\mbaptista\OneDrive - Biblioteca Nacional de Portugal\Documentos\python\camoniana\imagens\capas\626460\1\1.jpg</v>
      </c>
      <c r="Q137" s="12"/>
      <c r="R137" s="6" t="s">
        <v>182</v>
      </c>
      <c r="S137" s="4"/>
      <c r="T137" s="1">
        <v>1</v>
      </c>
      <c r="U137" s="13"/>
      <c r="V137" s="13"/>
      <c r="W137" s="5" t="s">
        <v>1491</v>
      </c>
    </row>
    <row r="138" spans="1:23" ht="75">
      <c r="A138" s="1">
        <v>626703</v>
      </c>
      <c r="B138" s="1">
        <v>1</v>
      </c>
      <c r="C138" s="1">
        <v>1</v>
      </c>
      <c r="D138" s="2" t="s">
        <v>183</v>
      </c>
      <c r="E138" s="5" t="s">
        <v>183</v>
      </c>
      <c r="F138" s="5">
        <v>37208</v>
      </c>
      <c r="G138" s="2" t="s">
        <v>1494</v>
      </c>
      <c r="H138" s="2" t="s">
        <v>1495</v>
      </c>
      <c r="I138" s="2" t="s">
        <v>1496</v>
      </c>
      <c r="J138" s="2" t="str">
        <f t="shared" si="4"/>
        <v>https://permalinkbnd.bnportugal.gov.pt/viewer/37208/?offset=#page=1&amp;viewer=picture&amp;o=info&amp;n=0&amp;q=</v>
      </c>
      <c r="K138" s="1" t="s">
        <v>120</v>
      </c>
      <c r="L138" s="1" t="str">
        <f>VLOOKUP(A138,Folha2!$A$2:$B$2019,2,FALSE)</f>
        <v>Camoens,1845</v>
      </c>
      <c r="M138" s="12" t="str">
        <f t="shared" si="5"/>
        <v>https://permalinkbnd.bnportugal.gov.pt/viewer/37208/?offset=#page=1&amp;viewer=picture&amp;o=info&amp;n=0&amp;q=</v>
      </c>
      <c r="N138" s="12" t="s">
        <v>1497</v>
      </c>
      <c r="O138" s="12" t="str">
        <f>CONCATENATE(N138,A138,"\",B138,"\",C138,".jpg")</f>
        <v>C:\Users\mbaptista\OneDrive - Biblioteca Nacional de Portugal\Documentos\python\camoniana\imagens\capas\626703\1\1.jpg</v>
      </c>
      <c r="P138" s="12" t="str">
        <f>HYPERLINK(O138)</f>
        <v>C:\Users\mbaptista\OneDrive - Biblioteca Nacional de Portugal\Documentos\python\camoniana\imagens\capas\626703\1\1.jpg</v>
      </c>
      <c r="Q138" s="12"/>
      <c r="R138" s="6" t="s">
        <v>184</v>
      </c>
      <c r="S138" s="4"/>
      <c r="T138" s="1">
        <v>1</v>
      </c>
      <c r="U138" s="13"/>
      <c r="V138" s="13"/>
      <c r="W138" s="5" t="s">
        <v>1491</v>
      </c>
    </row>
    <row r="139" spans="1:23" ht="75">
      <c r="A139" s="1">
        <v>636335</v>
      </c>
      <c r="B139" s="1">
        <v>1</v>
      </c>
      <c r="C139" s="1">
        <v>1</v>
      </c>
      <c r="D139" s="2" t="s">
        <v>185</v>
      </c>
      <c r="E139" s="11" t="s">
        <v>185</v>
      </c>
      <c r="F139" s="11">
        <v>35147</v>
      </c>
      <c r="G139" s="2" t="s">
        <v>1494</v>
      </c>
      <c r="H139" s="2" t="s">
        <v>1495</v>
      </c>
      <c r="I139" s="2" t="s">
        <v>1496</v>
      </c>
      <c r="J139" s="2" t="str">
        <f t="shared" si="4"/>
        <v>https://permalinkbnd.bnportugal.gov.pt/viewer/35147/?offset=#page=1&amp;viewer=picture&amp;o=info&amp;n=0&amp;q=</v>
      </c>
      <c r="K139" s="1">
        <v>1</v>
      </c>
      <c r="L139" s="1" t="str">
        <f>VLOOKUP(A139,Folha2!$A$2:$B$2019,2,FALSE)</f>
        <v>À memória do imortal cantor, 1880, litografia; Gravura (Sara)</v>
      </c>
      <c r="M139" s="12" t="str">
        <f t="shared" si="5"/>
        <v>https://permalinkbnd.bnportugal.gov.pt/viewer/35147/?offset=#page=1&amp;viewer=picture&amp;o=info&amp;n=0&amp;q=</v>
      </c>
      <c r="N139" s="12" t="s">
        <v>1497</v>
      </c>
      <c r="O139" s="12" t="str">
        <f>CONCATENATE(N139,A139,"\",B139,"\",C139,".jpg")</f>
        <v>C:\Users\mbaptista\OneDrive - Biblioteca Nacional de Portugal\Documentos\python\camoniana\imagens\capas\636335\1\1.jpg</v>
      </c>
      <c r="P139" s="12" t="str">
        <f>HYPERLINK(O139)</f>
        <v>C:\Users\mbaptista\OneDrive - Biblioteca Nacional de Portugal\Documentos\python\camoniana\imagens\capas\636335\1\1.jpg</v>
      </c>
      <c r="Q139" s="12"/>
      <c r="R139" s="6" t="s">
        <v>186</v>
      </c>
      <c r="S139" s="4"/>
      <c r="T139" s="1">
        <v>1</v>
      </c>
      <c r="U139" s="13"/>
      <c r="V139" s="13"/>
      <c r="W139" s="5" t="s">
        <v>1491</v>
      </c>
    </row>
    <row r="140" spans="1:23" ht="75">
      <c r="A140" s="1">
        <v>636337</v>
      </c>
      <c r="B140" s="1">
        <v>1</v>
      </c>
      <c r="C140" s="1">
        <v>1</v>
      </c>
      <c r="D140" s="2" t="s">
        <v>187</v>
      </c>
      <c r="E140" s="5" t="s">
        <v>187</v>
      </c>
      <c r="F140" s="5">
        <v>1880</v>
      </c>
      <c r="G140" s="2" t="s">
        <v>1494</v>
      </c>
      <c r="H140" s="2" t="s">
        <v>1495</v>
      </c>
      <c r="I140" s="2" t="s">
        <v>1496</v>
      </c>
      <c r="J140" s="2" t="str">
        <f t="shared" si="4"/>
        <v>https://permalinkbnd.bnportugal.gov.pt/viewer/1880/?offset=#page=1&amp;viewer=picture&amp;o=info&amp;n=0&amp;q=</v>
      </c>
      <c r="K140" s="1">
        <v>1</v>
      </c>
      <c r="L140" s="1" t="str">
        <f>VLOOKUP(A140,Folha2!$A$2:$B$2019,2,FALSE)</f>
        <v>10 de Junho de 1880</v>
      </c>
      <c r="M140" s="12" t="str">
        <f t="shared" si="5"/>
        <v>https://permalinkbnd.bnportugal.gov.pt/viewer/1880/?offset=#page=1&amp;viewer=picture&amp;o=info&amp;n=0&amp;q=</v>
      </c>
      <c r="N140" s="12" t="s">
        <v>1497</v>
      </c>
      <c r="O140" s="12" t="str">
        <f>CONCATENATE(N140,A140,"\",B140,"\",C140,".jpg")</f>
        <v>C:\Users\mbaptista\OneDrive - Biblioteca Nacional de Portugal\Documentos\python\camoniana\imagens\capas\636337\1\1.jpg</v>
      </c>
      <c r="P140" s="12" t="str">
        <f>HYPERLINK(O140)</f>
        <v>C:\Users\mbaptista\OneDrive - Biblioteca Nacional de Portugal\Documentos\python\camoniana\imagens\capas\636337\1\1.jpg</v>
      </c>
      <c r="Q140" s="12"/>
      <c r="R140" s="6" t="s">
        <v>188</v>
      </c>
      <c r="S140" s="4"/>
      <c r="T140" s="1">
        <v>1</v>
      </c>
      <c r="U140" s="13"/>
      <c r="V140" s="13"/>
      <c r="W140" s="5" t="s">
        <v>1491</v>
      </c>
    </row>
    <row r="141" spans="1:23" ht="75">
      <c r="A141" s="1">
        <v>636371</v>
      </c>
      <c r="B141" s="1">
        <v>1</v>
      </c>
      <c r="C141" s="1">
        <v>1</v>
      </c>
      <c r="D141" s="2" t="s">
        <v>189</v>
      </c>
      <c r="E141" s="11" t="s">
        <v>189</v>
      </c>
      <c r="F141" s="11">
        <v>35133</v>
      </c>
      <c r="G141" s="2" t="s">
        <v>1494</v>
      </c>
      <c r="H141" s="2" t="s">
        <v>1495</v>
      </c>
      <c r="I141" s="2" t="s">
        <v>1496</v>
      </c>
      <c r="J141" s="2" t="str">
        <f t="shared" si="4"/>
        <v>https://permalinkbnd.bnportugal.gov.pt/viewer/35133/?offset=#page=1&amp;viewer=picture&amp;o=info&amp;n=0&amp;q=</v>
      </c>
      <c r="K141" s="1" t="s">
        <v>120</v>
      </c>
      <c r="L141" s="1" t="str">
        <f>VLOOKUP(A141,Folha2!$A$2:$B$2019,2,FALSE)</f>
        <v>Camões na gruta de Macau, 1880</v>
      </c>
      <c r="M141" s="12" t="str">
        <f t="shared" si="5"/>
        <v>https://permalinkbnd.bnportugal.gov.pt/viewer/35133/?offset=#page=1&amp;viewer=picture&amp;o=info&amp;n=0&amp;q=</v>
      </c>
      <c r="N141" s="12" t="s">
        <v>1497</v>
      </c>
      <c r="O141" s="12" t="str">
        <f>CONCATENATE(N141,A141,"\",B141,"\",C141,".jpg")</f>
        <v>C:\Users\mbaptista\OneDrive - Biblioteca Nacional de Portugal\Documentos\python\camoniana\imagens\capas\636371\1\1.jpg</v>
      </c>
      <c r="P141" s="12" t="str">
        <f>HYPERLINK(O141)</f>
        <v>C:\Users\mbaptista\OneDrive - Biblioteca Nacional de Portugal\Documentos\python\camoniana\imagens\capas\636371\1\1.jpg</v>
      </c>
      <c r="Q141" s="12"/>
      <c r="R141" s="6" t="s">
        <v>190</v>
      </c>
      <c r="S141" s="4"/>
      <c r="T141" s="1">
        <v>1</v>
      </c>
      <c r="U141" s="13"/>
      <c r="V141" s="13"/>
      <c r="W141" s="5" t="s">
        <v>1491</v>
      </c>
    </row>
    <row r="142" spans="1:23" ht="75">
      <c r="A142" s="1">
        <v>636385</v>
      </c>
      <c r="B142" s="1">
        <v>1</v>
      </c>
      <c r="C142" s="1">
        <v>1</v>
      </c>
      <c r="D142" s="2" t="s">
        <v>191</v>
      </c>
      <c r="E142" s="5" t="s">
        <v>191</v>
      </c>
      <c r="F142" s="5">
        <v>35127</v>
      </c>
      <c r="G142" s="2" t="s">
        <v>1494</v>
      </c>
      <c r="H142" s="2" t="s">
        <v>1495</v>
      </c>
      <c r="I142" s="2" t="s">
        <v>1496</v>
      </c>
      <c r="J142" s="2" t="str">
        <f t="shared" si="4"/>
        <v>https://permalinkbnd.bnportugal.gov.pt/viewer/35127/?offset=#page=1&amp;viewer=picture&amp;o=info&amp;n=0&amp;q=</v>
      </c>
      <c r="K142" s="1">
        <v>1</v>
      </c>
      <c r="L142" s="1" t="str">
        <f>VLOOKUP(A142,Folha2!$A$2:$B$2019,2,FALSE)</f>
        <v>Monumento a Camões, 1860. Celebrações (1860), Iconografia.</v>
      </c>
      <c r="M142" s="12" t="str">
        <f t="shared" si="5"/>
        <v>https://permalinkbnd.bnportugal.gov.pt/viewer/35127/?offset=#page=1&amp;viewer=picture&amp;o=info&amp;n=0&amp;q=</v>
      </c>
      <c r="N142" s="12" t="s">
        <v>1497</v>
      </c>
      <c r="O142" s="12" t="str">
        <f>CONCATENATE(N142,A142,"\",B142,"\",C142,".jpg")</f>
        <v>C:\Users\mbaptista\OneDrive - Biblioteca Nacional de Portugal\Documentos\python\camoniana\imagens\capas\636385\1\1.jpg</v>
      </c>
      <c r="P142" s="12" t="str">
        <f>HYPERLINK(O142)</f>
        <v>C:\Users\mbaptista\OneDrive - Biblioteca Nacional de Portugal\Documentos\python\camoniana\imagens\capas\636385\1\1.jpg</v>
      </c>
      <c r="Q142" s="12"/>
      <c r="R142" s="6" t="s">
        <v>192</v>
      </c>
      <c r="S142" s="4"/>
      <c r="T142" s="1">
        <v>1</v>
      </c>
      <c r="U142" s="13"/>
      <c r="V142" s="13"/>
      <c r="W142" s="5" t="s">
        <v>1491</v>
      </c>
    </row>
    <row r="143" spans="1:23" ht="75">
      <c r="A143" s="1">
        <v>636389</v>
      </c>
      <c r="B143" s="1">
        <v>1</v>
      </c>
      <c r="C143" s="1">
        <v>1</v>
      </c>
      <c r="D143" s="2" t="s">
        <v>193</v>
      </c>
      <c r="E143" s="11" t="s">
        <v>193</v>
      </c>
      <c r="F143" s="11">
        <v>35137</v>
      </c>
      <c r="G143" s="2" t="s">
        <v>1494</v>
      </c>
      <c r="H143" s="2" t="s">
        <v>1495</v>
      </c>
      <c r="I143" s="2" t="s">
        <v>1496</v>
      </c>
      <c r="J143" s="2" t="str">
        <f t="shared" si="4"/>
        <v>https://permalinkbnd.bnportugal.gov.pt/viewer/35137/?offset=#page=1&amp;viewer=picture&amp;o=info&amp;n=0&amp;q=</v>
      </c>
      <c r="K143" s="1" t="s">
        <v>120</v>
      </c>
      <c r="L143" s="1" t="str">
        <f>VLOOKUP(A143,Folha2!$A$2:$B$2019,2,FALSE)</f>
        <v>O tempo levando Os Lusíadas à posteridade, 1880</v>
      </c>
      <c r="M143" s="12" t="str">
        <f t="shared" si="5"/>
        <v>https://permalinkbnd.bnportugal.gov.pt/viewer/35137/?offset=#page=1&amp;viewer=picture&amp;o=info&amp;n=0&amp;q=</v>
      </c>
      <c r="N143" s="12" t="s">
        <v>1497</v>
      </c>
      <c r="O143" s="12" t="str">
        <f>CONCATENATE(N143,A143,"\",B143,"\",C143,".jpg")</f>
        <v>C:\Users\mbaptista\OneDrive - Biblioteca Nacional de Portugal\Documentos\python\camoniana\imagens\capas\636389\1\1.jpg</v>
      </c>
      <c r="P143" s="12" t="str">
        <f>HYPERLINK(O143)</f>
        <v>C:\Users\mbaptista\OneDrive - Biblioteca Nacional de Portugal\Documentos\python\camoniana\imagens\capas\636389\1\1.jpg</v>
      </c>
      <c r="Q143" s="12"/>
      <c r="R143" s="6" t="s">
        <v>194</v>
      </c>
      <c r="S143" s="4"/>
      <c r="T143" s="1">
        <v>1</v>
      </c>
      <c r="U143" s="13"/>
      <c r="V143" s="13"/>
      <c r="W143" s="5" t="s">
        <v>1491</v>
      </c>
    </row>
    <row r="144" spans="1:23" ht="75">
      <c r="A144" s="1">
        <v>637133</v>
      </c>
      <c r="B144" s="1">
        <v>1</v>
      </c>
      <c r="C144" s="1">
        <v>1</v>
      </c>
      <c r="D144" s="2" t="s">
        <v>195</v>
      </c>
      <c r="E144" s="5" t="s">
        <v>195</v>
      </c>
      <c r="F144" s="5">
        <v>37203</v>
      </c>
      <c r="G144" s="2" t="s">
        <v>1494</v>
      </c>
      <c r="H144" s="2" t="s">
        <v>1495</v>
      </c>
      <c r="I144" s="2" t="s">
        <v>1496</v>
      </c>
      <c r="J144" s="2" t="str">
        <f t="shared" si="4"/>
        <v>https://permalinkbnd.bnportugal.gov.pt/viewer/37203/?offset=#page=1&amp;viewer=picture&amp;o=info&amp;n=0&amp;q=</v>
      </c>
      <c r="K144" s="1" t="s">
        <v>120</v>
      </c>
      <c r="L144" s="1" t="str">
        <f>VLOOKUP(A144,Folha2!$A$2:$B$2019,2,FALSE)</f>
        <v>João Cardini, Epítome da vida de Camões, 1810</v>
      </c>
      <c r="M144" s="12" t="str">
        <f t="shared" si="5"/>
        <v>https://permalinkbnd.bnportugal.gov.pt/viewer/37203/?offset=#page=1&amp;viewer=picture&amp;o=info&amp;n=0&amp;q=</v>
      </c>
      <c r="N144" s="12" t="s">
        <v>1497</v>
      </c>
      <c r="O144" s="12" t="str">
        <f>CONCATENATE(N144,A144,"\",B144,"\",C144,".jpg")</f>
        <v>C:\Users\mbaptista\OneDrive - Biblioteca Nacional de Portugal\Documentos\python\camoniana\imagens\capas\637133\1\1.jpg</v>
      </c>
      <c r="P144" s="12" t="str">
        <f>HYPERLINK(O144)</f>
        <v>C:\Users\mbaptista\OneDrive - Biblioteca Nacional de Portugal\Documentos\python\camoniana\imagens\capas\637133\1\1.jpg</v>
      </c>
      <c r="Q144" s="12"/>
      <c r="R144" s="6" t="s">
        <v>196</v>
      </c>
      <c r="S144" s="4"/>
      <c r="T144" s="1">
        <v>1</v>
      </c>
      <c r="U144" s="13"/>
      <c r="V144" s="13"/>
      <c r="W144" s="5" t="s">
        <v>1491</v>
      </c>
    </row>
    <row r="145" spans="1:23" ht="75">
      <c r="A145" s="1">
        <v>637139</v>
      </c>
      <c r="B145" s="1">
        <v>1</v>
      </c>
      <c r="C145" s="1">
        <v>1</v>
      </c>
      <c r="D145" s="2" t="s">
        <v>197</v>
      </c>
      <c r="E145" s="11" t="s">
        <v>197</v>
      </c>
      <c r="F145" s="11">
        <v>37132</v>
      </c>
      <c r="G145" s="2" t="s">
        <v>1494</v>
      </c>
      <c r="H145" s="2" t="s">
        <v>1495</v>
      </c>
      <c r="I145" s="2" t="s">
        <v>1496</v>
      </c>
      <c r="J145" s="2" t="str">
        <f t="shared" si="4"/>
        <v>https://permalinkbnd.bnportugal.gov.pt/viewer/37132/?offset=#page=1&amp;viewer=picture&amp;o=info&amp;n=0&amp;q=</v>
      </c>
      <c r="K145" s="1" t="s">
        <v>120</v>
      </c>
      <c r="L145" s="1" t="str">
        <f>VLOOKUP(A145,Folha2!$A$2:$B$2019,2,FALSE)</f>
        <v>Ao tricentenário de Camões, 1880</v>
      </c>
      <c r="M145" s="12" t="str">
        <f t="shared" si="5"/>
        <v>https://permalinkbnd.bnportugal.gov.pt/viewer/37132/?offset=#page=1&amp;viewer=picture&amp;o=info&amp;n=0&amp;q=</v>
      </c>
      <c r="N145" s="12" t="s">
        <v>1497</v>
      </c>
      <c r="O145" s="12" t="str">
        <f>CONCATENATE(N145,A145,"\",B145,"\",C145,".jpg")</f>
        <v>C:\Users\mbaptista\OneDrive - Biblioteca Nacional de Portugal\Documentos\python\camoniana\imagens\capas\637139\1\1.jpg</v>
      </c>
      <c r="P145" s="12" t="str">
        <f>HYPERLINK(O145)</f>
        <v>C:\Users\mbaptista\OneDrive - Biblioteca Nacional de Portugal\Documentos\python\camoniana\imagens\capas\637139\1\1.jpg</v>
      </c>
      <c r="Q145" s="12"/>
      <c r="R145" s="6" t="s">
        <v>198</v>
      </c>
      <c r="S145" s="4"/>
      <c r="T145" s="1">
        <v>1</v>
      </c>
      <c r="U145" s="13"/>
      <c r="V145" s="13"/>
      <c r="W145" s="5" t="s">
        <v>1491</v>
      </c>
    </row>
    <row r="146" spans="1:23" ht="75">
      <c r="A146" s="1">
        <v>665442</v>
      </c>
      <c r="B146" s="1">
        <v>1</v>
      </c>
      <c r="C146" s="1">
        <v>1</v>
      </c>
      <c r="D146" s="2" t="s">
        <v>199</v>
      </c>
      <c r="E146" s="5" t="s">
        <v>199</v>
      </c>
      <c r="F146" s="5">
        <v>34623</v>
      </c>
      <c r="G146" s="2" t="s">
        <v>1494</v>
      </c>
      <c r="H146" s="2" t="s">
        <v>1495</v>
      </c>
      <c r="I146" s="2" t="s">
        <v>1496</v>
      </c>
      <c r="J146" s="2" t="str">
        <f t="shared" si="4"/>
        <v>https://permalinkbnd.bnportugal.gov.pt/viewer/34623/?offset=#page=1&amp;viewer=picture&amp;o=info&amp;n=0&amp;q=</v>
      </c>
      <c r="K146" s="1">
        <v>1</v>
      </c>
      <c r="L146" s="1" t="str">
        <f>VLOOKUP(A146,Folha2!$A$2:$B$2019,2,FALSE)</f>
        <v>No tricentenário de Camões, 1880. Iconografia, Lugares de memória.</v>
      </c>
      <c r="M146" s="12" t="str">
        <f t="shared" si="5"/>
        <v>https://permalinkbnd.bnportugal.gov.pt/viewer/34623/?offset=#page=1&amp;viewer=picture&amp;o=info&amp;n=0&amp;q=</v>
      </c>
      <c r="N146" s="12" t="s">
        <v>1497</v>
      </c>
      <c r="O146" s="12" t="str">
        <f>CONCATENATE(N146,A146,"\",B146,"\",C146,".jpg")</f>
        <v>C:\Users\mbaptista\OneDrive - Biblioteca Nacional de Portugal\Documentos\python\camoniana\imagens\capas\665442\1\1.jpg</v>
      </c>
      <c r="P146" s="12" t="str">
        <f>HYPERLINK(O146)</f>
        <v>C:\Users\mbaptista\OneDrive - Biblioteca Nacional de Portugal\Documentos\python\camoniana\imagens\capas\665442\1\1.jpg</v>
      </c>
      <c r="Q146" s="12"/>
      <c r="R146" s="6" t="s">
        <v>200</v>
      </c>
      <c r="S146" s="4"/>
      <c r="T146" s="1">
        <v>1</v>
      </c>
      <c r="U146" s="13"/>
      <c r="V146" s="13"/>
      <c r="W146" s="5" t="s">
        <v>1491</v>
      </c>
    </row>
    <row r="147" spans="1:23" ht="75">
      <c r="A147" s="1">
        <v>700486</v>
      </c>
      <c r="B147" s="1">
        <v>1</v>
      </c>
      <c r="C147" s="1">
        <v>1</v>
      </c>
      <c r="D147" s="2" t="s">
        <v>201</v>
      </c>
      <c r="E147" s="11" t="s">
        <v>201</v>
      </c>
      <c r="F147" s="11">
        <v>37092</v>
      </c>
      <c r="G147" s="2" t="s">
        <v>1494</v>
      </c>
      <c r="H147" s="2" t="s">
        <v>1495</v>
      </c>
      <c r="I147" s="2" t="s">
        <v>1496</v>
      </c>
      <c r="J147" s="2" t="str">
        <f t="shared" si="4"/>
        <v>https://permalinkbnd.bnportugal.gov.pt/viewer/37092/?offset=#page=1&amp;viewer=picture&amp;o=info&amp;n=0&amp;q=</v>
      </c>
      <c r="K147" s="1">
        <v>1</v>
      </c>
      <c r="L147" s="1" t="str">
        <f>VLOOKUP(A147,Folha2!$A$2:$B$2019,2,FALSE)</f>
        <v>António Ramalho, Camões lendo Os Lusíadas a D. Sebastião, 1916</v>
      </c>
      <c r="M147" s="12" t="str">
        <f t="shared" si="5"/>
        <v>https://permalinkbnd.bnportugal.gov.pt/viewer/37092/?offset=#page=1&amp;viewer=picture&amp;o=info&amp;n=0&amp;q=</v>
      </c>
      <c r="N147" s="12" t="s">
        <v>1497</v>
      </c>
      <c r="O147" s="12" t="str">
        <f>CONCATENATE(N147,A147,"\",B147,"\",C147,".jpg")</f>
        <v>C:\Users\mbaptista\OneDrive - Biblioteca Nacional de Portugal\Documentos\python\camoniana\imagens\capas\700486\1\1.jpg</v>
      </c>
      <c r="P147" s="12" t="str">
        <f>HYPERLINK(O147)</f>
        <v>C:\Users\mbaptista\OneDrive - Biblioteca Nacional de Portugal\Documentos\python\camoniana\imagens\capas\700486\1\1.jpg</v>
      </c>
      <c r="Q147" s="12"/>
      <c r="R147" s="6" t="s">
        <v>202</v>
      </c>
      <c r="S147" s="4"/>
      <c r="T147" s="1">
        <v>1</v>
      </c>
      <c r="U147" s="13"/>
      <c r="V147" s="13"/>
      <c r="W147" s="5" t="s">
        <v>1491</v>
      </c>
    </row>
    <row r="148" spans="1:23" ht="75">
      <c r="A148" s="1">
        <v>700487</v>
      </c>
      <c r="B148" s="1">
        <v>1</v>
      </c>
      <c r="C148" s="1">
        <v>1</v>
      </c>
      <c r="D148" s="2" t="s">
        <v>203</v>
      </c>
      <c r="E148" s="5" t="s">
        <v>203</v>
      </c>
      <c r="F148" s="5">
        <v>37325</v>
      </c>
      <c r="G148" s="2" t="s">
        <v>1494</v>
      </c>
      <c r="H148" s="2" t="s">
        <v>1495</v>
      </c>
      <c r="I148" s="2" t="s">
        <v>1496</v>
      </c>
      <c r="J148" s="2" t="str">
        <f t="shared" si="4"/>
        <v>https://permalinkbnd.bnportugal.gov.pt/viewer/37325/?offset=#page=1&amp;viewer=picture&amp;o=info&amp;n=0&amp;q=</v>
      </c>
      <c r="K148" s="1">
        <v>1</v>
      </c>
      <c r="L148" s="1" t="str">
        <f>VLOOKUP(A148,Folha2!$A$2:$B$2019,2,FALSE)</f>
        <v>Camões no leito de morte, 1861</v>
      </c>
      <c r="M148" s="12" t="str">
        <f t="shared" si="5"/>
        <v>https://permalinkbnd.bnportugal.gov.pt/viewer/37325/?offset=#page=1&amp;viewer=picture&amp;o=info&amp;n=0&amp;q=</v>
      </c>
      <c r="N148" s="12" t="s">
        <v>1497</v>
      </c>
      <c r="O148" s="12" t="str">
        <f>CONCATENATE(N148,A148,"\",B148,"\",C148,".jpg")</f>
        <v>C:\Users\mbaptista\OneDrive - Biblioteca Nacional de Portugal\Documentos\python\camoniana\imagens\capas\700487\1\1.jpg</v>
      </c>
      <c r="P148" s="12" t="str">
        <f>HYPERLINK(O148)</f>
        <v>C:\Users\mbaptista\OneDrive - Biblioteca Nacional de Portugal\Documentos\python\camoniana\imagens\capas\700487\1\1.jpg</v>
      </c>
      <c r="Q148" s="12"/>
      <c r="R148" s="6" t="s">
        <v>204</v>
      </c>
      <c r="S148" s="4"/>
      <c r="T148" s="1">
        <v>1</v>
      </c>
      <c r="U148" s="13"/>
      <c r="V148" s="13"/>
      <c r="W148" s="5" t="s">
        <v>1491</v>
      </c>
    </row>
    <row r="149" spans="1:23" ht="75">
      <c r="A149" s="1">
        <v>704429</v>
      </c>
      <c r="B149" s="1">
        <v>1</v>
      </c>
      <c r="C149" s="1">
        <v>1</v>
      </c>
      <c r="D149" s="2" t="s">
        <v>205</v>
      </c>
      <c r="E149" s="11" t="s">
        <v>205</v>
      </c>
      <c r="F149" s="11">
        <v>33427</v>
      </c>
      <c r="G149" s="2" t="s">
        <v>1494</v>
      </c>
      <c r="H149" s="2" t="s">
        <v>1495</v>
      </c>
      <c r="I149" s="2" t="s">
        <v>1496</v>
      </c>
      <c r="J149" s="2" t="str">
        <f t="shared" si="4"/>
        <v>https://permalinkbnd.bnportugal.gov.pt/viewer/33427/?offset=#page=1&amp;viewer=picture&amp;o=info&amp;n=0&amp;q=</v>
      </c>
      <c r="K149" s="1">
        <v>1</v>
      </c>
      <c r="L149" s="1" t="str">
        <f>VLOOKUP(A149,Folha2!$A$2:$B$2019,2,FALSE)</f>
        <v xml:space="preserve">GAMEIRO, Alfredo Roque, 1864-1935. [Os Lusíadas] : [ilustração]. -[1900]. - 1 desenho : tinta-da-china e aguarela ; </v>
      </c>
      <c r="M149" s="12" t="str">
        <f t="shared" si="5"/>
        <v>https://permalinkbnd.bnportugal.gov.pt/viewer/33427/?offset=#page=1&amp;viewer=picture&amp;o=info&amp;n=0&amp;q=</v>
      </c>
      <c r="N149" s="12" t="s">
        <v>1497</v>
      </c>
      <c r="O149" s="12" t="str">
        <f>CONCATENATE(N149,A149,"\",B149,"\",C149,".jpg")</f>
        <v>C:\Users\mbaptista\OneDrive - Biblioteca Nacional de Portugal\Documentos\python\camoniana\imagens\capas\704429\1\1.jpg</v>
      </c>
      <c r="P149" s="12" t="str">
        <f>HYPERLINK(O149)</f>
        <v>C:\Users\mbaptista\OneDrive - Biblioteca Nacional de Portugal\Documentos\python\camoniana\imagens\capas\704429\1\1.jpg</v>
      </c>
      <c r="Q149" s="12"/>
      <c r="R149" s="6" t="s">
        <v>206</v>
      </c>
      <c r="S149" s="4"/>
      <c r="T149" s="1">
        <v>1</v>
      </c>
      <c r="U149" s="13"/>
      <c r="V149" s="13"/>
      <c r="W149" s="5" t="s">
        <v>1491</v>
      </c>
    </row>
    <row r="150" spans="1:23" ht="75">
      <c r="A150" s="1">
        <v>709106</v>
      </c>
      <c r="B150" s="1">
        <v>1</v>
      </c>
      <c r="C150" s="1">
        <v>1</v>
      </c>
      <c r="D150" s="2" t="s">
        <v>207</v>
      </c>
      <c r="E150" s="5" t="s">
        <v>207</v>
      </c>
      <c r="F150" s="5">
        <v>36374</v>
      </c>
      <c r="G150" s="2" t="s">
        <v>1494</v>
      </c>
      <c r="H150" s="2" t="s">
        <v>1495</v>
      </c>
      <c r="I150" s="2" t="s">
        <v>1496</v>
      </c>
      <c r="J150" s="2" t="str">
        <f t="shared" si="4"/>
        <v>https://permalinkbnd.bnportugal.gov.pt/viewer/36374/?offset=#page=1&amp;viewer=picture&amp;o=info&amp;n=0&amp;q=</v>
      </c>
      <c r="K150" s="1">
        <v>1</v>
      </c>
      <c r="L150" s="1" t="str">
        <f>VLOOKUP(A150,Folha2!$A$2:$B$2019,2,FALSE)</f>
        <v xml:space="preserve">Luiz de Camões / Grossi. - [S.l. : s.n., ca. 1880] (Bologna : Stah Lito P. Barigazzi). - 1 gravura </v>
      </c>
      <c r="M150" s="12" t="str">
        <f t="shared" si="5"/>
        <v>https://permalinkbnd.bnportugal.gov.pt/viewer/36374/?offset=#page=1&amp;viewer=picture&amp;o=info&amp;n=0&amp;q=</v>
      </c>
      <c r="N150" s="12" t="s">
        <v>1497</v>
      </c>
      <c r="O150" s="12" t="str">
        <f>CONCATENATE(N150,A150,"\",B150,"\",C150,".jpg")</f>
        <v>C:\Users\mbaptista\OneDrive - Biblioteca Nacional de Portugal\Documentos\python\camoniana\imagens\capas\709106\1\1.jpg</v>
      </c>
      <c r="P150" s="12" t="str">
        <f>HYPERLINK(O150)</f>
        <v>C:\Users\mbaptista\OneDrive - Biblioteca Nacional de Portugal\Documentos\python\camoniana\imagens\capas\709106\1\1.jpg</v>
      </c>
      <c r="Q150" s="12"/>
      <c r="R150" s="6" t="s">
        <v>208</v>
      </c>
      <c r="S150" s="4"/>
      <c r="T150" s="1">
        <v>1</v>
      </c>
      <c r="U150" s="13"/>
      <c r="V150" s="13"/>
      <c r="W150" s="5" t="s">
        <v>1491</v>
      </c>
    </row>
    <row r="151" spans="1:23" ht="75">
      <c r="A151" s="1">
        <v>709129</v>
      </c>
      <c r="B151" s="1">
        <v>1</v>
      </c>
      <c r="C151" s="1">
        <v>1</v>
      </c>
      <c r="D151" s="2" t="s">
        <v>209</v>
      </c>
      <c r="E151" s="11" t="s">
        <v>209</v>
      </c>
      <c r="F151" s="11">
        <v>36554</v>
      </c>
      <c r="G151" s="2" t="s">
        <v>1494</v>
      </c>
      <c r="H151" s="2" t="s">
        <v>1495</v>
      </c>
      <c r="I151" s="2" t="s">
        <v>1496</v>
      </c>
      <c r="J151" s="2" t="str">
        <f t="shared" si="4"/>
        <v>https://permalinkbnd.bnportugal.gov.pt/viewer/36554/?offset=#page=1&amp;viewer=picture&amp;o=info&amp;n=0&amp;q=</v>
      </c>
      <c r="K151" s="1">
        <v>1</v>
      </c>
      <c r="L151" s="1" t="str">
        <f>VLOOKUP(A151,Folha2!$A$2:$B$2019,2,FALSE)</f>
        <v>Vasco da Gama apresentando… 1900</v>
      </c>
      <c r="M151" s="12" t="str">
        <f t="shared" si="5"/>
        <v>https://permalinkbnd.bnportugal.gov.pt/viewer/36554/?offset=#page=1&amp;viewer=picture&amp;o=info&amp;n=0&amp;q=</v>
      </c>
      <c r="N151" s="12" t="s">
        <v>1497</v>
      </c>
      <c r="O151" s="12" t="str">
        <f>CONCATENATE(N151,A151,"\",B151,"\",C151,".jpg")</f>
        <v>C:\Users\mbaptista\OneDrive - Biblioteca Nacional de Portugal\Documentos\python\camoniana\imagens\capas\709129\1\1.jpg</v>
      </c>
      <c r="P151" s="12" t="str">
        <f>HYPERLINK(O151)</f>
        <v>C:\Users\mbaptista\OneDrive - Biblioteca Nacional de Portugal\Documentos\python\camoniana\imagens\capas\709129\1\1.jpg</v>
      </c>
      <c r="Q151" s="12"/>
      <c r="R151" s="6" t="s">
        <v>210</v>
      </c>
      <c r="S151" s="4"/>
      <c r="T151" s="1">
        <v>1</v>
      </c>
      <c r="U151" s="13"/>
      <c r="V151" s="13"/>
      <c r="W151" s="5" t="s">
        <v>1491</v>
      </c>
    </row>
    <row r="152" spans="1:23" ht="75">
      <c r="A152" s="1">
        <v>729122</v>
      </c>
      <c r="B152" s="1">
        <v>1</v>
      </c>
      <c r="C152" s="1">
        <v>1</v>
      </c>
      <c r="D152" s="2" t="s">
        <v>211</v>
      </c>
      <c r="E152" s="5" t="s">
        <v>211</v>
      </c>
      <c r="F152" s="5">
        <v>37663</v>
      </c>
      <c r="G152" s="2" t="s">
        <v>1494</v>
      </c>
      <c r="H152" s="2" t="s">
        <v>1495</v>
      </c>
      <c r="I152" s="2" t="s">
        <v>1496</v>
      </c>
      <c r="J152" s="2" t="str">
        <f t="shared" si="4"/>
        <v>https://permalinkbnd.bnportugal.gov.pt/viewer/37663/?offset=#page=1&amp;viewer=picture&amp;o=info&amp;n=0&amp;q=</v>
      </c>
      <c r="K152" s="1">
        <v>1</v>
      </c>
      <c r="L152" s="1" t="str">
        <f>VLOOKUP(A152,Folha2!$A$2:$B$2019,2,FALSE)</f>
        <v>António Fernandes Rodrigues, Camões, 1779</v>
      </c>
      <c r="M152" s="12" t="str">
        <f t="shared" si="5"/>
        <v>https://permalinkbnd.bnportugal.gov.pt/viewer/37663/?offset=#page=1&amp;viewer=picture&amp;o=info&amp;n=0&amp;q=</v>
      </c>
      <c r="N152" s="12" t="s">
        <v>1497</v>
      </c>
      <c r="O152" s="12" t="str">
        <f>CONCATENATE(N152,A152,"\",B152,"\",C152,".jpg")</f>
        <v>C:\Users\mbaptista\OneDrive - Biblioteca Nacional de Portugal\Documentos\python\camoniana\imagens\capas\729122\1\1.jpg</v>
      </c>
      <c r="P152" s="12" t="str">
        <f>HYPERLINK(O152)</f>
        <v>C:\Users\mbaptista\OneDrive - Biblioteca Nacional de Portugal\Documentos\python\camoniana\imagens\capas\729122\1\1.jpg</v>
      </c>
      <c r="Q152" s="12"/>
      <c r="R152" s="6" t="s">
        <v>212</v>
      </c>
      <c r="S152" s="4"/>
      <c r="T152" s="1">
        <v>1</v>
      </c>
      <c r="U152" s="13"/>
      <c r="V152" s="13"/>
      <c r="W152" s="5" t="s">
        <v>1491</v>
      </c>
    </row>
    <row r="153" spans="1:23" ht="75">
      <c r="A153" s="1">
        <v>730341</v>
      </c>
      <c r="B153" s="1">
        <v>1</v>
      </c>
      <c r="C153" s="1">
        <v>1</v>
      </c>
      <c r="D153" s="2" t="s">
        <v>213</v>
      </c>
      <c r="E153" s="11" t="s">
        <v>213</v>
      </c>
      <c r="F153" s="11">
        <v>37195</v>
      </c>
      <c r="G153" s="2" t="s">
        <v>1494</v>
      </c>
      <c r="H153" s="2" t="s">
        <v>1495</v>
      </c>
      <c r="I153" s="2" t="s">
        <v>1496</v>
      </c>
      <c r="J153" s="2" t="str">
        <f t="shared" si="4"/>
        <v>https://permalinkbnd.bnportugal.gov.pt/viewer/37195/?offset=#page=1&amp;viewer=picture&amp;o=info&amp;n=0&amp;q=</v>
      </c>
      <c r="K153" s="1" t="s">
        <v>120</v>
      </c>
      <c r="L153" s="1" t="str">
        <f>VLOOKUP(A153,Folha2!$A$2:$B$2019,2,FALSE)</f>
        <v>F. Audibran, Camões, c. 1841</v>
      </c>
      <c r="M153" s="12" t="str">
        <f t="shared" si="5"/>
        <v>https://permalinkbnd.bnportugal.gov.pt/viewer/37195/?offset=#page=1&amp;viewer=picture&amp;o=info&amp;n=0&amp;q=</v>
      </c>
      <c r="N153" s="12" t="s">
        <v>1497</v>
      </c>
      <c r="O153" s="12" t="str">
        <f>CONCATENATE(N153,A153,"\",B153,"\",C153,".jpg")</f>
        <v>C:\Users\mbaptista\OneDrive - Biblioteca Nacional de Portugal\Documentos\python\camoniana\imagens\capas\730341\1\1.jpg</v>
      </c>
      <c r="P153" s="12" t="str">
        <f>HYPERLINK(O153)</f>
        <v>C:\Users\mbaptista\OneDrive - Biblioteca Nacional de Portugal\Documentos\python\camoniana\imagens\capas\730341\1\1.jpg</v>
      </c>
      <c r="Q153" s="12"/>
      <c r="R153" s="6" t="s">
        <v>214</v>
      </c>
      <c r="S153" s="4"/>
      <c r="T153" s="1">
        <v>1</v>
      </c>
      <c r="U153" s="13"/>
      <c r="V153" s="13"/>
      <c r="W153" s="5" t="s">
        <v>1491</v>
      </c>
    </row>
    <row r="154" spans="1:23" ht="75">
      <c r="A154" s="1">
        <v>733501</v>
      </c>
      <c r="B154" s="1">
        <v>1</v>
      </c>
      <c r="C154" s="1">
        <v>1</v>
      </c>
      <c r="D154" s="2" t="s">
        <v>215</v>
      </c>
      <c r="E154" s="5" t="s">
        <v>215</v>
      </c>
      <c r="F154" s="5">
        <v>37674</v>
      </c>
      <c r="G154" s="2" t="s">
        <v>1494</v>
      </c>
      <c r="H154" s="2" t="s">
        <v>1495</v>
      </c>
      <c r="I154" s="2" t="s">
        <v>1496</v>
      </c>
      <c r="J154" s="2" t="str">
        <f t="shared" si="4"/>
        <v>https://permalinkbnd.bnportugal.gov.pt/viewer/37674/?offset=#page=1&amp;viewer=picture&amp;o=info&amp;n=0&amp;q=</v>
      </c>
      <c r="K154" s="1">
        <v>1</v>
      </c>
      <c r="L154" s="1" t="str">
        <f>VLOOKUP(A154,Folha2!$A$2:$B$2019,2,FALSE)</f>
        <v>William Skelton, Camões, 1820</v>
      </c>
      <c r="M154" s="12" t="str">
        <f t="shared" si="5"/>
        <v>https://permalinkbnd.bnportugal.gov.pt/viewer/37674/?offset=#page=1&amp;viewer=picture&amp;o=info&amp;n=0&amp;q=</v>
      </c>
      <c r="N154" s="12" t="s">
        <v>1497</v>
      </c>
      <c r="O154" s="12" t="str">
        <f>CONCATENATE(N154,A154,"\",B154,"\",C154,".jpg")</f>
        <v>C:\Users\mbaptista\OneDrive - Biblioteca Nacional de Portugal\Documentos\python\camoniana\imagens\capas\733501\1\1.jpg</v>
      </c>
      <c r="P154" s="12" t="str">
        <f>HYPERLINK(O154)</f>
        <v>C:\Users\mbaptista\OneDrive - Biblioteca Nacional de Portugal\Documentos\python\camoniana\imagens\capas\733501\1\1.jpg</v>
      </c>
      <c r="Q154" s="12"/>
      <c r="R154" s="6" t="s">
        <v>216</v>
      </c>
      <c r="S154" s="4"/>
      <c r="T154" s="1">
        <v>1</v>
      </c>
      <c r="U154" s="13"/>
      <c r="V154" s="13"/>
      <c r="W154" s="5" t="s">
        <v>1491</v>
      </c>
    </row>
    <row r="155" spans="1:23" ht="75">
      <c r="A155" s="1">
        <v>742171</v>
      </c>
      <c r="B155" s="1">
        <v>1</v>
      </c>
      <c r="C155" s="1">
        <v>10</v>
      </c>
      <c r="D155" s="2" t="s">
        <v>217</v>
      </c>
      <c r="E155" s="11" t="s">
        <v>217</v>
      </c>
      <c r="F155" s="11">
        <v>274166</v>
      </c>
      <c r="G155" s="2" t="s">
        <v>1494</v>
      </c>
      <c r="H155" s="2" t="s">
        <v>1495</v>
      </c>
      <c r="I155" s="2" t="s">
        <v>1496</v>
      </c>
      <c r="J155" s="2" t="str">
        <f t="shared" si="4"/>
        <v>https://permalinkbnd.bnportugal.gov.pt/viewer/274166/?offset=#page=10&amp;viewer=picture&amp;o=info&amp;n=0&amp;q=</v>
      </c>
      <c r="K155" s="1" t="s">
        <v>218</v>
      </c>
      <c r="L155" s="1" t="str">
        <f>VLOOKUP(A155,Folha2!$A$2:$B$2019,2,FALSE)</f>
        <v xml:space="preserve">Les Lusiades, H. Garin, 1889. Em verso. Trad. Paratextos gerais; Trad. Paratextos argumentos e Iconografia: figuras históricas. </v>
      </c>
      <c r="M155" s="12" t="str">
        <f t="shared" si="5"/>
        <v>https://permalinkbnd.bnportugal.gov.pt/viewer/274166/?offset=#page=10&amp;viewer=picture&amp;o=info&amp;n=0&amp;q=</v>
      </c>
      <c r="N155" s="12" t="s">
        <v>1497</v>
      </c>
      <c r="O155" s="12" t="str">
        <f>CONCATENATE(N155,A155,"\",B155,"\",C155,".jpg")</f>
        <v>C:\Users\mbaptista\OneDrive - Biblioteca Nacional de Portugal\Documentos\python\camoniana\imagens\capas\742171\1\10.jpg</v>
      </c>
      <c r="P155" s="12" t="str">
        <f>HYPERLINK(O155)</f>
        <v>C:\Users\mbaptista\OneDrive - Biblioteca Nacional de Portugal\Documentos\python\camoniana\imagens\capas\742171\1\10.jpg</v>
      </c>
      <c r="Q155" s="12"/>
      <c r="R155" s="6" t="s">
        <v>220</v>
      </c>
      <c r="S155" s="4"/>
      <c r="T155" s="1" t="s">
        <v>219</v>
      </c>
      <c r="U155" s="13"/>
      <c r="V155" s="13"/>
      <c r="W155" s="5" t="s">
        <v>1491</v>
      </c>
    </row>
    <row r="156" spans="1:23" ht="75">
      <c r="A156" s="1">
        <v>742171</v>
      </c>
      <c r="B156" s="1">
        <v>1</v>
      </c>
      <c r="C156" s="1">
        <v>18</v>
      </c>
      <c r="D156" s="2" t="s">
        <v>217</v>
      </c>
      <c r="E156" s="5" t="s">
        <v>217</v>
      </c>
      <c r="F156" s="5">
        <v>274166</v>
      </c>
      <c r="G156" s="2" t="s">
        <v>1494</v>
      </c>
      <c r="H156" s="2" t="s">
        <v>1495</v>
      </c>
      <c r="I156" s="2" t="s">
        <v>1496</v>
      </c>
      <c r="J156" s="2" t="str">
        <f t="shared" si="4"/>
        <v>https://permalinkbnd.bnportugal.gov.pt/viewer/274166/?offset=#page=18&amp;viewer=picture&amp;o=info&amp;n=0&amp;q=</v>
      </c>
      <c r="K156" s="1" t="s">
        <v>218</v>
      </c>
      <c r="L156" s="1" t="str">
        <f>VLOOKUP(A156,Folha2!$A$2:$B$2019,2,FALSE)</f>
        <v xml:space="preserve">Les Lusiades, H. Garin, 1889. Em verso. Trad. Paratextos gerais; Trad. Paratextos argumentos e Iconografia: figuras históricas. </v>
      </c>
      <c r="M156" s="12" t="str">
        <f t="shared" si="5"/>
        <v>https://permalinkbnd.bnportugal.gov.pt/viewer/274166/?offset=#page=18&amp;viewer=picture&amp;o=info&amp;n=0&amp;q=</v>
      </c>
      <c r="N156" s="12" t="s">
        <v>1497</v>
      </c>
      <c r="O156" s="12" t="str">
        <f>CONCATENATE(N156,A156,"\",B156,"\",C156,".jpg")</f>
        <v>C:\Users\mbaptista\OneDrive - Biblioteca Nacional de Portugal\Documentos\python\camoniana\imagens\capas\742171\1\18.jpg</v>
      </c>
      <c r="P156" s="12" t="str">
        <f>HYPERLINK(O156)</f>
        <v>C:\Users\mbaptista\OneDrive - Biblioteca Nacional de Portugal\Documentos\python\camoniana\imagens\capas\742171\1\18.jpg</v>
      </c>
      <c r="Q156" s="12"/>
      <c r="R156" s="6" t="s">
        <v>221</v>
      </c>
      <c r="S156" s="4"/>
      <c r="T156" s="1" t="s">
        <v>219</v>
      </c>
      <c r="U156" s="13"/>
      <c r="V156" s="13"/>
      <c r="W156" s="5" t="s">
        <v>1491</v>
      </c>
    </row>
    <row r="157" spans="1:23" ht="75">
      <c r="A157" s="1">
        <v>764770</v>
      </c>
      <c r="B157" s="1">
        <v>1</v>
      </c>
      <c r="C157" s="1">
        <v>7</v>
      </c>
      <c r="D157" s="2" t="s">
        <v>222</v>
      </c>
      <c r="E157" s="11" t="s">
        <v>222</v>
      </c>
      <c r="F157" s="11">
        <v>270042</v>
      </c>
      <c r="G157" s="2" t="s">
        <v>1494</v>
      </c>
      <c r="H157" s="2" t="s">
        <v>1495</v>
      </c>
      <c r="I157" s="2" t="s">
        <v>1496</v>
      </c>
      <c r="J157" s="2" t="str">
        <f t="shared" si="4"/>
        <v>https://permalinkbnd.bnportugal.gov.pt/viewer/270042/?offset=#page=7&amp;viewer=picture&amp;o=info&amp;n=0&amp;q=</v>
      </c>
      <c r="K157" s="1" t="s">
        <v>223</v>
      </c>
      <c r="L157" s="1" t="str">
        <f>VLOOKUP(A157,Folha2!$A$2:$B$2019,2,FALSE)</f>
        <v>Os Lusíadas, 1609, sem argumentos.</v>
      </c>
      <c r="M157" s="12" t="str">
        <f t="shared" si="5"/>
        <v>https://permalinkbnd.bnportugal.gov.pt/viewer/270042/?offset=#page=7&amp;viewer=picture&amp;o=info&amp;n=0&amp;q=</v>
      </c>
      <c r="N157" s="12" t="s">
        <v>1497</v>
      </c>
      <c r="O157" s="12" t="str">
        <f>CONCATENATE(N157,A157,"\",B157,"\",C157,".jpg")</f>
        <v>C:\Users\mbaptista\OneDrive - Biblioteca Nacional de Portugal\Documentos\python\camoniana\imagens\capas\764770\1\7.jpg</v>
      </c>
      <c r="P157" s="12" t="str">
        <f>HYPERLINK(O157)</f>
        <v>C:\Users\mbaptista\OneDrive - Biblioteca Nacional de Portugal\Documentos\python\camoniana\imagens\capas\764770\1\7.jpg</v>
      </c>
      <c r="Q157" s="12"/>
      <c r="R157" s="6" t="s">
        <v>224</v>
      </c>
      <c r="S157" s="4"/>
      <c r="T157" s="1">
        <v>7</v>
      </c>
      <c r="U157" s="13"/>
      <c r="V157" s="13"/>
      <c r="W157" s="5" t="s">
        <v>1491</v>
      </c>
    </row>
    <row r="158" spans="1:23" ht="75">
      <c r="A158" s="1">
        <v>764770</v>
      </c>
      <c r="B158" s="1">
        <v>1</v>
      </c>
      <c r="C158" s="1">
        <v>46</v>
      </c>
      <c r="D158" s="2" t="s">
        <v>222</v>
      </c>
      <c r="E158" s="5" t="s">
        <v>222</v>
      </c>
      <c r="F158" s="5">
        <v>270042</v>
      </c>
      <c r="G158" s="2" t="s">
        <v>1494</v>
      </c>
      <c r="H158" s="2" t="s">
        <v>1495</v>
      </c>
      <c r="I158" s="2" t="s">
        <v>1496</v>
      </c>
      <c r="J158" s="2" t="str">
        <f t="shared" si="4"/>
        <v>https://permalinkbnd.bnportugal.gov.pt/viewer/270042/?offset=#page=46&amp;viewer=picture&amp;o=info&amp;n=0&amp;q=</v>
      </c>
      <c r="K158" s="1" t="s">
        <v>223</v>
      </c>
      <c r="L158" s="1" t="str">
        <f>VLOOKUP(A158,Folha2!$A$2:$B$2019,2,FALSE)</f>
        <v>Os Lusíadas, 1609, sem argumentos.</v>
      </c>
      <c r="M158" s="12" t="str">
        <f t="shared" si="5"/>
        <v>https://permalinkbnd.bnportugal.gov.pt/viewer/270042/?offset=#page=46&amp;viewer=picture&amp;o=info&amp;n=0&amp;q=</v>
      </c>
      <c r="N158" s="12" t="s">
        <v>1497</v>
      </c>
      <c r="O158" s="12" t="str">
        <f>CONCATENATE(N158,A158,"\",B158,"\",C158,".jpg")</f>
        <v>C:\Users\mbaptista\OneDrive - Biblioteca Nacional de Portugal\Documentos\python\camoniana\imagens\capas\764770\1\46.jpg</v>
      </c>
      <c r="P158" s="12" t="str">
        <f>HYPERLINK(O158)</f>
        <v>C:\Users\mbaptista\OneDrive - Biblioteca Nacional de Portugal\Documentos\python\camoniana\imagens\capas\764770\1\46.jpg</v>
      </c>
      <c r="Q158" s="12"/>
      <c r="R158" s="6"/>
      <c r="S158" s="4"/>
      <c r="T158" s="1"/>
      <c r="U158" s="13"/>
      <c r="V158" s="13"/>
      <c r="W158" s="5"/>
    </row>
    <row r="159" spans="1:23" ht="75">
      <c r="A159" s="1">
        <v>767226</v>
      </c>
      <c r="B159" s="1">
        <v>1</v>
      </c>
      <c r="C159" s="1">
        <v>4</v>
      </c>
      <c r="D159" s="2" t="s">
        <v>225</v>
      </c>
      <c r="E159" s="11" t="s">
        <v>225</v>
      </c>
      <c r="F159" s="11">
        <v>273943</v>
      </c>
      <c r="G159" s="2" t="s">
        <v>1494</v>
      </c>
      <c r="H159" s="2" t="s">
        <v>1495</v>
      </c>
      <c r="I159" s="2" t="s">
        <v>1496</v>
      </c>
      <c r="J159" s="2" t="str">
        <f t="shared" si="4"/>
        <v>https://permalinkbnd.bnportugal.gov.pt/viewer/273943/?offset=#page=4&amp;viewer=picture&amp;o=info&amp;n=0&amp;q=</v>
      </c>
      <c r="K159" s="1">
        <v>4</v>
      </c>
      <c r="L159" s="1" t="str">
        <f>VLOOKUP(A159,Folha2!$A$2:$B$2019,2,FALSE)</f>
        <v>Os Lusíadas, 1875. Paratextos vida e Paratextos argumentos.</v>
      </c>
      <c r="M159" s="12" t="str">
        <f t="shared" si="5"/>
        <v>https://permalinkbnd.bnportugal.gov.pt/viewer/273943/?offset=#page=4&amp;viewer=picture&amp;o=info&amp;n=0&amp;q=</v>
      </c>
      <c r="N159" s="12" t="s">
        <v>1497</v>
      </c>
      <c r="O159" s="12" t="str">
        <f>CONCATENATE(N159,A159,"\",B159,"\",C159,".jpg")</f>
        <v>C:\Users\mbaptista\OneDrive - Biblioteca Nacional de Portugal\Documentos\python\camoniana\imagens\capas\767226\1\4.jpg</v>
      </c>
      <c r="P159" s="12" t="str">
        <f>HYPERLINK(O159)</f>
        <v>C:\Users\mbaptista\OneDrive - Biblioteca Nacional de Portugal\Documentos\python\camoniana\imagens\capas\767226\1\4.jpg</v>
      </c>
      <c r="Q159" s="12"/>
      <c r="R159" s="6" t="s">
        <v>226</v>
      </c>
      <c r="S159" s="4"/>
      <c r="T159" s="1">
        <v>4</v>
      </c>
      <c r="U159" s="13"/>
      <c r="V159" s="13"/>
      <c r="W159" s="5" t="s">
        <v>1491</v>
      </c>
    </row>
    <row r="160" spans="1:23" ht="75">
      <c r="A160" s="1">
        <v>767525</v>
      </c>
      <c r="B160" s="1">
        <v>1</v>
      </c>
      <c r="C160" s="1">
        <v>3</v>
      </c>
      <c r="D160" s="2" t="s">
        <v>227</v>
      </c>
      <c r="E160" s="5" t="s">
        <v>227</v>
      </c>
      <c r="F160" s="5">
        <v>273427</v>
      </c>
      <c r="G160" s="2" t="s">
        <v>1494</v>
      </c>
      <c r="H160" s="2" t="s">
        <v>1495</v>
      </c>
      <c r="I160" s="2" t="s">
        <v>1496</v>
      </c>
      <c r="J160" s="2" t="str">
        <f t="shared" si="4"/>
        <v>https://permalinkbnd.bnportugal.gov.pt/viewer/273427/?offset=#page=3&amp;viewer=picture&amp;o=info&amp;n=0&amp;q=</v>
      </c>
      <c r="K160" s="1">
        <v>3</v>
      </c>
      <c r="L160" s="1" t="str">
        <f>VLOOKUP(A160,Folha2!$A$2:$B$2019,2,FALSE)</f>
        <v>À memória de Luís de Camões, Luanda, Sociedade Propagadora de Conhecimentos Geográfico-Africanos, 1881</v>
      </c>
      <c r="M160" s="12" t="str">
        <f t="shared" si="5"/>
        <v>https://permalinkbnd.bnportugal.gov.pt/viewer/273427/?offset=#page=3&amp;viewer=picture&amp;o=info&amp;n=0&amp;q=</v>
      </c>
      <c r="N160" s="12" t="s">
        <v>1497</v>
      </c>
      <c r="O160" s="12" t="str">
        <f>CONCATENATE(N160,A160,"\",B160,"\",C160,".jpg")</f>
        <v>C:\Users\mbaptista\OneDrive - Biblioteca Nacional de Portugal\Documentos\python\camoniana\imagens\capas\767525\1\3.jpg</v>
      </c>
      <c r="P160" s="12" t="str">
        <f>HYPERLINK(O160)</f>
        <v>C:\Users\mbaptista\OneDrive - Biblioteca Nacional de Portugal\Documentos\python\camoniana\imagens\capas\767525\1\3.jpg</v>
      </c>
      <c r="Q160" s="12"/>
      <c r="R160" s="6" t="s">
        <v>228</v>
      </c>
      <c r="S160" s="4"/>
      <c r="T160" s="1">
        <v>3</v>
      </c>
      <c r="U160" s="13"/>
      <c r="V160" s="13"/>
      <c r="W160" s="5" t="s">
        <v>1491</v>
      </c>
    </row>
    <row r="161" spans="1:23" ht="75">
      <c r="A161" s="1">
        <v>782745</v>
      </c>
      <c r="B161" s="1">
        <v>1</v>
      </c>
      <c r="C161" s="1">
        <v>6</v>
      </c>
      <c r="D161" s="2" t="s">
        <v>229</v>
      </c>
      <c r="E161" s="11" t="s">
        <v>229</v>
      </c>
      <c r="F161" s="11">
        <v>272372</v>
      </c>
      <c r="G161" s="2" t="s">
        <v>1494</v>
      </c>
      <c r="H161" s="2" t="s">
        <v>1495</v>
      </c>
      <c r="I161" s="2" t="s">
        <v>1496</v>
      </c>
      <c r="J161" s="2" t="str">
        <f t="shared" si="4"/>
        <v>https://permalinkbnd.bnportugal.gov.pt/viewer/272372/?offset=#page=6&amp;viewer=picture&amp;o=info&amp;n=0&amp;q=</v>
      </c>
      <c r="K161" s="1" t="s">
        <v>230</v>
      </c>
      <c r="L161" s="1" t="str">
        <f>VLOOKUP(A161,Folha2!$A$2:$B$2019,2,FALSE)</f>
        <v>Os Lusíadas, 1889. Paratextos vida e Paratextos argumentos.</v>
      </c>
      <c r="M161" s="12" t="str">
        <f t="shared" si="5"/>
        <v>https://permalinkbnd.bnportugal.gov.pt/viewer/272372/?offset=#page=6&amp;viewer=picture&amp;o=info&amp;n=0&amp;q=</v>
      </c>
      <c r="N161" s="12" t="s">
        <v>1497</v>
      </c>
      <c r="O161" s="12" t="str">
        <f>CONCATENATE(N161,A161,"\",B161,"\",C161,".jpg")</f>
        <v>C:\Users\mbaptista\OneDrive - Biblioteca Nacional de Portugal\Documentos\python\camoniana\imagens\capas\782745\1\6.jpg</v>
      </c>
      <c r="P161" s="12" t="str">
        <f>HYPERLINK(O161)</f>
        <v>C:\Users\mbaptista\OneDrive - Biblioteca Nacional de Portugal\Documentos\python\camoniana\imagens\capas\782745\1\6.jpg</v>
      </c>
      <c r="Q161" s="12"/>
      <c r="R161" s="6" t="s">
        <v>231</v>
      </c>
      <c r="S161" s="4"/>
      <c r="T161" s="1">
        <v>6</v>
      </c>
      <c r="U161" s="13"/>
      <c r="V161" s="13"/>
      <c r="W161" s="5" t="s">
        <v>1491</v>
      </c>
    </row>
    <row r="162" spans="1:23" ht="75">
      <c r="A162" s="1">
        <v>784907</v>
      </c>
      <c r="B162" s="1">
        <v>1</v>
      </c>
      <c r="C162" s="1">
        <v>21</v>
      </c>
      <c r="D162" s="2" t="s">
        <v>232</v>
      </c>
      <c r="E162" s="5" t="s">
        <v>232</v>
      </c>
      <c r="F162" s="5">
        <v>272381</v>
      </c>
      <c r="G162" s="2" t="s">
        <v>1494</v>
      </c>
      <c r="H162" s="2" t="s">
        <v>1495</v>
      </c>
      <c r="I162" s="2" t="s">
        <v>1496</v>
      </c>
      <c r="J162" s="2" t="str">
        <f t="shared" si="4"/>
        <v>https://permalinkbnd.bnportugal.gov.pt/viewer/272381/?offset=#page=21&amp;viewer=picture&amp;o=info&amp;n=0&amp;q=</v>
      </c>
      <c r="K162" s="1" t="s">
        <v>233</v>
      </c>
      <c r="L162" s="1" t="str">
        <f>VLOOKUP(A162,Folha2!$A$2:$B$2019,2,FALSE)</f>
        <v>Os Lusíadas, 1836. [a obra digitalizada apresenta as estampas referentes a cada Canto e retrato do Poeta, mas sem Os Lusíadas e sem os paratextos referidos na folha de rosto, cf. objecto]</v>
      </c>
      <c r="M162" s="12" t="str">
        <f t="shared" si="5"/>
        <v>https://permalinkbnd.bnportugal.gov.pt/viewer/272381/?offset=#page=21&amp;viewer=picture&amp;o=info&amp;n=0&amp;q=</v>
      </c>
      <c r="N162" s="12" t="s">
        <v>1497</v>
      </c>
      <c r="O162" s="12" t="str">
        <f>CONCATENATE(N162,A162,"\",B162,"\",C162,".jpg")</f>
        <v>C:\Users\mbaptista\OneDrive - Biblioteca Nacional de Portugal\Documentos\python\camoniana\imagens\capas\784907\1\21.jpg</v>
      </c>
      <c r="P162" s="12" t="str">
        <f>HYPERLINK(O162)</f>
        <v>C:\Users\mbaptista\OneDrive - Biblioteca Nacional de Portugal\Documentos\python\camoniana\imagens\capas\784907\1\21.jpg</v>
      </c>
      <c r="Q162" s="12"/>
      <c r="R162" s="6" t="s">
        <v>235</v>
      </c>
      <c r="S162" s="4"/>
      <c r="T162" s="1" t="s">
        <v>234</v>
      </c>
      <c r="U162" s="13"/>
      <c r="V162" s="13"/>
      <c r="W162" s="5" t="s">
        <v>1491</v>
      </c>
    </row>
    <row r="163" spans="1:23" ht="75">
      <c r="A163" s="1">
        <v>784907</v>
      </c>
      <c r="B163" s="1">
        <v>1</v>
      </c>
      <c r="C163" s="1">
        <v>24</v>
      </c>
      <c r="D163" s="2" t="s">
        <v>232</v>
      </c>
      <c r="E163" s="11" t="s">
        <v>232</v>
      </c>
      <c r="F163" s="11">
        <v>272381</v>
      </c>
      <c r="G163" s="2" t="s">
        <v>1494</v>
      </c>
      <c r="H163" s="2" t="s">
        <v>1495</v>
      </c>
      <c r="I163" s="2" t="s">
        <v>1496</v>
      </c>
      <c r="J163" s="2" t="str">
        <f t="shared" si="4"/>
        <v>https://permalinkbnd.bnportugal.gov.pt/viewer/272381/?offset=#page=24&amp;viewer=picture&amp;o=info&amp;n=0&amp;q=</v>
      </c>
      <c r="K163" s="1" t="s">
        <v>233</v>
      </c>
      <c r="L163" s="1" t="str">
        <f>VLOOKUP(A163,Folha2!$A$2:$B$2019,2,FALSE)</f>
        <v>Os Lusíadas, 1836. [a obra digitalizada apresenta as estampas referentes a cada Canto e retrato do Poeta, mas sem Os Lusíadas e sem os paratextos referidos na folha de rosto, cf. objecto]</v>
      </c>
      <c r="M163" s="12" t="str">
        <f t="shared" si="5"/>
        <v>https://permalinkbnd.bnportugal.gov.pt/viewer/272381/?offset=#page=24&amp;viewer=picture&amp;o=info&amp;n=0&amp;q=</v>
      </c>
      <c r="N163" s="12" t="s">
        <v>1497</v>
      </c>
      <c r="O163" s="12" t="str">
        <f>CONCATENATE(N163,A163,"\",B163,"\",C163,".jpg")</f>
        <v>C:\Users\mbaptista\OneDrive - Biblioteca Nacional de Portugal\Documentos\python\camoniana\imagens\capas\784907\1\24.jpg</v>
      </c>
      <c r="P163" s="12" t="str">
        <f>HYPERLINK(O163)</f>
        <v>C:\Users\mbaptista\OneDrive - Biblioteca Nacional de Portugal\Documentos\python\camoniana\imagens\capas\784907\1\24.jpg</v>
      </c>
      <c r="Q163" s="12"/>
      <c r="R163" s="6" t="s">
        <v>236</v>
      </c>
      <c r="S163" s="4"/>
      <c r="T163" s="1" t="s">
        <v>234</v>
      </c>
      <c r="U163" s="13"/>
      <c r="V163" s="13"/>
      <c r="W163" s="5" t="s">
        <v>1491</v>
      </c>
    </row>
    <row r="164" spans="1:23" ht="75">
      <c r="A164" s="1">
        <v>784907</v>
      </c>
      <c r="B164" s="1">
        <v>1</v>
      </c>
      <c r="C164" s="1">
        <v>25</v>
      </c>
      <c r="D164" s="2" t="s">
        <v>232</v>
      </c>
      <c r="E164" s="5" t="s">
        <v>232</v>
      </c>
      <c r="F164" s="5">
        <v>272381</v>
      </c>
      <c r="G164" s="2" t="s">
        <v>1494</v>
      </c>
      <c r="H164" s="2" t="s">
        <v>1495</v>
      </c>
      <c r="I164" s="2" t="s">
        <v>1496</v>
      </c>
      <c r="J164" s="2" t="str">
        <f t="shared" si="4"/>
        <v>https://permalinkbnd.bnportugal.gov.pt/viewer/272381/?offset=#page=25&amp;viewer=picture&amp;o=info&amp;n=0&amp;q=</v>
      </c>
      <c r="K164" s="1" t="s">
        <v>233</v>
      </c>
      <c r="L164" s="1" t="str">
        <f>VLOOKUP(A164,Folha2!$A$2:$B$2019,2,FALSE)</f>
        <v>Os Lusíadas, 1836. [a obra digitalizada apresenta as estampas referentes a cada Canto e retrato do Poeta, mas sem Os Lusíadas e sem os paratextos referidos na folha de rosto, cf. objecto]</v>
      </c>
      <c r="M164" s="12" t="str">
        <f t="shared" si="5"/>
        <v>https://permalinkbnd.bnportugal.gov.pt/viewer/272381/?offset=#page=25&amp;viewer=picture&amp;o=info&amp;n=0&amp;q=</v>
      </c>
      <c r="N164" s="12" t="s">
        <v>1497</v>
      </c>
      <c r="O164" s="12" t="str">
        <f>CONCATENATE(N164,A164,"\",B164,"\",C164,".jpg")</f>
        <v>C:\Users\mbaptista\OneDrive - Biblioteca Nacional de Portugal\Documentos\python\camoniana\imagens\capas\784907\1\25.jpg</v>
      </c>
      <c r="P164" s="12" t="str">
        <f>HYPERLINK(O164)</f>
        <v>C:\Users\mbaptista\OneDrive - Biblioteca Nacional de Portugal\Documentos\python\camoniana\imagens\capas\784907\1\25.jpg</v>
      </c>
      <c r="Q164" s="12"/>
      <c r="R164" s="6" t="s">
        <v>237</v>
      </c>
      <c r="S164" s="4"/>
      <c r="T164" s="1" t="s">
        <v>234</v>
      </c>
      <c r="U164" s="13"/>
      <c r="V164" s="13"/>
      <c r="W164" s="5" t="s">
        <v>1491</v>
      </c>
    </row>
    <row r="165" spans="1:23" ht="75">
      <c r="A165" s="1">
        <v>784907</v>
      </c>
      <c r="B165" s="1">
        <v>1</v>
      </c>
      <c r="C165" s="1">
        <v>28</v>
      </c>
      <c r="D165" s="2" t="s">
        <v>232</v>
      </c>
      <c r="E165" s="11" t="s">
        <v>232</v>
      </c>
      <c r="F165" s="11">
        <v>272381</v>
      </c>
      <c r="G165" s="2" t="s">
        <v>1494</v>
      </c>
      <c r="H165" s="2" t="s">
        <v>1495</v>
      </c>
      <c r="I165" s="2" t="s">
        <v>1496</v>
      </c>
      <c r="J165" s="2" t="str">
        <f t="shared" si="4"/>
        <v>https://permalinkbnd.bnportugal.gov.pt/viewer/272381/?offset=#page=28&amp;viewer=picture&amp;o=info&amp;n=0&amp;q=</v>
      </c>
      <c r="K165" s="1" t="s">
        <v>233</v>
      </c>
      <c r="L165" s="1" t="str">
        <f>VLOOKUP(A165,Folha2!$A$2:$B$2019,2,FALSE)</f>
        <v>Os Lusíadas, 1836. [a obra digitalizada apresenta as estampas referentes a cada Canto e retrato do Poeta, mas sem Os Lusíadas e sem os paratextos referidos na folha de rosto, cf. objecto]</v>
      </c>
      <c r="M165" s="12" t="str">
        <f t="shared" si="5"/>
        <v>https://permalinkbnd.bnportugal.gov.pt/viewer/272381/?offset=#page=28&amp;viewer=picture&amp;o=info&amp;n=0&amp;q=</v>
      </c>
      <c r="N165" s="12" t="s">
        <v>1497</v>
      </c>
      <c r="O165" s="12" t="str">
        <f>CONCATENATE(N165,A165,"\",B165,"\",C165,".jpg")</f>
        <v>C:\Users\mbaptista\OneDrive - Biblioteca Nacional de Portugal\Documentos\python\camoniana\imagens\capas\784907\1\28.jpg</v>
      </c>
      <c r="P165" s="12" t="str">
        <f>HYPERLINK(O165)</f>
        <v>C:\Users\mbaptista\OneDrive - Biblioteca Nacional de Portugal\Documentos\python\camoniana\imagens\capas\784907\1\28.jpg</v>
      </c>
      <c r="Q165" s="12"/>
      <c r="R165" s="6" t="s">
        <v>238</v>
      </c>
      <c r="S165" s="4"/>
      <c r="T165" s="1" t="s">
        <v>234</v>
      </c>
      <c r="U165" s="13"/>
      <c r="V165" s="13"/>
      <c r="W165" s="5" t="s">
        <v>1491</v>
      </c>
    </row>
    <row r="166" spans="1:23" ht="75">
      <c r="A166" s="1">
        <v>784907</v>
      </c>
      <c r="B166" s="1">
        <v>1</v>
      </c>
      <c r="C166" s="1">
        <v>29</v>
      </c>
      <c r="D166" s="2" t="s">
        <v>232</v>
      </c>
      <c r="E166" s="5" t="s">
        <v>232</v>
      </c>
      <c r="F166" s="5">
        <v>272381</v>
      </c>
      <c r="G166" s="2" t="s">
        <v>1494</v>
      </c>
      <c r="H166" s="2" t="s">
        <v>1495</v>
      </c>
      <c r="I166" s="2" t="s">
        <v>1496</v>
      </c>
      <c r="J166" s="2" t="str">
        <f t="shared" si="4"/>
        <v>https://permalinkbnd.bnportugal.gov.pt/viewer/272381/?offset=#page=29&amp;viewer=picture&amp;o=info&amp;n=0&amp;q=</v>
      </c>
      <c r="K166" s="1" t="s">
        <v>233</v>
      </c>
      <c r="L166" s="1" t="str">
        <f>VLOOKUP(A166,Folha2!$A$2:$B$2019,2,FALSE)</f>
        <v>Os Lusíadas, 1836. [a obra digitalizada apresenta as estampas referentes a cada Canto e retrato do Poeta, mas sem Os Lusíadas e sem os paratextos referidos na folha de rosto, cf. objecto]</v>
      </c>
      <c r="M166" s="12" t="str">
        <f t="shared" si="5"/>
        <v>https://permalinkbnd.bnportugal.gov.pt/viewer/272381/?offset=#page=29&amp;viewer=picture&amp;o=info&amp;n=0&amp;q=</v>
      </c>
      <c r="N166" s="12" t="s">
        <v>1497</v>
      </c>
      <c r="O166" s="12" t="str">
        <f>CONCATENATE(N166,A166,"\",B166,"\",C166,".jpg")</f>
        <v>C:\Users\mbaptista\OneDrive - Biblioteca Nacional de Portugal\Documentos\python\camoniana\imagens\capas\784907\1\29.jpg</v>
      </c>
      <c r="P166" s="12" t="str">
        <f>HYPERLINK(O166)</f>
        <v>C:\Users\mbaptista\OneDrive - Biblioteca Nacional de Portugal\Documentos\python\camoniana\imagens\capas\784907\1\29.jpg</v>
      </c>
      <c r="Q166" s="12"/>
      <c r="R166" s="6" t="s">
        <v>239</v>
      </c>
      <c r="S166" s="4"/>
      <c r="T166" s="1" t="s">
        <v>234</v>
      </c>
      <c r="U166" s="13"/>
      <c r="V166" s="13"/>
      <c r="W166" s="5" t="s">
        <v>1491</v>
      </c>
    </row>
    <row r="167" spans="1:23" ht="75">
      <c r="A167" s="1">
        <v>784907</v>
      </c>
      <c r="B167" s="1">
        <v>1</v>
      </c>
      <c r="C167" s="1">
        <v>32</v>
      </c>
      <c r="D167" s="2" t="s">
        <v>232</v>
      </c>
      <c r="E167" s="11" t="s">
        <v>232</v>
      </c>
      <c r="F167" s="11">
        <v>272381</v>
      </c>
      <c r="G167" s="2" t="s">
        <v>1494</v>
      </c>
      <c r="H167" s="2" t="s">
        <v>1495</v>
      </c>
      <c r="I167" s="2" t="s">
        <v>1496</v>
      </c>
      <c r="J167" s="2" t="str">
        <f t="shared" si="4"/>
        <v>https://permalinkbnd.bnportugal.gov.pt/viewer/272381/?offset=#page=32&amp;viewer=picture&amp;o=info&amp;n=0&amp;q=</v>
      </c>
      <c r="K167" s="1" t="s">
        <v>233</v>
      </c>
      <c r="L167" s="1" t="str">
        <f>VLOOKUP(A167,Folha2!$A$2:$B$2019,2,FALSE)</f>
        <v>Os Lusíadas, 1836. [a obra digitalizada apresenta as estampas referentes a cada Canto e retrato do Poeta, mas sem Os Lusíadas e sem os paratextos referidos na folha de rosto, cf. objecto]</v>
      </c>
      <c r="M167" s="12" t="str">
        <f t="shared" si="5"/>
        <v>https://permalinkbnd.bnportugal.gov.pt/viewer/272381/?offset=#page=32&amp;viewer=picture&amp;o=info&amp;n=0&amp;q=</v>
      </c>
      <c r="N167" s="12" t="s">
        <v>1497</v>
      </c>
      <c r="O167" s="12" t="str">
        <f>CONCATENATE(N167,A167,"\",B167,"\",C167,".jpg")</f>
        <v>C:\Users\mbaptista\OneDrive - Biblioteca Nacional de Portugal\Documentos\python\camoniana\imagens\capas\784907\1\32.jpg</v>
      </c>
      <c r="P167" s="12" t="str">
        <f>HYPERLINK(O167)</f>
        <v>C:\Users\mbaptista\OneDrive - Biblioteca Nacional de Portugal\Documentos\python\camoniana\imagens\capas\784907\1\32.jpg</v>
      </c>
      <c r="Q167" s="12"/>
      <c r="R167" s="6" t="s">
        <v>240</v>
      </c>
      <c r="S167" s="4"/>
      <c r="T167" s="1" t="s">
        <v>234</v>
      </c>
      <c r="U167" s="13"/>
      <c r="V167" s="13"/>
      <c r="W167" s="5" t="s">
        <v>1491</v>
      </c>
    </row>
    <row r="168" spans="1:23" ht="75">
      <c r="A168" s="1">
        <v>784907</v>
      </c>
      <c r="B168" s="1">
        <v>1</v>
      </c>
      <c r="C168" s="1">
        <v>33</v>
      </c>
      <c r="D168" s="2" t="s">
        <v>232</v>
      </c>
      <c r="E168" s="5" t="s">
        <v>232</v>
      </c>
      <c r="F168" s="5">
        <v>272381</v>
      </c>
      <c r="G168" s="2" t="s">
        <v>1494</v>
      </c>
      <c r="H168" s="2" t="s">
        <v>1495</v>
      </c>
      <c r="I168" s="2" t="s">
        <v>1496</v>
      </c>
      <c r="J168" s="2" t="str">
        <f t="shared" si="4"/>
        <v>https://permalinkbnd.bnportugal.gov.pt/viewer/272381/?offset=#page=33&amp;viewer=picture&amp;o=info&amp;n=0&amp;q=</v>
      </c>
      <c r="K168" s="1" t="s">
        <v>233</v>
      </c>
      <c r="L168" s="1" t="str">
        <f>VLOOKUP(A168,Folha2!$A$2:$B$2019,2,FALSE)</f>
        <v>Os Lusíadas, 1836. [a obra digitalizada apresenta as estampas referentes a cada Canto e retrato do Poeta, mas sem Os Lusíadas e sem os paratextos referidos na folha de rosto, cf. objecto]</v>
      </c>
      <c r="M168" s="12" t="str">
        <f t="shared" si="5"/>
        <v>https://permalinkbnd.bnportugal.gov.pt/viewer/272381/?offset=#page=33&amp;viewer=picture&amp;o=info&amp;n=0&amp;q=</v>
      </c>
      <c r="N168" s="12" t="s">
        <v>1497</v>
      </c>
      <c r="O168" s="12" t="str">
        <f>CONCATENATE(N168,A168,"\",B168,"\",C168,".jpg")</f>
        <v>C:\Users\mbaptista\OneDrive - Biblioteca Nacional de Portugal\Documentos\python\camoniana\imagens\capas\784907\1\33.jpg</v>
      </c>
      <c r="P168" s="12" t="str">
        <f>HYPERLINK(O168)</f>
        <v>C:\Users\mbaptista\OneDrive - Biblioteca Nacional de Portugal\Documentos\python\camoniana\imagens\capas\784907\1\33.jpg</v>
      </c>
      <c r="Q168" s="12"/>
      <c r="R168" s="6" t="s">
        <v>241</v>
      </c>
      <c r="S168" s="4"/>
      <c r="T168" s="1" t="s">
        <v>234</v>
      </c>
      <c r="U168" s="13"/>
      <c r="V168" s="13"/>
      <c r="W168" s="5" t="s">
        <v>1491</v>
      </c>
    </row>
    <row r="169" spans="1:23" ht="75">
      <c r="A169" s="1">
        <v>784907</v>
      </c>
      <c r="B169" s="1">
        <v>1</v>
      </c>
      <c r="C169" s="1">
        <v>36</v>
      </c>
      <c r="D169" s="2" t="s">
        <v>232</v>
      </c>
      <c r="E169" s="11" t="s">
        <v>232</v>
      </c>
      <c r="F169" s="11">
        <v>272381</v>
      </c>
      <c r="G169" s="2" t="s">
        <v>1494</v>
      </c>
      <c r="H169" s="2" t="s">
        <v>1495</v>
      </c>
      <c r="I169" s="2" t="s">
        <v>1496</v>
      </c>
      <c r="J169" s="2" t="str">
        <f t="shared" si="4"/>
        <v>https://permalinkbnd.bnportugal.gov.pt/viewer/272381/?offset=#page=36&amp;viewer=picture&amp;o=info&amp;n=0&amp;q=</v>
      </c>
      <c r="K169" s="1" t="s">
        <v>233</v>
      </c>
      <c r="L169" s="1" t="str">
        <f>VLOOKUP(A169,Folha2!$A$2:$B$2019,2,FALSE)</f>
        <v>Os Lusíadas, 1836. [a obra digitalizada apresenta as estampas referentes a cada Canto e retrato do Poeta, mas sem Os Lusíadas e sem os paratextos referidos na folha de rosto, cf. objecto]</v>
      </c>
      <c r="M169" s="12" t="str">
        <f t="shared" si="5"/>
        <v>https://permalinkbnd.bnportugal.gov.pt/viewer/272381/?offset=#page=36&amp;viewer=picture&amp;o=info&amp;n=0&amp;q=</v>
      </c>
      <c r="N169" s="12" t="s">
        <v>1497</v>
      </c>
      <c r="O169" s="12" t="str">
        <f>CONCATENATE(N169,A169,"\",B169,"\",C169,".jpg")</f>
        <v>C:\Users\mbaptista\OneDrive - Biblioteca Nacional de Portugal\Documentos\python\camoniana\imagens\capas\784907\1\36.jpg</v>
      </c>
      <c r="P169" s="12" t="str">
        <f>HYPERLINK(O169)</f>
        <v>C:\Users\mbaptista\OneDrive - Biblioteca Nacional de Portugal\Documentos\python\camoniana\imagens\capas\784907\1\36.jpg</v>
      </c>
      <c r="Q169" s="12"/>
      <c r="R169" s="6" t="s">
        <v>242</v>
      </c>
      <c r="S169" s="4"/>
      <c r="T169" s="1" t="s">
        <v>234</v>
      </c>
      <c r="U169" s="13"/>
      <c r="V169" s="13"/>
      <c r="W169" s="5" t="s">
        <v>1491</v>
      </c>
    </row>
    <row r="170" spans="1:23" ht="75">
      <c r="A170" s="1">
        <v>784907</v>
      </c>
      <c r="B170" s="1">
        <v>1</v>
      </c>
      <c r="C170" s="1">
        <v>37</v>
      </c>
      <c r="D170" s="2" t="s">
        <v>232</v>
      </c>
      <c r="E170" s="5" t="s">
        <v>232</v>
      </c>
      <c r="F170" s="5">
        <v>272381</v>
      </c>
      <c r="G170" s="2" t="s">
        <v>1494</v>
      </c>
      <c r="H170" s="2" t="s">
        <v>1495</v>
      </c>
      <c r="I170" s="2" t="s">
        <v>1496</v>
      </c>
      <c r="J170" s="2" t="str">
        <f t="shared" si="4"/>
        <v>https://permalinkbnd.bnportugal.gov.pt/viewer/272381/?offset=#page=37&amp;viewer=picture&amp;o=info&amp;n=0&amp;q=</v>
      </c>
      <c r="K170" s="1" t="s">
        <v>233</v>
      </c>
      <c r="L170" s="1" t="str">
        <f>VLOOKUP(A170,Folha2!$A$2:$B$2019,2,FALSE)</f>
        <v>Os Lusíadas, 1836. [a obra digitalizada apresenta as estampas referentes a cada Canto e retrato do Poeta, mas sem Os Lusíadas e sem os paratextos referidos na folha de rosto, cf. objecto]</v>
      </c>
      <c r="M170" s="12" t="str">
        <f t="shared" si="5"/>
        <v>https://permalinkbnd.bnportugal.gov.pt/viewer/272381/?offset=#page=37&amp;viewer=picture&amp;o=info&amp;n=0&amp;q=</v>
      </c>
      <c r="N170" s="12" t="s">
        <v>1497</v>
      </c>
      <c r="O170" s="12" t="str">
        <f>CONCATENATE(N170,A170,"\",B170,"\",C170,".jpg")</f>
        <v>C:\Users\mbaptista\OneDrive - Biblioteca Nacional de Portugal\Documentos\python\camoniana\imagens\capas\784907\1\37.jpg</v>
      </c>
      <c r="P170" s="12" t="str">
        <f>HYPERLINK(O170)</f>
        <v>C:\Users\mbaptista\OneDrive - Biblioteca Nacional de Portugal\Documentos\python\camoniana\imagens\capas\784907\1\37.jpg</v>
      </c>
      <c r="Q170" s="12"/>
      <c r="R170" s="6" t="s">
        <v>243</v>
      </c>
      <c r="S170" s="4"/>
      <c r="T170" s="1" t="s">
        <v>234</v>
      </c>
      <c r="U170" s="13"/>
      <c r="V170" s="13"/>
      <c r="W170" s="5" t="s">
        <v>1491</v>
      </c>
    </row>
    <row r="171" spans="1:23" ht="75">
      <c r="A171" s="1">
        <v>784907</v>
      </c>
      <c r="B171" s="1">
        <v>1</v>
      </c>
      <c r="C171" s="1">
        <v>40</v>
      </c>
      <c r="D171" s="2" t="s">
        <v>232</v>
      </c>
      <c r="E171" s="11" t="s">
        <v>232</v>
      </c>
      <c r="F171" s="11">
        <v>272381</v>
      </c>
      <c r="G171" s="2" t="s">
        <v>1494</v>
      </c>
      <c r="H171" s="2" t="s">
        <v>1495</v>
      </c>
      <c r="I171" s="2" t="s">
        <v>1496</v>
      </c>
      <c r="J171" s="2" t="str">
        <f t="shared" si="4"/>
        <v>https://permalinkbnd.bnportugal.gov.pt/viewer/272381/?offset=#page=40&amp;viewer=picture&amp;o=info&amp;n=0&amp;q=</v>
      </c>
      <c r="K171" s="1" t="s">
        <v>233</v>
      </c>
      <c r="L171" s="1" t="str">
        <f>VLOOKUP(A171,Folha2!$A$2:$B$2019,2,FALSE)</f>
        <v>Os Lusíadas, 1836. [a obra digitalizada apresenta as estampas referentes a cada Canto e retrato do Poeta, mas sem Os Lusíadas e sem os paratextos referidos na folha de rosto, cf. objecto]</v>
      </c>
      <c r="M171" s="12" t="str">
        <f t="shared" si="5"/>
        <v>https://permalinkbnd.bnportugal.gov.pt/viewer/272381/?offset=#page=40&amp;viewer=picture&amp;o=info&amp;n=0&amp;q=</v>
      </c>
      <c r="N171" s="12" t="s">
        <v>1497</v>
      </c>
      <c r="O171" s="12" t="str">
        <f>CONCATENATE(N171,A171,"\",B171,"\",C171,".jpg")</f>
        <v>C:\Users\mbaptista\OneDrive - Biblioteca Nacional de Portugal\Documentos\python\camoniana\imagens\capas\784907\1\40.jpg</v>
      </c>
      <c r="P171" s="12" t="str">
        <f>HYPERLINK(O171)</f>
        <v>C:\Users\mbaptista\OneDrive - Biblioteca Nacional de Portugal\Documentos\python\camoniana\imagens\capas\784907\1\40.jpg</v>
      </c>
      <c r="Q171" s="12"/>
      <c r="R171" s="6" t="s">
        <v>244</v>
      </c>
      <c r="S171" s="4"/>
      <c r="T171" s="1" t="s">
        <v>234</v>
      </c>
      <c r="U171" s="13"/>
      <c r="V171" s="13"/>
      <c r="W171" s="5" t="s">
        <v>1491</v>
      </c>
    </row>
    <row r="172" spans="1:23" ht="75">
      <c r="A172" s="1">
        <v>784907</v>
      </c>
      <c r="B172" s="1">
        <v>1</v>
      </c>
      <c r="C172" s="1">
        <v>41</v>
      </c>
      <c r="D172" s="2" t="s">
        <v>232</v>
      </c>
      <c r="E172" s="5" t="s">
        <v>232</v>
      </c>
      <c r="F172" s="5">
        <v>272381</v>
      </c>
      <c r="G172" s="2" t="s">
        <v>1494</v>
      </c>
      <c r="H172" s="2" t="s">
        <v>1495</v>
      </c>
      <c r="I172" s="2" t="s">
        <v>1496</v>
      </c>
      <c r="J172" s="2" t="str">
        <f t="shared" si="4"/>
        <v>https://permalinkbnd.bnportugal.gov.pt/viewer/272381/?offset=#page=41&amp;viewer=picture&amp;o=info&amp;n=0&amp;q=</v>
      </c>
      <c r="K172" s="1" t="s">
        <v>233</v>
      </c>
      <c r="L172" s="1" t="str">
        <f>VLOOKUP(A172,Folha2!$A$2:$B$2019,2,FALSE)</f>
        <v>Os Lusíadas, 1836. [a obra digitalizada apresenta as estampas referentes a cada Canto e retrato do Poeta, mas sem Os Lusíadas e sem os paratextos referidos na folha de rosto, cf. objecto]</v>
      </c>
      <c r="M172" s="12" t="str">
        <f t="shared" si="5"/>
        <v>https://permalinkbnd.bnportugal.gov.pt/viewer/272381/?offset=#page=41&amp;viewer=picture&amp;o=info&amp;n=0&amp;q=</v>
      </c>
      <c r="N172" s="12" t="s">
        <v>1497</v>
      </c>
      <c r="O172" s="12" t="str">
        <f>CONCATENATE(N172,A172,"\",B172,"\",C172,".jpg")</f>
        <v>C:\Users\mbaptista\OneDrive - Biblioteca Nacional de Portugal\Documentos\python\camoniana\imagens\capas\784907\1\41.jpg</v>
      </c>
      <c r="P172" s="12" t="str">
        <f>HYPERLINK(O172)</f>
        <v>C:\Users\mbaptista\OneDrive - Biblioteca Nacional de Portugal\Documentos\python\camoniana\imagens\capas\784907\1\41.jpg</v>
      </c>
      <c r="Q172" s="12"/>
      <c r="R172" s="6" t="s">
        <v>245</v>
      </c>
      <c r="S172" s="4"/>
      <c r="T172" s="1" t="s">
        <v>234</v>
      </c>
      <c r="U172" s="13"/>
      <c r="V172" s="13"/>
      <c r="W172" s="5" t="s">
        <v>1491</v>
      </c>
    </row>
    <row r="173" spans="1:23" ht="75">
      <c r="A173" s="1">
        <v>785080</v>
      </c>
      <c r="B173" s="1">
        <v>1</v>
      </c>
      <c r="C173" s="1">
        <v>10</v>
      </c>
      <c r="D173" s="2" t="s">
        <v>246</v>
      </c>
      <c r="E173" s="11" t="s">
        <v>246</v>
      </c>
      <c r="F173" s="11">
        <v>280474</v>
      </c>
      <c r="G173" s="2" t="s">
        <v>1494</v>
      </c>
      <c r="H173" s="2" t="s">
        <v>1495</v>
      </c>
      <c r="I173" s="2" t="s">
        <v>1496</v>
      </c>
      <c r="J173" s="2" t="str">
        <f t="shared" si="4"/>
        <v>https://permalinkbnd.bnportugal.gov.pt/viewer/280474/?offset=#page=10&amp;viewer=picture&amp;o=info&amp;n=0&amp;q=</v>
      </c>
      <c r="K173" s="1">
        <v>10</v>
      </c>
      <c r="L173" s="1" t="str">
        <f>VLOOKUP(A173,Folha2!$A$2:$B$2019,2,FALSE)</f>
        <v>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v>
      </c>
      <c r="M173" s="12" t="str">
        <f t="shared" si="5"/>
        <v>https://permalinkbnd.bnportugal.gov.pt/viewer/280474/?offset=#page=10&amp;viewer=picture&amp;o=info&amp;n=0&amp;q=</v>
      </c>
      <c r="N173" s="12" t="s">
        <v>1497</v>
      </c>
      <c r="O173" s="12" t="str">
        <f>CONCATENATE(N173,A173,"\",B173,"\",C173,".jpg")</f>
        <v>C:\Users\mbaptista\OneDrive - Biblioteca Nacional de Portugal\Documentos\python\camoniana\imagens\capas\785080\1\10.jpg</v>
      </c>
      <c r="P173" s="12" t="str">
        <f>HYPERLINK(O173)</f>
        <v>C:\Users\mbaptista\OneDrive - Biblioteca Nacional de Portugal\Documentos\python\camoniana\imagens\capas\785080\1\10.jpg</v>
      </c>
      <c r="Q173" s="12"/>
      <c r="R173" s="6" t="s">
        <v>247</v>
      </c>
      <c r="S173" s="4"/>
      <c r="T173" s="1">
        <v>10</v>
      </c>
      <c r="U173" s="13"/>
      <c r="V173" s="13"/>
      <c r="W173" s="5" t="s">
        <v>1491</v>
      </c>
    </row>
    <row r="174" spans="1:23" ht="75">
      <c r="A174" s="1">
        <v>788850</v>
      </c>
      <c r="B174" s="1">
        <v>1</v>
      </c>
      <c r="C174" s="1">
        <v>8</v>
      </c>
      <c r="D174" s="2" t="s">
        <v>248</v>
      </c>
      <c r="E174" s="5" t="s">
        <v>248</v>
      </c>
      <c r="F174" s="5">
        <v>272359</v>
      </c>
      <c r="G174" s="2" t="s">
        <v>1494</v>
      </c>
      <c r="H174" s="2" t="s">
        <v>1495</v>
      </c>
      <c r="I174" s="2" t="s">
        <v>1496</v>
      </c>
      <c r="J174" s="2" t="str">
        <f t="shared" si="4"/>
        <v>https://permalinkbnd.bnportugal.gov.pt/viewer/272359/?offset=#page=8&amp;viewer=picture&amp;o=info&amp;n=0&amp;q=</v>
      </c>
      <c r="K174" s="1" t="s">
        <v>249</v>
      </c>
      <c r="L174" s="1" t="str">
        <f>VLOOKUP(A174,Folha2!$A$2:$B$2019,2,FALSE)</f>
        <v>Poésies, 1828. Tradução de Lord Strangford passada para francês. Lírica: canções, odes, madrigais, estâncias, fragmento de elegia. Fragmento do Canto VI. Trad. Antologia Paratextos, Trad. Ant. Paratextos vida, Trad. Ant. Paratextos notas.</v>
      </c>
      <c r="M174" s="12" t="str">
        <f t="shared" si="5"/>
        <v>https://permalinkbnd.bnportugal.gov.pt/viewer/272359/?offset=#page=8&amp;viewer=picture&amp;o=info&amp;n=0&amp;q=</v>
      </c>
      <c r="N174" s="12" t="s">
        <v>1497</v>
      </c>
      <c r="O174" s="12" t="str">
        <f>CONCATENATE(N174,A174,"\",B174,"\",C174,".jpg")</f>
        <v>C:\Users\mbaptista\OneDrive - Biblioteca Nacional de Portugal\Documentos\python\camoniana\imagens\capas\788850\1\8.jpg</v>
      </c>
      <c r="P174" s="12" t="str">
        <f>HYPERLINK(O174)</f>
        <v>C:\Users\mbaptista\OneDrive - Biblioteca Nacional de Portugal\Documentos\python\camoniana\imagens\capas\788850\1\8.jpg</v>
      </c>
      <c r="Q174" s="12"/>
      <c r="R174" s="6" t="s">
        <v>250</v>
      </c>
      <c r="S174" s="4"/>
      <c r="T174" s="1">
        <v>8</v>
      </c>
      <c r="U174" s="13"/>
      <c r="V174" s="13"/>
      <c r="W174" s="5" t="s">
        <v>1491</v>
      </c>
    </row>
    <row r="175" spans="1:23" ht="75">
      <c r="A175" s="1">
        <v>788850</v>
      </c>
      <c r="B175" s="1">
        <v>1</v>
      </c>
      <c r="C175" s="1">
        <v>9</v>
      </c>
      <c r="D175" s="2" t="s">
        <v>248</v>
      </c>
      <c r="E175" s="11" t="s">
        <v>248</v>
      </c>
      <c r="F175" s="11">
        <v>272359</v>
      </c>
      <c r="G175" s="2" t="s">
        <v>1494</v>
      </c>
      <c r="H175" s="2" t="s">
        <v>1495</v>
      </c>
      <c r="I175" s="2" t="s">
        <v>1496</v>
      </c>
      <c r="J175" s="2" t="str">
        <f t="shared" si="4"/>
        <v>https://permalinkbnd.bnportugal.gov.pt/viewer/272359/?offset=#page=9&amp;viewer=picture&amp;o=info&amp;n=0&amp;q=</v>
      </c>
      <c r="K175" s="1" t="s">
        <v>249</v>
      </c>
      <c r="L175" s="1" t="str">
        <f>VLOOKUP(A175,Folha2!$A$2:$B$2019,2,FALSE)</f>
        <v>Poésies, 1828. Tradução de Lord Strangford passada para francês. Lírica: canções, odes, madrigais, estâncias, fragmento de elegia. Fragmento do Canto VI. Trad. Antologia Paratextos, Trad. Ant. Paratextos vida, Trad. Ant. Paratextos notas.</v>
      </c>
      <c r="M175" s="12" t="str">
        <f t="shared" si="5"/>
        <v>https://permalinkbnd.bnportugal.gov.pt/viewer/272359/?offset=#page=9&amp;viewer=picture&amp;o=info&amp;n=0&amp;q=</v>
      </c>
      <c r="N175" s="12" t="s">
        <v>1497</v>
      </c>
      <c r="O175" s="12" t="str">
        <f>CONCATENATE(N175,A175,"\",B175,"\",C175,".jpg")</f>
        <v>C:\Users\mbaptista\OneDrive - Biblioteca Nacional de Portugal\Documentos\python\camoniana\imagens\capas\788850\1\9.jpg</v>
      </c>
      <c r="P175" s="12" t="str">
        <f>HYPERLINK(O175)</f>
        <v>C:\Users\mbaptista\OneDrive - Biblioteca Nacional de Portugal\Documentos\python\camoniana\imagens\capas\788850\1\9.jpg</v>
      </c>
      <c r="Q175" s="12"/>
      <c r="R175" s="6"/>
      <c r="S175" s="4"/>
      <c r="T175" s="1"/>
      <c r="U175" s="13"/>
      <c r="V175" s="13"/>
      <c r="W175" s="5"/>
    </row>
    <row r="176" spans="1:23" ht="75">
      <c r="A176" s="1">
        <v>788899</v>
      </c>
      <c r="B176" s="1">
        <v>1</v>
      </c>
      <c r="C176" s="1">
        <v>6</v>
      </c>
      <c r="D176" s="2" t="s">
        <v>251</v>
      </c>
      <c r="E176" s="5" t="s">
        <v>251</v>
      </c>
      <c r="F176" s="5">
        <v>272367</v>
      </c>
      <c r="G176" s="2" t="s">
        <v>1494</v>
      </c>
      <c r="H176" s="2" t="s">
        <v>1495</v>
      </c>
      <c r="I176" s="2" t="s">
        <v>1496</v>
      </c>
      <c r="J176" s="2" t="str">
        <f t="shared" si="4"/>
        <v>https://permalinkbnd.bnportugal.gov.pt/viewer/272367/?offset=#page=6&amp;viewer=picture&amp;o=info&amp;n=0&amp;q=</v>
      </c>
      <c r="K176" s="1" t="s">
        <v>252</v>
      </c>
      <c r="L176" s="1" t="str">
        <f>VLOOKUP(A176,Folha2!$A$2:$B$2019,2,FALSE)</f>
        <v>Classical descriptions of love. Versão livre, em ordem refeita, dos episódios da Ilha Namorada e de Inês de Castro, 1809. Trad. do original francês de M. P. Grandmaison.  Trad. Paratextos gerais.</v>
      </c>
      <c r="M176" s="12" t="str">
        <f t="shared" si="5"/>
        <v>https://permalinkbnd.bnportugal.gov.pt/viewer/272367/?offset=#page=6&amp;viewer=picture&amp;o=info&amp;n=0&amp;q=</v>
      </c>
      <c r="N176" s="12" t="s">
        <v>1497</v>
      </c>
      <c r="O176" s="12" t="str">
        <f>CONCATENATE(N176,A176,"\",B176,"\",C176,".jpg")</f>
        <v>C:\Users\mbaptista\OneDrive - Biblioteca Nacional de Portugal\Documentos\python\camoniana\imagens\capas\788899\1\6.jpg</v>
      </c>
      <c r="P176" s="12" t="str">
        <f>HYPERLINK(O176)</f>
        <v>C:\Users\mbaptista\OneDrive - Biblioteca Nacional de Portugal\Documentos\python\camoniana\imagens\capas\788899\1\6.jpg</v>
      </c>
      <c r="Q176" s="12"/>
      <c r="R176" s="6"/>
      <c r="S176" s="4"/>
      <c r="T176" s="1">
        <v>216</v>
      </c>
      <c r="U176" s="13"/>
      <c r="V176" s="13"/>
      <c r="W176" s="5"/>
    </row>
    <row r="177" spans="1:23" ht="75">
      <c r="A177" s="1">
        <v>788899</v>
      </c>
      <c r="B177" s="1">
        <v>1</v>
      </c>
      <c r="C177" s="1">
        <v>50</v>
      </c>
      <c r="D177" s="2" t="s">
        <v>251</v>
      </c>
      <c r="E177" s="11" t="s">
        <v>251</v>
      </c>
      <c r="F177" s="11">
        <v>272367</v>
      </c>
      <c r="G177" s="2" t="s">
        <v>1494</v>
      </c>
      <c r="H177" s="2" t="s">
        <v>1495</v>
      </c>
      <c r="I177" s="2" t="s">
        <v>1496</v>
      </c>
      <c r="J177" s="2" t="str">
        <f t="shared" si="4"/>
        <v>https://permalinkbnd.bnportugal.gov.pt/viewer/272367/?offset=#page=50&amp;viewer=picture&amp;o=info&amp;n=0&amp;q=</v>
      </c>
      <c r="K177" s="1" t="s">
        <v>252</v>
      </c>
      <c r="L177" s="1" t="str">
        <f>VLOOKUP(A177,Folha2!$A$2:$B$2019,2,FALSE)</f>
        <v>Classical descriptions of love. Versão livre, em ordem refeita, dos episódios da Ilha Namorada e de Inês de Castro, 1809. Trad. do original francês de M. P. Grandmaison.  Trad. Paratextos gerais.</v>
      </c>
      <c r="M177" s="12" t="str">
        <f t="shared" si="5"/>
        <v>https://permalinkbnd.bnportugal.gov.pt/viewer/272367/?offset=#page=50&amp;viewer=picture&amp;o=info&amp;n=0&amp;q=</v>
      </c>
      <c r="N177" s="12" t="s">
        <v>1497</v>
      </c>
      <c r="O177" s="12" t="str">
        <f>CONCATENATE(N177,A177,"\",B177,"\",C177,".jpg")</f>
        <v>C:\Users\mbaptista\OneDrive - Biblioteca Nacional de Portugal\Documentos\python\camoniana\imagens\capas\788899\1\50.jpg</v>
      </c>
      <c r="P177" s="12" t="str">
        <f>HYPERLINK(O177)</f>
        <v>C:\Users\mbaptista\OneDrive - Biblioteca Nacional de Portugal\Documentos\python\camoniana\imagens\capas\788899\1\50.jpg</v>
      </c>
      <c r="Q177" s="12"/>
      <c r="R177" s="6"/>
      <c r="S177" s="4"/>
      <c r="T177" s="1">
        <v>216</v>
      </c>
      <c r="U177" s="13"/>
      <c r="V177" s="13"/>
      <c r="W177" s="5"/>
    </row>
    <row r="178" spans="1:23" ht="75">
      <c r="A178" s="1">
        <v>788899</v>
      </c>
      <c r="B178" s="1">
        <v>1</v>
      </c>
      <c r="C178" s="1">
        <v>100</v>
      </c>
      <c r="D178" s="2" t="s">
        <v>251</v>
      </c>
      <c r="E178" s="5" t="s">
        <v>251</v>
      </c>
      <c r="F178" s="5">
        <v>272367</v>
      </c>
      <c r="G178" s="2" t="s">
        <v>1494</v>
      </c>
      <c r="H178" s="2" t="s">
        <v>1495</v>
      </c>
      <c r="I178" s="2" t="s">
        <v>1496</v>
      </c>
      <c r="J178" s="2" t="str">
        <f t="shared" si="4"/>
        <v>https://permalinkbnd.bnportugal.gov.pt/viewer/272367/?offset=#page=100&amp;viewer=picture&amp;o=info&amp;n=0&amp;q=</v>
      </c>
      <c r="K178" s="1" t="s">
        <v>252</v>
      </c>
      <c r="L178" s="1" t="str">
        <f>VLOOKUP(A178,Folha2!$A$2:$B$2019,2,FALSE)</f>
        <v>Classical descriptions of love. Versão livre, em ordem refeita, dos episódios da Ilha Namorada e de Inês de Castro, 1809. Trad. do original francês de M. P. Grandmaison.  Trad. Paratextos gerais.</v>
      </c>
      <c r="M178" s="12" t="str">
        <f t="shared" si="5"/>
        <v>https://permalinkbnd.bnportugal.gov.pt/viewer/272367/?offset=#page=100&amp;viewer=picture&amp;o=info&amp;n=0&amp;q=</v>
      </c>
      <c r="N178" s="12" t="s">
        <v>1497</v>
      </c>
      <c r="O178" s="12" t="str">
        <f>CONCATENATE(N178,A178,"\",B178,"\",C178,".jpg")</f>
        <v>C:\Users\mbaptista\OneDrive - Biblioteca Nacional de Portugal\Documentos\python\camoniana\imagens\capas\788899\1\100.jpg</v>
      </c>
      <c r="P178" s="12" t="str">
        <f>HYPERLINK(O178)</f>
        <v>C:\Users\mbaptista\OneDrive - Biblioteca Nacional de Portugal\Documentos\python\camoniana\imagens\capas\788899\1\100.jpg</v>
      </c>
      <c r="Q178" s="12"/>
      <c r="R178" s="6"/>
      <c r="S178" s="4"/>
      <c r="T178" s="1">
        <v>216</v>
      </c>
      <c r="U178" s="13"/>
      <c r="V178" s="13"/>
      <c r="W178" s="5"/>
    </row>
    <row r="179" spans="1:23" ht="75">
      <c r="A179" s="1">
        <v>788899</v>
      </c>
      <c r="B179" s="1">
        <v>1</v>
      </c>
      <c r="C179" s="1">
        <v>138</v>
      </c>
      <c r="D179" s="2" t="s">
        <v>251</v>
      </c>
      <c r="E179" s="11" t="s">
        <v>251</v>
      </c>
      <c r="F179" s="11">
        <v>272367</v>
      </c>
      <c r="G179" s="2" t="s">
        <v>1494</v>
      </c>
      <c r="H179" s="2" t="s">
        <v>1495</v>
      </c>
      <c r="I179" s="2" t="s">
        <v>1496</v>
      </c>
      <c r="J179" s="2" t="str">
        <f t="shared" si="4"/>
        <v>https://permalinkbnd.bnportugal.gov.pt/viewer/272367/?offset=#page=138&amp;viewer=picture&amp;o=info&amp;n=0&amp;q=</v>
      </c>
      <c r="K179" s="1" t="s">
        <v>252</v>
      </c>
      <c r="L179" s="1" t="str">
        <f>VLOOKUP(A179,Folha2!$A$2:$B$2019,2,FALSE)</f>
        <v>Classical descriptions of love. Versão livre, em ordem refeita, dos episódios da Ilha Namorada e de Inês de Castro, 1809. Trad. do original francês de M. P. Grandmaison.  Trad. Paratextos gerais.</v>
      </c>
      <c r="M179" s="12" t="str">
        <f t="shared" si="5"/>
        <v>https://permalinkbnd.bnportugal.gov.pt/viewer/272367/?offset=#page=138&amp;viewer=picture&amp;o=info&amp;n=0&amp;q=</v>
      </c>
      <c r="N179" s="12" t="s">
        <v>1497</v>
      </c>
      <c r="O179" s="12" t="str">
        <f>CONCATENATE(N179,A179,"\",B179,"\",C179,".jpg")</f>
        <v>C:\Users\mbaptista\OneDrive - Biblioteca Nacional de Portugal\Documentos\python\camoniana\imagens\capas\788899\1\138.jpg</v>
      </c>
      <c r="P179" s="12" t="str">
        <f>HYPERLINK(O179)</f>
        <v>C:\Users\mbaptista\OneDrive - Biblioteca Nacional de Portugal\Documentos\python\camoniana\imagens\capas\788899\1\138.jpg</v>
      </c>
      <c r="Q179" s="12"/>
      <c r="R179" s="6"/>
      <c r="S179" s="4"/>
      <c r="T179" s="1">
        <v>216</v>
      </c>
      <c r="U179" s="13"/>
      <c r="V179" s="13"/>
      <c r="W179" s="5"/>
    </row>
    <row r="180" spans="1:23" ht="75">
      <c r="A180" s="1">
        <v>788899</v>
      </c>
      <c r="B180" s="1">
        <v>1</v>
      </c>
      <c r="C180" s="1">
        <v>166</v>
      </c>
      <c r="D180" s="2" t="s">
        <v>251</v>
      </c>
      <c r="E180" s="5" t="s">
        <v>251</v>
      </c>
      <c r="F180" s="5">
        <v>272367</v>
      </c>
      <c r="G180" s="2" t="s">
        <v>1494</v>
      </c>
      <c r="H180" s="2" t="s">
        <v>1495</v>
      </c>
      <c r="I180" s="2" t="s">
        <v>1496</v>
      </c>
      <c r="J180" s="2" t="str">
        <f t="shared" si="4"/>
        <v>https://permalinkbnd.bnportugal.gov.pt/viewer/272367/?offset=#page=166&amp;viewer=picture&amp;o=info&amp;n=0&amp;q=</v>
      </c>
      <c r="K180" s="1" t="s">
        <v>252</v>
      </c>
      <c r="L180" s="1" t="str">
        <f>VLOOKUP(A180,Folha2!$A$2:$B$2019,2,FALSE)</f>
        <v>Classical descriptions of love. Versão livre, em ordem refeita, dos episódios da Ilha Namorada e de Inês de Castro, 1809. Trad. do original francês de M. P. Grandmaison.  Trad. Paratextos gerais.</v>
      </c>
      <c r="M180" s="12" t="str">
        <f t="shared" si="5"/>
        <v>https://permalinkbnd.bnportugal.gov.pt/viewer/272367/?offset=#page=166&amp;viewer=picture&amp;o=info&amp;n=0&amp;q=</v>
      </c>
      <c r="N180" s="12" t="s">
        <v>1497</v>
      </c>
      <c r="O180" s="12" t="str">
        <f>CONCATENATE(N180,A180,"\",B180,"\",C180,".jpg")</f>
        <v>C:\Users\mbaptista\OneDrive - Biblioteca Nacional de Portugal\Documentos\python\camoniana\imagens\capas\788899\1\166.jpg</v>
      </c>
      <c r="P180" s="12" t="str">
        <f>HYPERLINK(O180)</f>
        <v>C:\Users\mbaptista\OneDrive - Biblioteca Nacional de Portugal\Documentos\python\camoniana\imagens\capas\788899\1\166.jpg</v>
      </c>
      <c r="Q180" s="12"/>
      <c r="R180" s="6"/>
      <c r="S180" s="4"/>
      <c r="T180" s="1">
        <v>216</v>
      </c>
      <c r="U180" s="13"/>
      <c r="V180" s="13"/>
      <c r="W180" s="5"/>
    </row>
    <row r="181" spans="1:23" ht="75">
      <c r="A181" s="1">
        <v>788899</v>
      </c>
      <c r="B181" s="1">
        <v>1</v>
      </c>
      <c r="C181" s="1">
        <v>216</v>
      </c>
      <c r="D181" s="2" t="s">
        <v>251</v>
      </c>
      <c r="E181" s="11" t="s">
        <v>251</v>
      </c>
      <c r="F181" s="11">
        <v>272367</v>
      </c>
      <c r="G181" s="2" t="s">
        <v>1494</v>
      </c>
      <c r="H181" s="2" t="s">
        <v>1495</v>
      </c>
      <c r="I181" s="2" t="s">
        <v>1496</v>
      </c>
      <c r="J181" s="2" t="str">
        <f t="shared" si="4"/>
        <v>https://permalinkbnd.bnportugal.gov.pt/viewer/272367/?offset=#page=216&amp;viewer=picture&amp;o=info&amp;n=0&amp;q=</v>
      </c>
      <c r="K181" s="1" t="s">
        <v>252</v>
      </c>
      <c r="L181" s="1" t="str">
        <f>VLOOKUP(A181,Folha2!$A$2:$B$2019,2,FALSE)</f>
        <v>Classical descriptions of love. Versão livre, em ordem refeita, dos episódios da Ilha Namorada e de Inês de Castro, 1809. Trad. do original francês de M. P. Grandmaison.  Trad. Paratextos gerais.</v>
      </c>
      <c r="M181" s="12" t="str">
        <f t="shared" si="5"/>
        <v>https://permalinkbnd.bnportugal.gov.pt/viewer/272367/?offset=#page=216&amp;viewer=picture&amp;o=info&amp;n=0&amp;q=</v>
      </c>
      <c r="N181" s="12" t="s">
        <v>1497</v>
      </c>
      <c r="O181" s="12" t="str">
        <f>CONCATENATE(N181,A181,"\",B181,"\",C181,".jpg")</f>
        <v>C:\Users\mbaptista\OneDrive - Biblioteca Nacional de Portugal\Documentos\python\camoniana\imagens\capas\788899\1\216.jpg</v>
      </c>
      <c r="P181" s="12" t="str">
        <f>HYPERLINK(O181)</f>
        <v>C:\Users\mbaptista\OneDrive - Biblioteca Nacional de Portugal\Documentos\python\camoniana\imagens\capas\788899\1\216.jpg</v>
      </c>
      <c r="Q181" s="12"/>
      <c r="R181" s="6" t="s">
        <v>253</v>
      </c>
      <c r="S181" s="4"/>
      <c r="T181" s="1">
        <v>216</v>
      </c>
      <c r="U181" s="13"/>
      <c r="V181" s="13"/>
      <c r="W181" s="5" t="s">
        <v>1491</v>
      </c>
    </row>
    <row r="182" spans="1:23" ht="75">
      <c r="A182" s="1">
        <v>798614</v>
      </c>
      <c r="B182" s="1">
        <v>1</v>
      </c>
      <c r="C182" s="1">
        <v>10</v>
      </c>
      <c r="D182" s="2" t="s">
        <v>254</v>
      </c>
      <c r="E182" s="5" t="s">
        <v>254</v>
      </c>
      <c r="F182" s="5">
        <v>272379</v>
      </c>
      <c r="G182" s="2" t="s">
        <v>1494</v>
      </c>
      <c r="H182" s="2" t="s">
        <v>1495</v>
      </c>
      <c r="I182" s="2" t="s">
        <v>1496</v>
      </c>
      <c r="J182" s="2" t="str">
        <f t="shared" si="4"/>
        <v>https://permalinkbnd.bnportugal.gov.pt/viewer/272379/?offset=#page=10&amp;viewer=picture&amp;o=info&amp;n=0&amp;q=</v>
      </c>
      <c r="K182" s="1" t="s">
        <v>255</v>
      </c>
      <c r="L182" s="1" t="str">
        <f>VLOOKUP(A182,Folha2!$A$2:$B$2019,2,FALSE)</f>
        <v>The Lusiad. Mitchell, 1854, sem argumentos. Trad. Paratextos, Trad. Paratextos vida, Trad. Paratextos notas.</v>
      </c>
      <c r="M182" s="12" t="str">
        <f t="shared" si="5"/>
        <v>https://permalinkbnd.bnportugal.gov.pt/viewer/272379/?offset=#page=10&amp;viewer=picture&amp;o=info&amp;n=0&amp;q=</v>
      </c>
      <c r="N182" s="12" t="s">
        <v>1497</v>
      </c>
      <c r="O182" s="12" t="str">
        <f>CONCATENATE(N182,A182,"\",B182,"\",C182,".jpg")</f>
        <v>C:\Users\mbaptista\OneDrive - Biblioteca Nacional de Portugal\Documentos\python\camoniana\imagens\capas\798614\1\10.jpg</v>
      </c>
      <c r="P182" s="12" t="str">
        <f>HYPERLINK(O182)</f>
        <v>C:\Users\mbaptista\OneDrive - Biblioteca Nacional de Portugal\Documentos\python\camoniana\imagens\capas\798614\1\10.jpg</v>
      </c>
      <c r="Q182" s="12"/>
      <c r="R182" s="6" t="s">
        <v>256</v>
      </c>
      <c r="S182" s="4"/>
      <c r="T182" s="1">
        <v>10</v>
      </c>
      <c r="U182" s="13"/>
      <c r="V182" s="13"/>
      <c r="W182" s="5" t="s">
        <v>1491</v>
      </c>
    </row>
    <row r="183" spans="1:23" ht="75">
      <c r="A183" s="1">
        <v>798623</v>
      </c>
      <c r="B183" s="1">
        <v>1</v>
      </c>
      <c r="C183" s="1">
        <v>8</v>
      </c>
      <c r="D183" s="2" t="s">
        <v>257</v>
      </c>
      <c r="E183" s="11" t="s">
        <v>257</v>
      </c>
      <c r="F183" s="11">
        <v>272383</v>
      </c>
      <c r="G183" s="2" t="s">
        <v>1494</v>
      </c>
      <c r="H183" s="2" t="s">
        <v>1495</v>
      </c>
      <c r="I183" s="2" t="s">
        <v>1496</v>
      </c>
      <c r="J183" s="2" t="str">
        <f t="shared" si="4"/>
        <v>https://permalinkbnd.bnportugal.gov.pt/viewer/272383/?offset=#page=8&amp;viewer=picture&amp;o=info&amp;n=0&amp;q=</v>
      </c>
      <c r="K183" s="1" t="s">
        <v>258</v>
      </c>
      <c r="L183" s="1" t="str">
        <f>VLOOKUP(A183,Folha2!$A$2:$B$2019,2,FALSE)</f>
        <v>Poems from the Portuguese, 1803. By Lord Strangford. Retrato+ Lírica (canção, madrigais, estâncias, fragmento elegia, sonetos) +parte do episódio dos Doze de Inglaterra. Trad. Paratextos vida e Trad. Paratextos notas, apenas à lírica.</v>
      </c>
      <c r="M183" s="12" t="str">
        <f t="shared" si="5"/>
        <v>https://permalinkbnd.bnportugal.gov.pt/viewer/272383/?offset=#page=8&amp;viewer=picture&amp;o=info&amp;n=0&amp;q=</v>
      </c>
      <c r="N183" s="12" t="s">
        <v>1497</v>
      </c>
      <c r="O183" s="12" t="str">
        <f>CONCATENATE(N183,A183,"\",B183,"\",C183,".jpg")</f>
        <v>C:\Users\mbaptista\OneDrive - Biblioteca Nacional de Portugal\Documentos\python\camoniana\imagens\capas\798623\1\8.jpg</v>
      </c>
      <c r="P183" s="12" t="str">
        <f>HYPERLINK(O183)</f>
        <v>C:\Users\mbaptista\OneDrive - Biblioteca Nacional de Portugal\Documentos\python\camoniana\imagens\capas\798623\1\8.jpg</v>
      </c>
      <c r="Q183" s="12"/>
      <c r="R183" s="6" t="s">
        <v>259</v>
      </c>
      <c r="S183" s="4"/>
      <c r="T183" s="1">
        <v>8</v>
      </c>
      <c r="U183" s="13"/>
      <c r="V183" s="13"/>
      <c r="W183" s="5" t="s">
        <v>1491</v>
      </c>
    </row>
    <row r="184" spans="1:23" ht="75">
      <c r="A184" s="1">
        <v>798623</v>
      </c>
      <c r="B184" s="1">
        <v>1</v>
      </c>
      <c r="C184" s="1">
        <v>11</v>
      </c>
      <c r="D184" s="2" t="s">
        <v>257</v>
      </c>
      <c r="E184" s="5" t="s">
        <v>257</v>
      </c>
      <c r="F184" s="5">
        <v>272383</v>
      </c>
      <c r="G184" s="2" t="s">
        <v>1494</v>
      </c>
      <c r="H184" s="2" t="s">
        <v>1495</v>
      </c>
      <c r="I184" s="2" t="s">
        <v>1496</v>
      </c>
      <c r="J184" s="2" t="str">
        <f t="shared" si="4"/>
        <v>https://permalinkbnd.bnportugal.gov.pt/viewer/272383/?offset=#page=11&amp;viewer=picture&amp;o=info&amp;n=0&amp;q=</v>
      </c>
      <c r="K184" s="1" t="s">
        <v>258</v>
      </c>
      <c r="L184" s="1" t="str">
        <f>VLOOKUP(A184,Folha2!$A$2:$B$2019,2,FALSE)</f>
        <v>Poems from the Portuguese, 1803. By Lord Strangford. Retrato+ Lírica (canção, madrigais, estâncias, fragmento elegia, sonetos) +parte do episódio dos Doze de Inglaterra. Trad. Paratextos vida e Trad. Paratextos notas, apenas à lírica.</v>
      </c>
      <c r="M184" s="12" t="str">
        <f t="shared" si="5"/>
        <v>https://permalinkbnd.bnportugal.gov.pt/viewer/272383/?offset=#page=11&amp;viewer=picture&amp;o=info&amp;n=0&amp;q=</v>
      </c>
      <c r="N184" s="12" t="s">
        <v>1497</v>
      </c>
      <c r="O184" s="12" t="str">
        <f>CONCATENATE(N184,A184,"\",B184,"\",C184,".jpg")</f>
        <v>C:\Users\mbaptista\OneDrive - Biblioteca Nacional de Portugal\Documentos\python\camoniana\imagens\capas\798623\1\11.jpg</v>
      </c>
      <c r="P184" s="12" t="str">
        <f>HYPERLINK(O184)</f>
        <v>C:\Users\mbaptista\OneDrive - Biblioteca Nacional de Portugal\Documentos\python\camoniana\imagens\capas\798623\1\11.jpg</v>
      </c>
      <c r="Q184" s="12"/>
      <c r="R184" s="6"/>
      <c r="S184" s="4"/>
      <c r="T184" s="1"/>
      <c r="U184" s="13"/>
      <c r="V184" s="13"/>
      <c r="W184" s="5"/>
    </row>
    <row r="185" spans="1:23" ht="75">
      <c r="A185" s="1">
        <v>798863</v>
      </c>
      <c r="B185" s="1">
        <v>1</v>
      </c>
      <c r="C185" s="13">
        <v>5</v>
      </c>
      <c r="D185" s="2" t="s">
        <v>260</v>
      </c>
      <c r="E185" s="11" t="s">
        <v>260</v>
      </c>
      <c r="F185" s="11">
        <v>272376</v>
      </c>
      <c r="G185" s="2" t="s">
        <v>1494</v>
      </c>
      <c r="H185" s="2" t="s">
        <v>1495</v>
      </c>
      <c r="I185" s="2" t="s">
        <v>1496</v>
      </c>
      <c r="J185" s="2" t="str">
        <f t="shared" si="4"/>
        <v>https://permalinkbnd.bnportugal.gov.pt/viewer/272376/?offset=#page=5&amp;viewer=picture&amp;o=info&amp;n=0&amp;q=</v>
      </c>
      <c r="K185" s="1" t="s">
        <v>261</v>
      </c>
      <c r="L185" s="1" t="str">
        <f>VLOOKUP(A185,Folha2!$A$2:$B$2019,2,FALSE)</f>
        <v>Os Lusíadas, 1843. Paratextos argumentos.</v>
      </c>
      <c r="M185" s="12" t="str">
        <f t="shared" si="5"/>
        <v>https://permalinkbnd.bnportugal.gov.pt/viewer/272376/?offset=#page=5&amp;viewer=picture&amp;o=info&amp;n=0&amp;q=</v>
      </c>
      <c r="N185" s="12" t="s">
        <v>1497</v>
      </c>
      <c r="O185" s="12" t="str">
        <f>CONCATENATE(N185,A185,"\",B185,"\",C185,".jpg")</f>
        <v>C:\Users\mbaptista\OneDrive - Biblioteca Nacional de Portugal\Documentos\python\camoniana\imagens\capas\798863\1\5.jpg</v>
      </c>
      <c r="P185" s="12" t="str">
        <f>HYPERLINK(O185)</f>
        <v>C:\Users\mbaptista\OneDrive - Biblioteca Nacional de Portugal\Documentos\python\camoniana\imagens\capas\798863\1\5.jpg</v>
      </c>
      <c r="Q185" s="12"/>
      <c r="R185" s="6" t="s">
        <v>262</v>
      </c>
      <c r="S185" s="4"/>
      <c r="T185" s="1"/>
      <c r="U185" s="13" t="s">
        <v>148</v>
      </c>
      <c r="V185" s="13"/>
      <c r="W185" s="5" t="s">
        <v>1491</v>
      </c>
    </row>
    <row r="186" spans="1:23" ht="75">
      <c r="A186" s="1">
        <v>798864</v>
      </c>
      <c r="B186" s="1">
        <v>1</v>
      </c>
      <c r="C186" s="13">
        <v>2</v>
      </c>
      <c r="D186" s="2" t="s">
        <v>263</v>
      </c>
      <c r="E186" s="5" t="s">
        <v>263</v>
      </c>
      <c r="F186" s="5">
        <v>272380</v>
      </c>
      <c r="G186" s="2" t="s">
        <v>1494</v>
      </c>
      <c r="H186" s="2" t="s">
        <v>1495</v>
      </c>
      <c r="I186" s="2" t="s">
        <v>1496</v>
      </c>
      <c r="J186" s="2" t="str">
        <f t="shared" si="4"/>
        <v>https://permalinkbnd.bnportugal.gov.pt/viewer/272380/?offset=#page=2&amp;viewer=picture&amp;o=info&amp;n=0&amp;q=</v>
      </c>
      <c r="K186" s="1" t="s">
        <v>264</v>
      </c>
      <c r="L186" s="1" t="str">
        <f>VLOOKUP(A186,Folha2!$A$2:$B$2019,2,FALSE)</f>
        <v>Os Lusíadas, 1870. Paratextos vida [Camões histórico] e Paratextos argumentos.</v>
      </c>
      <c r="M186" s="12" t="str">
        <f t="shared" si="5"/>
        <v>https://permalinkbnd.bnportugal.gov.pt/viewer/272380/?offset=#page=2&amp;viewer=picture&amp;o=info&amp;n=0&amp;q=</v>
      </c>
      <c r="N186" s="12" t="s">
        <v>1497</v>
      </c>
      <c r="O186" s="12" t="str">
        <f>CONCATENATE(N186,A186,"\",B186,"\",C186,".jpg")</f>
        <v>C:\Users\mbaptista\OneDrive - Biblioteca Nacional de Portugal\Documentos\python\camoniana\imagens\capas\798864\1\2.jpg</v>
      </c>
      <c r="P186" s="12" t="str">
        <f>HYPERLINK(O186)</f>
        <v>C:\Users\mbaptista\OneDrive - Biblioteca Nacional de Portugal\Documentos\python\camoniana\imagens\capas\798864\1\2.jpg</v>
      </c>
      <c r="Q186" s="12"/>
      <c r="R186" s="6" t="s">
        <v>266</v>
      </c>
      <c r="S186" s="4"/>
      <c r="T186" s="1"/>
      <c r="U186" s="13" t="s">
        <v>265</v>
      </c>
      <c r="V186" s="13"/>
      <c r="W186" s="5" t="s">
        <v>1491</v>
      </c>
    </row>
    <row r="187" spans="1:23" ht="75">
      <c r="A187" s="1">
        <v>798881</v>
      </c>
      <c r="B187" s="1">
        <v>1</v>
      </c>
      <c r="C187" s="13">
        <v>5</v>
      </c>
      <c r="D187" s="2" t="s">
        <v>267</v>
      </c>
      <c r="E187" s="11" t="s">
        <v>267</v>
      </c>
      <c r="F187" s="11">
        <v>272389</v>
      </c>
      <c r="G187" s="2" t="s">
        <v>1494</v>
      </c>
      <c r="H187" s="2" t="s">
        <v>1495</v>
      </c>
      <c r="I187" s="2" t="s">
        <v>1496</v>
      </c>
      <c r="J187" s="2" t="str">
        <f t="shared" si="4"/>
        <v>https://permalinkbnd.bnportugal.gov.pt/viewer/272389/?offset=#page=5&amp;viewer=picture&amp;o=info&amp;n=0&amp;q=</v>
      </c>
      <c r="K187" s="1" t="s">
        <v>261</v>
      </c>
      <c r="L187" s="1" t="str">
        <f>VLOOKUP(A187,Folha2!$A$2:$B$2019,2,FALSE)</f>
        <v xml:space="preserve">Ariosto Machado, A lira de Camões, 1883. Glosas em sonetos </v>
      </c>
      <c r="M187" s="12" t="str">
        <f t="shared" si="5"/>
        <v>https://permalinkbnd.bnportugal.gov.pt/viewer/272389/?offset=#page=5&amp;viewer=picture&amp;o=info&amp;n=0&amp;q=</v>
      </c>
      <c r="N187" s="12" t="s">
        <v>1497</v>
      </c>
      <c r="O187" s="12" t="str">
        <f>CONCATENATE(N187,A187,"\",B187,"\",C187,".jpg")</f>
        <v>C:\Users\mbaptista\OneDrive - Biblioteca Nacional de Portugal\Documentos\python\camoniana\imagens\capas\798881\1\5.jpg</v>
      </c>
      <c r="P187" s="12" t="str">
        <f>HYPERLINK(O187)</f>
        <v>C:\Users\mbaptista\OneDrive - Biblioteca Nacional de Portugal\Documentos\python\camoniana\imagens\capas\798881\1\5.jpg</v>
      </c>
      <c r="Q187" s="12"/>
      <c r="R187" s="6" t="s">
        <v>268</v>
      </c>
      <c r="S187" s="4"/>
      <c r="T187" s="1"/>
      <c r="U187" s="13" t="s">
        <v>148</v>
      </c>
      <c r="V187" s="13"/>
      <c r="W187" s="5" t="s">
        <v>1491</v>
      </c>
    </row>
    <row r="188" spans="1:23" ht="75">
      <c r="A188" s="1">
        <v>800848</v>
      </c>
      <c r="B188" s="1">
        <v>1</v>
      </c>
      <c r="C188" s="1">
        <v>5</v>
      </c>
      <c r="D188" s="2" t="s">
        <v>269</v>
      </c>
      <c r="E188" s="5" t="s">
        <v>269</v>
      </c>
      <c r="F188" s="5">
        <v>272392</v>
      </c>
      <c r="G188" s="2" t="s">
        <v>1494</v>
      </c>
      <c r="H188" s="2" t="s">
        <v>1495</v>
      </c>
      <c r="I188" s="2" t="s">
        <v>1496</v>
      </c>
      <c r="J188" s="2" t="str">
        <f t="shared" si="4"/>
        <v>https://permalinkbnd.bnportugal.gov.pt/viewer/272392/?offset=#page=5&amp;viewer=picture&amp;o=info&amp;n=0&amp;q=</v>
      </c>
      <c r="K188" s="1" t="s">
        <v>270</v>
      </c>
      <c r="L188" s="1" t="str">
        <f>VLOOKUP(A188,Folha2!$A$2:$B$2019,2,FALSE)</f>
        <v>Alma minha gentil, 1883, com tradução em alemão da autoria de Storck. Refere o terceiro aniversário do Tricentenário. Celebrações (1880), traduções.</v>
      </c>
      <c r="M188" s="12" t="str">
        <f t="shared" si="5"/>
        <v>https://permalinkbnd.bnportugal.gov.pt/viewer/272392/?offset=#page=5&amp;viewer=picture&amp;o=info&amp;n=0&amp;q=</v>
      </c>
      <c r="N188" s="12" t="s">
        <v>1497</v>
      </c>
      <c r="O188" s="12" t="str">
        <f>CONCATENATE(N188,A188,"\",B188,"\",C188,".jpg")</f>
        <v>C:\Users\mbaptista\OneDrive - Biblioteca Nacional de Portugal\Documentos\python\camoniana\imagens\capas\800848\1\5.jpg</v>
      </c>
      <c r="P188" s="12" t="str">
        <f>HYPERLINK(O188)</f>
        <v>C:\Users\mbaptista\OneDrive - Biblioteca Nacional de Portugal\Documentos\python\camoniana\imagens\capas\800848\1\5.jpg</v>
      </c>
      <c r="Q188" s="12"/>
      <c r="R188" s="6" t="s">
        <v>271</v>
      </c>
      <c r="S188" s="4"/>
      <c r="T188" s="1">
        <v>5</v>
      </c>
      <c r="U188" s="13"/>
      <c r="V188" s="13"/>
      <c r="W188" s="5" t="s">
        <v>1491</v>
      </c>
    </row>
    <row r="189" spans="1:23" ht="75">
      <c r="A189" s="1">
        <v>800848</v>
      </c>
      <c r="B189" s="1">
        <v>1</v>
      </c>
      <c r="C189" s="1">
        <v>12</v>
      </c>
      <c r="D189" s="2" t="s">
        <v>269</v>
      </c>
      <c r="E189" s="11" t="s">
        <v>269</v>
      </c>
      <c r="F189" s="11">
        <v>272392</v>
      </c>
      <c r="G189" s="2" t="s">
        <v>1494</v>
      </c>
      <c r="H189" s="2" t="s">
        <v>1495</v>
      </c>
      <c r="I189" s="2" t="s">
        <v>1496</v>
      </c>
      <c r="J189" s="2" t="str">
        <f t="shared" si="4"/>
        <v>https://permalinkbnd.bnportugal.gov.pt/viewer/272392/?offset=#page=12&amp;viewer=picture&amp;o=info&amp;n=0&amp;q=</v>
      </c>
      <c r="K189" s="1" t="s">
        <v>270</v>
      </c>
      <c r="L189" s="1" t="str">
        <f>VLOOKUP(A189,Folha2!$A$2:$B$2019,2,FALSE)</f>
        <v>Alma minha gentil, 1883, com tradução em alemão da autoria de Storck. Refere o terceiro aniversário do Tricentenário. Celebrações (1880), traduções.</v>
      </c>
      <c r="M189" s="12" t="str">
        <f t="shared" si="5"/>
        <v>https://permalinkbnd.bnportugal.gov.pt/viewer/272392/?offset=#page=12&amp;viewer=picture&amp;o=info&amp;n=0&amp;q=</v>
      </c>
      <c r="N189" s="12" t="s">
        <v>1497</v>
      </c>
      <c r="O189" s="12" t="str">
        <f>CONCATENATE(N189,A189,"\",B189,"\",C189,".jpg")</f>
        <v>C:\Users\mbaptista\OneDrive - Biblioteca Nacional de Portugal\Documentos\python\camoniana\imagens\capas\800848\1\12.jpg</v>
      </c>
      <c r="P189" s="12" t="str">
        <f>HYPERLINK(O189)</f>
        <v>C:\Users\mbaptista\OneDrive - Biblioteca Nacional de Portugal\Documentos\python\camoniana\imagens\capas\800848\1\12.jpg</v>
      </c>
      <c r="Q189" s="12"/>
      <c r="R189" s="6"/>
      <c r="S189" s="4"/>
      <c r="T189" s="1"/>
      <c r="U189" s="13"/>
      <c r="V189" s="13"/>
      <c r="W189" s="5"/>
    </row>
    <row r="190" spans="1:23" ht="75">
      <c r="A190" s="1">
        <v>800863</v>
      </c>
      <c r="B190" s="1">
        <v>1</v>
      </c>
      <c r="C190" s="13">
        <v>7</v>
      </c>
      <c r="D190" s="2" t="s">
        <v>272</v>
      </c>
      <c r="E190" s="5" t="s">
        <v>272</v>
      </c>
      <c r="F190" s="5">
        <v>270350</v>
      </c>
      <c r="G190" s="2" t="s">
        <v>1494</v>
      </c>
      <c r="H190" s="2" t="s">
        <v>1495</v>
      </c>
      <c r="I190" s="2" t="s">
        <v>1496</v>
      </c>
      <c r="J190" s="2" t="str">
        <f t="shared" si="4"/>
        <v>https://permalinkbnd.bnportugal.gov.pt/viewer/270350/?offset=#page=7&amp;viewer=picture&amp;o=info&amp;n=0&amp;q=</v>
      </c>
      <c r="K190" s="1" t="s">
        <v>273</v>
      </c>
      <c r="L190" s="1" t="str">
        <f>VLOOKUP(A190,Folha2!$A$2:$B$2019,2,FALSE)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0" s="12" t="str">
        <f t="shared" si="5"/>
        <v>https://permalinkbnd.bnportugal.gov.pt/viewer/270350/?offset=#page=7&amp;viewer=picture&amp;o=info&amp;n=0&amp;q=</v>
      </c>
      <c r="N190" s="12" t="s">
        <v>1497</v>
      </c>
      <c r="O190" s="12" t="str">
        <f>CONCATENATE(N190,A190,"\",B190,"\",C190,".jpg")</f>
        <v>C:\Users\mbaptista\OneDrive - Biblioteca Nacional de Portugal\Documentos\python\camoniana\imagens\capas\800863\1\7.jpg</v>
      </c>
      <c r="P190" s="12" t="str">
        <f>HYPERLINK(O190)</f>
        <v>C:\Users\mbaptista\OneDrive - Biblioteca Nacional de Portugal\Documentos\python\camoniana\imagens\capas\800863\1\7.jpg</v>
      </c>
      <c r="Q190" s="12"/>
      <c r="R190" s="6" t="s">
        <v>274</v>
      </c>
      <c r="S190" s="4"/>
      <c r="T190" s="1"/>
      <c r="U190" s="13" t="s">
        <v>73</v>
      </c>
      <c r="V190" s="13"/>
      <c r="W190" s="5" t="s">
        <v>1491</v>
      </c>
    </row>
    <row r="191" spans="1:23" ht="75">
      <c r="A191" s="1">
        <v>800863</v>
      </c>
      <c r="B191" s="1">
        <v>1</v>
      </c>
      <c r="C191" s="13">
        <v>11</v>
      </c>
      <c r="D191" s="2" t="s">
        <v>272</v>
      </c>
      <c r="E191" s="11" t="s">
        <v>272</v>
      </c>
      <c r="F191" s="11">
        <v>270350</v>
      </c>
      <c r="G191" s="2" t="s">
        <v>1494</v>
      </c>
      <c r="H191" s="2" t="s">
        <v>1495</v>
      </c>
      <c r="I191" s="2" t="s">
        <v>1496</v>
      </c>
      <c r="J191" s="2" t="str">
        <f t="shared" si="4"/>
        <v>https://permalinkbnd.bnportugal.gov.pt/viewer/270350/?offset=#page=11&amp;viewer=picture&amp;o=info&amp;n=0&amp;q=</v>
      </c>
      <c r="K191" s="1" t="s">
        <v>273</v>
      </c>
      <c r="L191" s="1" t="str">
        <f>VLOOKUP(A191,Folha2!$A$2:$B$2019,2,FALSE)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1" s="12" t="str">
        <f t="shared" si="5"/>
        <v>https://permalinkbnd.bnportugal.gov.pt/viewer/270350/?offset=#page=11&amp;viewer=picture&amp;o=info&amp;n=0&amp;q=</v>
      </c>
      <c r="N191" s="12" t="s">
        <v>1497</v>
      </c>
      <c r="O191" s="12" t="str">
        <f>CONCATENATE(N191,A191,"\",B191,"\",C191,".jpg")</f>
        <v>C:\Users\mbaptista\OneDrive - Biblioteca Nacional de Portugal\Documentos\python\camoniana\imagens\capas\800863\1\11.jpg</v>
      </c>
      <c r="P191" s="12" t="str">
        <f>HYPERLINK(O191)</f>
        <v>C:\Users\mbaptista\OneDrive - Biblioteca Nacional de Portugal\Documentos\python\camoniana\imagens\capas\800863\1\11.jpg</v>
      </c>
      <c r="Q191" s="12"/>
      <c r="R191" s="6"/>
      <c r="S191" s="4"/>
      <c r="T191" s="1"/>
      <c r="U191" s="13"/>
      <c r="V191" s="13"/>
      <c r="W191" s="5"/>
    </row>
    <row r="192" spans="1:23" ht="75">
      <c r="A192" s="1">
        <v>800870</v>
      </c>
      <c r="B192" s="1">
        <v>1</v>
      </c>
      <c r="C192" s="13">
        <v>13</v>
      </c>
      <c r="D192" s="2" t="s">
        <v>275</v>
      </c>
      <c r="E192" s="5" t="s">
        <v>275</v>
      </c>
      <c r="F192" s="5">
        <v>274038</v>
      </c>
      <c r="G192" s="2" t="s">
        <v>1494</v>
      </c>
      <c r="H192" s="2" t="s">
        <v>1495</v>
      </c>
      <c r="I192" s="2" t="s">
        <v>1496</v>
      </c>
      <c r="J192" s="2" t="str">
        <f t="shared" si="4"/>
        <v>https://permalinkbnd.bnportugal.gov.pt/viewer/274038/?offset=#page=13&amp;viewer=picture&amp;o=info&amp;n=0&amp;q=</v>
      </c>
      <c r="K192" s="1" t="s">
        <v>276</v>
      </c>
      <c r="L192" s="1" t="str">
        <f>VLOOKUP(A192,Folha2!$A$2:$B$2019,2,FALSE)</f>
        <v>António Ribeiro dos Santos, Sonetos a D. Inês de Castro, 1784</v>
      </c>
      <c r="M192" s="12" t="str">
        <f t="shared" si="5"/>
        <v>https://permalinkbnd.bnportugal.gov.pt/viewer/274038/?offset=#page=13&amp;viewer=picture&amp;o=info&amp;n=0&amp;q=</v>
      </c>
      <c r="N192" s="12" t="s">
        <v>1497</v>
      </c>
      <c r="O192" s="12" t="str">
        <f>CONCATENATE(N192,A192,"\",B192,"\",C192,".jpg")</f>
        <v>C:\Users\mbaptista\OneDrive - Biblioteca Nacional de Portugal\Documentos\python\camoniana\imagens\capas\800870\1\13.jpg</v>
      </c>
      <c r="P192" s="12" t="str">
        <f>HYPERLINK(O192)</f>
        <v>C:\Users\mbaptista\OneDrive - Biblioteca Nacional de Portugal\Documentos\python\camoniana\imagens\capas\800870\1\13.jpg</v>
      </c>
      <c r="Q192" s="12"/>
      <c r="R192" s="6" t="s">
        <v>278</v>
      </c>
      <c r="S192" s="4"/>
      <c r="T192" s="1"/>
      <c r="U192" s="13" t="s">
        <v>277</v>
      </c>
      <c r="V192" s="13"/>
      <c r="W192" s="5" t="s">
        <v>1491</v>
      </c>
    </row>
    <row r="193" spans="1:23" ht="75">
      <c r="A193" s="1">
        <v>801047</v>
      </c>
      <c r="B193" s="1">
        <v>1</v>
      </c>
      <c r="C193" s="1">
        <v>3</v>
      </c>
      <c r="D193" s="2" t="s">
        <v>279</v>
      </c>
      <c r="E193" s="11" t="s">
        <v>279</v>
      </c>
      <c r="F193" s="11">
        <v>272399</v>
      </c>
      <c r="G193" s="2" t="s">
        <v>1494</v>
      </c>
      <c r="H193" s="2" t="s">
        <v>1495</v>
      </c>
      <c r="I193" s="2" t="s">
        <v>1496</v>
      </c>
      <c r="J193" s="2" t="str">
        <f t="shared" si="4"/>
        <v>https://permalinkbnd.bnportugal.gov.pt/viewer/272399/?offset=#page=3&amp;viewer=picture&amp;o=info&amp;n=0&amp;q=</v>
      </c>
      <c r="K193" s="1">
        <v>3</v>
      </c>
      <c r="L193" s="1" t="str">
        <f>VLOOKUP(A193,Folha2!$A$2:$B$2019,2,FALSE)</f>
        <v>João Estêvão de Azevedo, Homenagem a Luís de Camões, 1880</v>
      </c>
      <c r="M193" s="12" t="str">
        <f t="shared" si="5"/>
        <v>https://permalinkbnd.bnportugal.gov.pt/viewer/272399/?offset=#page=3&amp;viewer=picture&amp;o=info&amp;n=0&amp;q=</v>
      </c>
      <c r="N193" s="12" t="s">
        <v>1497</v>
      </c>
      <c r="O193" s="12" t="str">
        <f>CONCATENATE(N193,A193,"\",B193,"\",C193,".jpg")</f>
        <v>C:\Users\mbaptista\OneDrive - Biblioteca Nacional de Portugal\Documentos\python\camoniana\imagens\capas\801047\1\3.jpg</v>
      </c>
      <c r="P193" s="12" t="str">
        <f>HYPERLINK(O193)</f>
        <v>C:\Users\mbaptista\OneDrive - Biblioteca Nacional de Portugal\Documentos\python\camoniana\imagens\capas\801047\1\3.jpg</v>
      </c>
      <c r="Q193" s="12"/>
      <c r="R193" s="6" t="s">
        <v>280</v>
      </c>
      <c r="S193" s="4"/>
      <c r="T193" s="1">
        <v>3</v>
      </c>
      <c r="U193" s="13"/>
      <c r="V193" s="13"/>
      <c r="W193" s="5" t="s">
        <v>1491</v>
      </c>
    </row>
    <row r="194" spans="1:23" ht="75">
      <c r="A194" s="1">
        <v>804699</v>
      </c>
      <c r="B194" s="1">
        <v>1</v>
      </c>
      <c r="C194" s="1">
        <v>8</v>
      </c>
      <c r="D194" s="2" t="s">
        <v>281</v>
      </c>
      <c r="E194" s="5" t="s">
        <v>281</v>
      </c>
      <c r="F194" s="5">
        <v>274084</v>
      </c>
      <c r="G194" s="2" t="s">
        <v>1494</v>
      </c>
      <c r="H194" s="2" t="s">
        <v>1495</v>
      </c>
      <c r="I194" s="2" t="s">
        <v>1496</v>
      </c>
      <c r="J194" s="2" t="str">
        <f t="shared" ref="J194:J257" si="6">CONCATENATE(G194,F194,H194,C194,I194)</f>
        <v>https://permalinkbnd.bnportugal.gov.pt/viewer/274084/?offset=#page=8&amp;viewer=picture&amp;o=info&amp;n=0&amp;q=</v>
      </c>
      <c r="K194" s="1" t="s">
        <v>282</v>
      </c>
      <c r="L194" s="1" t="str">
        <f>VLOOKUP(A194,Folha2!$A$2:$B$2019,2,FALSE)</f>
        <v>Os Lusíadas, segundo a edição do Morgado de Mateus, 1836, sem argumentos. Paratextos vida e Paratextos notas.</v>
      </c>
      <c r="M194" s="12" t="str">
        <f t="shared" ref="M194:M257" si="7">HYPERLINK(J194)</f>
        <v>https://permalinkbnd.bnportugal.gov.pt/viewer/274084/?offset=#page=8&amp;viewer=picture&amp;o=info&amp;n=0&amp;q=</v>
      </c>
      <c r="N194" s="12" t="s">
        <v>1497</v>
      </c>
      <c r="O194" s="12" t="str">
        <f>CONCATENATE(N194,A194,"\",B194,"\",C194,".jpg")</f>
        <v>C:\Users\mbaptista\OneDrive - Biblioteca Nacional de Portugal\Documentos\python\camoniana\imagens\capas\804699\1\8.jpg</v>
      </c>
      <c r="P194" s="12" t="str">
        <f>HYPERLINK(O194)</f>
        <v>C:\Users\mbaptista\OneDrive - Biblioteca Nacional de Portugal\Documentos\python\camoniana\imagens\capas\804699\1\8.jpg</v>
      </c>
      <c r="Q194" s="12"/>
      <c r="R194" s="6" t="s">
        <v>283</v>
      </c>
      <c r="S194" s="4"/>
      <c r="T194" s="1">
        <v>8</v>
      </c>
      <c r="U194" s="13"/>
      <c r="V194" s="13"/>
      <c r="W194" s="5" t="s">
        <v>1491</v>
      </c>
    </row>
    <row r="195" spans="1:23" ht="75">
      <c r="A195" s="1">
        <v>804707</v>
      </c>
      <c r="B195" s="1">
        <v>1</v>
      </c>
      <c r="C195" s="1">
        <v>8</v>
      </c>
      <c r="D195" s="2" t="s">
        <v>284</v>
      </c>
      <c r="E195" s="11" t="s">
        <v>284</v>
      </c>
      <c r="F195" s="11">
        <v>272355</v>
      </c>
      <c r="G195" s="2" t="s">
        <v>1494</v>
      </c>
      <c r="H195" s="2" t="s">
        <v>1495</v>
      </c>
      <c r="I195" s="2" t="s">
        <v>1496</v>
      </c>
      <c r="J195" s="2" t="str">
        <f t="shared" si="6"/>
        <v>https://permalinkbnd.bnportugal.gov.pt/viewer/272355/?offset=#page=8&amp;viewer=picture&amp;o=info&amp;n=0&amp;q=</v>
      </c>
      <c r="K195" s="1" t="s">
        <v>285</v>
      </c>
      <c r="L195" s="1" t="str">
        <f>VLOOKUP(A195,Folha2!$A$2:$B$2019,2,FALSE)</f>
        <v>Os Lusíadas, 1846, sem argumentos. Paratextos vida; Paratextos notas; Iconografia figuras históricas.</v>
      </c>
      <c r="M195" s="12" t="str">
        <f t="shared" si="7"/>
        <v>https://permalinkbnd.bnportugal.gov.pt/viewer/272355/?offset=#page=8&amp;viewer=picture&amp;o=info&amp;n=0&amp;q=</v>
      </c>
      <c r="N195" s="12" t="s">
        <v>1497</v>
      </c>
      <c r="O195" s="12" t="str">
        <f>CONCATENATE(N195,A195,"\",B195,"\",C195,".jpg")</f>
        <v>C:\Users\mbaptista\OneDrive - Biblioteca Nacional de Portugal\Documentos\python\camoniana\imagens\capas\804707\1\8.jpg</v>
      </c>
      <c r="P195" s="12" t="str">
        <f>HYPERLINK(O195)</f>
        <v>C:\Users\mbaptista\OneDrive - Biblioteca Nacional de Portugal\Documentos\python\camoniana\imagens\capas\804707\1\8.jpg</v>
      </c>
      <c r="Q195" s="12"/>
      <c r="R195" s="6" t="s">
        <v>287</v>
      </c>
      <c r="S195" s="4"/>
      <c r="T195" s="1" t="s">
        <v>286</v>
      </c>
      <c r="U195" s="13"/>
      <c r="V195" s="13"/>
      <c r="W195" s="5" t="s">
        <v>1491</v>
      </c>
    </row>
    <row r="196" spans="1:23" ht="75">
      <c r="A196" s="1">
        <v>804707</v>
      </c>
      <c r="B196" s="1">
        <v>1</v>
      </c>
      <c r="C196" s="1">
        <v>42</v>
      </c>
      <c r="D196" s="2" t="s">
        <v>284</v>
      </c>
      <c r="E196" s="5" t="s">
        <v>284</v>
      </c>
      <c r="F196" s="5">
        <v>272355</v>
      </c>
      <c r="G196" s="2" t="s">
        <v>1494</v>
      </c>
      <c r="H196" s="2" t="s">
        <v>1495</v>
      </c>
      <c r="I196" s="2" t="s">
        <v>1496</v>
      </c>
      <c r="J196" s="2" t="str">
        <f t="shared" si="6"/>
        <v>https://permalinkbnd.bnportugal.gov.pt/viewer/272355/?offset=#page=42&amp;viewer=picture&amp;o=info&amp;n=0&amp;q=</v>
      </c>
      <c r="K196" s="1" t="s">
        <v>285</v>
      </c>
      <c r="L196" s="1" t="str">
        <f>VLOOKUP(A196,Folha2!$A$2:$B$2019,2,FALSE)</f>
        <v>Os Lusíadas, 1846, sem argumentos. Paratextos vida; Paratextos notas; Iconografia figuras históricas.</v>
      </c>
      <c r="M196" s="12" t="str">
        <f t="shared" si="7"/>
        <v>https://permalinkbnd.bnportugal.gov.pt/viewer/272355/?offset=#page=42&amp;viewer=picture&amp;o=info&amp;n=0&amp;q=</v>
      </c>
      <c r="N196" s="12" t="s">
        <v>1497</v>
      </c>
      <c r="O196" s="12" t="str">
        <f>CONCATENATE(N196,A196,"\",B196,"\",C196,".jpg")</f>
        <v>C:\Users\mbaptista\OneDrive - Biblioteca Nacional de Portugal\Documentos\python\camoniana\imagens\capas\804707\1\42.jpg</v>
      </c>
      <c r="P196" s="12" t="str">
        <f>HYPERLINK(O196)</f>
        <v>C:\Users\mbaptista\OneDrive - Biblioteca Nacional de Portugal\Documentos\python\camoniana\imagens\capas\804707\1\42.jpg</v>
      </c>
      <c r="Q196" s="12"/>
      <c r="R196" s="6" t="s">
        <v>288</v>
      </c>
      <c r="S196" s="4"/>
      <c r="T196" s="1" t="s">
        <v>286</v>
      </c>
      <c r="U196" s="13"/>
      <c r="V196" s="13"/>
      <c r="W196" s="5" t="s">
        <v>1491</v>
      </c>
    </row>
    <row r="197" spans="1:23" ht="375">
      <c r="A197" s="1">
        <v>804731</v>
      </c>
      <c r="B197" s="1">
        <v>1</v>
      </c>
      <c r="C197" s="1">
        <v>10</v>
      </c>
      <c r="D197" s="2" t="s">
        <v>289</v>
      </c>
      <c r="E197" s="11" t="s">
        <v>289</v>
      </c>
      <c r="F197" s="11">
        <v>270138</v>
      </c>
      <c r="G197" s="2" t="s">
        <v>1494</v>
      </c>
      <c r="H197" s="2" t="s">
        <v>1495</v>
      </c>
      <c r="I197" s="2" t="s">
        <v>1496</v>
      </c>
      <c r="J197" s="2" t="str">
        <f t="shared" si="6"/>
        <v>https://permalinkbnd.bnportugal.gov.pt/viewer/270138/?offset=#page=10&amp;viewer=picture&amp;o=info&amp;n=0&amp;q=</v>
      </c>
      <c r="K197" s="1" t="s">
        <v>290</v>
      </c>
      <c r="L197" s="1" t="str">
        <f>VLOOKUP(A197,Folha2!$A$2:$B$2019,2,FALSE)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7" s="12" t="s">
        <v>1517</v>
      </c>
      <c r="N197" s="12" t="s">
        <v>1497</v>
      </c>
      <c r="O197" s="12" t="str">
        <f>CONCATENATE(N197,A197,"\",B197,"\",C197,".jpg")</f>
        <v>C:\Users\mbaptista\OneDrive - Biblioteca Nacional de Portugal\Documentos\python\camoniana\imagens\capas\804731\1\10.jpg</v>
      </c>
      <c r="P197" s="12" t="str">
        <f>HYPERLINK(O197)</f>
        <v>C:\Users\mbaptista\OneDrive - Biblioteca Nacional de Portugal\Documentos\python\camoniana\imagens\capas\804731\1\10.jpg</v>
      </c>
      <c r="Q197" s="12"/>
      <c r="R197" s="6" t="s">
        <v>292</v>
      </c>
      <c r="S197" s="4"/>
      <c r="T197" s="1" t="s">
        <v>291</v>
      </c>
      <c r="U197" s="13"/>
      <c r="V197" s="13"/>
      <c r="W197" s="5" t="s">
        <v>1491</v>
      </c>
    </row>
    <row r="198" spans="1:23" ht="375">
      <c r="A198" s="1">
        <v>804731</v>
      </c>
      <c r="B198" s="1">
        <v>6</v>
      </c>
      <c r="C198" s="1">
        <v>10</v>
      </c>
      <c r="D198" s="2" t="s">
        <v>289</v>
      </c>
      <c r="E198" s="5" t="s">
        <v>289</v>
      </c>
      <c r="F198" s="5">
        <v>270138</v>
      </c>
      <c r="G198" s="2" t="s">
        <v>1494</v>
      </c>
      <c r="H198" s="2" t="s">
        <v>1495</v>
      </c>
      <c r="I198" s="2" t="s">
        <v>1496</v>
      </c>
      <c r="J198" s="2" t="str">
        <f t="shared" si="6"/>
        <v>https://permalinkbnd.bnportugal.gov.pt/viewer/270138/?offset=#page=10&amp;viewer=picture&amp;o=info&amp;n=0&amp;q=</v>
      </c>
      <c r="K198" s="1" t="s">
        <v>290</v>
      </c>
      <c r="L198" s="1" t="str">
        <f>VLOOKUP(A198,Folha2!$A$2:$B$2019,2,FALSE)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8" s="12" t="s">
        <v>1522</v>
      </c>
      <c r="N198" s="12" t="s">
        <v>1497</v>
      </c>
      <c r="O198" s="12" t="str">
        <f>CONCATENATE(N198,A198,"\",B198,"\",C198,".jpg")</f>
        <v>C:\Users\mbaptista\OneDrive - Biblioteca Nacional de Portugal\Documentos\python\camoniana\imagens\capas\804731\6\10.jpg</v>
      </c>
      <c r="P198" s="12" t="str">
        <f>HYPERLINK(O198)</f>
        <v>C:\Users\mbaptista\OneDrive - Biblioteca Nacional de Portugal\Documentos\python\camoniana\imagens\capas\804731\6\10.jpg</v>
      </c>
      <c r="Q198" s="12"/>
      <c r="R198" s="6" t="s">
        <v>292</v>
      </c>
      <c r="S198" s="4"/>
      <c r="T198" s="1" t="s">
        <v>291</v>
      </c>
      <c r="U198" s="13" t="s">
        <v>293</v>
      </c>
      <c r="V198" s="13"/>
      <c r="W198" s="5" t="s">
        <v>1491</v>
      </c>
    </row>
    <row r="199" spans="1:23" ht="375">
      <c r="A199" s="1">
        <v>804731</v>
      </c>
      <c r="B199" s="1">
        <v>6</v>
      </c>
      <c r="C199" s="1">
        <v>43</v>
      </c>
      <c r="D199" s="2" t="s">
        <v>289</v>
      </c>
      <c r="E199" s="11" t="s">
        <v>289</v>
      </c>
      <c r="F199" s="11">
        <v>270138</v>
      </c>
      <c r="G199" s="2" t="s">
        <v>1494</v>
      </c>
      <c r="H199" s="2" t="s">
        <v>1495</v>
      </c>
      <c r="I199" s="2" t="s">
        <v>1496</v>
      </c>
      <c r="J199" s="2" t="str">
        <f t="shared" si="6"/>
        <v>https://permalinkbnd.bnportugal.gov.pt/viewer/270138/?offset=#page=43&amp;viewer=picture&amp;o=info&amp;n=0&amp;q=</v>
      </c>
      <c r="K199" s="1" t="s">
        <v>290</v>
      </c>
      <c r="L199" s="1" t="str">
        <f>VLOOKUP(A199,Folha2!$A$2:$B$2019,2,FALSE)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9" s="12" t="s">
        <v>1523</v>
      </c>
      <c r="N199" s="12" t="s">
        <v>1497</v>
      </c>
      <c r="O199" s="12" t="str">
        <f>CONCATENATE(N199,A199,"\",B199,"\",C199,".jpg")</f>
        <v>C:\Users\mbaptista\OneDrive - Biblioteca Nacional de Portugal\Documentos\python\camoniana\imagens\capas\804731\6\43.jpg</v>
      </c>
      <c r="P199" s="12" t="str">
        <f>HYPERLINK(O199)</f>
        <v>C:\Users\mbaptista\OneDrive - Biblioteca Nacional de Portugal\Documentos\python\camoniana\imagens\capas\804731\6\43.jpg</v>
      </c>
      <c r="Q199" s="12"/>
      <c r="R199" s="6" t="s">
        <v>294</v>
      </c>
      <c r="S199" s="4"/>
      <c r="T199" s="1" t="s">
        <v>291</v>
      </c>
      <c r="U199" s="13" t="s">
        <v>142</v>
      </c>
      <c r="V199" s="13"/>
      <c r="W199" s="5" t="s">
        <v>1491</v>
      </c>
    </row>
    <row r="200" spans="1:23" ht="375">
      <c r="A200" s="1">
        <v>804731</v>
      </c>
      <c r="B200" s="1">
        <v>6</v>
      </c>
      <c r="C200" s="1">
        <v>174</v>
      </c>
      <c r="D200" s="2" t="s">
        <v>289</v>
      </c>
      <c r="E200" s="5" t="s">
        <v>289</v>
      </c>
      <c r="F200" s="5">
        <v>270138</v>
      </c>
      <c r="G200" s="2" t="s">
        <v>1494</v>
      </c>
      <c r="H200" s="2" t="s">
        <v>1495</v>
      </c>
      <c r="I200" s="2" t="s">
        <v>1496</v>
      </c>
      <c r="J200" s="2" t="str">
        <f t="shared" si="6"/>
        <v>https://permalinkbnd.bnportugal.gov.pt/viewer/270138/?offset=#page=174&amp;viewer=picture&amp;o=info&amp;n=0&amp;q=</v>
      </c>
      <c r="K200" s="1" t="s">
        <v>290</v>
      </c>
      <c r="L200" s="1" t="str">
        <f>VLOOKUP(A200,Folha2!$A$2:$B$2019,2,FALSE)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0" s="12" t="s">
        <v>1518</v>
      </c>
      <c r="N200" s="12" t="s">
        <v>1497</v>
      </c>
      <c r="O200" s="12" t="str">
        <f>CONCATENATE(N200,A200,"\",B200,"\",C200,".jpg")</f>
        <v>C:\Users\mbaptista\OneDrive - Biblioteca Nacional de Portugal\Documentos\python\camoniana\imagens\capas\804731\6\174.jpg</v>
      </c>
      <c r="P200" s="12" t="str">
        <f>HYPERLINK(O200)</f>
        <v>C:\Users\mbaptista\OneDrive - Biblioteca Nacional de Portugal\Documentos\python\camoniana\imagens\capas\804731\6\174.jpg</v>
      </c>
      <c r="Q200" s="12"/>
      <c r="R200" s="6" t="s">
        <v>295</v>
      </c>
      <c r="S200" s="4"/>
      <c r="T200" s="1" t="s">
        <v>291</v>
      </c>
      <c r="U200" s="13" t="s">
        <v>142</v>
      </c>
      <c r="V200" s="13"/>
      <c r="W200" s="5" t="s">
        <v>1491</v>
      </c>
    </row>
    <row r="201" spans="1:23" ht="375">
      <c r="A201" s="1">
        <v>804731</v>
      </c>
      <c r="B201" s="1">
        <v>6</v>
      </c>
      <c r="C201" s="1">
        <v>388</v>
      </c>
      <c r="D201" s="2" t="s">
        <v>289</v>
      </c>
      <c r="E201" s="11" t="s">
        <v>289</v>
      </c>
      <c r="F201" s="11">
        <v>270138</v>
      </c>
      <c r="G201" s="2" t="s">
        <v>1494</v>
      </c>
      <c r="H201" s="2" t="s">
        <v>1495</v>
      </c>
      <c r="I201" s="2" t="s">
        <v>1496</v>
      </c>
      <c r="J201" s="2" t="str">
        <f t="shared" si="6"/>
        <v>https://permalinkbnd.bnportugal.gov.pt/viewer/270138/?offset=#page=388&amp;viewer=picture&amp;o=info&amp;n=0&amp;q=</v>
      </c>
      <c r="K201" s="1" t="s">
        <v>290</v>
      </c>
      <c r="L201" s="1" t="str">
        <f>VLOOKUP(A201,Folha2!$A$2:$B$2019,2,FALSE)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1" s="12" t="s">
        <v>1519</v>
      </c>
      <c r="N201" s="12" t="s">
        <v>1497</v>
      </c>
      <c r="O201" s="12" t="str">
        <f>CONCATENATE(N201,A201,"\",B201,"\",C201,".jpg")</f>
        <v>C:\Users\mbaptista\OneDrive - Biblioteca Nacional de Portugal\Documentos\python\camoniana\imagens\capas\804731\6\388.jpg</v>
      </c>
      <c r="P201" s="12" t="str">
        <f>HYPERLINK(O201)</f>
        <v>C:\Users\mbaptista\OneDrive - Biblioteca Nacional de Portugal\Documentos\python\camoniana\imagens\capas\804731\6\388.jpg</v>
      </c>
      <c r="Q201" s="12"/>
      <c r="R201" s="6" t="s">
        <v>296</v>
      </c>
      <c r="S201" s="4"/>
      <c r="T201" s="1" t="s">
        <v>291</v>
      </c>
      <c r="U201" s="13" t="s">
        <v>142</v>
      </c>
      <c r="V201" s="13"/>
      <c r="W201" s="5" t="s">
        <v>1491</v>
      </c>
    </row>
    <row r="202" spans="1:23" ht="75">
      <c r="A202" s="1">
        <v>805036</v>
      </c>
      <c r="B202" s="1">
        <v>1</v>
      </c>
      <c r="C202" s="1">
        <v>7</v>
      </c>
      <c r="D202" s="2" t="s">
        <v>297</v>
      </c>
      <c r="E202" s="5" t="s">
        <v>297</v>
      </c>
      <c r="F202" s="5">
        <v>270047</v>
      </c>
      <c r="G202" s="2" t="s">
        <v>1494</v>
      </c>
      <c r="H202" s="2" t="s">
        <v>1495</v>
      </c>
      <c r="I202" s="2" t="s">
        <v>1496</v>
      </c>
      <c r="J202" s="2" t="str">
        <f t="shared" si="6"/>
        <v>https://permalinkbnd.bnportugal.gov.pt/viewer/270047/?offset=#page=7&amp;viewer=picture&amp;o=info&amp;n=0&amp;q=</v>
      </c>
      <c r="K202" s="1">
        <v>7</v>
      </c>
      <c r="L202" s="1" t="str">
        <f>VLOOKUP(A202,Folha2!$A$2:$B$2019,2,FALSE)</f>
        <v xml:space="preserve">Os Lusíadas. Edição fac-similada, 1886, sem argumentos. Só o fascículo 1 tem conteúdo [até ao C.III, E. 5], os restantes fascículos encontram-se vazios.  </v>
      </c>
      <c r="M202" s="12" t="str">
        <f t="shared" si="7"/>
        <v>https://permalinkbnd.bnportugal.gov.pt/viewer/270047/?offset=#page=7&amp;viewer=picture&amp;o=info&amp;n=0&amp;q=</v>
      </c>
      <c r="N202" s="12" t="s">
        <v>1497</v>
      </c>
      <c r="O202" s="12" t="str">
        <f>CONCATENATE(N202,A202,"\",B202,"\",C202,".jpg")</f>
        <v>C:\Users\mbaptista\OneDrive - Biblioteca Nacional de Portugal\Documentos\python\camoniana\imagens\capas\805036\1\7.jpg</v>
      </c>
      <c r="P202" s="12" t="str">
        <f>HYPERLINK(O202)</f>
        <v>C:\Users\mbaptista\OneDrive - Biblioteca Nacional de Portugal\Documentos\python\camoniana\imagens\capas\805036\1\7.jpg</v>
      </c>
      <c r="Q202" s="12"/>
      <c r="R202" s="6" t="s">
        <v>299</v>
      </c>
      <c r="S202" s="4"/>
      <c r="T202" s="1">
        <v>7</v>
      </c>
      <c r="U202" s="13" t="s">
        <v>298</v>
      </c>
      <c r="V202" s="13"/>
      <c r="W202" s="5" t="s">
        <v>1491</v>
      </c>
    </row>
    <row r="203" spans="1:23" ht="75">
      <c r="A203" s="1">
        <v>807561</v>
      </c>
      <c r="B203" s="1">
        <v>1</v>
      </c>
      <c r="C203" s="13">
        <v>8</v>
      </c>
      <c r="D203" s="2" t="s">
        <v>300</v>
      </c>
      <c r="E203" s="11" t="s">
        <v>300</v>
      </c>
      <c r="F203" s="11">
        <v>274169</v>
      </c>
      <c r="G203" s="2" t="s">
        <v>1494</v>
      </c>
      <c r="H203" s="2" t="s">
        <v>1495</v>
      </c>
      <c r="I203" s="2" t="s">
        <v>1496</v>
      </c>
      <c r="J203" s="2" t="str">
        <f t="shared" si="6"/>
        <v>https://permalinkbnd.bnportugal.gov.pt/viewer/274169/?offset=#page=8&amp;viewer=picture&amp;o=info&amp;n=0&amp;q=</v>
      </c>
      <c r="K203" s="1" t="s">
        <v>301</v>
      </c>
      <c r="L203" s="1" t="str">
        <f>VLOOKUP(A203,Folha2!$A$2:$B$2019,2,FALSE)</f>
        <v>I Lusiadi, Felice Belotti, 1862. Trad. Paratextos gerais; Trad. Paratextos vida; Trad. Paratextos notas; Trad. Paratextos argumentos. Iconografia: tradutor.</v>
      </c>
      <c r="M203" s="12" t="str">
        <f t="shared" si="7"/>
        <v>https://permalinkbnd.bnportugal.gov.pt/viewer/274169/?offset=#page=8&amp;viewer=picture&amp;o=info&amp;n=0&amp;q=</v>
      </c>
      <c r="N203" s="12" t="s">
        <v>1497</v>
      </c>
      <c r="O203" s="12" t="str">
        <f>CONCATENATE(N203,A203,"\",B203,"\",C203,".jpg")</f>
        <v>C:\Users\mbaptista\OneDrive - Biblioteca Nacional de Portugal\Documentos\python\camoniana\imagens\capas\807561\1\8.jpg</v>
      </c>
      <c r="P203" s="12" t="str">
        <f>HYPERLINK(O203)</f>
        <v>C:\Users\mbaptista\OneDrive - Biblioteca Nacional de Portugal\Documentos\python\camoniana\imagens\capas\807561\1\8.jpg</v>
      </c>
      <c r="Q203" s="12"/>
      <c r="R203" s="6" t="s">
        <v>303</v>
      </c>
      <c r="S203" s="4"/>
      <c r="T203" s="1"/>
      <c r="U203" s="13" t="s">
        <v>302</v>
      </c>
      <c r="V203" s="13"/>
      <c r="W203" s="5" t="s">
        <v>1491</v>
      </c>
    </row>
    <row r="204" spans="1:23" ht="75">
      <c r="A204" s="1">
        <v>807567</v>
      </c>
      <c r="B204" s="1">
        <v>1</v>
      </c>
      <c r="C204" s="1">
        <v>10</v>
      </c>
      <c r="D204" s="2" t="s">
        <v>304</v>
      </c>
      <c r="E204" s="5" t="s">
        <v>304</v>
      </c>
      <c r="F204" s="5">
        <v>270089</v>
      </c>
      <c r="G204" s="2" t="s">
        <v>1494</v>
      </c>
      <c r="H204" s="2" t="s">
        <v>1495</v>
      </c>
      <c r="I204" s="2" t="s">
        <v>1496</v>
      </c>
      <c r="J204" s="2" t="str">
        <f t="shared" si="6"/>
        <v>https://permalinkbnd.bnportugal.gov.pt/viewer/270089/?offset=#page=10&amp;viewer=picture&amp;o=info&amp;n=0&amp;q=</v>
      </c>
      <c r="K204" s="1" t="s">
        <v>305</v>
      </c>
      <c r="L204" s="1" t="str">
        <f>VLOOKUP(A204,Folha2!$A$2:$B$2019,2,FALSE)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4" s="12" t="str">
        <f t="shared" si="7"/>
        <v>https://permalinkbnd.bnportugal.gov.pt/viewer/270089/?offset=#page=10&amp;viewer=picture&amp;o=info&amp;n=0&amp;q=</v>
      </c>
      <c r="N204" s="12" t="s">
        <v>1497</v>
      </c>
      <c r="O204" s="12" t="str">
        <f>CONCATENATE(N204,A204,"\",B204,"\",C204,".jpg")</f>
        <v>C:\Users\mbaptista\OneDrive - Biblioteca Nacional de Portugal\Documentos\python\camoniana\imagens\capas\807567\1\10.jpg</v>
      </c>
      <c r="P204" s="12" t="str">
        <f>HYPERLINK(O204)</f>
        <v>C:\Users\mbaptista\OneDrive - Biblioteca Nacional de Portugal\Documentos\python\camoniana\imagens\capas\807567\1\10.jpg</v>
      </c>
      <c r="Q204" s="12"/>
      <c r="R204" s="6"/>
      <c r="S204" s="4"/>
      <c r="T204" s="1"/>
      <c r="U204" s="13"/>
      <c r="V204" s="13"/>
      <c r="W204" s="5"/>
    </row>
    <row r="205" spans="1:23" ht="75">
      <c r="A205" s="1">
        <v>807567</v>
      </c>
      <c r="B205" s="1">
        <v>1</v>
      </c>
      <c r="C205" s="1">
        <v>54</v>
      </c>
      <c r="D205" s="2" t="s">
        <v>304</v>
      </c>
      <c r="E205" s="11" t="s">
        <v>304</v>
      </c>
      <c r="F205" s="11">
        <v>270089</v>
      </c>
      <c r="G205" s="2" t="s">
        <v>1494</v>
      </c>
      <c r="H205" s="2" t="s">
        <v>1495</v>
      </c>
      <c r="I205" s="2" t="s">
        <v>1496</v>
      </c>
      <c r="J205" s="2" t="str">
        <f t="shared" si="6"/>
        <v>https://permalinkbnd.bnportugal.gov.pt/viewer/270089/?offset=#page=54&amp;viewer=picture&amp;o=info&amp;n=0&amp;q=</v>
      </c>
      <c r="K205" s="1" t="s">
        <v>305</v>
      </c>
      <c r="L205" s="1" t="str">
        <f>VLOOKUP(A205,Folha2!$A$2:$B$2019,2,FALSE)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5" s="12" t="str">
        <f t="shared" si="7"/>
        <v>https://permalinkbnd.bnportugal.gov.pt/viewer/270089/?offset=#page=54&amp;viewer=picture&amp;o=info&amp;n=0&amp;q=</v>
      </c>
      <c r="N205" s="12" t="s">
        <v>1497</v>
      </c>
      <c r="O205" s="12" t="str">
        <f>CONCATENATE(N205,A205,"\",B205,"\",C205,".jpg")</f>
        <v>C:\Users\mbaptista\OneDrive - Biblioteca Nacional de Portugal\Documentos\python\camoniana\imagens\capas\807567\1\54.jpg</v>
      </c>
      <c r="P205" s="12" t="str">
        <f>HYPERLINK(O205)</f>
        <v>C:\Users\mbaptista\OneDrive - Biblioteca Nacional de Portugal\Documentos\python\camoniana\imagens\capas\807567\1\54.jpg</v>
      </c>
      <c r="Q205" s="12"/>
      <c r="R205" s="6" t="s">
        <v>306</v>
      </c>
      <c r="S205" s="4"/>
      <c r="T205" s="1">
        <v>54</v>
      </c>
      <c r="U205" s="13"/>
      <c r="V205" s="13"/>
      <c r="W205" s="5" t="s">
        <v>1491</v>
      </c>
    </row>
    <row r="206" spans="1:23" ht="105">
      <c r="A206" s="1">
        <v>807675</v>
      </c>
      <c r="B206" s="1">
        <v>1</v>
      </c>
      <c r="C206" s="13" t="s">
        <v>307</v>
      </c>
      <c r="D206" s="2" t="s">
        <v>308</v>
      </c>
      <c r="E206" s="5" t="s">
        <v>308</v>
      </c>
      <c r="F206" s="5">
        <v>281023</v>
      </c>
      <c r="G206" s="2" t="s">
        <v>1494</v>
      </c>
      <c r="H206" s="2" t="s">
        <v>1495</v>
      </c>
      <c r="I206" s="2" t="s">
        <v>1496</v>
      </c>
      <c r="J206" s="2" t="str">
        <f t="shared" si="6"/>
        <v>https://permalinkbnd.bnportugal.gov.pt/viewer/281023/?offset=#page=1 vs. 9&amp;viewer=picture&amp;o=info&amp;n=0&amp;q=</v>
      </c>
      <c r="K206" s="1" t="s">
        <v>309</v>
      </c>
      <c r="L206" s="1" t="str">
        <f>VLOOKUP(A206,Folha2!$A$2:$B$2019,2,FALSE)</f>
        <v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v>
      </c>
      <c r="M206" s="12" t="str">
        <f t="shared" si="7"/>
        <v>https://permalinkbnd.bnportugal.gov.pt/viewer/281023/?offset=#page=1 vs. 9&amp;viewer=picture&amp;o=info&amp;n=0&amp;q=</v>
      </c>
      <c r="N206" s="12" t="s">
        <v>1497</v>
      </c>
      <c r="O206" s="12" t="str">
        <f>CONCATENATE(N206,A206,"\",B206,"\",C206,".jpg")</f>
        <v>C:\Users\mbaptista\OneDrive - Biblioteca Nacional de Portugal\Documentos\python\camoniana\imagens\capas\807675\1\1 vs. 9.jpg</v>
      </c>
      <c r="P206" s="12" t="str">
        <f>HYPERLINK(O206)</f>
        <v>C:\Users\mbaptista\OneDrive - Biblioteca Nacional de Portugal\Documentos\python\camoniana\imagens\capas\807675\1\1 vs. 9.jpg</v>
      </c>
      <c r="Q206" s="12"/>
      <c r="R206" s="6" t="s">
        <v>310</v>
      </c>
      <c r="S206" s="4"/>
      <c r="T206" s="1"/>
      <c r="U206" s="13" t="s">
        <v>113</v>
      </c>
      <c r="V206" s="13"/>
      <c r="W206" s="5" t="s">
        <v>1491</v>
      </c>
    </row>
    <row r="207" spans="1:23" ht="75">
      <c r="A207" s="1">
        <v>808481</v>
      </c>
      <c r="B207" s="1">
        <v>1</v>
      </c>
      <c r="C207" s="1">
        <v>17</v>
      </c>
      <c r="D207" s="2" t="s">
        <v>311</v>
      </c>
      <c r="E207" s="11" t="s">
        <v>311</v>
      </c>
      <c r="F207" s="11">
        <v>274252</v>
      </c>
      <c r="G207" s="2" t="s">
        <v>1494</v>
      </c>
      <c r="H207" s="2" t="s">
        <v>1495</v>
      </c>
      <c r="I207" s="2" t="s">
        <v>1496</v>
      </c>
      <c r="J207" s="2" t="str">
        <f t="shared" si="6"/>
        <v>https://permalinkbnd.bnportugal.gov.pt/viewer/274252/?offset=#page=17&amp;viewer=picture&amp;o=info&amp;n=0&amp;q=</v>
      </c>
      <c r="K207" s="1" t="s">
        <v>312</v>
      </c>
      <c r="L207" s="1" t="str">
        <f>VLOOKUP(A207,Folha2!$A$2:$B$2019,2,FALSE)</f>
        <v>A primeira poesia impressa de Camões. Com um estudo de T. Braga sobre a ode de Camões ao conde de Redondo, 1887. [episódio fac-símile Inês de Castro]. Bibliografia crítica, estudos.</v>
      </c>
      <c r="M207" s="12" t="str">
        <f t="shared" si="7"/>
        <v>https://permalinkbnd.bnportugal.gov.pt/viewer/274252/?offset=#page=17&amp;viewer=picture&amp;o=info&amp;n=0&amp;q=</v>
      </c>
      <c r="N207" s="12" t="s">
        <v>1497</v>
      </c>
      <c r="O207" s="12" t="str">
        <f>CONCATENATE(N207,A207,"\",B207,"\",C207,".jpg")</f>
        <v>C:\Users\mbaptista\OneDrive - Biblioteca Nacional de Portugal\Documentos\python\camoniana\imagens\capas\808481\1\17.jpg</v>
      </c>
      <c r="P207" s="12" t="str">
        <f>HYPERLINK(O207)</f>
        <v>C:\Users\mbaptista\OneDrive - Biblioteca Nacional de Portugal\Documentos\python\camoniana\imagens\capas\808481\1\17.jpg</v>
      </c>
      <c r="Q207" s="12"/>
      <c r="R207" s="6" t="s">
        <v>314</v>
      </c>
      <c r="S207" s="4"/>
      <c r="T207" s="1"/>
      <c r="U207" s="13" t="s">
        <v>313</v>
      </c>
      <c r="V207" s="13"/>
      <c r="W207" s="5" t="s">
        <v>1491</v>
      </c>
    </row>
    <row r="208" spans="1:23" ht="75">
      <c r="A208" s="1">
        <v>808481</v>
      </c>
      <c r="B208" s="1">
        <v>1</v>
      </c>
      <c r="C208" s="1">
        <v>26</v>
      </c>
      <c r="D208" s="2" t="s">
        <v>311</v>
      </c>
      <c r="E208" s="5" t="s">
        <v>311</v>
      </c>
      <c r="F208" s="5">
        <v>274252</v>
      </c>
      <c r="G208" s="2" t="s">
        <v>1494</v>
      </c>
      <c r="H208" s="2" t="s">
        <v>1495</v>
      </c>
      <c r="I208" s="2" t="s">
        <v>1496</v>
      </c>
      <c r="J208" s="2" t="str">
        <f t="shared" si="6"/>
        <v>https://permalinkbnd.bnportugal.gov.pt/viewer/274252/?offset=#page=26&amp;viewer=picture&amp;o=info&amp;n=0&amp;q=</v>
      </c>
      <c r="K208" s="1" t="s">
        <v>312</v>
      </c>
      <c r="L208" s="1" t="str">
        <f>VLOOKUP(A208,Folha2!$A$2:$B$2019,2,FALSE)</f>
        <v>A primeira poesia impressa de Camões. Com um estudo de T. Braga sobre a ode de Camões ao conde de Redondo, 1887. [episódio fac-símile Inês de Castro]. Bibliografia crítica, estudos.</v>
      </c>
      <c r="M208" s="12" t="str">
        <f t="shared" si="7"/>
        <v>https://permalinkbnd.bnportugal.gov.pt/viewer/274252/?offset=#page=26&amp;viewer=picture&amp;o=info&amp;n=0&amp;q=</v>
      </c>
      <c r="N208" s="12" t="s">
        <v>1497</v>
      </c>
      <c r="O208" s="12" t="str">
        <f>CONCATENATE(N208,A208,"\",B208,"\",C208,".jpg")</f>
        <v>C:\Users\mbaptista\OneDrive - Biblioteca Nacional de Portugal\Documentos\python\camoniana\imagens\capas\808481\1\26.jpg</v>
      </c>
      <c r="P208" s="12" t="str">
        <f>HYPERLINK(O208)</f>
        <v>C:\Users\mbaptista\OneDrive - Biblioteca Nacional de Portugal\Documentos\python\camoniana\imagens\capas\808481\1\26.jpg</v>
      </c>
      <c r="Q208" s="12"/>
      <c r="R208" s="6" t="s">
        <v>315</v>
      </c>
      <c r="S208" s="4"/>
      <c r="T208" s="1"/>
      <c r="U208" s="13"/>
      <c r="V208" s="13"/>
      <c r="W208" s="5" t="s">
        <v>1491</v>
      </c>
    </row>
    <row r="209" spans="1:23" ht="75">
      <c r="A209" s="1">
        <v>808481</v>
      </c>
      <c r="B209" s="1">
        <v>1</v>
      </c>
      <c r="C209" s="1">
        <v>29</v>
      </c>
      <c r="D209" s="2" t="s">
        <v>311</v>
      </c>
      <c r="E209" s="11" t="s">
        <v>311</v>
      </c>
      <c r="F209" s="11">
        <v>274252</v>
      </c>
      <c r="G209" s="2" t="s">
        <v>1494</v>
      </c>
      <c r="H209" s="2" t="s">
        <v>1495</v>
      </c>
      <c r="I209" s="2" t="s">
        <v>1496</v>
      </c>
      <c r="J209" s="2" t="str">
        <f t="shared" si="6"/>
        <v>https://permalinkbnd.bnportugal.gov.pt/viewer/274252/?offset=#page=29&amp;viewer=picture&amp;o=info&amp;n=0&amp;q=</v>
      </c>
      <c r="K209" s="1" t="s">
        <v>312</v>
      </c>
      <c r="L209" s="1" t="str">
        <f>VLOOKUP(A209,Folha2!$A$2:$B$2019,2,FALSE)</f>
        <v>A primeira poesia impressa de Camões. Com um estudo de T. Braga sobre a ode de Camões ao conde de Redondo, 1887. [episódio fac-símile Inês de Castro]. Bibliografia crítica, estudos.</v>
      </c>
      <c r="M209" s="12" t="str">
        <f t="shared" si="7"/>
        <v>https://permalinkbnd.bnportugal.gov.pt/viewer/274252/?offset=#page=29&amp;viewer=picture&amp;o=info&amp;n=0&amp;q=</v>
      </c>
      <c r="N209" s="12" t="s">
        <v>1497</v>
      </c>
      <c r="O209" s="12" t="str">
        <f>CONCATENATE(N209,A209,"\",B209,"\",C209,".jpg")</f>
        <v>C:\Users\mbaptista\OneDrive - Biblioteca Nacional de Portugal\Documentos\python\camoniana\imagens\capas\808481\1\29.jpg</v>
      </c>
      <c r="P209" s="12" t="str">
        <f>HYPERLINK(O209)</f>
        <v>C:\Users\mbaptista\OneDrive - Biblioteca Nacional de Portugal\Documentos\python\camoniana\imagens\capas\808481\1\29.jpg</v>
      </c>
      <c r="Q209" s="12"/>
      <c r="R209" s="6" t="s">
        <v>316</v>
      </c>
      <c r="S209" s="4"/>
      <c r="T209" s="1"/>
      <c r="U209" s="13" t="s">
        <v>313</v>
      </c>
      <c r="V209" s="13"/>
      <c r="W209" s="5" t="s">
        <v>1491</v>
      </c>
    </row>
    <row r="210" spans="1:23" ht="75">
      <c r="A210" s="1">
        <v>808497</v>
      </c>
      <c r="B210" s="1">
        <v>1</v>
      </c>
      <c r="C210" s="1">
        <v>7</v>
      </c>
      <c r="D210" s="2" t="s">
        <v>317</v>
      </c>
      <c r="E210" s="5" t="s">
        <v>317</v>
      </c>
      <c r="F210" s="5">
        <v>273233</v>
      </c>
      <c r="G210" s="2" t="s">
        <v>1494</v>
      </c>
      <c r="H210" s="2" t="s">
        <v>1495</v>
      </c>
      <c r="I210" s="2" t="s">
        <v>1496</v>
      </c>
      <c r="J210" s="2" t="str">
        <f t="shared" si="6"/>
        <v>https://permalinkbnd.bnportugal.gov.pt/viewer/273233/?offset=#page=7&amp;viewer=picture&amp;o=info&amp;n=0&amp;q=</v>
      </c>
      <c r="K210" s="1" t="s">
        <v>318</v>
      </c>
      <c r="L210" s="1" t="str">
        <f>VLOOKUP(A210,Folha2!$A$2:$B$2019,2,FALSE)</f>
        <v>Flores da poesia portuguesa. Prospero Peragallo, 1893. Lírica. Trad. Frag. Paratextos gerais.</v>
      </c>
      <c r="M210" s="12" t="str">
        <f t="shared" si="7"/>
        <v>https://permalinkbnd.bnportugal.gov.pt/viewer/273233/?offset=#page=7&amp;viewer=picture&amp;o=info&amp;n=0&amp;q=</v>
      </c>
      <c r="N210" s="12" t="s">
        <v>1497</v>
      </c>
      <c r="O210" s="12" t="str">
        <f>CONCATENATE(N210,A210,"\",B210,"\",C210,".jpg")</f>
        <v>C:\Users\mbaptista\OneDrive - Biblioteca Nacional de Portugal\Documentos\python\camoniana\imagens\capas\808497\1\7.jpg</v>
      </c>
      <c r="P210" s="12" t="str">
        <f>HYPERLINK(O210)</f>
        <v>C:\Users\mbaptista\OneDrive - Biblioteca Nacional de Portugal\Documentos\python\camoniana\imagens\capas\808497\1\7.jpg</v>
      </c>
      <c r="Q210" s="12"/>
      <c r="R210" s="6" t="s">
        <v>319</v>
      </c>
      <c r="S210" s="4"/>
      <c r="T210" s="1"/>
      <c r="U210" s="13"/>
      <c r="V210" s="13"/>
      <c r="W210" s="5" t="s">
        <v>1491</v>
      </c>
    </row>
    <row r="211" spans="1:23" ht="75">
      <c r="A211" s="1">
        <v>808502</v>
      </c>
      <c r="B211" s="1">
        <v>1</v>
      </c>
      <c r="C211" s="1">
        <v>12</v>
      </c>
      <c r="D211" s="2" t="s">
        <v>320</v>
      </c>
      <c r="E211" s="11" t="s">
        <v>320</v>
      </c>
      <c r="F211" s="11">
        <v>270086</v>
      </c>
      <c r="G211" s="2" t="s">
        <v>1494</v>
      </c>
      <c r="H211" s="2" t="s">
        <v>1495</v>
      </c>
      <c r="I211" s="2" t="s">
        <v>1496</v>
      </c>
      <c r="J211" s="2" t="str">
        <f t="shared" si="6"/>
        <v>https://permalinkbnd.bnportugal.gov.pt/viewer/270086/?offset=#page=12&amp;viewer=picture&amp;o=info&amp;n=0&amp;q=</v>
      </c>
      <c r="K211" s="1" t="s">
        <v>321</v>
      </c>
      <c r="L211" s="1" t="str">
        <f>VLOOKUP(A211,Folha2!$A$2:$B$2019,2,FALSE)</f>
        <v>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v>
      </c>
      <c r="M211" s="12" t="str">
        <f t="shared" si="7"/>
        <v>https://permalinkbnd.bnportugal.gov.pt/viewer/270086/?offset=#page=12&amp;viewer=picture&amp;o=info&amp;n=0&amp;q=</v>
      </c>
      <c r="N211" s="12" t="s">
        <v>1497</v>
      </c>
      <c r="O211" s="12" t="str">
        <f>CONCATENATE(N211,A211,"\",B211,"\",C211,".jpg")</f>
        <v>C:\Users\mbaptista\OneDrive - Biblioteca Nacional de Portugal\Documentos\python\camoniana\imagens\capas\808502\1\12.jpg</v>
      </c>
      <c r="P211" s="12" t="str">
        <f>HYPERLINK(O211)</f>
        <v>C:\Users\mbaptista\OneDrive - Biblioteca Nacional de Portugal\Documentos\python\camoniana\imagens\capas\808502\1\12.jpg</v>
      </c>
      <c r="Q211" s="12"/>
      <c r="R211" s="6" t="s">
        <v>322</v>
      </c>
      <c r="S211" s="4"/>
      <c r="T211" s="1"/>
      <c r="U211" s="13"/>
      <c r="V211" s="13"/>
      <c r="W211" s="5" t="s">
        <v>1491</v>
      </c>
    </row>
    <row r="212" spans="1:23" ht="75">
      <c r="A212" s="1">
        <v>808536</v>
      </c>
      <c r="B212" s="1">
        <v>1</v>
      </c>
      <c r="C212" s="1">
        <v>7</v>
      </c>
      <c r="D212" s="2" t="s">
        <v>323</v>
      </c>
      <c r="E212" s="5" t="s">
        <v>323</v>
      </c>
      <c r="F212" s="5">
        <v>270087</v>
      </c>
      <c r="G212" s="2" t="s">
        <v>1494</v>
      </c>
      <c r="H212" s="2" t="s">
        <v>1495</v>
      </c>
      <c r="I212" s="2" t="s">
        <v>1496</v>
      </c>
      <c r="J212" s="2" t="str">
        <f t="shared" si="6"/>
        <v>https://permalinkbnd.bnportugal.gov.pt/viewer/270087/?offset=#page=7&amp;viewer=picture&amp;o=info&amp;n=0&amp;q=</v>
      </c>
      <c r="K212" s="1" t="s">
        <v>324</v>
      </c>
      <c r="L212" s="1" t="str">
        <f>VLOOKUP(A212,Folha2!$A$2:$B$2019,2,FALSE)</f>
        <v>Poesie portoghese e sivigliane. 1899-1900. Prospero Peragallo. 2 Vols. Bilingue. [1.º: episódio Adamastor, sem argumento; Lírica: mote, sonetos, voltas e poema sobre Camões de Garrett] Trad. Paratextos gerais. Recepção criativa, Tematização.</v>
      </c>
      <c r="M212" s="12" t="str">
        <f t="shared" si="7"/>
        <v>https://permalinkbnd.bnportugal.gov.pt/viewer/270087/?offset=#page=7&amp;viewer=picture&amp;o=info&amp;n=0&amp;q=</v>
      </c>
      <c r="N212" s="12" t="s">
        <v>1497</v>
      </c>
      <c r="O212" s="12" t="str">
        <f>CONCATENATE(N212,A212,"\",B212,"\",C212,".jpg")</f>
        <v>C:\Users\mbaptista\OneDrive - Biblioteca Nacional de Portugal\Documentos\python\camoniana\imagens\capas\808536\1\7.jpg</v>
      </c>
      <c r="P212" s="12" t="str">
        <f>HYPERLINK(O212)</f>
        <v>C:\Users\mbaptista\OneDrive - Biblioteca Nacional de Portugal\Documentos\python\camoniana\imagens\capas\808536\1\7.jpg</v>
      </c>
      <c r="Q212" s="12"/>
      <c r="R212" s="6" t="s">
        <v>325</v>
      </c>
      <c r="S212" s="4"/>
      <c r="T212" s="1"/>
      <c r="U212" s="13"/>
      <c r="V212" s="13"/>
      <c r="W212" s="5" t="s">
        <v>1491</v>
      </c>
    </row>
    <row r="213" spans="1:23" ht="75">
      <c r="A213" s="1">
        <v>808536</v>
      </c>
      <c r="B213" s="1">
        <v>1</v>
      </c>
      <c r="C213" s="1">
        <v>17</v>
      </c>
      <c r="D213" s="2" t="s">
        <v>323</v>
      </c>
      <c r="E213" s="11" t="s">
        <v>323</v>
      </c>
      <c r="F213" s="11">
        <v>270087</v>
      </c>
      <c r="G213" s="2" t="s">
        <v>1494</v>
      </c>
      <c r="H213" s="2" t="s">
        <v>1495</v>
      </c>
      <c r="I213" s="2" t="s">
        <v>1496</v>
      </c>
      <c r="J213" s="2" t="str">
        <f t="shared" si="6"/>
        <v>https://permalinkbnd.bnportugal.gov.pt/viewer/270087/?offset=#page=17&amp;viewer=picture&amp;o=info&amp;n=0&amp;q=</v>
      </c>
      <c r="K213" s="1" t="s">
        <v>324</v>
      </c>
      <c r="L213" s="1" t="str">
        <f>VLOOKUP(A213,Folha2!$A$2:$B$2019,2,FALSE)</f>
        <v>Poesie portoghese e sivigliane. 1899-1900. Prospero Peragallo. 2 Vols. Bilingue. [1.º: episódio Adamastor, sem argumento; Lírica: mote, sonetos, voltas e poema sobre Camões de Garrett] Trad. Paratextos gerais. Recepção criativa, Tematização.</v>
      </c>
      <c r="M213" s="12" t="str">
        <f t="shared" si="7"/>
        <v>https://permalinkbnd.bnportugal.gov.pt/viewer/270087/?offset=#page=17&amp;viewer=picture&amp;o=info&amp;n=0&amp;q=</v>
      </c>
      <c r="N213" s="12" t="s">
        <v>1497</v>
      </c>
      <c r="O213" s="12" t="str">
        <f>CONCATENATE(N213,A213,"\",B213,"\",C213,".jpg")</f>
        <v>C:\Users\mbaptista\OneDrive - Biblioteca Nacional de Portugal\Documentos\python\camoniana\imagens\capas\808536\1\17.jpg</v>
      </c>
      <c r="P213" s="12" t="str">
        <f>HYPERLINK(O213)</f>
        <v>C:\Users\mbaptista\OneDrive - Biblioteca Nacional de Portugal\Documentos\python\camoniana\imagens\capas\808536\1\17.jpg</v>
      </c>
      <c r="Q213" s="12"/>
      <c r="R213" s="6" t="s">
        <v>326</v>
      </c>
      <c r="S213" s="4"/>
      <c r="T213" s="1"/>
      <c r="U213" s="13"/>
      <c r="V213" s="13"/>
      <c r="W213" s="5" t="s">
        <v>1491</v>
      </c>
    </row>
    <row r="214" spans="1:23" ht="75">
      <c r="A214" s="1">
        <v>808536</v>
      </c>
      <c r="B214" s="1">
        <v>1</v>
      </c>
      <c r="C214" s="1">
        <v>79</v>
      </c>
      <c r="D214" s="2" t="s">
        <v>323</v>
      </c>
      <c r="E214" s="5" t="s">
        <v>323</v>
      </c>
      <c r="F214" s="5">
        <v>270087</v>
      </c>
      <c r="G214" s="2" t="s">
        <v>1494</v>
      </c>
      <c r="H214" s="2" t="s">
        <v>1495</v>
      </c>
      <c r="I214" s="2" t="s">
        <v>1496</v>
      </c>
      <c r="J214" s="2" t="str">
        <f t="shared" si="6"/>
        <v>https://permalinkbnd.bnportugal.gov.pt/viewer/270087/?offset=#page=79&amp;viewer=picture&amp;o=info&amp;n=0&amp;q=</v>
      </c>
      <c r="K214" s="1" t="s">
        <v>324</v>
      </c>
      <c r="L214" s="1" t="str">
        <f>VLOOKUP(A214,Folha2!$A$2:$B$2019,2,FALSE)</f>
        <v>Poesie portoghese e sivigliane. 1899-1900. Prospero Peragallo. 2 Vols. Bilingue. [1.º: episódio Adamastor, sem argumento; Lírica: mote, sonetos, voltas e poema sobre Camões de Garrett] Trad. Paratextos gerais. Recepção criativa, Tematização.</v>
      </c>
      <c r="M214" s="12" t="str">
        <f t="shared" si="7"/>
        <v>https://permalinkbnd.bnportugal.gov.pt/viewer/270087/?offset=#page=79&amp;viewer=picture&amp;o=info&amp;n=0&amp;q=</v>
      </c>
      <c r="N214" s="12" t="s">
        <v>1497</v>
      </c>
      <c r="O214" s="12" t="str">
        <f>CONCATENATE(N214,A214,"\",B214,"\",C214,".jpg")</f>
        <v>C:\Users\mbaptista\OneDrive - Biblioteca Nacional de Portugal\Documentos\python\camoniana\imagens\capas\808536\1\79.jpg</v>
      </c>
      <c r="P214" s="12" t="str">
        <f>HYPERLINK(O214)</f>
        <v>C:\Users\mbaptista\OneDrive - Biblioteca Nacional de Portugal\Documentos\python\camoniana\imagens\capas\808536\1\79.jpg</v>
      </c>
      <c r="Q214" s="12"/>
      <c r="R214" s="6" t="s">
        <v>327</v>
      </c>
      <c r="S214" s="4"/>
      <c r="T214" s="1"/>
      <c r="U214" s="13"/>
      <c r="V214" s="13"/>
      <c r="W214" s="5" t="s">
        <v>1491</v>
      </c>
    </row>
    <row r="215" spans="1:23" ht="75">
      <c r="A215" s="1">
        <v>808536</v>
      </c>
      <c r="B215" s="1">
        <v>1</v>
      </c>
      <c r="C215" s="1">
        <v>89</v>
      </c>
      <c r="D215" s="2" t="s">
        <v>323</v>
      </c>
      <c r="E215" s="11" t="s">
        <v>323</v>
      </c>
      <c r="F215" s="11">
        <v>270087</v>
      </c>
      <c r="G215" s="2" t="s">
        <v>1494</v>
      </c>
      <c r="H215" s="2" t="s">
        <v>1495</v>
      </c>
      <c r="I215" s="2" t="s">
        <v>1496</v>
      </c>
      <c r="J215" s="2" t="str">
        <f t="shared" si="6"/>
        <v>https://permalinkbnd.bnportugal.gov.pt/viewer/270087/?offset=#page=89&amp;viewer=picture&amp;o=info&amp;n=0&amp;q=</v>
      </c>
      <c r="K215" s="1" t="s">
        <v>324</v>
      </c>
      <c r="L215" s="1" t="str">
        <f>VLOOKUP(A215,Folha2!$A$2:$B$2019,2,FALSE)</f>
        <v>Poesie portoghese e sivigliane. 1899-1900. Prospero Peragallo. 2 Vols. Bilingue. [1.º: episódio Adamastor, sem argumento; Lírica: mote, sonetos, voltas e poema sobre Camões de Garrett] Trad. Paratextos gerais. Recepção criativa, Tematização.</v>
      </c>
      <c r="M215" s="12" t="str">
        <f t="shared" si="7"/>
        <v>https://permalinkbnd.bnportugal.gov.pt/viewer/270087/?offset=#page=89&amp;viewer=picture&amp;o=info&amp;n=0&amp;q=</v>
      </c>
      <c r="N215" s="12" t="s">
        <v>1497</v>
      </c>
      <c r="O215" s="12" t="str">
        <f>CONCATENATE(N215,A215,"\",B215,"\",C215,".jpg")</f>
        <v>C:\Users\mbaptista\OneDrive - Biblioteca Nacional de Portugal\Documentos\python\camoniana\imagens\capas\808536\1\89.jpg</v>
      </c>
      <c r="P215" s="12" t="str">
        <f>HYPERLINK(O215)</f>
        <v>C:\Users\mbaptista\OneDrive - Biblioteca Nacional de Portugal\Documentos\python\camoniana\imagens\capas\808536\1\89.jpg</v>
      </c>
      <c r="Q215" s="12"/>
      <c r="R215" s="6" t="s">
        <v>328</v>
      </c>
      <c r="S215" s="4"/>
      <c r="T215" s="1"/>
      <c r="U215" s="13"/>
      <c r="V215" s="13"/>
      <c r="W215" s="5" t="s">
        <v>1491</v>
      </c>
    </row>
    <row r="216" spans="1:23" ht="75">
      <c r="A216" s="1">
        <v>808536</v>
      </c>
      <c r="B216" s="1">
        <v>1</v>
      </c>
      <c r="C216" s="1">
        <v>97</v>
      </c>
      <c r="D216" s="2" t="s">
        <v>323</v>
      </c>
      <c r="E216" s="5" t="s">
        <v>323</v>
      </c>
      <c r="F216" s="5">
        <v>270087</v>
      </c>
      <c r="G216" s="2" t="s">
        <v>1494</v>
      </c>
      <c r="H216" s="2" t="s">
        <v>1495</v>
      </c>
      <c r="I216" s="2" t="s">
        <v>1496</v>
      </c>
      <c r="J216" s="2" t="str">
        <f t="shared" si="6"/>
        <v>https://permalinkbnd.bnportugal.gov.pt/viewer/270087/?offset=#page=97&amp;viewer=picture&amp;o=info&amp;n=0&amp;q=</v>
      </c>
      <c r="K216" s="1" t="s">
        <v>324</v>
      </c>
      <c r="L216" s="1" t="str">
        <f>VLOOKUP(A216,Folha2!$A$2:$B$2019,2,FALSE)</f>
        <v>Poesie portoghese e sivigliane. 1899-1900. Prospero Peragallo. 2 Vols. Bilingue. [1.º: episódio Adamastor, sem argumento; Lírica: mote, sonetos, voltas e poema sobre Camões de Garrett] Trad. Paratextos gerais. Recepção criativa, Tematização.</v>
      </c>
      <c r="M216" s="12" t="str">
        <f t="shared" si="7"/>
        <v>https://permalinkbnd.bnportugal.gov.pt/viewer/270087/?offset=#page=97&amp;viewer=picture&amp;o=info&amp;n=0&amp;q=</v>
      </c>
      <c r="N216" s="12" t="s">
        <v>1497</v>
      </c>
      <c r="O216" s="12" t="str">
        <f>CONCATENATE(N216,A216,"\",B216,"\",C216,".jpg")</f>
        <v>C:\Users\mbaptista\OneDrive - Biblioteca Nacional de Portugal\Documentos\python\camoniana\imagens\capas\808536\1\97.jpg</v>
      </c>
      <c r="P216" s="12" t="str">
        <f>HYPERLINK(O216)</f>
        <v>C:\Users\mbaptista\OneDrive - Biblioteca Nacional de Portugal\Documentos\python\camoniana\imagens\capas\808536\1\97.jpg</v>
      </c>
      <c r="Q216" s="12"/>
      <c r="R216" s="6" t="s">
        <v>329</v>
      </c>
      <c r="S216" s="4"/>
      <c r="T216" s="1"/>
      <c r="U216" s="13"/>
      <c r="V216" s="13"/>
      <c r="W216" s="5" t="s">
        <v>1491</v>
      </c>
    </row>
    <row r="217" spans="1:23" ht="75">
      <c r="A217" s="1">
        <v>808536</v>
      </c>
      <c r="B217" s="1">
        <v>1</v>
      </c>
      <c r="C217" s="1">
        <v>104</v>
      </c>
      <c r="D217" s="2" t="s">
        <v>323</v>
      </c>
      <c r="E217" s="11" t="s">
        <v>323</v>
      </c>
      <c r="F217" s="11">
        <v>270087</v>
      </c>
      <c r="G217" s="2" t="s">
        <v>1494</v>
      </c>
      <c r="H217" s="2" t="s">
        <v>1495</v>
      </c>
      <c r="I217" s="2" t="s">
        <v>1496</v>
      </c>
      <c r="J217" s="2" t="str">
        <f t="shared" si="6"/>
        <v>https://permalinkbnd.bnportugal.gov.pt/viewer/270087/?offset=#page=104&amp;viewer=picture&amp;o=info&amp;n=0&amp;q=</v>
      </c>
      <c r="K217" s="1" t="s">
        <v>324</v>
      </c>
      <c r="L217" s="1" t="str">
        <f>VLOOKUP(A217,Folha2!$A$2:$B$2019,2,FALSE)</f>
        <v>Poesie portoghese e sivigliane. 1899-1900. Prospero Peragallo. 2 Vols. Bilingue. [1.º: episódio Adamastor, sem argumento; Lírica: mote, sonetos, voltas e poema sobre Camões de Garrett] Trad. Paratextos gerais. Recepção criativa, Tematização.</v>
      </c>
      <c r="M217" s="12" t="str">
        <f t="shared" si="7"/>
        <v>https://permalinkbnd.bnportugal.gov.pt/viewer/270087/?offset=#page=104&amp;viewer=picture&amp;o=info&amp;n=0&amp;q=</v>
      </c>
      <c r="N217" s="12" t="s">
        <v>1497</v>
      </c>
      <c r="O217" s="12" t="str">
        <f>CONCATENATE(N217,A217,"\",B217,"\",C217,".jpg")</f>
        <v>C:\Users\mbaptista\OneDrive - Biblioteca Nacional de Portugal\Documentos\python\camoniana\imagens\capas\808536\1\104.jpg</v>
      </c>
      <c r="P217" s="12" t="str">
        <f>HYPERLINK(O217)</f>
        <v>C:\Users\mbaptista\OneDrive - Biblioteca Nacional de Portugal\Documentos\python\camoniana\imagens\capas\808536\1\104.jpg</v>
      </c>
      <c r="Q217" s="12"/>
      <c r="R217" s="6" t="s">
        <v>330</v>
      </c>
      <c r="S217" s="4"/>
      <c r="T217" s="1"/>
      <c r="U217" s="13"/>
      <c r="V217" s="13"/>
      <c r="W217" s="5" t="s">
        <v>1491</v>
      </c>
    </row>
    <row r="218" spans="1:23" ht="75">
      <c r="A218" s="1">
        <v>808536</v>
      </c>
      <c r="B218" s="1">
        <v>1</v>
      </c>
      <c r="C218" s="1">
        <v>105</v>
      </c>
      <c r="D218" s="2" t="s">
        <v>323</v>
      </c>
      <c r="E218" s="5" t="s">
        <v>323</v>
      </c>
      <c r="F218" s="5">
        <v>270087</v>
      </c>
      <c r="G218" s="2" t="s">
        <v>1494</v>
      </c>
      <c r="H218" s="2" t="s">
        <v>1495</v>
      </c>
      <c r="I218" s="2" t="s">
        <v>1496</v>
      </c>
      <c r="J218" s="2" t="str">
        <f t="shared" si="6"/>
        <v>https://permalinkbnd.bnportugal.gov.pt/viewer/270087/?offset=#page=105&amp;viewer=picture&amp;o=info&amp;n=0&amp;q=</v>
      </c>
      <c r="K218" s="1" t="s">
        <v>324</v>
      </c>
      <c r="L218" s="1" t="str">
        <f>VLOOKUP(A218,Folha2!$A$2:$B$2019,2,FALSE)</f>
        <v>Poesie portoghese e sivigliane. 1899-1900. Prospero Peragallo. 2 Vols. Bilingue. [1.º: episódio Adamastor, sem argumento; Lírica: mote, sonetos, voltas e poema sobre Camões de Garrett] Trad. Paratextos gerais. Recepção criativa, Tematização.</v>
      </c>
      <c r="M218" s="12" t="str">
        <f t="shared" si="7"/>
        <v>https://permalinkbnd.bnportugal.gov.pt/viewer/270087/?offset=#page=105&amp;viewer=picture&amp;o=info&amp;n=0&amp;q=</v>
      </c>
      <c r="N218" s="12" t="s">
        <v>1497</v>
      </c>
      <c r="O218" s="12" t="str">
        <f>CONCATENATE(N218,A218,"\",B218,"\",C218,".jpg")</f>
        <v>C:\Users\mbaptista\OneDrive - Biblioteca Nacional de Portugal\Documentos\python\camoniana\imagens\capas\808536\1\105.jpg</v>
      </c>
      <c r="P218" s="12" t="str">
        <f>HYPERLINK(O218)</f>
        <v>C:\Users\mbaptista\OneDrive - Biblioteca Nacional de Portugal\Documentos\python\camoniana\imagens\capas\808536\1\105.jpg</v>
      </c>
      <c r="Q218" s="12"/>
      <c r="R218" s="6" t="s">
        <v>331</v>
      </c>
      <c r="S218" s="4"/>
      <c r="T218" s="1"/>
      <c r="U218" s="13"/>
      <c r="V218" s="13"/>
      <c r="W218" s="5" t="s">
        <v>1491</v>
      </c>
    </row>
    <row r="219" spans="1:23" ht="75">
      <c r="A219" s="1">
        <v>808766</v>
      </c>
      <c r="B219" s="1">
        <v>1</v>
      </c>
      <c r="C219" s="1">
        <v>10</v>
      </c>
      <c r="D219" s="2" t="s">
        <v>332</v>
      </c>
      <c r="E219" s="11" t="s">
        <v>332</v>
      </c>
      <c r="F219" s="11">
        <v>273350</v>
      </c>
      <c r="G219" s="2" t="s">
        <v>1494</v>
      </c>
      <c r="H219" s="2" t="s">
        <v>1495</v>
      </c>
      <c r="I219" s="2" t="s">
        <v>1496</v>
      </c>
      <c r="J219" s="2" t="str">
        <f t="shared" si="6"/>
        <v>https://permalinkbnd.bnportugal.gov.pt/viewer/273350/?offset=#page=10&amp;viewer=picture&amp;o=info&amp;n=0&amp;q=</v>
      </c>
      <c r="K219" s="1" t="s">
        <v>333</v>
      </c>
      <c r="L219" s="1" t="str">
        <f>VLOOKUP(A219,Folha2!$A$2:$B$2019,2,FALSE)</f>
        <v>Nagra Dikter. Tradução sueca. Lírica, 1899 [ sonetos, endechas a Bárbara]. [cópia digital não abre, consultei PDF cedido por Miguel]. Trad. Antologia paratextos gerais.</v>
      </c>
      <c r="M219" s="12" t="str">
        <f t="shared" si="7"/>
        <v>https://permalinkbnd.bnportugal.gov.pt/viewer/273350/?offset=#page=10&amp;viewer=picture&amp;o=info&amp;n=0&amp;q=</v>
      </c>
      <c r="N219" s="12" t="s">
        <v>1497</v>
      </c>
      <c r="O219" s="12" t="str">
        <f>CONCATENATE(N219,A219,"\",B219,"\",C219,".jpg")</f>
        <v>C:\Users\mbaptista\OneDrive - Biblioteca Nacional de Portugal\Documentos\python\camoniana\imagens\capas\808766\1\10.jpg</v>
      </c>
      <c r="P219" s="12" t="str">
        <f>HYPERLINK(O219)</f>
        <v>C:\Users\mbaptista\OneDrive - Biblioteca Nacional de Portugal\Documentos\python\camoniana\imagens\capas\808766\1\10.jpg</v>
      </c>
      <c r="Q219" s="12"/>
      <c r="R219" s="6" t="s">
        <v>334</v>
      </c>
      <c r="S219" s="4"/>
      <c r="T219" s="1">
        <v>10</v>
      </c>
      <c r="U219" s="13"/>
      <c r="V219" s="13"/>
      <c r="W219" s="5" t="s">
        <v>1491</v>
      </c>
    </row>
    <row r="220" spans="1:23" ht="75">
      <c r="A220" s="1">
        <v>810040</v>
      </c>
      <c r="B220" s="1">
        <v>1</v>
      </c>
      <c r="C220" s="1">
        <v>5</v>
      </c>
      <c r="D220" s="2" t="s">
        <v>34</v>
      </c>
      <c r="E220" s="5" t="s">
        <v>34</v>
      </c>
      <c r="F220" s="5">
        <v>273316</v>
      </c>
      <c r="G220" s="2" t="s">
        <v>1494</v>
      </c>
      <c r="H220" s="2" t="s">
        <v>1495</v>
      </c>
      <c r="I220" s="2" t="s">
        <v>1496</v>
      </c>
      <c r="J220" s="2" t="str">
        <f t="shared" si="6"/>
        <v>https://permalinkbnd.bnportugal.gov.pt/viewer/273316/?offset=#page=5&amp;viewer=picture&amp;o=info&amp;n=0&amp;q=</v>
      </c>
      <c r="K220" s="1" t="s">
        <v>335</v>
      </c>
      <c r="L220" s="1" t="str">
        <f>VLOOKUP(A220,Folha2!$A$2:$B$2019,2,FALSE)</f>
        <v>O episódio do Adamastor. Estudo Crítico de Benoliel, 1898</v>
      </c>
      <c r="M220" s="12" t="str">
        <f t="shared" si="7"/>
        <v>https://permalinkbnd.bnportugal.gov.pt/viewer/273316/?offset=#page=5&amp;viewer=picture&amp;o=info&amp;n=0&amp;q=</v>
      </c>
      <c r="N220" s="12" t="s">
        <v>1497</v>
      </c>
      <c r="O220" s="12" t="str">
        <f>CONCATENATE(N220,A220,"\",B220,"\",C220,".jpg")</f>
        <v>C:\Users\mbaptista\OneDrive - Biblioteca Nacional de Portugal\Documentos\python\camoniana\imagens\capas\810040\1\5.jpg</v>
      </c>
      <c r="P220" s="12" t="str">
        <f>HYPERLINK(O220)</f>
        <v>C:\Users\mbaptista\OneDrive - Biblioteca Nacional de Portugal\Documentos\python\camoniana\imagens\capas\810040\1\5.jpg</v>
      </c>
      <c r="Q220" s="12"/>
      <c r="R220" s="6"/>
      <c r="S220" s="4"/>
      <c r="T220" s="1"/>
      <c r="U220" s="13"/>
      <c r="V220" s="13"/>
      <c r="W220" s="5"/>
    </row>
    <row r="221" spans="1:23" ht="75">
      <c r="A221" s="1">
        <v>810040</v>
      </c>
      <c r="B221" s="1">
        <v>1</v>
      </c>
      <c r="C221" s="1">
        <v>11</v>
      </c>
      <c r="D221" s="2" t="s">
        <v>34</v>
      </c>
      <c r="E221" s="11" t="s">
        <v>34</v>
      </c>
      <c r="F221" s="11">
        <v>273316</v>
      </c>
      <c r="G221" s="2" t="s">
        <v>1494</v>
      </c>
      <c r="H221" s="2" t="s">
        <v>1495</v>
      </c>
      <c r="I221" s="2" t="s">
        <v>1496</v>
      </c>
      <c r="J221" s="2" t="str">
        <f t="shared" si="6"/>
        <v>https://permalinkbnd.bnportugal.gov.pt/viewer/273316/?offset=#page=11&amp;viewer=picture&amp;o=info&amp;n=0&amp;q=</v>
      </c>
      <c r="K221" s="1" t="s">
        <v>335</v>
      </c>
      <c r="L221" s="1" t="str">
        <f>VLOOKUP(A221,Folha2!$A$2:$B$2019,2,FALSE)</f>
        <v>O episódio do Adamastor. Estudo Crítico de Benoliel, 1898</v>
      </c>
      <c r="M221" s="12" t="str">
        <f t="shared" si="7"/>
        <v>https://permalinkbnd.bnportugal.gov.pt/viewer/273316/?offset=#page=11&amp;viewer=picture&amp;o=info&amp;n=0&amp;q=</v>
      </c>
      <c r="N221" s="12" t="s">
        <v>1497</v>
      </c>
      <c r="O221" s="12" t="str">
        <f>CONCATENATE(N221,A221,"\",B221,"\",C221,".jpg")</f>
        <v>C:\Users\mbaptista\OneDrive - Biblioteca Nacional de Portugal\Documentos\python\camoniana\imagens\capas\810040\1\11.jpg</v>
      </c>
      <c r="P221" s="12" t="str">
        <f>HYPERLINK(O221)</f>
        <v>C:\Users\mbaptista\OneDrive - Biblioteca Nacional de Portugal\Documentos\python\camoniana\imagens\capas\810040\1\11.jpg</v>
      </c>
      <c r="Q221" s="12"/>
      <c r="R221" s="6" t="s">
        <v>36</v>
      </c>
      <c r="S221" s="4"/>
      <c r="T221" s="1">
        <v>11</v>
      </c>
      <c r="U221" s="13"/>
      <c r="V221" s="13"/>
      <c r="W221" s="5" t="s">
        <v>1491</v>
      </c>
    </row>
    <row r="222" spans="1:23" ht="75">
      <c r="A222" s="1">
        <v>810055</v>
      </c>
      <c r="B222" s="1">
        <v>1</v>
      </c>
      <c r="C222" s="1">
        <v>1</v>
      </c>
      <c r="D222" s="2" t="s">
        <v>336</v>
      </c>
      <c r="E222" s="5" t="s">
        <v>336</v>
      </c>
      <c r="F222" s="5">
        <v>273346</v>
      </c>
      <c r="G222" s="2" t="s">
        <v>1494</v>
      </c>
      <c r="H222" s="2" t="s">
        <v>1495</v>
      </c>
      <c r="I222" s="2" t="s">
        <v>1496</v>
      </c>
      <c r="J222" s="2" t="str">
        <f t="shared" si="6"/>
        <v>https://permalinkbnd.bnportugal.gov.pt/viewer/273346/?offset=#page=1&amp;viewer=picture&amp;o=info&amp;n=0&amp;q=</v>
      </c>
      <c r="K222" s="1" t="s">
        <v>337</v>
      </c>
      <c r="L222" s="1" t="str">
        <f>VLOOKUP(A222,Folha2!$A$2:$B$2019,2,FALSE)</f>
        <v>A epopeia das navegações portuguesas, poema por Xavier da Cunha, traduzido em várias línguas, 1898. Celebração da viagem de Gama.</v>
      </c>
      <c r="M222" s="12" t="str">
        <f t="shared" si="7"/>
        <v>https://permalinkbnd.bnportugal.gov.pt/viewer/273346/?offset=#page=1&amp;viewer=picture&amp;o=info&amp;n=0&amp;q=</v>
      </c>
      <c r="N222" s="12" t="s">
        <v>1497</v>
      </c>
      <c r="O222" s="12" t="str">
        <f>CONCATENATE(N222,A222,"\",B222,"\",C222,".jpg")</f>
        <v>C:\Users\mbaptista\OneDrive - Biblioteca Nacional de Portugal\Documentos\python\camoniana\imagens\capas\810055\1\1.jpg</v>
      </c>
      <c r="P222" s="12" t="str">
        <f>HYPERLINK(O222)</f>
        <v>C:\Users\mbaptista\OneDrive - Biblioteca Nacional de Portugal\Documentos\python\camoniana\imagens\capas\810055\1\1.jpg</v>
      </c>
      <c r="Q222" s="12"/>
      <c r="R222" s="6" t="s">
        <v>338</v>
      </c>
      <c r="S222" s="4"/>
      <c r="T222" s="1"/>
      <c r="U222" s="13"/>
      <c r="V222" s="13"/>
      <c r="W222" s="5" t="s">
        <v>1491</v>
      </c>
    </row>
    <row r="223" spans="1:23" ht="75">
      <c r="A223" s="1">
        <v>810055</v>
      </c>
      <c r="B223" s="1">
        <v>1</v>
      </c>
      <c r="C223" s="1">
        <v>5</v>
      </c>
      <c r="D223" s="2" t="s">
        <v>336</v>
      </c>
      <c r="E223" s="11" t="s">
        <v>336</v>
      </c>
      <c r="F223" s="11">
        <v>273346</v>
      </c>
      <c r="G223" s="2" t="s">
        <v>1494</v>
      </c>
      <c r="H223" s="2" t="s">
        <v>1495</v>
      </c>
      <c r="I223" s="2" t="s">
        <v>1496</v>
      </c>
      <c r="J223" s="2" t="str">
        <f t="shared" si="6"/>
        <v>https://permalinkbnd.bnportugal.gov.pt/viewer/273346/?offset=#page=5&amp;viewer=picture&amp;o=info&amp;n=0&amp;q=</v>
      </c>
      <c r="K223" s="1" t="s">
        <v>339</v>
      </c>
      <c r="L223" s="1" t="str">
        <f>VLOOKUP(A223,Folha2!$A$2:$B$2019,2,FALSE)</f>
        <v>A epopeia das navegações portuguesas, poema por Xavier da Cunha, traduzido em várias línguas, 1898. Celebração da viagem de Gama.</v>
      </c>
      <c r="M223" s="12" t="str">
        <f t="shared" si="7"/>
        <v>https://permalinkbnd.bnportugal.gov.pt/viewer/273346/?offset=#page=5&amp;viewer=picture&amp;o=info&amp;n=0&amp;q=</v>
      </c>
      <c r="N223" s="12" t="s">
        <v>1497</v>
      </c>
      <c r="O223" s="12" t="str">
        <f>CONCATENATE(N223,A223,"\",B223,"\",C223,".jpg")</f>
        <v>C:\Users\mbaptista\OneDrive - Biblioteca Nacional de Portugal\Documentos\python\camoniana\imagens\capas\810055\1\5.jpg</v>
      </c>
      <c r="P223" s="12" t="str">
        <f>HYPERLINK(O223)</f>
        <v>C:\Users\mbaptista\OneDrive - Biblioteca Nacional de Portugal\Documentos\python\camoniana\imagens\capas\810055\1\5.jpg</v>
      </c>
      <c r="Q223" s="12"/>
      <c r="R223" s="6" t="s">
        <v>340</v>
      </c>
      <c r="S223" s="4"/>
      <c r="T223" s="1"/>
      <c r="U223" s="13"/>
      <c r="V223" s="13"/>
      <c r="W223" s="5" t="s">
        <v>1491</v>
      </c>
    </row>
    <row r="224" spans="1:23" ht="75">
      <c r="A224" s="1">
        <v>810381</v>
      </c>
      <c r="B224" s="1">
        <v>1</v>
      </c>
      <c r="C224" s="13">
        <v>7</v>
      </c>
      <c r="D224" s="2" t="s">
        <v>341</v>
      </c>
      <c r="E224" s="5" t="s">
        <v>341</v>
      </c>
      <c r="F224" s="5">
        <v>274342</v>
      </c>
      <c r="G224" s="2" t="s">
        <v>1494</v>
      </c>
      <c r="H224" s="2" t="s">
        <v>1495</v>
      </c>
      <c r="I224" s="2" t="s">
        <v>1496</v>
      </c>
      <c r="J224" s="2" t="str">
        <f t="shared" si="6"/>
        <v>https://permalinkbnd.bnportugal.gov.pt/viewer/274342/?offset=#page=7&amp;viewer=picture&amp;o=info&amp;n=0&amp;q=</v>
      </c>
      <c r="K224" s="1">
        <v>7</v>
      </c>
      <c r="L224" s="1" t="str">
        <f>VLOOKUP(A224,Folha2!$A$2:$B$2019,2,FALSE)</f>
        <v>Tradução do Conde de Cheste, canto III d'Os Lusíadas. Lida numa sessão da Real Academia Española, 1873.  Trad. Paratextos Argumentos.</v>
      </c>
      <c r="M224" s="12" t="str">
        <f t="shared" si="7"/>
        <v>https://permalinkbnd.bnportugal.gov.pt/viewer/274342/?offset=#page=7&amp;viewer=picture&amp;o=info&amp;n=0&amp;q=</v>
      </c>
      <c r="N224" s="12" t="s">
        <v>1497</v>
      </c>
      <c r="O224" s="12" t="str">
        <f>CONCATENATE(N224,A224,"\",B224,"\",C224,".jpg")</f>
        <v>C:\Users\mbaptista\OneDrive - Biblioteca Nacional de Portugal\Documentos\python\camoniana\imagens\capas\810381\1\7.jpg</v>
      </c>
      <c r="P224" s="12" t="str">
        <f>HYPERLINK(O224)</f>
        <v>C:\Users\mbaptista\OneDrive - Biblioteca Nacional de Portugal\Documentos\python\camoniana\imagens\capas\810381\1\7.jpg</v>
      </c>
      <c r="Q224" s="12"/>
      <c r="R224" s="6" t="s">
        <v>342</v>
      </c>
      <c r="S224" s="4"/>
      <c r="T224" s="1"/>
      <c r="U224" s="13" t="s">
        <v>73</v>
      </c>
      <c r="V224" s="13"/>
      <c r="W224" s="5" t="s">
        <v>1491</v>
      </c>
    </row>
    <row r="225" spans="1:23" ht="75">
      <c r="A225" s="1">
        <v>847196</v>
      </c>
      <c r="B225" s="1">
        <v>1</v>
      </c>
      <c r="C225" s="1">
        <v>3</v>
      </c>
      <c r="D225" s="2" t="s">
        <v>343</v>
      </c>
      <c r="E225" s="11" t="s">
        <v>343</v>
      </c>
      <c r="F225" s="11">
        <v>273439</v>
      </c>
      <c r="G225" s="2" t="s">
        <v>1494</v>
      </c>
      <c r="H225" s="2" t="s">
        <v>1495</v>
      </c>
      <c r="I225" s="2" t="s">
        <v>1496</v>
      </c>
      <c r="J225" s="2" t="str">
        <f t="shared" si="6"/>
        <v>https://permalinkbnd.bnportugal.gov.pt/viewer/273439/?offset=#page=3&amp;viewer=picture&amp;o=info&amp;n=0&amp;q=</v>
      </c>
      <c r="K225" s="1">
        <v>3</v>
      </c>
      <c r="L225" s="1" t="str">
        <f>VLOOKUP(A225,Folha2!$A$2:$B$2019,2,FALSE)</f>
        <v>Roslino de Brito, Camões: homenagem aos antigos heróis portugueses e sobre todos ao seu divino cantor Luís de Camões, 1880. Celebrações (1880), recepção criativa, tematização e centão.</v>
      </c>
      <c r="M225" s="12" t="str">
        <f t="shared" si="7"/>
        <v>https://permalinkbnd.bnportugal.gov.pt/viewer/273439/?offset=#page=3&amp;viewer=picture&amp;o=info&amp;n=0&amp;q=</v>
      </c>
      <c r="N225" s="12" t="s">
        <v>1497</v>
      </c>
      <c r="O225" s="12" t="str">
        <f>CONCATENATE(N225,A225,"\",B225,"\",C225,".jpg")</f>
        <v>C:\Users\mbaptista\OneDrive - Biblioteca Nacional de Portugal\Documentos\python\camoniana\imagens\capas\847196\1\3.jpg</v>
      </c>
      <c r="P225" s="12" t="str">
        <f>HYPERLINK(O225)</f>
        <v>C:\Users\mbaptista\OneDrive - Biblioteca Nacional de Portugal\Documentos\python\camoniana\imagens\capas\847196\1\3.jpg</v>
      </c>
      <c r="Q225" s="12"/>
      <c r="R225" s="6" t="s">
        <v>344</v>
      </c>
      <c r="S225" s="4"/>
      <c r="T225" s="1">
        <v>3</v>
      </c>
      <c r="U225" s="13"/>
      <c r="V225" s="13"/>
      <c r="W225" s="5" t="s">
        <v>1491</v>
      </c>
    </row>
    <row r="226" spans="1:23" ht="75">
      <c r="A226" s="1">
        <v>851350</v>
      </c>
      <c r="B226" s="1">
        <v>1</v>
      </c>
      <c r="C226" s="13">
        <v>5</v>
      </c>
      <c r="D226" s="2" t="s">
        <v>345</v>
      </c>
      <c r="E226" s="5" t="s">
        <v>345</v>
      </c>
      <c r="F226" s="5">
        <v>273527</v>
      </c>
      <c r="G226" s="2" t="s">
        <v>1494</v>
      </c>
      <c r="H226" s="2" t="s">
        <v>1495</v>
      </c>
      <c r="I226" s="2" t="s">
        <v>1496</v>
      </c>
      <c r="J226" s="2" t="str">
        <f t="shared" si="6"/>
        <v>https://permalinkbnd.bnportugal.gov.pt/viewer/273527/?offset=#page=5&amp;viewer=picture&amp;o=info&amp;n=0&amp;q=</v>
      </c>
      <c r="K226" s="1" t="s">
        <v>346</v>
      </c>
      <c r="L226" s="1" t="str">
        <f>VLOOKUP(A226,Folha2!$A$2:$B$2019,2,FALSE)</f>
        <v>Alfredo Campos, A leitura d'Os Lusíadas: aquarelas. 1880. Dois sonetos. Celebrações (1880), recepção criativa, tematização.</v>
      </c>
      <c r="M226" s="12" t="str">
        <f t="shared" si="7"/>
        <v>https://permalinkbnd.bnportugal.gov.pt/viewer/273527/?offset=#page=5&amp;viewer=picture&amp;o=info&amp;n=0&amp;q=</v>
      </c>
      <c r="N226" s="12" t="s">
        <v>1497</v>
      </c>
      <c r="O226" s="12" t="str">
        <f>CONCATENATE(N226,A226,"\",B226,"\",C226,".jpg")</f>
        <v>C:\Users\mbaptista\OneDrive - Biblioteca Nacional de Portugal\Documentos\python\camoniana\imagens\capas\851350\1\5.jpg</v>
      </c>
      <c r="P226" s="12" t="str">
        <f>HYPERLINK(O226)</f>
        <v>C:\Users\mbaptista\OneDrive - Biblioteca Nacional de Portugal\Documentos\python\camoniana\imagens\capas\851350\1\5.jpg</v>
      </c>
      <c r="Q226" s="12"/>
      <c r="R226" s="6" t="s">
        <v>347</v>
      </c>
      <c r="S226" s="4"/>
      <c r="T226" s="1"/>
      <c r="U226" s="13" t="s">
        <v>148</v>
      </c>
      <c r="V226" s="13"/>
      <c r="W226" s="5" t="s">
        <v>1491</v>
      </c>
    </row>
    <row r="227" spans="1:23" ht="75">
      <c r="A227" s="1">
        <v>852833</v>
      </c>
      <c r="B227" s="1">
        <v>1</v>
      </c>
      <c r="C227" s="13">
        <v>11</v>
      </c>
      <c r="D227" s="2" t="s">
        <v>348</v>
      </c>
      <c r="E227" s="11" t="s">
        <v>348</v>
      </c>
      <c r="F227" s="11">
        <v>273731</v>
      </c>
      <c r="G227" s="2" t="s">
        <v>1494</v>
      </c>
      <c r="H227" s="2" t="s">
        <v>1495</v>
      </c>
      <c r="I227" s="2" t="s">
        <v>1496</v>
      </c>
      <c r="J227" s="2" t="str">
        <f t="shared" si="6"/>
        <v>https://permalinkbnd.bnportugal.gov.pt/viewer/273731/?offset=#page=11&amp;viewer=picture&amp;o=info&amp;n=0&amp;q=</v>
      </c>
      <c r="K227" s="1">
        <v>11</v>
      </c>
      <c r="L227" s="1" t="str">
        <f>VLOOKUP(A227,Folha2!$A$2:$B$2019,2,FALSE)</f>
        <v xml:space="preserve">Horácio de Araújo, O pranto de Camões, 1891. </v>
      </c>
      <c r="M227" s="12" t="str">
        <f t="shared" si="7"/>
        <v>https://permalinkbnd.bnportugal.gov.pt/viewer/273731/?offset=#page=11&amp;viewer=picture&amp;o=info&amp;n=0&amp;q=</v>
      </c>
      <c r="N227" s="12" t="s">
        <v>1497</v>
      </c>
      <c r="O227" s="12" t="str">
        <f>CONCATENATE(N227,A227,"\",B227,"\",C227,".jpg")</f>
        <v>C:\Users\mbaptista\OneDrive - Biblioteca Nacional de Portugal\Documentos\python\camoniana\imagens\capas\852833\1\11.jpg</v>
      </c>
      <c r="P227" s="12" t="str">
        <f>HYPERLINK(O227)</f>
        <v>C:\Users\mbaptista\OneDrive - Biblioteca Nacional de Portugal\Documentos\python\camoniana\imagens\capas\852833\1\11.jpg</v>
      </c>
      <c r="Q227" s="12"/>
      <c r="R227" s="6" t="s">
        <v>349</v>
      </c>
      <c r="S227" s="4"/>
      <c r="T227" s="1"/>
      <c r="U227" s="13" t="s">
        <v>66</v>
      </c>
      <c r="V227" s="13"/>
      <c r="W227" s="5" t="s">
        <v>1491</v>
      </c>
    </row>
    <row r="228" spans="1:23" ht="75">
      <c r="A228" s="1">
        <v>859037</v>
      </c>
      <c r="B228" s="1">
        <v>1</v>
      </c>
      <c r="C228" s="13">
        <v>3</v>
      </c>
      <c r="D228" s="2" t="s">
        <v>350</v>
      </c>
      <c r="E228" s="5" t="s">
        <v>350</v>
      </c>
      <c r="F228" s="5">
        <v>272628</v>
      </c>
      <c r="G228" s="2" t="s">
        <v>1494</v>
      </c>
      <c r="H228" s="2" t="s">
        <v>1495</v>
      </c>
      <c r="I228" s="2" t="s">
        <v>1496</v>
      </c>
      <c r="J228" s="2" t="str">
        <f t="shared" si="6"/>
        <v>https://permalinkbnd.bnportugal.gov.pt/viewer/272628/?offset=#page=3&amp;viewer=picture&amp;o=info&amp;n=0&amp;q=</v>
      </c>
      <c r="K228" s="1" t="s">
        <v>351</v>
      </c>
      <c r="L228" s="1" t="str">
        <f>VLOOKUP(A228,Folha2!$A$2:$B$2019,2,FALSE)</f>
        <v>José Maria Rodrigues, Notas para uma edição comentada d'Os Lusíadas, 1920</v>
      </c>
      <c r="M228" s="12" t="str">
        <f t="shared" si="7"/>
        <v>https://permalinkbnd.bnportugal.gov.pt/viewer/272628/?offset=#page=3&amp;viewer=picture&amp;o=info&amp;n=0&amp;q=</v>
      </c>
      <c r="N228" s="12" t="s">
        <v>1497</v>
      </c>
      <c r="O228" s="12" t="str">
        <f>CONCATENATE(N228,A228,"\",B228,"\",C228,".jpg")</f>
        <v>C:\Users\mbaptista\OneDrive - Biblioteca Nacional de Portugal\Documentos\python\camoniana\imagens\capas\859037\1\3.jpg</v>
      </c>
      <c r="P228" s="12" t="str">
        <f>HYPERLINK(O228)</f>
        <v>C:\Users\mbaptista\OneDrive - Biblioteca Nacional de Portugal\Documentos\python\camoniana\imagens\capas\859037\1\3.jpg</v>
      </c>
      <c r="Q228" s="12"/>
      <c r="R228" s="6" t="s">
        <v>352</v>
      </c>
      <c r="S228" s="4"/>
      <c r="T228" s="1"/>
      <c r="U228" s="13" t="s">
        <v>145</v>
      </c>
      <c r="V228" s="13"/>
      <c r="W228" s="5" t="s">
        <v>1491</v>
      </c>
    </row>
    <row r="229" spans="1:23" ht="75">
      <c r="A229" s="1">
        <v>865410</v>
      </c>
      <c r="B229" s="1">
        <v>1</v>
      </c>
      <c r="C229" s="1">
        <v>1</v>
      </c>
      <c r="D229" s="2" t="s">
        <v>353</v>
      </c>
      <c r="E229" s="11" t="s">
        <v>353</v>
      </c>
      <c r="F229" s="11">
        <v>281130</v>
      </c>
      <c r="G229" s="2" t="s">
        <v>1494</v>
      </c>
      <c r="H229" s="2" t="s">
        <v>1495</v>
      </c>
      <c r="I229" s="2" t="s">
        <v>1496</v>
      </c>
      <c r="J229" s="2" t="str">
        <f t="shared" si="6"/>
        <v>https://permalinkbnd.bnportugal.gov.pt/viewer/281130/?offset=#page=1&amp;viewer=picture&amp;o=info&amp;n=0&amp;q=</v>
      </c>
      <c r="K229" s="1">
        <v>1</v>
      </c>
      <c r="L229" s="1" t="str">
        <f>VLOOKUP(A229,Folha2!$A$2:$B$2019,2,FALSE)</f>
        <v>O brasão do apelido de Camões, 1880</v>
      </c>
      <c r="M229" s="12" t="str">
        <f t="shared" si="7"/>
        <v>https://permalinkbnd.bnportugal.gov.pt/viewer/281130/?offset=#page=1&amp;viewer=picture&amp;o=info&amp;n=0&amp;q=</v>
      </c>
      <c r="N229" s="12" t="s">
        <v>1497</v>
      </c>
      <c r="O229" s="12" t="str">
        <f>CONCATENATE(N229,A229,"\",B229,"\",C229,".jpg")</f>
        <v>C:\Users\mbaptista\OneDrive - Biblioteca Nacional de Portugal\Documentos\python\camoniana\imagens\capas\865410\1\1.jpg</v>
      </c>
      <c r="P229" s="12" t="str">
        <f>HYPERLINK(O229)</f>
        <v>C:\Users\mbaptista\OneDrive - Biblioteca Nacional de Portugal\Documentos\python\camoniana\imagens\capas\865410\1\1.jpg</v>
      </c>
      <c r="Q229" s="12"/>
      <c r="R229" s="6" t="s">
        <v>354</v>
      </c>
      <c r="S229" s="4"/>
      <c r="T229" s="1">
        <v>1</v>
      </c>
      <c r="U229" s="13"/>
      <c r="V229" s="13"/>
      <c r="W229" s="5" t="s">
        <v>1491</v>
      </c>
    </row>
    <row r="230" spans="1:23" ht="75">
      <c r="A230" s="1">
        <v>874327</v>
      </c>
      <c r="B230" s="1">
        <v>1</v>
      </c>
      <c r="C230" s="1"/>
      <c r="D230" s="2" t="s">
        <v>355</v>
      </c>
      <c r="E230" s="5" t="s">
        <v>355</v>
      </c>
      <c r="F230" s="5">
        <v>273183</v>
      </c>
      <c r="G230" s="2" t="s">
        <v>1494</v>
      </c>
      <c r="H230" s="2" t="s">
        <v>1495</v>
      </c>
      <c r="I230" s="2" t="s">
        <v>1496</v>
      </c>
      <c r="J230" s="2" t="str">
        <f t="shared" si="6"/>
        <v>https://permalinkbnd.bnportugal.gov.pt/viewer/273183/?offset=#page=&amp;viewer=picture&amp;o=info&amp;n=0&amp;q=</v>
      </c>
      <c r="K230" s="1" t="s">
        <v>356</v>
      </c>
      <c r="L230" s="1" t="str">
        <f>VLOOKUP(A230,Folha2!$A$2:$B$2019,2,FALSE)</f>
        <v>Antoine de Cournand, Épisode de Inès de Castro, imité du portugais de Camões, 1890. Trad. Paratextos gerais: surgem truncados ou em falta, pois só surge a partir da p. 4.</v>
      </c>
      <c r="M230" s="12" t="str">
        <f t="shared" si="7"/>
        <v>https://permalinkbnd.bnportugal.gov.pt/viewer/273183/?offset=#page=&amp;viewer=picture&amp;o=info&amp;n=0&amp;q=</v>
      </c>
      <c r="N230" s="12" t="s">
        <v>1497</v>
      </c>
      <c r="O230" s="12" t="str">
        <f>CONCATENATE(N230,A230,"\",B230,"\",C230,".jpg")</f>
        <v>C:\Users\mbaptista\OneDrive - Biblioteca Nacional de Portugal\Documentos\python\camoniana\imagens\capas\874327\1\.jpg</v>
      </c>
      <c r="P230" s="12" t="str">
        <f>HYPERLINK(O230)</f>
        <v>C:\Users\mbaptista\OneDrive - Biblioteca Nacional de Portugal\Documentos\python\camoniana\imagens\capas\874327\1\.jpg</v>
      </c>
      <c r="Q230" s="12"/>
      <c r="R230" s="6" t="s">
        <v>357</v>
      </c>
      <c r="S230" s="4"/>
      <c r="T230" s="1"/>
      <c r="U230" s="13" t="s">
        <v>145</v>
      </c>
      <c r="V230" s="13"/>
      <c r="W230" s="5" t="s">
        <v>1491</v>
      </c>
    </row>
    <row r="231" spans="1:23" ht="75">
      <c r="A231" s="1">
        <v>917387</v>
      </c>
      <c r="B231" s="1">
        <v>1</v>
      </c>
      <c r="C231" s="1">
        <v>1</v>
      </c>
      <c r="D231" s="2" t="s">
        <v>358</v>
      </c>
      <c r="E231" s="11" t="s">
        <v>358</v>
      </c>
      <c r="F231" s="11">
        <v>272728</v>
      </c>
      <c r="G231" s="2" t="s">
        <v>1494</v>
      </c>
      <c r="H231" s="2" t="s">
        <v>1495</v>
      </c>
      <c r="I231" s="2" t="s">
        <v>1496</v>
      </c>
      <c r="J231" s="2" t="str">
        <f t="shared" si="6"/>
        <v>https://permalinkbnd.bnportugal.gov.pt/viewer/272728/?offset=#page=1&amp;viewer=picture&amp;o=info&amp;n=0&amp;q=</v>
      </c>
      <c r="K231" s="1">
        <v>1</v>
      </c>
      <c r="L231" s="1" t="str">
        <f>VLOOKUP(A231,Folha2!$A$2:$B$2019,2,FALSE)</f>
        <v>Terceiro centenário de Camões. Rio de Janeiro, Botafogo, 1880. Surge a figura de um Poeta laureado: Camões?</v>
      </c>
      <c r="M231" s="12" t="str">
        <f t="shared" si="7"/>
        <v>https://permalinkbnd.bnportugal.gov.pt/viewer/272728/?offset=#page=1&amp;viewer=picture&amp;o=info&amp;n=0&amp;q=</v>
      </c>
      <c r="N231" s="12" t="s">
        <v>1497</v>
      </c>
      <c r="O231" s="12" t="str">
        <f>CONCATENATE(N231,A231,"\",B231,"\",C231,".jpg")</f>
        <v>C:\Users\mbaptista\OneDrive - Biblioteca Nacional de Portugal\Documentos\python\camoniana\imagens\capas\917387\1\1.jpg</v>
      </c>
      <c r="P231" s="12" t="str">
        <f>HYPERLINK(O231)</f>
        <v>C:\Users\mbaptista\OneDrive - Biblioteca Nacional de Portugal\Documentos\python\camoniana\imagens\capas\917387\1\1.jpg</v>
      </c>
      <c r="Q231" s="12"/>
      <c r="R231" s="6" t="s">
        <v>359</v>
      </c>
      <c r="S231" s="4"/>
      <c r="T231" s="1">
        <v>1</v>
      </c>
      <c r="U231" s="13"/>
      <c r="V231" s="13"/>
      <c r="W231" s="5" t="s">
        <v>1491</v>
      </c>
    </row>
    <row r="232" spans="1:23" ht="75">
      <c r="A232" s="1">
        <v>931586</v>
      </c>
      <c r="B232" s="1">
        <v>1</v>
      </c>
      <c r="C232" s="1">
        <v>1</v>
      </c>
      <c r="D232" s="2" t="s">
        <v>360</v>
      </c>
      <c r="E232" s="5" t="s">
        <v>360</v>
      </c>
      <c r="F232" s="5">
        <v>272733</v>
      </c>
      <c r="G232" s="2" t="s">
        <v>1494</v>
      </c>
      <c r="H232" s="2" t="s">
        <v>1495</v>
      </c>
      <c r="I232" s="2" t="s">
        <v>1496</v>
      </c>
      <c r="J232" s="2" t="str">
        <f t="shared" si="6"/>
        <v>https://permalinkbnd.bnportugal.gov.pt/viewer/272733/?offset=#page=1&amp;viewer=picture&amp;o=info&amp;n=0&amp;q=</v>
      </c>
      <c r="K232" s="1" t="s">
        <v>120</v>
      </c>
      <c r="L232" s="1" t="str">
        <f>VLOOKUP(A232,Folha2!$A$2:$B$2019,2,FALSE)</f>
        <v>Retrato de Camões, 1900</v>
      </c>
      <c r="M232" s="12" t="str">
        <f t="shared" si="7"/>
        <v>https://permalinkbnd.bnportugal.gov.pt/viewer/272733/?offset=#page=1&amp;viewer=picture&amp;o=info&amp;n=0&amp;q=</v>
      </c>
      <c r="N232" s="12" t="s">
        <v>1497</v>
      </c>
      <c r="O232" s="12" t="str">
        <f>CONCATENATE(N232,A232,"\",B232,"\",C232,".jpg")</f>
        <v>C:\Users\mbaptista\OneDrive - Biblioteca Nacional de Portugal\Documentos\python\camoniana\imagens\capas\931586\1\1.jpg</v>
      </c>
      <c r="P232" s="12" t="str">
        <f>HYPERLINK(O232)</f>
        <v>C:\Users\mbaptista\OneDrive - Biblioteca Nacional de Portugal\Documentos\python\camoniana\imagens\capas\931586\1\1.jpg</v>
      </c>
      <c r="Q232" s="12"/>
      <c r="R232" s="6" t="s">
        <v>361</v>
      </c>
      <c r="S232" s="4"/>
      <c r="T232" s="1">
        <v>1</v>
      </c>
      <c r="U232" s="13"/>
      <c r="V232" s="13"/>
      <c r="W232" s="5" t="s">
        <v>1491</v>
      </c>
    </row>
    <row r="233" spans="1:23" ht="75">
      <c r="A233" s="1">
        <v>950676</v>
      </c>
      <c r="B233" s="1">
        <v>1</v>
      </c>
      <c r="C233" s="1">
        <v>1</v>
      </c>
      <c r="D233" s="2" t="s">
        <v>362</v>
      </c>
      <c r="E233" s="11" t="s">
        <v>362</v>
      </c>
      <c r="F233" s="11">
        <v>33718</v>
      </c>
      <c r="G233" s="2" t="s">
        <v>1494</v>
      </c>
      <c r="H233" s="2" t="s">
        <v>1495</v>
      </c>
      <c r="I233" s="2" t="s">
        <v>1496</v>
      </c>
      <c r="J233" s="2" t="str">
        <f t="shared" si="6"/>
        <v>https://permalinkbnd.bnportugal.gov.pt/viewer/33718/?offset=#page=1&amp;viewer=picture&amp;o=info&amp;n=0&amp;q=</v>
      </c>
      <c r="K233" s="1">
        <v>1</v>
      </c>
      <c r="L233" s="1" t="str">
        <f>VLOOKUP(A233,Folha2!$A$2:$B$2019,2,FALSE)</f>
        <v>Lustrel Dulong, Derniers moments de Camões, 1845?</v>
      </c>
      <c r="M233" s="12" t="str">
        <f t="shared" si="7"/>
        <v>https://permalinkbnd.bnportugal.gov.pt/viewer/33718/?offset=#page=1&amp;viewer=picture&amp;o=info&amp;n=0&amp;q=</v>
      </c>
      <c r="N233" s="12" t="s">
        <v>1497</v>
      </c>
      <c r="O233" s="12" t="str">
        <f>CONCATENATE(N233,A233,"\",B233,"\",C233,".jpg")</f>
        <v>C:\Users\mbaptista\OneDrive - Biblioteca Nacional de Portugal\Documentos\python\camoniana\imagens\capas\950676\1\1.jpg</v>
      </c>
      <c r="P233" s="12" t="str">
        <f>HYPERLINK(O233)</f>
        <v>C:\Users\mbaptista\OneDrive - Biblioteca Nacional de Portugal\Documentos\python\camoniana\imagens\capas\950676\1\1.jpg</v>
      </c>
      <c r="Q233" s="12"/>
      <c r="R233" s="6" t="s">
        <v>363</v>
      </c>
      <c r="S233" s="4"/>
      <c r="T233" s="1">
        <v>1</v>
      </c>
      <c r="U233" s="13"/>
      <c r="V233" s="13"/>
      <c r="W233" s="5" t="s">
        <v>1491</v>
      </c>
    </row>
    <row r="234" spans="1:23" ht="75">
      <c r="A234" s="1">
        <v>950691</v>
      </c>
      <c r="B234" s="1">
        <v>1</v>
      </c>
      <c r="C234" s="1">
        <v>1</v>
      </c>
      <c r="D234" s="2" t="s">
        <v>364</v>
      </c>
      <c r="E234" s="5" t="s">
        <v>364</v>
      </c>
      <c r="F234" s="5">
        <v>33721</v>
      </c>
      <c r="G234" s="2" t="s">
        <v>1494</v>
      </c>
      <c r="H234" s="2" t="s">
        <v>1495</v>
      </c>
      <c r="I234" s="2" t="s">
        <v>1496</v>
      </c>
      <c r="J234" s="2" t="str">
        <f t="shared" si="6"/>
        <v>https://permalinkbnd.bnportugal.gov.pt/viewer/33721/?offset=#page=1&amp;viewer=picture&amp;o=info&amp;n=0&amp;q=</v>
      </c>
      <c r="K234" s="1">
        <v>1</v>
      </c>
      <c r="L234" s="1" t="str">
        <f>VLOOKUP(A234,Folha2!$A$2:$B$2019,2,FALSE)</f>
        <v>Jean-Baptiste Meunier, Le Camoens, 1880?</v>
      </c>
      <c r="M234" s="12" t="str">
        <f t="shared" si="7"/>
        <v>https://permalinkbnd.bnportugal.gov.pt/viewer/33721/?offset=#page=1&amp;viewer=picture&amp;o=info&amp;n=0&amp;q=</v>
      </c>
      <c r="N234" s="12" t="s">
        <v>1497</v>
      </c>
      <c r="O234" s="12" t="str">
        <f>CONCATENATE(N234,A234,"\",B234,"\",C234,".jpg")</f>
        <v>C:\Users\mbaptista\OneDrive - Biblioteca Nacional de Portugal\Documentos\python\camoniana\imagens\capas\950691\1\1.jpg</v>
      </c>
      <c r="P234" s="12" t="str">
        <f>HYPERLINK(O234)</f>
        <v>C:\Users\mbaptista\OneDrive - Biblioteca Nacional de Portugal\Documentos\python\camoniana\imagens\capas\950691\1\1.jpg</v>
      </c>
      <c r="Q234" s="12"/>
      <c r="R234" s="6" t="s">
        <v>365</v>
      </c>
      <c r="S234" s="4"/>
      <c r="T234" s="1">
        <v>1</v>
      </c>
      <c r="U234" s="13"/>
      <c r="V234" s="13"/>
      <c r="W234" s="5" t="s">
        <v>1491</v>
      </c>
    </row>
    <row r="235" spans="1:23" ht="75">
      <c r="A235" s="1">
        <v>959409</v>
      </c>
      <c r="B235" s="1">
        <v>1</v>
      </c>
      <c r="C235" s="1">
        <v>1</v>
      </c>
      <c r="D235" s="2" t="s">
        <v>366</v>
      </c>
      <c r="E235" s="11" t="s">
        <v>366</v>
      </c>
      <c r="F235" s="11">
        <v>36775</v>
      </c>
      <c r="G235" s="2" t="s">
        <v>1494</v>
      </c>
      <c r="H235" s="2" t="s">
        <v>1495</v>
      </c>
      <c r="I235" s="2" t="s">
        <v>1496</v>
      </c>
      <c r="J235" s="2" t="str">
        <f t="shared" si="6"/>
        <v>https://permalinkbnd.bnportugal.gov.pt/viewer/36775/?offset=#page=1&amp;viewer=picture&amp;o=info&amp;n=0&amp;q=</v>
      </c>
      <c r="K235" s="1">
        <v>1</v>
      </c>
      <c r="L235" s="1" t="str">
        <f>VLOOKUP(A235,Folha2!$A$2:$B$2019,2,FALSE)</f>
        <v>Francisco Métrass, Camões na gruta de Macau, litografia, 1866. Celebrações (1860), iconografia.</v>
      </c>
      <c r="M235" s="12" t="str">
        <f t="shared" si="7"/>
        <v>https://permalinkbnd.bnportugal.gov.pt/viewer/36775/?offset=#page=1&amp;viewer=picture&amp;o=info&amp;n=0&amp;q=</v>
      </c>
      <c r="N235" s="12" t="s">
        <v>1497</v>
      </c>
      <c r="O235" s="12" t="str">
        <f>CONCATENATE(N235,A235,"\",B235,"\",C235,".jpg")</f>
        <v>C:\Users\mbaptista\OneDrive - Biblioteca Nacional de Portugal\Documentos\python\camoniana\imagens\capas\959409\1\1.jpg</v>
      </c>
      <c r="P235" s="12" t="str">
        <f>HYPERLINK(O235)</f>
        <v>C:\Users\mbaptista\OneDrive - Biblioteca Nacional de Portugal\Documentos\python\camoniana\imagens\capas\959409\1\1.jpg</v>
      </c>
      <c r="Q235" s="12"/>
      <c r="R235" s="6" t="s">
        <v>367</v>
      </c>
      <c r="S235" s="4"/>
      <c r="T235" s="1">
        <v>1</v>
      </c>
      <c r="U235" s="13"/>
      <c r="V235" s="13"/>
      <c r="W235" s="5" t="s">
        <v>1491</v>
      </c>
    </row>
    <row r="236" spans="1:23" ht="75">
      <c r="A236" s="1">
        <v>1025381</v>
      </c>
      <c r="B236" s="1">
        <v>1</v>
      </c>
      <c r="C236" s="1">
        <v>3</v>
      </c>
      <c r="D236" s="2" t="s">
        <v>368</v>
      </c>
      <c r="E236" s="5" t="s">
        <v>368</v>
      </c>
      <c r="F236" s="5">
        <v>274123</v>
      </c>
      <c r="G236" s="2" t="s">
        <v>1494</v>
      </c>
      <c r="H236" s="2" t="s">
        <v>1495</v>
      </c>
      <c r="I236" s="2" t="s">
        <v>1496</v>
      </c>
      <c r="J236" s="2" t="str">
        <f t="shared" si="6"/>
        <v>https://permalinkbnd.bnportugal.gov.pt/viewer/274123/?offset=#page=3&amp;viewer=picture&amp;o=info&amp;n=0&amp;q=</v>
      </c>
      <c r="K236" s="1">
        <v>3</v>
      </c>
      <c r="L236" s="1" t="str">
        <f>VLOOKUP(A236,Folha2!$A$2:$B$2019,2,FALSE)</f>
        <v>Homenagem. Discursos e poesias recitados pelos alunos e alunas da Terceira Ordem do Carmo, 1880. Celebrações (1880), recepção criativa, tematização</v>
      </c>
      <c r="M236" s="12" t="str">
        <f t="shared" si="7"/>
        <v>https://permalinkbnd.bnportugal.gov.pt/viewer/274123/?offset=#page=3&amp;viewer=picture&amp;o=info&amp;n=0&amp;q=</v>
      </c>
      <c r="N236" s="12" t="s">
        <v>1497</v>
      </c>
      <c r="O236" s="12" t="str">
        <f>CONCATENATE(N236,A236,"\",B236,"\",C236,".jpg")</f>
        <v>C:\Users\mbaptista\OneDrive - Biblioteca Nacional de Portugal\Documentos\python\camoniana\imagens\capas\1025381\1\3.jpg</v>
      </c>
      <c r="P236" s="12" t="str">
        <f>HYPERLINK(O236)</f>
        <v>C:\Users\mbaptista\OneDrive - Biblioteca Nacional de Portugal\Documentos\python\camoniana\imagens\capas\1025381\1\3.jpg</v>
      </c>
      <c r="Q236" s="12"/>
      <c r="R236" s="6" t="s">
        <v>369</v>
      </c>
      <c r="S236" s="4"/>
      <c r="T236" s="1">
        <v>3</v>
      </c>
      <c r="U236" s="13"/>
      <c r="V236" s="13"/>
      <c r="W236" s="5" t="s">
        <v>1491</v>
      </c>
    </row>
    <row r="237" spans="1:23" ht="75">
      <c r="A237" s="1">
        <v>1044776</v>
      </c>
      <c r="B237" s="1">
        <v>1</v>
      </c>
      <c r="C237" s="1">
        <v>1</v>
      </c>
      <c r="D237" s="2" t="s">
        <v>370</v>
      </c>
      <c r="E237" s="11" t="s">
        <v>370</v>
      </c>
      <c r="F237" s="11">
        <v>272738</v>
      </c>
      <c r="G237" s="2" t="s">
        <v>1494</v>
      </c>
      <c r="H237" s="2" t="s">
        <v>1495</v>
      </c>
      <c r="I237" s="2" t="s">
        <v>1496</v>
      </c>
      <c r="J237" s="2" t="str">
        <f t="shared" si="6"/>
        <v>https://permalinkbnd.bnportugal.gov.pt/viewer/272738/?offset=#page=1&amp;viewer=picture&amp;o=info&amp;n=0&amp;q=</v>
      </c>
      <c r="K237" s="1" t="s">
        <v>120</v>
      </c>
      <c r="L237" s="1" t="str">
        <f>VLOOKUP(A237,Folha2!$A$2:$B$2019,2,FALSE)</f>
        <v>Cartaz. Verol Senior, Os Lusíadas com excerto da obra: dedicado à digna Comissão dos festejos a Camões, 1880</v>
      </c>
      <c r="M237" s="12" t="str">
        <f t="shared" si="7"/>
        <v>https://permalinkbnd.bnportugal.gov.pt/viewer/272738/?offset=#page=1&amp;viewer=picture&amp;o=info&amp;n=0&amp;q=</v>
      </c>
      <c r="N237" s="12" t="s">
        <v>1497</v>
      </c>
      <c r="O237" s="12" t="str">
        <f>CONCATENATE(N237,A237,"\",B237,"\",C237,".jpg")</f>
        <v>C:\Users\mbaptista\OneDrive - Biblioteca Nacional de Portugal\Documentos\python\camoniana\imagens\capas\1044776\1\1.jpg</v>
      </c>
      <c r="P237" s="12" t="str">
        <f>HYPERLINK(O237)</f>
        <v>C:\Users\mbaptista\OneDrive - Biblioteca Nacional de Portugal\Documentos\python\camoniana\imagens\capas\1044776\1\1.jpg</v>
      </c>
      <c r="Q237" s="12"/>
      <c r="R237" s="6" t="s">
        <v>371</v>
      </c>
      <c r="S237" s="4"/>
      <c r="T237" s="1">
        <v>1</v>
      </c>
      <c r="U237" s="13"/>
      <c r="V237" s="13"/>
      <c r="W237" s="5" t="s">
        <v>1491</v>
      </c>
    </row>
    <row r="238" spans="1:23" ht="105">
      <c r="A238" s="1">
        <v>1066418</v>
      </c>
      <c r="B238" s="1">
        <v>1</v>
      </c>
      <c r="C238" s="1">
        <v>126</v>
      </c>
      <c r="D238" s="2" t="s">
        <v>372</v>
      </c>
      <c r="E238" s="5" t="s">
        <v>372</v>
      </c>
      <c r="F238" s="5">
        <v>274092</v>
      </c>
      <c r="G238" s="2" t="s">
        <v>1494</v>
      </c>
      <c r="H238" s="2" t="s">
        <v>1495</v>
      </c>
      <c r="I238" s="2" t="s">
        <v>1496</v>
      </c>
      <c r="J238" s="2" t="str">
        <f t="shared" si="6"/>
        <v>https://permalinkbnd.bnportugal.gov.pt/viewer/274092/?offset=#page=126&amp;viewer=picture&amp;o=info&amp;n=0&amp;q=</v>
      </c>
      <c r="K238" s="1" t="s">
        <v>373</v>
      </c>
      <c r="L238" s="1" t="str">
        <f>VLOOKUP(A238,Folha2!$A$2:$B$2019,2,FALSE)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8" s="12" t="str">
        <f t="shared" si="7"/>
        <v>https://permalinkbnd.bnportugal.gov.pt/viewer/274092/?offset=#page=126&amp;viewer=picture&amp;o=info&amp;n=0&amp;q=</v>
      </c>
      <c r="N238" s="12" t="s">
        <v>1497</v>
      </c>
      <c r="O238" s="12" t="str">
        <f>CONCATENATE(N238,A238,"\",B238,"\",C238,".jpg")</f>
        <v>C:\Users\mbaptista\OneDrive - Biblioteca Nacional de Portugal\Documentos\python\camoniana\imagens\capas\1066418\1\126.jpg</v>
      </c>
      <c r="P238" s="12" t="str">
        <f>HYPERLINK(O238)</f>
        <v>C:\Users\mbaptista\OneDrive - Biblioteca Nacional de Portugal\Documentos\python\camoniana\imagens\capas\1066418\1\126.jpg</v>
      </c>
      <c r="Q238" s="12"/>
      <c r="R238" s="6" t="s">
        <v>374</v>
      </c>
      <c r="S238" s="4"/>
      <c r="T238" s="1"/>
      <c r="U238" s="13" t="s">
        <v>313</v>
      </c>
      <c r="V238" s="13"/>
      <c r="W238" s="5" t="s">
        <v>1491</v>
      </c>
    </row>
    <row r="239" spans="1:23" ht="105">
      <c r="A239" s="1">
        <v>1066418</v>
      </c>
      <c r="B239" s="1">
        <v>1</v>
      </c>
      <c r="C239" s="1">
        <v>217</v>
      </c>
      <c r="D239" s="2" t="s">
        <v>372</v>
      </c>
      <c r="E239" s="11" t="s">
        <v>372</v>
      </c>
      <c r="F239" s="11">
        <v>274092</v>
      </c>
      <c r="G239" s="2" t="s">
        <v>1494</v>
      </c>
      <c r="H239" s="2" t="s">
        <v>1495</v>
      </c>
      <c r="I239" s="2" t="s">
        <v>1496</v>
      </c>
      <c r="J239" s="2" t="str">
        <f t="shared" si="6"/>
        <v>https://permalinkbnd.bnportugal.gov.pt/viewer/274092/?offset=#page=217&amp;viewer=picture&amp;o=info&amp;n=0&amp;q=</v>
      </c>
      <c r="K239" s="1"/>
      <c r="L239" s="1" t="str">
        <f>VLOOKUP(A239,Folha2!$A$2:$B$2019,2,FALSE)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9" s="12" t="str">
        <f t="shared" si="7"/>
        <v>https://permalinkbnd.bnportugal.gov.pt/viewer/274092/?offset=#page=217&amp;viewer=picture&amp;o=info&amp;n=0&amp;q=</v>
      </c>
      <c r="N239" s="12" t="s">
        <v>1497</v>
      </c>
      <c r="O239" s="12" t="str">
        <f>CONCATENATE(N239,A239,"\",B239,"\",C239,".jpg")</f>
        <v>C:\Users\mbaptista\OneDrive - Biblioteca Nacional de Portugal\Documentos\python\camoniana\imagens\capas\1066418\1\217.jpg</v>
      </c>
      <c r="P239" s="12" t="str">
        <f>HYPERLINK(O239)</f>
        <v>C:\Users\mbaptista\OneDrive - Biblioteca Nacional de Portugal\Documentos\python\camoniana\imagens\capas\1066418\1\217.jpg</v>
      </c>
      <c r="Q239" s="12"/>
      <c r="R239" s="6" t="s">
        <v>375</v>
      </c>
      <c r="S239" s="4"/>
      <c r="T239" s="1"/>
      <c r="U239" s="13" t="s">
        <v>313</v>
      </c>
      <c r="V239" s="13"/>
      <c r="W239" s="5" t="s">
        <v>1491</v>
      </c>
    </row>
    <row r="240" spans="1:23" ht="75">
      <c r="A240" s="1">
        <v>1073960</v>
      </c>
      <c r="B240" s="1">
        <v>1</v>
      </c>
      <c r="C240" s="13">
        <v>9</v>
      </c>
      <c r="D240" s="2" t="s">
        <v>376</v>
      </c>
      <c r="E240" s="5" t="s">
        <v>376</v>
      </c>
      <c r="F240" s="5">
        <v>272390</v>
      </c>
      <c r="G240" s="2" t="s">
        <v>1494</v>
      </c>
      <c r="H240" s="2" t="s">
        <v>1495</v>
      </c>
      <c r="I240" s="2" t="s">
        <v>1496</v>
      </c>
      <c r="J240" s="2" t="str">
        <f t="shared" si="6"/>
        <v>https://permalinkbnd.bnportugal.gov.pt/viewer/272390/?offset=#page=9&amp;viewer=picture&amp;o=info&amp;n=0&amp;q=</v>
      </c>
      <c r="K240" s="1">
        <v>9</v>
      </c>
      <c r="L240" s="1" t="str">
        <f>VLOOKUP(A240,Folha2!$A$2:$B$2019,2,FALSE)</f>
        <v xml:space="preserve">Camoens. Dramma lírico in tre atti. Torino. C. 1852.  </v>
      </c>
      <c r="M240" s="12" t="str">
        <f t="shared" si="7"/>
        <v>https://permalinkbnd.bnportugal.gov.pt/viewer/272390/?offset=#page=9&amp;viewer=picture&amp;o=info&amp;n=0&amp;q=</v>
      </c>
      <c r="N240" s="12" t="s">
        <v>1497</v>
      </c>
      <c r="O240" s="12" t="str">
        <f>CONCATENATE(N240,A240,"\",B240,"\",C240,".jpg")</f>
        <v>C:\Users\mbaptista\OneDrive - Biblioteca Nacional de Portugal\Documentos\python\camoniana\imagens\capas\1073960\1\9.jpg</v>
      </c>
      <c r="P240" s="12" t="str">
        <f>HYPERLINK(O240)</f>
        <v>C:\Users\mbaptista\OneDrive - Biblioteca Nacional de Portugal\Documentos\python\camoniana\imagens\capas\1073960\1\9.jpg</v>
      </c>
      <c r="Q240" s="12"/>
      <c r="R240" s="6" t="s">
        <v>377</v>
      </c>
      <c r="S240" s="4"/>
      <c r="T240" s="1"/>
      <c r="U240" s="13" t="s">
        <v>83</v>
      </c>
      <c r="V240" s="13"/>
      <c r="W240" s="5" t="s">
        <v>1491</v>
      </c>
    </row>
    <row r="241" spans="1:23" ht="300">
      <c r="A241" s="1">
        <v>1076546</v>
      </c>
      <c r="B241" s="1">
        <v>1</v>
      </c>
      <c r="C241" s="1">
        <v>1</v>
      </c>
      <c r="D241" s="2" t="s">
        <v>378</v>
      </c>
      <c r="E241" s="11" t="s">
        <v>378</v>
      </c>
      <c r="F241" s="11">
        <v>280467</v>
      </c>
      <c r="G241" s="2" t="s">
        <v>1494</v>
      </c>
      <c r="H241" s="2" t="s">
        <v>1495</v>
      </c>
      <c r="I241" s="2" t="s">
        <v>1496</v>
      </c>
      <c r="J241" s="2" t="str">
        <f t="shared" si="6"/>
        <v>https://permalinkbnd.bnportugal.gov.pt/viewer/280467/?offset=#page=1&amp;viewer=picture&amp;o=info&amp;n=0&amp;q=</v>
      </c>
      <c r="K241" s="1" t="s">
        <v>379</v>
      </c>
      <c r="L241" s="1" t="str">
        <f>VLOOKUP(A241,Folha2!$A$2:$B$2019,2,FALSE)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1" s="12" t="str">
        <f t="shared" si="7"/>
        <v>https://permalinkbnd.bnportugal.gov.pt/viewer/280467/?offset=#page=1&amp;viewer=picture&amp;o=info&amp;n=0&amp;q=</v>
      </c>
      <c r="N241" s="12" t="s">
        <v>1497</v>
      </c>
      <c r="O241" s="12" t="str">
        <f>CONCATENATE(N241,A241,"\",B241,"\",C241,".jpg")</f>
        <v>C:\Users\mbaptista\OneDrive - Biblioteca Nacional de Portugal\Documentos\python\camoniana\imagens\capas\1076546\1\1.jpg</v>
      </c>
      <c r="P241" s="12" t="str">
        <f>HYPERLINK(O241)</f>
        <v>C:\Users\mbaptista\OneDrive - Biblioteca Nacional de Portugal\Documentos\python\camoniana\imagens\capas\1076546\1\1.jpg</v>
      </c>
      <c r="Q241" s="12"/>
      <c r="R241" s="6" t="s">
        <v>380</v>
      </c>
      <c r="S241" s="4"/>
      <c r="T241" s="1" t="s">
        <v>379</v>
      </c>
      <c r="U241" s="13"/>
      <c r="V241" s="13"/>
      <c r="W241" s="5" t="s">
        <v>1491</v>
      </c>
    </row>
    <row r="242" spans="1:23" ht="300">
      <c r="A242" s="1">
        <v>1076546</v>
      </c>
      <c r="B242" s="1">
        <v>1</v>
      </c>
      <c r="C242" s="1">
        <v>13</v>
      </c>
      <c r="D242" s="2" t="s">
        <v>378</v>
      </c>
      <c r="E242" s="5" t="s">
        <v>378</v>
      </c>
      <c r="F242" s="5">
        <v>280467</v>
      </c>
      <c r="G242" s="2" t="s">
        <v>1494</v>
      </c>
      <c r="H242" s="2" t="s">
        <v>1495</v>
      </c>
      <c r="I242" s="2" t="s">
        <v>1496</v>
      </c>
      <c r="J242" s="2" t="str">
        <f t="shared" si="6"/>
        <v>https://permalinkbnd.bnportugal.gov.pt/viewer/280467/?offset=#page=13&amp;viewer=picture&amp;o=info&amp;n=0&amp;q=</v>
      </c>
      <c r="K242" s="1" t="s">
        <v>379</v>
      </c>
      <c r="L242" s="1" t="str">
        <f>VLOOKUP(A242,Folha2!$A$2:$B$2019,2,FALSE)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2" s="12" t="str">
        <f t="shared" si="7"/>
        <v>https://permalinkbnd.bnportugal.gov.pt/viewer/280467/?offset=#page=13&amp;viewer=picture&amp;o=info&amp;n=0&amp;q=</v>
      </c>
      <c r="N242" s="12" t="s">
        <v>1497</v>
      </c>
      <c r="O242" s="12" t="str">
        <f>CONCATENATE(N242,A242,"\",B242,"\",C242,".jpg")</f>
        <v>C:\Users\mbaptista\OneDrive - Biblioteca Nacional de Portugal\Documentos\python\camoniana\imagens\capas\1076546\1\13.jpg</v>
      </c>
      <c r="P242" s="12" t="str">
        <f>HYPERLINK(O242)</f>
        <v>C:\Users\mbaptista\OneDrive - Biblioteca Nacional de Portugal\Documentos\python\camoniana\imagens\capas\1076546\1\13.jpg</v>
      </c>
      <c r="Q242" s="12"/>
      <c r="R242" s="6" t="s">
        <v>381</v>
      </c>
      <c r="S242" s="4"/>
      <c r="T242" s="1" t="s">
        <v>379</v>
      </c>
      <c r="U242" s="13"/>
      <c r="V242" s="13"/>
      <c r="W242" s="5" t="s">
        <v>1491</v>
      </c>
    </row>
    <row r="243" spans="1:23" ht="300">
      <c r="A243" s="1">
        <v>1076546</v>
      </c>
      <c r="B243" s="1">
        <v>1</v>
      </c>
      <c r="C243" s="1">
        <v>35</v>
      </c>
      <c r="D243" s="2" t="s">
        <v>378</v>
      </c>
      <c r="E243" s="11" t="s">
        <v>378</v>
      </c>
      <c r="F243" s="11">
        <v>280467</v>
      </c>
      <c r="G243" s="2" t="s">
        <v>1494</v>
      </c>
      <c r="H243" s="2" t="s">
        <v>1495</v>
      </c>
      <c r="I243" s="2" t="s">
        <v>1496</v>
      </c>
      <c r="J243" s="2" t="str">
        <f t="shared" si="6"/>
        <v>https://permalinkbnd.bnportugal.gov.pt/viewer/280467/?offset=#page=35&amp;viewer=picture&amp;o=info&amp;n=0&amp;q=</v>
      </c>
      <c r="K243" s="1" t="s">
        <v>379</v>
      </c>
      <c r="L243" s="1" t="str">
        <f>VLOOKUP(A243,Folha2!$A$2:$B$2019,2,FALSE)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3" s="12" t="str">
        <f t="shared" si="7"/>
        <v>https://permalinkbnd.bnportugal.gov.pt/viewer/280467/?offset=#page=35&amp;viewer=picture&amp;o=info&amp;n=0&amp;q=</v>
      </c>
      <c r="N243" s="12" t="s">
        <v>1497</v>
      </c>
      <c r="O243" s="12" t="str">
        <f>CONCATENATE(N243,A243,"\",B243,"\",C243,".jpg")</f>
        <v>C:\Users\mbaptista\OneDrive - Biblioteca Nacional de Portugal\Documentos\python\camoniana\imagens\capas\1076546\1\35.jpg</v>
      </c>
      <c r="P243" s="12" t="str">
        <f>HYPERLINK(O243)</f>
        <v>C:\Users\mbaptista\OneDrive - Biblioteca Nacional de Portugal\Documentos\python\camoniana\imagens\capas\1076546\1\35.jpg</v>
      </c>
      <c r="Q243" s="12"/>
      <c r="R243" s="6" t="s">
        <v>382</v>
      </c>
      <c r="S243" s="4"/>
      <c r="T243" s="1" t="s">
        <v>379</v>
      </c>
      <c r="U243" s="13"/>
      <c r="V243" s="13"/>
      <c r="W243" s="5" t="s">
        <v>1491</v>
      </c>
    </row>
    <row r="244" spans="1:23" ht="75">
      <c r="A244" s="1">
        <v>1306834</v>
      </c>
      <c r="B244" s="1">
        <v>1</v>
      </c>
      <c r="C244" s="1">
        <v>1</v>
      </c>
      <c r="D244" s="2" t="s">
        <v>383</v>
      </c>
      <c r="E244" s="5" t="s">
        <v>383</v>
      </c>
      <c r="F244" s="5">
        <v>36160</v>
      </c>
      <c r="G244" s="2" t="s">
        <v>1494</v>
      </c>
      <c r="H244" s="2" t="s">
        <v>1495</v>
      </c>
      <c r="I244" s="2" t="s">
        <v>1496</v>
      </c>
      <c r="J244" s="2" t="str">
        <f t="shared" si="6"/>
        <v>https://permalinkbnd.bnportugal.gov.pt/viewer/36160/?offset=#page=1&amp;viewer=picture&amp;o=info&amp;n=0&amp;q=</v>
      </c>
      <c r="K244" s="1">
        <v>1</v>
      </c>
      <c r="L244" s="1" t="str">
        <f>VLOOKUP(A244,Folha2!$A$2:$B$2019,2,FALSE)</f>
        <v>Louis-Alphonse Bichebois, Grotte du Camoens, c. 1845. Iconografia, Lugares de memória.</v>
      </c>
      <c r="M244" s="12" t="str">
        <f t="shared" si="7"/>
        <v>https://permalinkbnd.bnportugal.gov.pt/viewer/36160/?offset=#page=1&amp;viewer=picture&amp;o=info&amp;n=0&amp;q=</v>
      </c>
      <c r="N244" s="12" t="s">
        <v>1497</v>
      </c>
      <c r="O244" s="12" t="str">
        <f>CONCATENATE(N244,A244,"\",B244,"\",C244,".jpg")</f>
        <v>C:\Users\mbaptista\OneDrive - Biblioteca Nacional de Portugal\Documentos\python\camoniana\imagens\capas\1306834\1\1.jpg</v>
      </c>
      <c r="P244" s="12" t="str">
        <f>HYPERLINK(O244)</f>
        <v>C:\Users\mbaptista\OneDrive - Biblioteca Nacional de Portugal\Documentos\python\camoniana\imagens\capas\1306834\1\1.jpg</v>
      </c>
      <c r="Q244" s="12"/>
      <c r="R244" s="6" t="s">
        <v>384</v>
      </c>
      <c r="S244" s="4"/>
      <c r="T244" s="1">
        <v>1</v>
      </c>
      <c r="U244" s="13"/>
      <c r="V244" s="13"/>
      <c r="W244" s="5" t="s">
        <v>1491</v>
      </c>
    </row>
    <row r="245" spans="1:23" ht="75">
      <c r="A245" s="1">
        <v>1313328</v>
      </c>
      <c r="B245" s="1">
        <v>1</v>
      </c>
      <c r="C245" s="1">
        <v>1</v>
      </c>
      <c r="D245" s="2" t="s">
        <v>385</v>
      </c>
      <c r="E245" s="11" t="s">
        <v>385</v>
      </c>
      <c r="F245" s="11">
        <v>272788</v>
      </c>
      <c r="G245" s="2" t="s">
        <v>1494</v>
      </c>
      <c r="H245" s="2" t="s">
        <v>1495</v>
      </c>
      <c r="I245" s="2" t="s">
        <v>1496</v>
      </c>
      <c r="J245" s="2" t="str">
        <f t="shared" si="6"/>
        <v>https://permalinkbnd.bnportugal.gov.pt/viewer/272788/?offset=#page=1&amp;viewer=picture&amp;o=info&amp;n=0&amp;q=</v>
      </c>
      <c r="K245" s="1">
        <v>1</v>
      </c>
      <c r="L245" s="1" t="str">
        <f>VLOOKUP(A245,Folha2!$A$2:$B$2019,2,FALSE)</f>
        <v>Francisco Pinto, O génio de Camões. Romança. 1850-1857?</v>
      </c>
      <c r="M245" s="12" t="str">
        <f t="shared" si="7"/>
        <v>https://permalinkbnd.bnportugal.gov.pt/viewer/272788/?offset=#page=1&amp;viewer=picture&amp;o=info&amp;n=0&amp;q=</v>
      </c>
      <c r="N245" s="12" t="s">
        <v>1497</v>
      </c>
      <c r="O245" s="12" t="str">
        <f>CONCATENATE(N245,A245,"\",B245,"\",C245,".jpg")</f>
        <v>C:\Users\mbaptista\OneDrive - Biblioteca Nacional de Portugal\Documentos\python\camoniana\imagens\capas\1313328\1\1.jpg</v>
      </c>
      <c r="P245" s="12" t="str">
        <f>HYPERLINK(O245)</f>
        <v>C:\Users\mbaptista\OneDrive - Biblioteca Nacional de Portugal\Documentos\python\camoniana\imagens\capas\1313328\1\1.jpg</v>
      </c>
      <c r="Q245" s="12"/>
      <c r="R245" s="6" t="s">
        <v>386</v>
      </c>
      <c r="S245" s="4"/>
      <c r="T245" s="1">
        <v>1</v>
      </c>
      <c r="U245" s="13"/>
      <c r="V245" s="13"/>
      <c r="W245" s="5" t="s">
        <v>1491</v>
      </c>
    </row>
    <row r="246" spans="1:23" ht="75">
      <c r="A246" s="1">
        <v>1376687</v>
      </c>
      <c r="B246" s="1">
        <v>1</v>
      </c>
      <c r="C246" s="1">
        <v>1</v>
      </c>
      <c r="D246" s="2" t="s">
        <v>387</v>
      </c>
      <c r="E246" s="5" t="s">
        <v>387</v>
      </c>
      <c r="F246" s="5">
        <v>88185</v>
      </c>
      <c r="G246" s="2" t="s">
        <v>1494</v>
      </c>
      <c r="H246" s="2" t="s">
        <v>1495</v>
      </c>
      <c r="I246" s="2" t="s">
        <v>1496</v>
      </c>
      <c r="J246" s="2" t="str">
        <f t="shared" si="6"/>
        <v>https://permalinkbnd.bnportugal.gov.pt/viewer/88185/?offset=#page=1&amp;viewer=picture&amp;o=info&amp;n=0&amp;q=</v>
      </c>
      <c r="K246" s="1">
        <v>1</v>
      </c>
      <c r="L246" s="1" t="str">
        <f>VLOOKUP(A246,Folha2!$A$2:$B$2019,2,FALSE)</f>
        <v>Postal Ilustrado. Old Goa. Statue of poet Camões, 193?</v>
      </c>
      <c r="M246" s="12" t="str">
        <f t="shared" si="7"/>
        <v>https://permalinkbnd.bnportugal.gov.pt/viewer/88185/?offset=#page=1&amp;viewer=picture&amp;o=info&amp;n=0&amp;q=</v>
      </c>
      <c r="N246" s="12" t="s">
        <v>1497</v>
      </c>
      <c r="O246" s="12" t="str">
        <f>CONCATENATE(N246,A246,"\",B246,"\",C246,".jpg")</f>
        <v>C:\Users\mbaptista\OneDrive - Biblioteca Nacional de Portugal\Documentos\python\camoniana\imagens\capas\1376687\1\1.jpg</v>
      </c>
      <c r="P246" s="12" t="str">
        <f>HYPERLINK(O246)</f>
        <v>C:\Users\mbaptista\OneDrive - Biblioteca Nacional de Portugal\Documentos\python\camoniana\imagens\capas\1376687\1\1.jpg</v>
      </c>
      <c r="Q246" s="12"/>
      <c r="R246" s="6" t="s">
        <v>388</v>
      </c>
      <c r="S246" s="4"/>
      <c r="T246" s="1">
        <v>1</v>
      </c>
      <c r="U246" s="13"/>
      <c r="V246" s="13"/>
      <c r="W246" s="5" t="s">
        <v>1491</v>
      </c>
    </row>
    <row r="247" spans="1:23" ht="75">
      <c r="A247" s="1">
        <v>1376717</v>
      </c>
      <c r="B247" s="1">
        <v>1</v>
      </c>
      <c r="C247" s="1">
        <v>1</v>
      </c>
      <c r="D247" s="2" t="s">
        <v>389</v>
      </c>
      <c r="E247" s="11" t="s">
        <v>389</v>
      </c>
      <c r="F247" s="11">
        <v>272785</v>
      </c>
      <c r="G247" s="2" t="s">
        <v>1494</v>
      </c>
      <c r="H247" s="2" t="s">
        <v>1495</v>
      </c>
      <c r="I247" s="2" t="s">
        <v>1496</v>
      </c>
      <c r="J247" s="2" t="str">
        <f t="shared" si="6"/>
        <v>https://permalinkbnd.bnportugal.gov.pt/viewer/272785/?offset=#page=1&amp;viewer=picture&amp;o=info&amp;n=0&amp;q=</v>
      </c>
      <c r="K247" s="1">
        <v>1</v>
      </c>
      <c r="L247" s="1" t="str">
        <f>VLOOKUP(A247,Folha2!$A$2:$B$2019,2,FALSE)</f>
        <v>Postal ilustrado. Camões Grotto. 191?</v>
      </c>
      <c r="M247" s="12" t="str">
        <f t="shared" si="7"/>
        <v>https://permalinkbnd.bnportugal.gov.pt/viewer/272785/?offset=#page=1&amp;viewer=picture&amp;o=info&amp;n=0&amp;q=</v>
      </c>
      <c r="N247" s="12" t="s">
        <v>1497</v>
      </c>
      <c r="O247" s="12" t="str">
        <f>CONCATENATE(N247,A247,"\",B247,"\",C247,".jpg")</f>
        <v>C:\Users\mbaptista\OneDrive - Biblioteca Nacional de Portugal\Documentos\python\camoniana\imagens\capas\1376717\1\1.jpg</v>
      </c>
      <c r="P247" s="12" t="str">
        <f>HYPERLINK(O247)</f>
        <v>C:\Users\mbaptista\OneDrive - Biblioteca Nacional de Portugal\Documentos\python\camoniana\imagens\capas\1376717\1\1.jpg</v>
      </c>
      <c r="Q247" s="12"/>
      <c r="R247" s="6" t="s">
        <v>390</v>
      </c>
      <c r="S247" s="4"/>
      <c r="T247" s="1">
        <v>1</v>
      </c>
      <c r="U247" s="13"/>
      <c r="V247" s="13"/>
      <c r="W247" s="5" t="s">
        <v>1491</v>
      </c>
    </row>
    <row r="248" spans="1:23" ht="75">
      <c r="A248" s="1">
        <v>1380949</v>
      </c>
      <c r="B248" s="1">
        <v>1</v>
      </c>
      <c r="C248" s="1">
        <v>1</v>
      </c>
      <c r="D248" s="2" t="s">
        <v>391</v>
      </c>
      <c r="E248" s="5" t="s">
        <v>391</v>
      </c>
      <c r="F248" s="5">
        <v>38463</v>
      </c>
      <c r="G248" s="2" t="s">
        <v>1494</v>
      </c>
      <c r="H248" s="2" t="s">
        <v>1495</v>
      </c>
      <c r="I248" s="2" t="s">
        <v>1496</v>
      </c>
      <c r="J248" s="2" t="str">
        <f t="shared" si="6"/>
        <v>https://permalinkbnd.bnportugal.gov.pt/viewer/38463/?offset=#page=1&amp;viewer=picture&amp;o=info&amp;n=0&amp;q=</v>
      </c>
      <c r="K248" s="1">
        <v>1</v>
      </c>
      <c r="L248" s="1" t="str">
        <f>VLOOKUP(A248,Folha2!$A$2:$B$2019,2,FALSE)</f>
        <v>Simon Guérin, Mort de Camoens, c. 1840</v>
      </c>
      <c r="M248" s="12" t="str">
        <f t="shared" si="7"/>
        <v>https://permalinkbnd.bnportugal.gov.pt/viewer/38463/?offset=#page=1&amp;viewer=picture&amp;o=info&amp;n=0&amp;q=</v>
      </c>
      <c r="N248" s="12" t="s">
        <v>1497</v>
      </c>
      <c r="O248" s="12" t="str">
        <f>CONCATENATE(N248,A248,"\",B248,"\",C248,".jpg")</f>
        <v>C:\Users\mbaptista\OneDrive - Biblioteca Nacional de Portugal\Documentos\python\camoniana\imagens\capas\1380949\1\1.jpg</v>
      </c>
      <c r="P248" s="12" t="str">
        <f>HYPERLINK(O248)</f>
        <v>C:\Users\mbaptista\OneDrive - Biblioteca Nacional de Portugal\Documentos\python\camoniana\imagens\capas\1380949\1\1.jpg</v>
      </c>
      <c r="Q248" s="12"/>
      <c r="R248" s="6" t="s">
        <v>392</v>
      </c>
      <c r="S248" s="4"/>
      <c r="T248" s="1">
        <v>1</v>
      </c>
      <c r="U248" s="13"/>
      <c r="V248" s="13"/>
      <c r="W248" s="5" t="s">
        <v>1491</v>
      </c>
    </row>
    <row r="249" spans="1:23" ht="75">
      <c r="A249" s="1">
        <v>1381028</v>
      </c>
      <c r="B249" s="1">
        <v>1</v>
      </c>
      <c r="C249" s="1">
        <v>1</v>
      </c>
      <c r="D249" s="2" t="s">
        <v>393</v>
      </c>
      <c r="E249" s="11" t="s">
        <v>393</v>
      </c>
      <c r="F249" s="11">
        <v>38591</v>
      </c>
      <c r="G249" s="2" t="s">
        <v>1494</v>
      </c>
      <c r="H249" s="2" t="s">
        <v>1495</v>
      </c>
      <c r="I249" s="2" t="s">
        <v>1496</v>
      </c>
      <c r="J249" s="2" t="str">
        <f t="shared" si="6"/>
        <v>https://permalinkbnd.bnportugal.gov.pt/viewer/38591/?offset=#page=1&amp;viewer=picture&amp;o=info&amp;n=0&amp;q=</v>
      </c>
      <c r="K249" s="1">
        <v>1</v>
      </c>
      <c r="L249" s="1" t="str">
        <f>VLOOKUP(A249,Folha2!$A$2:$B$2019,2,FALSE)</f>
        <v>F. Gérard, Camões. Reprodução da imagem criada para a edição d Morgado de Mateus, 1817, 1900</v>
      </c>
      <c r="M249" s="12" t="str">
        <f t="shared" si="7"/>
        <v>https://permalinkbnd.bnportugal.gov.pt/viewer/38591/?offset=#page=1&amp;viewer=picture&amp;o=info&amp;n=0&amp;q=</v>
      </c>
      <c r="N249" s="12" t="s">
        <v>1497</v>
      </c>
      <c r="O249" s="12" t="str">
        <f>CONCATENATE(N249,A249,"\",B249,"\",C249,".jpg")</f>
        <v>C:\Users\mbaptista\OneDrive - Biblioteca Nacional de Portugal\Documentos\python\camoniana\imagens\capas\1381028\1\1.jpg</v>
      </c>
      <c r="P249" s="12" t="str">
        <f>HYPERLINK(O249)</f>
        <v>C:\Users\mbaptista\OneDrive - Biblioteca Nacional de Portugal\Documentos\python\camoniana\imagens\capas\1381028\1\1.jpg</v>
      </c>
      <c r="Q249" s="12"/>
      <c r="R249" s="6" t="s">
        <v>394</v>
      </c>
      <c r="S249" s="4"/>
      <c r="T249" s="1">
        <v>1</v>
      </c>
      <c r="U249" s="13"/>
      <c r="V249" s="13"/>
      <c r="W249" s="5" t="s">
        <v>1491</v>
      </c>
    </row>
    <row r="250" spans="1:23" ht="75">
      <c r="A250" s="1">
        <v>1381084</v>
      </c>
      <c r="B250" s="1">
        <v>1</v>
      </c>
      <c r="C250" s="1">
        <v>1</v>
      </c>
      <c r="D250" s="2" t="s">
        <v>395</v>
      </c>
      <c r="E250" s="5" t="s">
        <v>395</v>
      </c>
      <c r="F250" s="5">
        <v>1843</v>
      </c>
      <c r="G250" s="2" t="s">
        <v>1494</v>
      </c>
      <c r="H250" s="2" t="s">
        <v>1495</v>
      </c>
      <c r="I250" s="2" t="s">
        <v>1496</v>
      </c>
      <c r="J250" s="2" t="str">
        <f t="shared" si="6"/>
        <v>https://permalinkbnd.bnportugal.gov.pt/viewer/1843/?offset=#page=1&amp;viewer=picture&amp;o=info&amp;n=0&amp;q=</v>
      </c>
      <c r="K250" s="1">
        <v>1</v>
      </c>
      <c r="L250" s="1" t="str">
        <f>VLOOKUP(A250,Folha2!$A$2:$B$2019,2,FALSE)</f>
        <v>António da Fonseca, Exposição de 1843. Camões coroado pelo génio da nação, 1843</v>
      </c>
      <c r="M250" s="12" t="str">
        <f t="shared" si="7"/>
        <v>https://permalinkbnd.bnportugal.gov.pt/viewer/1843/?offset=#page=1&amp;viewer=picture&amp;o=info&amp;n=0&amp;q=</v>
      </c>
      <c r="N250" s="12" t="s">
        <v>1497</v>
      </c>
      <c r="O250" s="12" t="str">
        <f>CONCATENATE(N250,A250,"\",B250,"\",C250,".jpg")</f>
        <v>C:\Users\mbaptista\OneDrive - Biblioteca Nacional de Portugal\Documentos\python\camoniana\imagens\capas\1381084\1\1.jpg</v>
      </c>
      <c r="P250" s="12" t="str">
        <f>HYPERLINK(O250)</f>
        <v>C:\Users\mbaptista\OneDrive - Biblioteca Nacional de Portugal\Documentos\python\camoniana\imagens\capas\1381084\1\1.jpg</v>
      </c>
      <c r="Q250" s="12"/>
      <c r="R250" s="6" t="s">
        <v>396</v>
      </c>
      <c r="S250" s="4"/>
      <c r="T250" s="1">
        <v>1</v>
      </c>
      <c r="U250" s="13"/>
      <c r="V250" s="13"/>
      <c r="W250" s="5" t="s">
        <v>1491</v>
      </c>
    </row>
    <row r="251" spans="1:23" ht="75">
      <c r="A251" s="1">
        <v>1381142</v>
      </c>
      <c r="B251" s="1">
        <v>1</v>
      </c>
      <c r="C251" s="1">
        <v>1</v>
      </c>
      <c r="D251" s="2" t="s">
        <v>397</v>
      </c>
      <c r="E251" s="11" t="s">
        <v>397</v>
      </c>
      <c r="F251" s="11">
        <v>37955</v>
      </c>
      <c r="G251" s="2" t="s">
        <v>1494</v>
      </c>
      <c r="H251" s="2" t="s">
        <v>1495</v>
      </c>
      <c r="I251" s="2" t="s">
        <v>1496</v>
      </c>
      <c r="J251" s="2" t="str">
        <f t="shared" si="6"/>
        <v>https://permalinkbnd.bnportugal.gov.pt/viewer/37955/?offset=#page=1&amp;viewer=picture&amp;o=info&amp;n=0&amp;q=</v>
      </c>
      <c r="K251" s="1">
        <v>1</v>
      </c>
      <c r="L251" s="1" t="str">
        <f>VLOOKUP(A251,Folha2!$A$2:$B$2019,2,FALSE)</f>
        <v>C.Legrand, Luiz de Camões, 1841</v>
      </c>
      <c r="M251" s="12" t="str">
        <f t="shared" si="7"/>
        <v>https://permalinkbnd.bnportugal.gov.pt/viewer/37955/?offset=#page=1&amp;viewer=picture&amp;o=info&amp;n=0&amp;q=</v>
      </c>
      <c r="N251" s="12" t="s">
        <v>1497</v>
      </c>
      <c r="O251" s="12" t="str">
        <f>CONCATENATE(N251,A251,"\",B251,"\",C251,".jpg")</f>
        <v>C:\Users\mbaptista\OneDrive - Biblioteca Nacional de Portugal\Documentos\python\camoniana\imagens\capas\1381142\1\1.jpg</v>
      </c>
      <c r="P251" s="12" t="str">
        <f>HYPERLINK(O251)</f>
        <v>C:\Users\mbaptista\OneDrive - Biblioteca Nacional de Portugal\Documentos\python\camoniana\imagens\capas\1381142\1\1.jpg</v>
      </c>
      <c r="Q251" s="12"/>
      <c r="R251" s="6" t="s">
        <v>398</v>
      </c>
      <c r="S251" s="4"/>
      <c r="T251" s="1">
        <v>1</v>
      </c>
      <c r="U251" s="13"/>
      <c r="V251" s="13"/>
      <c r="W251" s="5" t="s">
        <v>1491</v>
      </c>
    </row>
    <row r="252" spans="1:23" ht="75">
      <c r="A252" s="1">
        <v>1381247</v>
      </c>
      <c r="B252" s="1">
        <v>1</v>
      </c>
      <c r="C252" s="1">
        <v>1</v>
      </c>
      <c r="D252" s="2" t="s">
        <v>399</v>
      </c>
      <c r="E252" s="5" t="s">
        <v>399</v>
      </c>
      <c r="F252" s="5">
        <v>38270</v>
      </c>
      <c r="G252" s="2" t="s">
        <v>1494</v>
      </c>
      <c r="H252" s="2" t="s">
        <v>1495</v>
      </c>
      <c r="I252" s="2" t="s">
        <v>1496</v>
      </c>
      <c r="J252" s="2" t="str">
        <f t="shared" si="6"/>
        <v>https://permalinkbnd.bnportugal.gov.pt/viewer/38270/?offset=#page=1&amp;viewer=picture&amp;o=info&amp;n=0&amp;q=</v>
      </c>
      <c r="K252" s="1">
        <v>1</v>
      </c>
      <c r="L252" s="1" t="str">
        <f>VLOOKUP(A252,Folha2!$A$2:$B$2019,2,FALSE)</f>
        <v>C. Legrand, Para servir-vos braço às armas feito, litografia, 1841</v>
      </c>
      <c r="M252" s="12" t="str">
        <f t="shared" si="7"/>
        <v>https://permalinkbnd.bnportugal.gov.pt/viewer/38270/?offset=#page=1&amp;viewer=picture&amp;o=info&amp;n=0&amp;q=</v>
      </c>
      <c r="N252" s="12" t="s">
        <v>1497</v>
      </c>
      <c r="O252" s="12" t="str">
        <f>CONCATENATE(N252,A252,"\",B252,"\",C252,".jpg")</f>
        <v>C:\Users\mbaptista\OneDrive - Biblioteca Nacional de Portugal\Documentos\python\camoniana\imagens\capas\1381247\1\1.jpg</v>
      </c>
      <c r="P252" s="12" t="str">
        <f>HYPERLINK(O252)</f>
        <v>C:\Users\mbaptista\OneDrive - Biblioteca Nacional de Portugal\Documentos\python\camoniana\imagens\capas\1381247\1\1.jpg</v>
      </c>
      <c r="Q252" s="12"/>
      <c r="R252" s="6" t="s">
        <v>400</v>
      </c>
      <c r="S252" s="4"/>
      <c r="T252" s="1">
        <v>1</v>
      </c>
      <c r="U252" s="13"/>
      <c r="V252" s="13"/>
      <c r="W252" s="5" t="s">
        <v>1491</v>
      </c>
    </row>
    <row r="253" spans="1:23" ht="75">
      <c r="A253" s="1">
        <v>1384320</v>
      </c>
      <c r="B253" s="1">
        <v>1</v>
      </c>
      <c r="C253" s="1">
        <v>1</v>
      </c>
      <c r="D253" s="2" t="s">
        <v>401</v>
      </c>
      <c r="E253" s="11" t="s">
        <v>401</v>
      </c>
      <c r="F253" s="11">
        <v>39315</v>
      </c>
      <c r="G253" s="2" t="s">
        <v>1494</v>
      </c>
      <c r="H253" s="2" t="s">
        <v>1495</v>
      </c>
      <c r="I253" s="2" t="s">
        <v>1496</v>
      </c>
      <c r="J253" s="2" t="str">
        <f t="shared" si="6"/>
        <v>https://permalinkbnd.bnportugal.gov.pt/viewer/39315/?offset=#page=1&amp;viewer=picture&amp;o=info&amp;n=0&amp;q=</v>
      </c>
      <c r="K253" s="1">
        <v>1</v>
      </c>
      <c r="L253" s="1" t="str">
        <f>VLOOKUP(A253,Folha2!$A$2:$B$2019,2,FALSE)</f>
        <v>Luís de Camões, 1880</v>
      </c>
      <c r="M253" s="12" t="str">
        <f t="shared" si="7"/>
        <v>https://permalinkbnd.bnportugal.gov.pt/viewer/39315/?offset=#page=1&amp;viewer=picture&amp;o=info&amp;n=0&amp;q=</v>
      </c>
      <c r="N253" s="12" t="s">
        <v>1497</v>
      </c>
      <c r="O253" s="12" t="str">
        <f>CONCATENATE(N253,A253,"\",B253,"\",C253,".jpg")</f>
        <v>C:\Users\mbaptista\OneDrive - Biblioteca Nacional de Portugal\Documentos\python\camoniana\imagens\capas\1384320\1\1.jpg</v>
      </c>
      <c r="P253" s="12" t="str">
        <f>HYPERLINK(O253)</f>
        <v>C:\Users\mbaptista\OneDrive - Biblioteca Nacional de Portugal\Documentos\python\camoniana\imagens\capas\1384320\1\1.jpg</v>
      </c>
      <c r="Q253" s="12"/>
      <c r="R253" s="6" t="s">
        <v>402</v>
      </c>
      <c r="S253" s="4"/>
      <c r="T253" s="1">
        <v>1</v>
      </c>
      <c r="U253" s="13"/>
      <c r="V253" s="13"/>
      <c r="W253" s="5" t="s">
        <v>1491</v>
      </c>
    </row>
    <row r="254" spans="1:23" ht="75">
      <c r="A254" s="1">
        <v>1651190</v>
      </c>
      <c r="B254" s="1">
        <v>1</v>
      </c>
      <c r="C254" s="1">
        <v>1</v>
      </c>
      <c r="D254" s="2" t="s">
        <v>403</v>
      </c>
      <c r="E254" s="5" t="s">
        <v>403</v>
      </c>
      <c r="F254" s="5">
        <v>272735</v>
      </c>
      <c r="G254" s="2" t="s">
        <v>1494</v>
      </c>
      <c r="H254" s="2" t="s">
        <v>1495</v>
      </c>
      <c r="I254" s="2" t="s">
        <v>1496</v>
      </c>
      <c r="J254" s="2" t="str">
        <f t="shared" si="6"/>
        <v>https://permalinkbnd.bnportugal.gov.pt/viewer/272735/?offset=#page=1&amp;viewer=picture&amp;o=info&amp;n=0&amp;q=</v>
      </c>
      <c r="K254" s="1">
        <v>1</v>
      </c>
      <c r="L254" s="1" t="str">
        <f>VLOOKUP(A254,Folha2!$A$2:$B$2019,2,FALSE)</f>
        <v>Jean-Charles Allet, In utrunque paratus. 1728. Reprodução c. 1890</v>
      </c>
      <c r="M254" s="12" t="str">
        <f t="shared" si="7"/>
        <v>https://permalinkbnd.bnportugal.gov.pt/viewer/272735/?offset=#page=1&amp;viewer=picture&amp;o=info&amp;n=0&amp;q=</v>
      </c>
      <c r="N254" s="12" t="s">
        <v>1497</v>
      </c>
      <c r="O254" s="12" t="str">
        <f>CONCATENATE(N254,A254,"\",B254,"\",C254,".jpg")</f>
        <v>C:\Users\mbaptista\OneDrive - Biblioteca Nacional de Portugal\Documentos\python\camoniana\imagens\capas\1651190\1\1.jpg</v>
      </c>
      <c r="P254" s="12" t="str">
        <f>HYPERLINK(O254)</f>
        <v>C:\Users\mbaptista\OneDrive - Biblioteca Nacional de Portugal\Documentos\python\camoniana\imagens\capas\1651190\1\1.jpg</v>
      </c>
      <c r="Q254" s="12"/>
      <c r="R254" s="6" t="s">
        <v>404</v>
      </c>
      <c r="S254" s="4"/>
      <c r="T254" s="1">
        <v>1</v>
      </c>
      <c r="U254" s="13"/>
      <c r="V254" s="13"/>
      <c r="W254" s="5" t="s">
        <v>1491</v>
      </c>
    </row>
    <row r="255" spans="1:23" ht="75">
      <c r="A255" s="1">
        <v>1669786</v>
      </c>
      <c r="B255" s="1">
        <v>1</v>
      </c>
      <c r="C255" s="1">
        <v>1</v>
      </c>
      <c r="D255" s="2" t="s">
        <v>405</v>
      </c>
      <c r="E255" s="11" t="s">
        <v>405</v>
      </c>
      <c r="F255" s="11">
        <v>272737</v>
      </c>
      <c r="G255" s="2" t="s">
        <v>1494</v>
      </c>
      <c r="H255" s="2" t="s">
        <v>1495</v>
      </c>
      <c r="I255" s="2" t="s">
        <v>1496</v>
      </c>
      <c r="J255" s="2" t="str">
        <f t="shared" si="6"/>
        <v>https://permalinkbnd.bnportugal.gov.pt/viewer/272737/?offset=#page=1&amp;viewer=picture&amp;o=info&amp;n=0&amp;q=</v>
      </c>
      <c r="K255" s="1">
        <v>1</v>
      </c>
      <c r="L255" s="1" t="str">
        <f>VLOOKUP(A255,Folha2!$A$2:$B$2019,2,FALSE)</f>
        <v>Inauguration de la statue de Camoens. Bronze de Victor Bastos, 1880? Iconografia, Lugares de memória</v>
      </c>
      <c r="M255" s="12" t="str">
        <f t="shared" si="7"/>
        <v>https://permalinkbnd.bnportugal.gov.pt/viewer/272737/?offset=#page=1&amp;viewer=picture&amp;o=info&amp;n=0&amp;q=</v>
      </c>
      <c r="N255" s="12" t="s">
        <v>1497</v>
      </c>
      <c r="O255" s="12" t="str">
        <f>CONCATENATE(N255,A255,"\",B255,"\",C255,".jpg")</f>
        <v>C:\Users\mbaptista\OneDrive - Biblioteca Nacional de Portugal\Documentos\python\camoniana\imagens\capas\1669786\1\1.jpg</v>
      </c>
      <c r="P255" s="12" t="str">
        <f>HYPERLINK(O255)</f>
        <v>C:\Users\mbaptista\OneDrive - Biblioteca Nacional de Portugal\Documentos\python\camoniana\imagens\capas\1669786\1\1.jpg</v>
      </c>
      <c r="Q255" s="12"/>
      <c r="R255" s="6" t="s">
        <v>406</v>
      </c>
      <c r="S255" s="4"/>
      <c r="T255" s="1">
        <v>1</v>
      </c>
      <c r="U255" s="13"/>
      <c r="V255" s="13"/>
      <c r="W255" s="5" t="s">
        <v>1491</v>
      </c>
    </row>
    <row r="256" spans="1:23" ht="75">
      <c r="A256" s="1">
        <v>1671826</v>
      </c>
      <c r="B256" s="1">
        <v>1</v>
      </c>
      <c r="C256" s="1">
        <v>1</v>
      </c>
      <c r="D256" s="2" t="s">
        <v>407</v>
      </c>
      <c r="E256" s="5" t="s">
        <v>407</v>
      </c>
      <c r="F256" s="5">
        <v>272727</v>
      </c>
      <c r="G256" s="2" t="s">
        <v>1494</v>
      </c>
      <c r="H256" s="2" t="s">
        <v>1495</v>
      </c>
      <c r="I256" s="2" t="s">
        <v>1496</v>
      </c>
      <c r="J256" s="2" t="str">
        <f t="shared" si="6"/>
        <v>https://permalinkbnd.bnportugal.gov.pt/viewer/272727/?offset=#page=1&amp;viewer=picture&amp;o=info&amp;n=0&amp;q=</v>
      </c>
      <c r="K256" s="1">
        <v>1</v>
      </c>
      <c r="L256" s="1" t="str">
        <f>VLOOKUP(A256,Folha2!$A$2:$B$2019,2,FALSE)</f>
        <v>Cartaz. Semana Camoniana. 1524-1924.</v>
      </c>
      <c r="M256" s="12" t="str">
        <f t="shared" si="7"/>
        <v>https://permalinkbnd.bnportugal.gov.pt/viewer/272727/?offset=#page=1&amp;viewer=picture&amp;o=info&amp;n=0&amp;q=</v>
      </c>
      <c r="N256" s="12" t="s">
        <v>1497</v>
      </c>
      <c r="O256" s="12" t="str">
        <f>CONCATENATE(N256,A256,"\",B256,"\",C256,".jpg")</f>
        <v>C:\Users\mbaptista\OneDrive - Biblioteca Nacional de Portugal\Documentos\python\camoniana\imagens\capas\1671826\1\1.jpg</v>
      </c>
      <c r="P256" s="12" t="str">
        <f>HYPERLINK(O256)</f>
        <v>C:\Users\mbaptista\OneDrive - Biblioteca Nacional de Portugal\Documentos\python\camoniana\imagens\capas\1671826\1\1.jpg</v>
      </c>
      <c r="Q256" s="12"/>
      <c r="R256" s="6" t="s">
        <v>408</v>
      </c>
      <c r="S256" s="4"/>
      <c r="T256" s="1">
        <v>1</v>
      </c>
      <c r="U256" s="13"/>
      <c r="V256" s="13"/>
      <c r="W256" s="5" t="s">
        <v>1491</v>
      </c>
    </row>
    <row r="257" spans="1:23" ht="75">
      <c r="A257" s="1">
        <v>1684166</v>
      </c>
      <c r="B257" s="1">
        <v>1</v>
      </c>
      <c r="C257" s="1">
        <v>1</v>
      </c>
      <c r="D257" s="2" t="s">
        <v>409</v>
      </c>
      <c r="E257" s="11" t="s">
        <v>409</v>
      </c>
      <c r="F257" s="11">
        <v>272736</v>
      </c>
      <c r="G257" s="2" t="s">
        <v>1494</v>
      </c>
      <c r="H257" s="2" t="s">
        <v>1495</v>
      </c>
      <c r="I257" s="2" t="s">
        <v>1496</v>
      </c>
      <c r="J257" s="2" t="str">
        <f t="shared" si="6"/>
        <v>https://permalinkbnd.bnportugal.gov.pt/viewer/272736/?offset=#page=1&amp;viewer=picture&amp;o=info&amp;n=0&amp;q=</v>
      </c>
      <c r="K257" s="1">
        <v>1</v>
      </c>
      <c r="L257" s="1" t="str">
        <f>VLOOKUP(A257,Folha2!$A$2:$B$2019,2,FALSE)</f>
        <v xml:space="preserve">Os netos dos varões assinalados, 1898. Imagem de Bordalo Pinheiro; texto de Tomás Ribeiro.  </v>
      </c>
      <c r="M257" s="12" t="str">
        <f t="shared" si="7"/>
        <v>https://permalinkbnd.bnportugal.gov.pt/viewer/272736/?offset=#page=1&amp;viewer=picture&amp;o=info&amp;n=0&amp;q=</v>
      </c>
      <c r="N257" s="12" t="s">
        <v>1497</v>
      </c>
      <c r="O257" s="12" t="str">
        <f>CONCATENATE(N257,A257,"\",B257,"\",C257,".jpg")</f>
        <v>C:\Users\mbaptista\OneDrive - Biblioteca Nacional de Portugal\Documentos\python\camoniana\imagens\capas\1684166\1\1.jpg</v>
      </c>
      <c r="P257" s="12" t="str">
        <f>HYPERLINK(O257)</f>
        <v>C:\Users\mbaptista\OneDrive - Biblioteca Nacional de Portugal\Documentos\python\camoniana\imagens\capas\1684166\1\1.jpg</v>
      </c>
      <c r="Q257" s="12"/>
      <c r="R257" s="6" t="s">
        <v>410</v>
      </c>
      <c r="S257" s="4"/>
      <c r="T257" s="1">
        <v>1</v>
      </c>
      <c r="U257" s="13"/>
      <c r="V257" s="13"/>
      <c r="W257" s="5" t="s">
        <v>1491</v>
      </c>
    </row>
    <row r="258" spans="1:23" ht="75">
      <c r="A258" s="1">
        <v>1718418</v>
      </c>
      <c r="B258" s="1">
        <v>1</v>
      </c>
      <c r="C258" s="1">
        <v>1</v>
      </c>
      <c r="D258" s="2" t="s">
        <v>411</v>
      </c>
      <c r="E258" s="5" t="s">
        <v>411</v>
      </c>
      <c r="F258" s="5">
        <v>16732</v>
      </c>
      <c r="G258" s="2" t="s">
        <v>1494</v>
      </c>
      <c r="H258" s="2" t="s">
        <v>1495</v>
      </c>
      <c r="I258" s="2" t="s">
        <v>1496</v>
      </c>
      <c r="J258" s="2" t="str">
        <f t="shared" ref="J258:J321" si="8">CONCATENATE(G258,F258,H258,C258,I258)</f>
        <v>https://permalinkbnd.bnportugal.gov.pt/viewer/16732/?offset=#page=1&amp;viewer=picture&amp;o=info&amp;n=0&amp;q=</v>
      </c>
      <c r="K258" s="1" t="s">
        <v>412</v>
      </c>
      <c r="L258" s="1" t="str">
        <f>VLOOKUP(A258,Folha2!$A$2:$B$2019,2,FALSE)</f>
        <v>José Heliodoro Vargas Júnior, Súplica de amor/Alma minha gentil, 187?  [partitura]</v>
      </c>
      <c r="M258" s="12" t="str">
        <f t="shared" ref="M258:M321" si="9">HYPERLINK(J258)</f>
        <v>https://permalinkbnd.bnportugal.gov.pt/viewer/16732/?offset=#page=1&amp;viewer=picture&amp;o=info&amp;n=0&amp;q=</v>
      </c>
      <c r="N258" s="12" t="s">
        <v>1497</v>
      </c>
      <c r="O258" s="12" t="str">
        <f>CONCATENATE(N258,A258,"\",B258,"\",C258,".jpg")</f>
        <v>C:\Users\mbaptista\OneDrive - Biblioteca Nacional de Portugal\Documentos\python\camoniana\imagens\capas\1718418\1\1.jpg</v>
      </c>
      <c r="P258" s="12" t="str">
        <f>HYPERLINK(O258)</f>
        <v>C:\Users\mbaptista\OneDrive - Biblioteca Nacional de Portugal\Documentos\python\camoniana\imagens\capas\1718418\1\1.jpg</v>
      </c>
      <c r="Q258" s="12"/>
      <c r="R258" s="6" t="s">
        <v>414</v>
      </c>
      <c r="S258" s="4"/>
      <c r="T258" s="1" t="s">
        <v>413</v>
      </c>
      <c r="U258" s="13"/>
      <c r="V258" s="13"/>
      <c r="W258" s="5" t="s">
        <v>1491</v>
      </c>
    </row>
    <row r="259" spans="1:23" ht="75">
      <c r="A259" s="1">
        <v>1718418</v>
      </c>
      <c r="B259" s="1">
        <v>1</v>
      </c>
      <c r="C259" s="1">
        <v>3</v>
      </c>
      <c r="D259" s="2" t="s">
        <v>411</v>
      </c>
      <c r="E259" s="11" t="s">
        <v>411</v>
      </c>
      <c r="F259" s="11">
        <v>16732</v>
      </c>
      <c r="G259" s="2" t="s">
        <v>1494</v>
      </c>
      <c r="H259" s="2" t="s">
        <v>1495</v>
      </c>
      <c r="I259" s="2" t="s">
        <v>1496</v>
      </c>
      <c r="J259" s="2" t="str">
        <f t="shared" si="8"/>
        <v>https://permalinkbnd.bnportugal.gov.pt/viewer/16732/?offset=#page=3&amp;viewer=picture&amp;o=info&amp;n=0&amp;q=</v>
      </c>
      <c r="K259" s="1" t="s">
        <v>412</v>
      </c>
      <c r="L259" s="1" t="str">
        <f>VLOOKUP(A259,Folha2!$A$2:$B$2019,2,FALSE)</f>
        <v>José Heliodoro Vargas Júnior, Súplica de amor/Alma minha gentil, 187?  [partitura]</v>
      </c>
      <c r="M259" s="12" t="str">
        <f t="shared" si="9"/>
        <v>https://permalinkbnd.bnportugal.gov.pt/viewer/16732/?offset=#page=3&amp;viewer=picture&amp;o=info&amp;n=0&amp;q=</v>
      </c>
      <c r="N259" s="12" t="s">
        <v>1497</v>
      </c>
      <c r="O259" s="12" t="str">
        <f>CONCATENATE(N259,A259,"\",B259,"\",C259,".jpg")</f>
        <v>C:\Users\mbaptista\OneDrive - Biblioteca Nacional de Portugal\Documentos\python\camoniana\imagens\capas\1718418\1\3.jpg</v>
      </c>
      <c r="P259" s="12" t="str">
        <f>HYPERLINK(O259)</f>
        <v>C:\Users\mbaptista\OneDrive - Biblioteca Nacional de Portugal\Documentos\python\camoniana\imagens\capas\1718418\1\3.jpg</v>
      </c>
      <c r="Q259" s="12"/>
      <c r="R259" s="6" t="s">
        <v>415</v>
      </c>
      <c r="S259" s="4"/>
      <c r="T259" s="1" t="s">
        <v>413</v>
      </c>
      <c r="U259" s="13"/>
      <c r="V259" s="13"/>
      <c r="W259" s="5" t="s">
        <v>1491</v>
      </c>
    </row>
    <row r="260" spans="1:23" ht="75">
      <c r="A260" s="1">
        <v>1724855</v>
      </c>
      <c r="B260" s="1">
        <v>1</v>
      </c>
      <c r="C260" s="1">
        <v>1</v>
      </c>
      <c r="D260" s="2" t="s">
        <v>416</v>
      </c>
      <c r="E260" s="5" t="s">
        <v>416</v>
      </c>
      <c r="F260" s="5">
        <v>268841</v>
      </c>
      <c r="G260" s="2" t="s">
        <v>1494</v>
      </c>
      <c r="H260" s="2" t="s">
        <v>1495</v>
      </c>
      <c r="I260" s="2" t="s">
        <v>1496</v>
      </c>
      <c r="J260" s="2" t="str">
        <f t="shared" si="8"/>
        <v>https://permalinkbnd.bnportugal.gov.pt/viewer/268841/?offset=#page=1&amp;viewer=picture&amp;o=info&amp;n=0&amp;q=</v>
      </c>
      <c r="K260" s="1">
        <v>1</v>
      </c>
      <c r="L260" s="1" t="str">
        <f>VLOOKUP(A260,Folha2!$A$2:$B$2019,2,FALSE)</f>
        <v>Carlos Braga, Fado Camões. Fado para piano, 1880. [partitura impressa]</v>
      </c>
      <c r="M260" s="12" t="str">
        <f t="shared" si="9"/>
        <v>https://permalinkbnd.bnportugal.gov.pt/viewer/268841/?offset=#page=1&amp;viewer=picture&amp;o=info&amp;n=0&amp;q=</v>
      </c>
      <c r="N260" s="12" t="s">
        <v>1497</v>
      </c>
      <c r="O260" s="12" t="str">
        <f>CONCATENATE(N260,A260,"\",B260,"\",C260,".jpg")</f>
        <v>C:\Users\mbaptista\OneDrive - Biblioteca Nacional de Portugal\Documentos\python\camoniana\imagens\capas\1724855\1\1.jpg</v>
      </c>
      <c r="P260" s="12" t="str">
        <f>HYPERLINK(O260)</f>
        <v>C:\Users\mbaptista\OneDrive - Biblioteca Nacional de Portugal\Documentos\python\camoniana\imagens\capas\1724855\1\1.jpg</v>
      </c>
      <c r="Q260" s="12"/>
      <c r="R260" s="6" t="s">
        <v>417</v>
      </c>
      <c r="S260" s="4"/>
      <c r="T260" s="1">
        <v>1</v>
      </c>
      <c r="U260" s="13"/>
      <c r="V260" s="13"/>
      <c r="W260" s="5" t="s">
        <v>1491</v>
      </c>
    </row>
    <row r="261" spans="1:23" ht="75">
      <c r="A261" s="1">
        <v>1752559</v>
      </c>
      <c r="B261" s="1">
        <v>1</v>
      </c>
      <c r="C261" s="1">
        <v>1</v>
      </c>
      <c r="D261" s="2" t="s">
        <v>418</v>
      </c>
      <c r="E261" s="11" t="s">
        <v>418</v>
      </c>
      <c r="F261" s="11">
        <v>33216</v>
      </c>
      <c r="G261" s="2" t="s">
        <v>1494</v>
      </c>
      <c r="H261" s="2" t="s">
        <v>1495</v>
      </c>
      <c r="I261" s="2" t="s">
        <v>1496</v>
      </c>
      <c r="J261" s="2" t="str">
        <f t="shared" si="8"/>
        <v>https://permalinkbnd.bnportugal.gov.pt/viewer/33216/?offset=#page=1&amp;viewer=picture&amp;o=info&amp;n=0&amp;q=</v>
      </c>
      <c r="K261" s="1">
        <v>1</v>
      </c>
      <c r="L261" s="1" t="str">
        <f>VLOOKUP(A261,Folha2!$A$2:$B$2019,2,FALSE)</f>
        <v>Joaquim de Sousa, A morte de Camões, c. 1866. Lápis de grafite</v>
      </c>
      <c r="M261" s="12" t="str">
        <f t="shared" si="9"/>
        <v>https://permalinkbnd.bnportugal.gov.pt/viewer/33216/?offset=#page=1&amp;viewer=picture&amp;o=info&amp;n=0&amp;q=</v>
      </c>
      <c r="N261" s="12" t="s">
        <v>1497</v>
      </c>
      <c r="O261" s="12" t="str">
        <f>CONCATENATE(N261,A261,"\",B261,"\",C261,".jpg")</f>
        <v>C:\Users\mbaptista\OneDrive - Biblioteca Nacional de Portugal\Documentos\python\camoniana\imagens\capas\1752559\1\1.jpg</v>
      </c>
      <c r="P261" s="12" t="str">
        <f>HYPERLINK(O261)</f>
        <v>C:\Users\mbaptista\OneDrive - Biblioteca Nacional de Portugal\Documentos\python\camoniana\imagens\capas\1752559\1\1.jpg</v>
      </c>
      <c r="Q261" s="12"/>
      <c r="R261" s="6" t="s">
        <v>419</v>
      </c>
      <c r="S261" s="4"/>
      <c r="T261" s="1">
        <v>1</v>
      </c>
      <c r="U261" s="13"/>
      <c r="V261" s="13"/>
      <c r="W261" s="5" t="s">
        <v>1491</v>
      </c>
    </row>
    <row r="262" spans="1:23" ht="75">
      <c r="A262" s="1">
        <v>1779910</v>
      </c>
      <c r="B262" s="1">
        <v>1</v>
      </c>
      <c r="C262" s="1">
        <v>1</v>
      </c>
      <c r="D262" s="2" t="s">
        <v>420</v>
      </c>
      <c r="E262" s="5" t="s">
        <v>420</v>
      </c>
      <c r="F262" s="5">
        <v>272731</v>
      </c>
      <c r="G262" s="2" t="s">
        <v>1494</v>
      </c>
      <c r="H262" s="2" t="s">
        <v>1495</v>
      </c>
      <c r="I262" s="2" t="s">
        <v>1496</v>
      </c>
      <c r="J262" s="2" t="str">
        <f t="shared" si="8"/>
        <v>https://permalinkbnd.bnportugal.gov.pt/viewer/272731/?offset=#page=1&amp;viewer=picture&amp;o=info&amp;n=0&amp;q=</v>
      </c>
      <c r="K262" s="1" t="s">
        <v>120</v>
      </c>
      <c r="L262" s="1" t="str">
        <f>VLOOKUP(A262,Folha2!$A$2:$B$2019,2,FALSE)</f>
        <v>Camões. 1800-1890. Gravura</v>
      </c>
      <c r="M262" s="12" t="str">
        <f t="shared" si="9"/>
        <v>https://permalinkbnd.bnportugal.gov.pt/viewer/272731/?offset=#page=1&amp;viewer=picture&amp;o=info&amp;n=0&amp;q=</v>
      </c>
      <c r="N262" s="12" t="s">
        <v>1497</v>
      </c>
      <c r="O262" s="12" t="str">
        <f>CONCATENATE(N262,A262,"\",B262,"\",C262,".jpg")</f>
        <v>C:\Users\mbaptista\OneDrive - Biblioteca Nacional de Portugal\Documentos\python\camoniana\imagens\capas\1779910\1\1.jpg</v>
      </c>
      <c r="P262" s="12" t="str">
        <f>HYPERLINK(O262)</f>
        <v>C:\Users\mbaptista\OneDrive - Biblioteca Nacional de Portugal\Documentos\python\camoniana\imagens\capas\1779910\1\1.jpg</v>
      </c>
      <c r="Q262" s="12"/>
      <c r="R262" s="6" t="s">
        <v>421</v>
      </c>
      <c r="S262" s="4"/>
      <c r="T262" s="1">
        <v>1</v>
      </c>
      <c r="U262" s="13"/>
      <c r="V262" s="13"/>
      <c r="W262" s="5" t="s">
        <v>1491</v>
      </c>
    </row>
    <row r="263" spans="1:23" ht="75">
      <c r="A263" s="1">
        <v>1784317</v>
      </c>
      <c r="B263" s="1">
        <v>1</v>
      </c>
      <c r="C263" s="1">
        <v>1</v>
      </c>
      <c r="D263" s="2" t="s">
        <v>422</v>
      </c>
      <c r="E263" s="11" t="s">
        <v>422</v>
      </c>
      <c r="F263" s="11">
        <v>272732</v>
      </c>
      <c r="G263" s="2" t="s">
        <v>1494</v>
      </c>
      <c r="H263" s="2" t="s">
        <v>1495</v>
      </c>
      <c r="I263" s="2" t="s">
        <v>1496</v>
      </c>
      <c r="J263" s="2" t="str">
        <f t="shared" si="8"/>
        <v>https://permalinkbnd.bnportugal.gov.pt/viewer/272732/?offset=#page=1&amp;viewer=picture&amp;o=info&amp;n=0&amp;q=</v>
      </c>
      <c r="K263" s="1" t="s">
        <v>120</v>
      </c>
      <c r="L263" s="1" t="str">
        <f>VLOOKUP(A263,Folha2!$A$2:$B$2019,2,FALSE)</f>
        <v>Horace Vernet, Le Camoens appuié sur les débris du vaisseau, 1810-1890</v>
      </c>
      <c r="M263" s="12" t="str">
        <f t="shared" si="9"/>
        <v>https://permalinkbnd.bnportugal.gov.pt/viewer/272732/?offset=#page=1&amp;viewer=picture&amp;o=info&amp;n=0&amp;q=</v>
      </c>
      <c r="N263" s="12" t="s">
        <v>1497</v>
      </c>
      <c r="O263" s="12" t="str">
        <f>CONCATENATE(N263,A263,"\",B263,"\",C263,".jpg")</f>
        <v>C:\Users\mbaptista\OneDrive - Biblioteca Nacional de Portugal\Documentos\python\camoniana\imagens\capas\1784317\1\1.jpg</v>
      </c>
      <c r="P263" s="12" t="str">
        <f>HYPERLINK(O263)</f>
        <v>C:\Users\mbaptista\OneDrive - Biblioteca Nacional de Portugal\Documentos\python\camoniana\imagens\capas\1784317\1\1.jpg</v>
      </c>
      <c r="Q263" s="12"/>
      <c r="R263" s="6" t="s">
        <v>423</v>
      </c>
      <c r="S263" s="4"/>
      <c r="T263" s="1">
        <v>1</v>
      </c>
      <c r="U263" s="13"/>
      <c r="V263" s="13"/>
      <c r="W263" s="5" t="s">
        <v>1491</v>
      </c>
    </row>
    <row r="264" spans="1:23" ht="75">
      <c r="A264" s="1">
        <v>1790475</v>
      </c>
      <c r="B264" s="1">
        <v>1</v>
      </c>
      <c r="C264" s="1">
        <v>1</v>
      </c>
      <c r="D264" s="2" t="s">
        <v>424</v>
      </c>
      <c r="E264" s="5" t="s">
        <v>424</v>
      </c>
      <c r="F264" s="5">
        <v>272729</v>
      </c>
      <c r="G264" s="2" t="s">
        <v>1494</v>
      </c>
      <c r="H264" s="2" t="s">
        <v>1495</v>
      </c>
      <c r="I264" s="2" t="s">
        <v>1496</v>
      </c>
      <c r="J264" s="2" t="str">
        <f t="shared" si="8"/>
        <v>https://permalinkbnd.bnportugal.gov.pt/viewer/272729/?offset=#page=1&amp;viewer=picture&amp;o=info&amp;n=0&amp;q=</v>
      </c>
      <c r="K264" s="1">
        <v>1</v>
      </c>
      <c r="L264" s="1" t="str">
        <f>VLOOKUP(A264,Folha2!$A$2:$B$2019,2,FALSE)</f>
        <v>Camões Apolo português, 1793?</v>
      </c>
      <c r="M264" s="12" t="str">
        <f t="shared" si="9"/>
        <v>https://permalinkbnd.bnportugal.gov.pt/viewer/272729/?offset=#page=1&amp;viewer=picture&amp;o=info&amp;n=0&amp;q=</v>
      </c>
      <c r="N264" s="12" t="s">
        <v>1497</v>
      </c>
      <c r="O264" s="12" t="str">
        <f>CONCATENATE(N264,A264,"\",B264,"\",C264,".jpg")</f>
        <v>C:\Users\mbaptista\OneDrive - Biblioteca Nacional de Portugal\Documentos\python\camoniana\imagens\capas\1790475\1\1.jpg</v>
      </c>
      <c r="P264" s="12" t="str">
        <f>HYPERLINK(O264)</f>
        <v>C:\Users\mbaptista\OneDrive - Biblioteca Nacional de Portugal\Documentos\python\camoniana\imagens\capas\1790475\1\1.jpg</v>
      </c>
      <c r="Q264" s="12"/>
      <c r="R264" s="6" t="s">
        <v>425</v>
      </c>
      <c r="S264" s="4"/>
      <c r="T264" s="1">
        <v>1</v>
      </c>
      <c r="U264" s="13"/>
      <c r="V264" s="13"/>
      <c r="W264" s="5" t="s">
        <v>1491</v>
      </c>
    </row>
    <row r="265" spans="1:23" ht="75">
      <c r="A265" s="1">
        <v>1888900</v>
      </c>
      <c r="B265" s="1">
        <v>1</v>
      </c>
      <c r="C265" s="1">
        <v>1</v>
      </c>
      <c r="D265" s="2" t="s">
        <v>426</v>
      </c>
      <c r="E265" s="11" t="s">
        <v>426</v>
      </c>
      <c r="F265" s="11">
        <v>272786</v>
      </c>
      <c r="G265" s="2" t="s">
        <v>1494</v>
      </c>
      <c r="H265" s="2" t="s">
        <v>1495</v>
      </c>
      <c r="I265" s="2" t="s">
        <v>1496</v>
      </c>
      <c r="J265" s="2" t="str">
        <f t="shared" si="8"/>
        <v>https://permalinkbnd.bnportugal.gov.pt/viewer/272786/?offset=#page=1&amp;viewer=picture&amp;o=info&amp;n=0&amp;q=</v>
      </c>
      <c r="K265" s="1" t="s">
        <v>427</v>
      </c>
      <c r="L265" s="1" t="str">
        <f>VLOOKUP(A265,Folha2!$A$2:$B$2019,2,FALSE)</f>
        <v xml:space="preserve">Os Lusíadas, Rio de Janeiro, 1958. Edição crítica de F. Silveira Bueno. A inserir Paratextos vida. Paratextos argumentos. Paratextos notas e Celebrações (1860), edições? Iconografia Figuras históricas e outras [sistema planetário]. </v>
      </c>
      <c r="M265" s="12" t="str">
        <f t="shared" si="9"/>
        <v>https://permalinkbnd.bnportugal.gov.pt/viewer/272786/?offset=#page=1&amp;viewer=picture&amp;o=info&amp;n=0&amp;q=</v>
      </c>
      <c r="N265" s="12" t="s">
        <v>1497</v>
      </c>
      <c r="O265" s="12" t="str">
        <f>CONCATENATE(N265,A265,"\",B265,"\",C265,".jpg")</f>
        <v>C:\Users\mbaptista\OneDrive - Biblioteca Nacional de Portugal\Documentos\python\camoniana\imagens\capas\1888900\1\1.jpg</v>
      </c>
      <c r="P265" s="12" t="str">
        <f>HYPERLINK(O265)</f>
        <v>C:\Users\mbaptista\OneDrive - Biblioteca Nacional de Portugal\Documentos\python\camoniana\imagens\capas\1888900\1\1.jpg</v>
      </c>
      <c r="Q265" s="12"/>
      <c r="R265" s="6" t="s">
        <v>429</v>
      </c>
      <c r="S265" s="4"/>
      <c r="T265" s="1" t="s">
        <v>428</v>
      </c>
      <c r="U265" s="13"/>
      <c r="V265" s="13"/>
      <c r="W265" s="5" t="s">
        <v>1491</v>
      </c>
    </row>
    <row r="266" spans="1:23" ht="75">
      <c r="A266" s="1">
        <v>1888900</v>
      </c>
      <c r="B266" s="1">
        <v>1</v>
      </c>
      <c r="C266" s="1">
        <v>8</v>
      </c>
      <c r="D266" s="2" t="s">
        <v>426</v>
      </c>
      <c r="E266" s="5" t="s">
        <v>426</v>
      </c>
      <c r="F266" s="5">
        <v>272786</v>
      </c>
      <c r="G266" s="2" t="s">
        <v>1494</v>
      </c>
      <c r="H266" s="2" t="s">
        <v>1495</v>
      </c>
      <c r="I266" s="2" t="s">
        <v>1496</v>
      </c>
      <c r="J266" s="2" t="str">
        <f t="shared" si="8"/>
        <v>https://permalinkbnd.bnportugal.gov.pt/viewer/272786/?offset=#page=8&amp;viewer=picture&amp;o=info&amp;n=0&amp;q=</v>
      </c>
      <c r="K266" s="1" t="s">
        <v>427</v>
      </c>
      <c r="L266" s="1" t="str">
        <f>VLOOKUP(A266,Folha2!$A$2:$B$2019,2,FALSE)</f>
        <v xml:space="preserve">Os Lusíadas, Rio de Janeiro, 1958. Edição crítica de F. Silveira Bueno. A inserir Paratextos vida. Paratextos argumentos. Paratextos notas e Celebrações (1860), edições? Iconografia Figuras históricas e outras [sistema planetário]. </v>
      </c>
      <c r="M266" s="12" t="str">
        <f t="shared" si="9"/>
        <v>https://permalinkbnd.bnportugal.gov.pt/viewer/272786/?offset=#page=8&amp;viewer=picture&amp;o=info&amp;n=0&amp;q=</v>
      </c>
      <c r="N266" s="12" t="s">
        <v>1497</v>
      </c>
      <c r="O266" s="12" t="str">
        <f>CONCATENATE(N266,A266,"\",B266,"\",C266,".jpg")</f>
        <v>C:\Users\mbaptista\OneDrive - Biblioteca Nacional de Portugal\Documentos\python\camoniana\imagens\capas\1888900\1\8.jpg</v>
      </c>
      <c r="P266" s="12" t="str">
        <f>HYPERLINK(O266)</f>
        <v>C:\Users\mbaptista\OneDrive - Biblioteca Nacional de Portugal\Documentos\python\camoniana\imagens\capas\1888900\1\8.jpg</v>
      </c>
      <c r="Q266" s="12"/>
      <c r="R266" s="6" t="s">
        <v>430</v>
      </c>
      <c r="S266" s="4"/>
      <c r="T266" s="1" t="s">
        <v>428</v>
      </c>
      <c r="U266" s="13"/>
      <c r="V266" s="13"/>
      <c r="W266" s="5" t="s">
        <v>1491</v>
      </c>
    </row>
    <row r="267" spans="1:23" ht="75">
      <c r="A267" s="1">
        <v>1888900</v>
      </c>
      <c r="B267" s="1">
        <v>1</v>
      </c>
      <c r="C267" s="1">
        <v>10</v>
      </c>
      <c r="D267" s="2" t="s">
        <v>426</v>
      </c>
      <c r="E267" s="11" t="s">
        <v>426</v>
      </c>
      <c r="F267" s="11">
        <v>272786</v>
      </c>
      <c r="G267" s="2" t="s">
        <v>1494</v>
      </c>
      <c r="H267" s="2" t="s">
        <v>1495</v>
      </c>
      <c r="I267" s="2" t="s">
        <v>1496</v>
      </c>
      <c r="J267" s="2" t="str">
        <f t="shared" si="8"/>
        <v>https://permalinkbnd.bnportugal.gov.pt/viewer/272786/?offset=#page=10&amp;viewer=picture&amp;o=info&amp;n=0&amp;q=</v>
      </c>
      <c r="K267" s="1" t="s">
        <v>427</v>
      </c>
      <c r="L267" s="1" t="str">
        <f>VLOOKUP(A267,Folha2!$A$2:$B$2019,2,FALSE)</f>
        <v xml:space="preserve">Os Lusíadas, Rio de Janeiro, 1958. Edição crítica de F. Silveira Bueno. A inserir Paratextos vida. Paratextos argumentos. Paratextos notas e Celebrações (1860), edições? Iconografia Figuras históricas e outras [sistema planetário]. </v>
      </c>
      <c r="M267" s="12" t="str">
        <f t="shared" si="9"/>
        <v>https://permalinkbnd.bnportugal.gov.pt/viewer/272786/?offset=#page=10&amp;viewer=picture&amp;o=info&amp;n=0&amp;q=</v>
      </c>
      <c r="N267" s="12" t="s">
        <v>1497</v>
      </c>
      <c r="O267" s="12" t="str">
        <f>CONCATENATE(N267,A267,"\",B267,"\",C267,".jpg")</f>
        <v>C:\Users\mbaptista\OneDrive - Biblioteca Nacional de Portugal\Documentos\python\camoniana\imagens\capas\1888900\1\10.jpg</v>
      </c>
      <c r="P267" s="12" t="str">
        <f>HYPERLINK(O267)</f>
        <v>C:\Users\mbaptista\OneDrive - Biblioteca Nacional de Portugal\Documentos\python\camoniana\imagens\capas\1888900\1\10.jpg</v>
      </c>
      <c r="Q267" s="12"/>
      <c r="R267" s="6" t="s">
        <v>431</v>
      </c>
      <c r="S267" s="4"/>
      <c r="T267" s="1" t="s">
        <v>428</v>
      </c>
      <c r="U267" s="13"/>
      <c r="V267" s="13"/>
      <c r="W267" s="5" t="s">
        <v>1491</v>
      </c>
    </row>
    <row r="268" spans="1:23" ht="75">
      <c r="A268" s="1">
        <v>1888900</v>
      </c>
      <c r="B268" s="1">
        <v>1</v>
      </c>
      <c r="C268" s="1">
        <v>12</v>
      </c>
      <c r="D268" s="2" t="s">
        <v>426</v>
      </c>
      <c r="E268" s="5" t="s">
        <v>426</v>
      </c>
      <c r="F268" s="5">
        <v>272786</v>
      </c>
      <c r="G268" s="2" t="s">
        <v>1494</v>
      </c>
      <c r="H268" s="2" t="s">
        <v>1495</v>
      </c>
      <c r="I268" s="2" t="s">
        <v>1496</v>
      </c>
      <c r="J268" s="2" t="str">
        <f t="shared" si="8"/>
        <v>https://permalinkbnd.bnportugal.gov.pt/viewer/272786/?offset=#page=12&amp;viewer=picture&amp;o=info&amp;n=0&amp;q=</v>
      </c>
      <c r="K268" s="1" t="s">
        <v>427</v>
      </c>
      <c r="L268" s="1" t="str">
        <f>VLOOKUP(A268,Folha2!$A$2:$B$2019,2,FALSE)</f>
        <v xml:space="preserve">Os Lusíadas, Rio de Janeiro, 1958. Edição crítica de F. Silveira Bueno. A inserir Paratextos vida. Paratextos argumentos. Paratextos notas e Celebrações (1860), edições? Iconografia Figuras históricas e outras [sistema planetário]. </v>
      </c>
      <c r="M268" s="12" t="str">
        <f t="shared" si="9"/>
        <v>https://permalinkbnd.bnportugal.gov.pt/viewer/272786/?offset=#page=12&amp;viewer=picture&amp;o=info&amp;n=0&amp;q=</v>
      </c>
      <c r="N268" s="12" t="s">
        <v>1497</v>
      </c>
      <c r="O268" s="12" t="str">
        <f>CONCATENATE(N268,A268,"\",B268,"\",C268,".jpg")</f>
        <v>C:\Users\mbaptista\OneDrive - Biblioteca Nacional de Portugal\Documentos\python\camoniana\imagens\capas\1888900\1\12.jpg</v>
      </c>
      <c r="P268" s="12" t="str">
        <f>HYPERLINK(O268)</f>
        <v>C:\Users\mbaptista\OneDrive - Biblioteca Nacional de Portugal\Documentos\python\camoniana\imagens\capas\1888900\1\12.jpg</v>
      </c>
      <c r="Q268" s="12"/>
      <c r="R268" s="6" t="s">
        <v>432</v>
      </c>
      <c r="S268" s="4"/>
      <c r="T268" s="1" t="s">
        <v>428</v>
      </c>
      <c r="U268" s="13"/>
      <c r="V268" s="13"/>
      <c r="W268" s="5" t="s">
        <v>1491</v>
      </c>
    </row>
    <row r="269" spans="1:23" ht="75">
      <c r="A269" s="1">
        <v>1888900</v>
      </c>
      <c r="B269" s="1">
        <v>1</v>
      </c>
      <c r="C269" s="1">
        <v>52</v>
      </c>
      <c r="D269" s="2" t="s">
        <v>426</v>
      </c>
      <c r="E269" s="11" t="s">
        <v>426</v>
      </c>
      <c r="F269" s="11">
        <v>272786</v>
      </c>
      <c r="G269" s="2" t="s">
        <v>1494</v>
      </c>
      <c r="H269" s="2" t="s">
        <v>1495</v>
      </c>
      <c r="I269" s="2" t="s">
        <v>1496</v>
      </c>
      <c r="J269" s="2" t="str">
        <f t="shared" si="8"/>
        <v>https://permalinkbnd.bnportugal.gov.pt/viewer/272786/?offset=#page=52&amp;viewer=picture&amp;o=info&amp;n=0&amp;q=</v>
      </c>
      <c r="K269" s="1" t="s">
        <v>427</v>
      </c>
      <c r="L269" s="1" t="str">
        <f>VLOOKUP(A269,Folha2!$A$2:$B$2019,2,FALSE)</f>
        <v xml:space="preserve">Os Lusíadas, Rio de Janeiro, 1958. Edição crítica de F. Silveira Bueno. A inserir Paratextos vida. Paratextos argumentos. Paratextos notas e Celebrações (1860), edições? Iconografia Figuras históricas e outras [sistema planetário]. </v>
      </c>
      <c r="M269" s="12" t="str">
        <f t="shared" si="9"/>
        <v>https://permalinkbnd.bnportugal.gov.pt/viewer/272786/?offset=#page=52&amp;viewer=picture&amp;o=info&amp;n=0&amp;q=</v>
      </c>
      <c r="N269" s="12" t="s">
        <v>1497</v>
      </c>
      <c r="O269" s="12" t="str">
        <f>CONCATENATE(N269,A269,"\",B269,"\",C269,".jpg")</f>
        <v>C:\Users\mbaptista\OneDrive - Biblioteca Nacional de Portugal\Documentos\python\camoniana\imagens\capas\1888900\1\52.jpg</v>
      </c>
      <c r="P269" s="12" t="str">
        <f>HYPERLINK(O269)</f>
        <v>C:\Users\mbaptista\OneDrive - Biblioteca Nacional de Portugal\Documentos\python\camoniana\imagens\capas\1888900\1\52.jpg</v>
      </c>
      <c r="Q269" s="12"/>
      <c r="R269" s="6" t="s">
        <v>433</v>
      </c>
      <c r="S269" s="4"/>
      <c r="T269" s="1" t="s">
        <v>428</v>
      </c>
      <c r="U269" s="13"/>
      <c r="V269" s="13"/>
      <c r="W269" s="5" t="s">
        <v>1491</v>
      </c>
    </row>
    <row r="270" spans="1:23" ht="75">
      <c r="A270" s="1">
        <v>1888900</v>
      </c>
      <c r="B270" s="1">
        <v>1</v>
      </c>
      <c r="C270" s="1">
        <v>53</v>
      </c>
      <c r="D270" s="2" t="s">
        <v>426</v>
      </c>
      <c r="E270" s="5" t="s">
        <v>426</v>
      </c>
      <c r="F270" s="5">
        <v>272786</v>
      </c>
      <c r="G270" s="2" t="s">
        <v>1494</v>
      </c>
      <c r="H270" s="2" t="s">
        <v>1495</v>
      </c>
      <c r="I270" s="2" t="s">
        <v>1496</v>
      </c>
      <c r="J270" s="2" t="str">
        <f t="shared" si="8"/>
        <v>https://permalinkbnd.bnportugal.gov.pt/viewer/272786/?offset=#page=53&amp;viewer=picture&amp;o=info&amp;n=0&amp;q=</v>
      </c>
      <c r="K270" s="1" t="s">
        <v>427</v>
      </c>
      <c r="L270" s="1" t="str">
        <f>VLOOKUP(A270,Folha2!$A$2:$B$2019,2,FALSE)</f>
        <v xml:space="preserve">Os Lusíadas, Rio de Janeiro, 1958. Edição crítica de F. Silveira Bueno. A inserir Paratextos vida. Paratextos argumentos. Paratextos notas e Celebrações (1860), edições? Iconografia Figuras históricas e outras [sistema planetário]. </v>
      </c>
      <c r="M270" s="12" t="str">
        <f t="shared" si="9"/>
        <v>https://permalinkbnd.bnportugal.gov.pt/viewer/272786/?offset=#page=53&amp;viewer=picture&amp;o=info&amp;n=0&amp;q=</v>
      </c>
      <c r="N270" s="12" t="s">
        <v>1497</v>
      </c>
      <c r="O270" s="12" t="str">
        <f>CONCATENATE(N270,A270,"\",B270,"\",C270,".jpg")</f>
        <v>C:\Users\mbaptista\OneDrive - Biblioteca Nacional de Portugal\Documentos\python\camoniana\imagens\capas\1888900\1\53.jpg</v>
      </c>
      <c r="P270" s="12" t="str">
        <f>HYPERLINK(O270)</f>
        <v>C:\Users\mbaptista\OneDrive - Biblioteca Nacional de Portugal\Documentos\python\camoniana\imagens\capas\1888900\1\53.jpg</v>
      </c>
      <c r="Q270" s="12"/>
      <c r="R270" s="6" t="s">
        <v>434</v>
      </c>
      <c r="S270" s="4"/>
      <c r="T270" s="1" t="s">
        <v>428</v>
      </c>
      <c r="U270" s="13"/>
      <c r="V270" s="13"/>
      <c r="W270" s="5" t="s">
        <v>1491</v>
      </c>
    </row>
    <row r="271" spans="1:23" ht="75">
      <c r="A271" s="1">
        <v>1888900</v>
      </c>
      <c r="B271" s="1">
        <v>1</v>
      </c>
      <c r="C271" s="1">
        <v>86</v>
      </c>
      <c r="D271" s="2" t="s">
        <v>426</v>
      </c>
      <c r="E271" s="11" t="s">
        <v>426</v>
      </c>
      <c r="F271" s="11">
        <v>272786</v>
      </c>
      <c r="G271" s="2" t="s">
        <v>1494</v>
      </c>
      <c r="H271" s="2" t="s">
        <v>1495</v>
      </c>
      <c r="I271" s="2" t="s">
        <v>1496</v>
      </c>
      <c r="J271" s="2" t="str">
        <f t="shared" si="8"/>
        <v>https://permalinkbnd.bnportugal.gov.pt/viewer/272786/?offset=#page=86&amp;viewer=picture&amp;o=info&amp;n=0&amp;q=</v>
      </c>
      <c r="K271" s="1" t="s">
        <v>427</v>
      </c>
      <c r="L271" s="1" t="str">
        <f>VLOOKUP(A271,Folha2!$A$2:$B$2019,2,FALSE)</f>
        <v xml:space="preserve">Os Lusíadas, Rio de Janeiro, 1958. Edição crítica de F. Silveira Bueno. A inserir Paratextos vida. Paratextos argumentos. Paratextos notas e Celebrações (1860), edições? Iconografia Figuras históricas e outras [sistema planetário]. </v>
      </c>
      <c r="M271" s="12" t="str">
        <f t="shared" si="9"/>
        <v>https://permalinkbnd.bnportugal.gov.pt/viewer/272786/?offset=#page=86&amp;viewer=picture&amp;o=info&amp;n=0&amp;q=</v>
      </c>
      <c r="N271" s="12" t="s">
        <v>1497</v>
      </c>
      <c r="O271" s="12" t="str">
        <f>CONCATENATE(N271,A271,"\",B271,"\",C271,".jpg")</f>
        <v>C:\Users\mbaptista\OneDrive - Biblioteca Nacional de Portugal\Documentos\python\camoniana\imagens\capas\1888900\1\86.jpg</v>
      </c>
      <c r="P271" s="12" t="str">
        <f>HYPERLINK(O271)</f>
        <v>C:\Users\mbaptista\OneDrive - Biblioteca Nacional de Portugal\Documentos\python\camoniana\imagens\capas\1888900\1\86.jpg</v>
      </c>
      <c r="Q271" s="12"/>
      <c r="R271" s="6" t="s">
        <v>435</v>
      </c>
      <c r="S271" s="4"/>
      <c r="T271" s="1" t="s">
        <v>428</v>
      </c>
      <c r="U271" s="13"/>
      <c r="V271" s="13"/>
      <c r="W271" s="5" t="s">
        <v>1491</v>
      </c>
    </row>
    <row r="272" spans="1:23" ht="75">
      <c r="A272" s="1">
        <v>1888900</v>
      </c>
      <c r="B272" s="1">
        <v>1</v>
      </c>
      <c r="C272" s="1">
        <v>87</v>
      </c>
      <c r="D272" s="2" t="s">
        <v>426</v>
      </c>
      <c r="E272" s="5" t="s">
        <v>426</v>
      </c>
      <c r="F272" s="5">
        <v>272786</v>
      </c>
      <c r="G272" s="2" t="s">
        <v>1494</v>
      </c>
      <c r="H272" s="2" t="s">
        <v>1495</v>
      </c>
      <c r="I272" s="2" t="s">
        <v>1496</v>
      </c>
      <c r="J272" s="2" t="str">
        <f t="shared" si="8"/>
        <v>https://permalinkbnd.bnportugal.gov.pt/viewer/272786/?offset=#page=87&amp;viewer=picture&amp;o=info&amp;n=0&amp;q=</v>
      </c>
      <c r="K272" s="1" t="s">
        <v>427</v>
      </c>
      <c r="L272" s="1" t="str">
        <f>VLOOKUP(A272,Folha2!$A$2:$B$2019,2,FALSE)</f>
        <v xml:space="preserve">Os Lusíadas, Rio de Janeiro, 1958. Edição crítica de F. Silveira Bueno. A inserir Paratextos vida. Paratextos argumentos. Paratextos notas e Celebrações (1860), edições? Iconografia Figuras históricas e outras [sistema planetário]. </v>
      </c>
      <c r="M272" s="12" t="str">
        <f t="shared" si="9"/>
        <v>https://permalinkbnd.bnportugal.gov.pt/viewer/272786/?offset=#page=87&amp;viewer=picture&amp;o=info&amp;n=0&amp;q=</v>
      </c>
      <c r="N272" s="12" t="s">
        <v>1497</v>
      </c>
      <c r="O272" s="12" t="str">
        <f>CONCATENATE(N272,A272,"\",B272,"\",C272,".jpg")</f>
        <v>C:\Users\mbaptista\OneDrive - Biblioteca Nacional de Portugal\Documentos\python\camoniana\imagens\capas\1888900\1\87.jpg</v>
      </c>
      <c r="P272" s="12" t="str">
        <f>HYPERLINK(O272)</f>
        <v>C:\Users\mbaptista\OneDrive - Biblioteca Nacional de Portugal\Documentos\python\camoniana\imagens\capas\1888900\1\87.jpg</v>
      </c>
      <c r="Q272" s="12"/>
      <c r="R272" s="6" t="s">
        <v>436</v>
      </c>
      <c r="S272" s="4"/>
      <c r="T272" s="1" t="s">
        <v>428</v>
      </c>
      <c r="U272" s="13"/>
      <c r="V272" s="13"/>
      <c r="W272" s="5" t="s">
        <v>1491</v>
      </c>
    </row>
    <row r="273" spans="1:23" ht="75">
      <c r="A273" s="1">
        <v>1888900</v>
      </c>
      <c r="B273" s="1">
        <v>1</v>
      </c>
      <c r="C273" s="1">
        <v>88</v>
      </c>
      <c r="D273" s="2" t="s">
        <v>426</v>
      </c>
      <c r="E273" s="11" t="s">
        <v>426</v>
      </c>
      <c r="F273" s="11">
        <v>272786</v>
      </c>
      <c r="G273" s="2" t="s">
        <v>1494</v>
      </c>
      <c r="H273" s="2" t="s">
        <v>1495</v>
      </c>
      <c r="I273" s="2" t="s">
        <v>1496</v>
      </c>
      <c r="J273" s="2" t="str">
        <f t="shared" si="8"/>
        <v>https://permalinkbnd.bnportugal.gov.pt/viewer/272786/?offset=#page=88&amp;viewer=picture&amp;o=info&amp;n=0&amp;q=</v>
      </c>
      <c r="K273" s="1" t="s">
        <v>427</v>
      </c>
      <c r="L273" s="1" t="str">
        <f>VLOOKUP(A273,Folha2!$A$2:$B$2019,2,FALSE)</f>
        <v xml:space="preserve">Os Lusíadas, Rio de Janeiro, 1958. Edição crítica de F. Silveira Bueno. A inserir Paratextos vida. Paratextos argumentos. Paratextos notas e Celebrações (1860), edições? Iconografia Figuras históricas e outras [sistema planetário]. </v>
      </c>
      <c r="M273" s="12" t="str">
        <f t="shared" si="9"/>
        <v>https://permalinkbnd.bnportugal.gov.pt/viewer/272786/?offset=#page=88&amp;viewer=picture&amp;o=info&amp;n=0&amp;q=</v>
      </c>
      <c r="N273" s="12" t="s">
        <v>1497</v>
      </c>
      <c r="O273" s="12" t="str">
        <f>CONCATENATE(N273,A273,"\",B273,"\",C273,".jpg")</f>
        <v>C:\Users\mbaptista\OneDrive - Biblioteca Nacional de Portugal\Documentos\python\camoniana\imagens\capas\1888900\1\88.jpg</v>
      </c>
      <c r="P273" s="12" t="str">
        <f>HYPERLINK(O273)</f>
        <v>C:\Users\mbaptista\OneDrive - Biblioteca Nacional de Portugal\Documentos\python\camoniana\imagens\capas\1888900\1\88.jpg</v>
      </c>
      <c r="Q273" s="12"/>
      <c r="R273" s="6" t="s">
        <v>437</v>
      </c>
      <c r="S273" s="4"/>
      <c r="T273" s="1" t="s">
        <v>428</v>
      </c>
      <c r="U273" s="13"/>
      <c r="V273" s="13"/>
      <c r="W273" s="5" t="s">
        <v>1491</v>
      </c>
    </row>
    <row r="274" spans="1:23" ht="75">
      <c r="A274" s="1">
        <v>1888900</v>
      </c>
      <c r="B274" s="1">
        <v>1</v>
      </c>
      <c r="C274" s="1">
        <v>166</v>
      </c>
      <c r="D274" s="2" t="s">
        <v>426</v>
      </c>
      <c r="E274" s="5" t="s">
        <v>426</v>
      </c>
      <c r="F274" s="5">
        <v>272786</v>
      </c>
      <c r="G274" s="2" t="s">
        <v>1494</v>
      </c>
      <c r="H274" s="2" t="s">
        <v>1495</v>
      </c>
      <c r="I274" s="2" t="s">
        <v>1496</v>
      </c>
      <c r="J274" s="2" t="str">
        <f t="shared" si="8"/>
        <v>https://permalinkbnd.bnportugal.gov.pt/viewer/272786/?offset=#page=166&amp;viewer=picture&amp;o=info&amp;n=0&amp;q=</v>
      </c>
      <c r="K274" s="1" t="s">
        <v>427</v>
      </c>
      <c r="L274" s="1" t="str">
        <f>VLOOKUP(A274,Folha2!$A$2:$B$2019,2,FALSE)</f>
        <v xml:space="preserve">Os Lusíadas, Rio de Janeiro, 1958. Edição crítica de F. Silveira Bueno. A inserir Paratextos vida. Paratextos argumentos. Paratextos notas e Celebrações (1860), edições? Iconografia Figuras históricas e outras [sistema planetário]. </v>
      </c>
      <c r="M274" s="12" t="str">
        <f t="shared" si="9"/>
        <v>https://permalinkbnd.bnportugal.gov.pt/viewer/272786/?offset=#page=166&amp;viewer=picture&amp;o=info&amp;n=0&amp;q=</v>
      </c>
      <c r="N274" s="12" t="s">
        <v>1497</v>
      </c>
      <c r="O274" s="12" t="str">
        <f>CONCATENATE(N274,A274,"\",B274,"\",C274,".jpg")</f>
        <v>C:\Users\mbaptista\OneDrive - Biblioteca Nacional de Portugal\Documentos\python\camoniana\imagens\capas\1888900\1\166.jpg</v>
      </c>
      <c r="P274" s="12" t="str">
        <f>HYPERLINK(O274)</f>
        <v>C:\Users\mbaptista\OneDrive - Biblioteca Nacional de Portugal\Documentos\python\camoniana\imagens\capas\1888900\1\166.jpg</v>
      </c>
      <c r="Q274" s="12"/>
      <c r="R274" s="6" t="s">
        <v>438</v>
      </c>
      <c r="S274" s="4"/>
      <c r="T274" s="1" t="s">
        <v>428</v>
      </c>
      <c r="U274" s="13"/>
      <c r="V274" s="13"/>
      <c r="W274" s="5" t="s">
        <v>1491</v>
      </c>
    </row>
    <row r="275" spans="1:23" ht="75">
      <c r="A275" s="1">
        <v>1888900</v>
      </c>
      <c r="B275" s="1">
        <v>1</v>
      </c>
      <c r="C275" s="1">
        <v>167</v>
      </c>
      <c r="D275" s="2" t="s">
        <v>426</v>
      </c>
      <c r="E275" s="11" t="s">
        <v>426</v>
      </c>
      <c r="F275" s="11">
        <v>272786</v>
      </c>
      <c r="G275" s="2" t="s">
        <v>1494</v>
      </c>
      <c r="H275" s="2" t="s">
        <v>1495</v>
      </c>
      <c r="I275" s="2" t="s">
        <v>1496</v>
      </c>
      <c r="J275" s="2" t="str">
        <f t="shared" si="8"/>
        <v>https://permalinkbnd.bnportugal.gov.pt/viewer/272786/?offset=#page=167&amp;viewer=picture&amp;o=info&amp;n=0&amp;q=</v>
      </c>
      <c r="K275" s="1" t="s">
        <v>427</v>
      </c>
      <c r="L275" s="1" t="str">
        <f>VLOOKUP(A275,Folha2!$A$2:$B$2019,2,FALSE)</f>
        <v xml:space="preserve">Os Lusíadas, Rio de Janeiro, 1958. Edição crítica de F. Silveira Bueno. A inserir Paratextos vida. Paratextos argumentos. Paratextos notas e Celebrações (1860), edições? Iconografia Figuras históricas e outras [sistema planetário]. </v>
      </c>
      <c r="M275" s="12" t="str">
        <f t="shared" si="9"/>
        <v>https://permalinkbnd.bnportugal.gov.pt/viewer/272786/?offset=#page=167&amp;viewer=picture&amp;o=info&amp;n=0&amp;q=</v>
      </c>
      <c r="N275" s="12" t="s">
        <v>1497</v>
      </c>
      <c r="O275" s="12" t="str">
        <f>CONCATENATE(N275,A275,"\",B275,"\",C275,".jpg")</f>
        <v>C:\Users\mbaptista\OneDrive - Biblioteca Nacional de Portugal\Documentos\python\camoniana\imagens\capas\1888900\1\167.jpg</v>
      </c>
      <c r="P275" s="12" t="str">
        <f>HYPERLINK(O275)</f>
        <v>C:\Users\mbaptista\OneDrive - Biblioteca Nacional de Portugal\Documentos\python\camoniana\imagens\capas\1888900\1\167.jpg</v>
      </c>
      <c r="Q275" s="12"/>
      <c r="R275" s="6" t="s">
        <v>439</v>
      </c>
      <c r="S275" s="4"/>
      <c r="T275" s="1" t="s">
        <v>428</v>
      </c>
      <c r="U275" s="13"/>
      <c r="V275" s="13"/>
      <c r="W275" s="5" t="s">
        <v>1491</v>
      </c>
    </row>
    <row r="276" spans="1:23" ht="75">
      <c r="A276" s="1">
        <v>1888900</v>
      </c>
      <c r="B276" s="1">
        <v>1</v>
      </c>
      <c r="C276" s="1">
        <v>168</v>
      </c>
      <c r="D276" s="2" t="s">
        <v>426</v>
      </c>
      <c r="E276" s="5" t="s">
        <v>426</v>
      </c>
      <c r="F276" s="5">
        <v>272786</v>
      </c>
      <c r="G276" s="2" t="s">
        <v>1494</v>
      </c>
      <c r="H276" s="2" t="s">
        <v>1495</v>
      </c>
      <c r="I276" s="2" t="s">
        <v>1496</v>
      </c>
      <c r="J276" s="2" t="str">
        <f t="shared" si="8"/>
        <v>https://permalinkbnd.bnportugal.gov.pt/viewer/272786/?offset=#page=168&amp;viewer=picture&amp;o=info&amp;n=0&amp;q=</v>
      </c>
      <c r="K276" s="1" t="s">
        <v>427</v>
      </c>
      <c r="L276" s="1" t="str">
        <f>VLOOKUP(A276,Folha2!$A$2:$B$2019,2,FALSE)</f>
        <v xml:space="preserve">Os Lusíadas, Rio de Janeiro, 1958. Edição crítica de F. Silveira Bueno. A inserir Paratextos vida. Paratextos argumentos. Paratextos notas e Celebrações (1860), edições? Iconografia Figuras históricas e outras [sistema planetário]. </v>
      </c>
      <c r="M276" s="12" t="str">
        <f t="shared" si="9"/>
        <v>https://permalinkbnd.bnportugal.gov.pt/viewer/272786/?offset=#page=168&amp;viewer=picture&amp;o=info&amp;n=0&amp;q=</v>
      </c>
      <c r="N276" s="12" t="s">
        <v>1497</v>
      </c>
      <c r="O276" s="12" t="str">
        <f>CONCATENATE(N276,A276,"\",B276,"\",C276,".jpg")</f>
        <v>C:\Users\mbaptista\OneDrive - Biblioteca Nacional de Portugal\Documentos\python\camoniana\imagens\capas\1888900\1\168.jpg</v>
      </c>
      <c r="P276" s="12" t="str">
        <f>HYPERLINK(O276)</f>
        <v>C:\Users\mbaptista\OneDrive - Biblioteca Nacional de Portugal\Documentos\python\camoniana\imagens\capas\1888900\1\168.jpg</v>
      </c>
      <c r="Q276" s="12"/>
      <c r="R276" s="6" t="s">
        <v>440</v>
      </c>
      <c r="S276" s="4"/>
      <c r="T276" s="1" t="s">
        <v>428</v>
      </c>
      <c r="U276" s="13"/>
      <c r="V276" s="13"/>
      <c r="W276" s="5" t="s">
        <v>1491</v>
      </c>
    </row>
    <row r="277" spans="1:23" ht="75">
      <c r="A277" s="1">
        <v>1888900</v>
      </c>
      <c r="B277" s="1">
        <v>1</v>
      </c>
      <c r="C277" s="1">
        <v>241</v>
      </c>
      <c r="D277" s="2" t="s">
        <v>426</v>
      </c>
      <c r="E277" s="11" t="s">
        <v>426</v>
      </c>
      <c r="F277" s="11">
        <v>272786</v>
      </c>
      <c r="G277" s="2" t="s">
        <v>1494</v>
      </c>
      <c r="H277" s="2" t="s">
        <v>1495</v>
      </c>
      <c r="I277" s="2" t="s">
        <v>1496</v>
      </c>
      <c r="J277" s="2" t="str">
        <f t="shared" si="8"/>
        <v>https://permalinkbnd.bnportugal.gov.pt/viewer/272786/?offset=#page=241&amp;viewer=picture&amp;o=info&amp;n=0&amp;q=</v>
      </c>
      <c r="K277" s="1" t="s">
        <v>427</v>
      </c>
      <c r="L277" s="1" t="str">
        <f>VLOOKUP(A277,Folha2!$A$2:$B$2019,2,FALSE)</f>
        <v xml:space="preserve">Os Lusíadas, Rio de Janeiro, 1958. Edição crítica de F. Silveira Bueno. A inserir Paratextos vida. Paratextos argumentos. Paratextos notas e Celebrações (1860), edições? Iconografia Figuras históricas e outras [sistema planetário]. </v>
      </c>
      <c r="M277" s="12" t="str">
        <f t="shared" si="9"/>
        <v>https://permalinkbnd.bnportugal.gov.pt/viewer/272786/?offset=#page=241&amp;viewer=picture&amp;o=info&amp;n=0&amp;q=</v>
      </c>
      <c r="N277" s="12" t="s">
        <v>1497</v>
      </c>
      <c r="O277" s="12" t="str">
        <f>CONCATENATE(N277,A277,"\",B277,"\",C277,".jpg")</f>
        <v>C:\Users\mbaptista\OneDrive - Biblioteca Nacional de Portugal\Documentos\python\camoniana\imagens\capas\1888900\1\241.jpg</v>
      </c>
      <c r="P277" s="12" t="str">
        <f>HYPERLINK(O277)</f>
        <v>C:\Users\mbaptista\OneDrive - Biblioteca Nacional de Portugal\Documentos\python\camoniana\imagens\capas\1888900\1\241.jpg</v>
      </c>
      <c r="Q277" s="12"/>
      <c r="R277" s="6" t="s">
        <v>441</v>
      </c>
      <c r="S277" s="4"/>
      <c r="T277" s="1" t="s">
        <v>428</v>
      </c>
      <c r="U277" s="13"/>
      <c r="V277" s="13"/>
      <c r="W277" s="5" t="s">
        <v>1491</v>
      </c>
    </row>
    <row r="278" spans="1:23" ht="75">
      <c r="A278" s="1">
        <v>1888900</v>
      </c>
      <c r="B278" s="1">
        <v>1</v>
      </c>
      <c r="C278" s="1">
        <v>329</v>
      </c>
      <c r="D278" s="2" t="s">
        <v>426</v>
      </c>
      <c r="E278" s="5" t="s">
        <v>426</v>
      </c>
      <c r="F278" s="5">
        <v>272786</v>
      </c>
      <c r="G278" s="2" t="s">
        <v>1494</v>
      </c>
      <c r="H278" s="2" t="s">
        <v>1495</v>
      </c>
      <c r="I278" s="2" t="s">
        <v>1496</v>
      </c>
      <c r="J278" s="2" t="str">
        <f t="shared" si="8"/>
        <v>https://permalinkbnd.bnportugal.gov.pt/viewer/272786/?offset=#page=329&amp;viewer=picture&amp;o=info&amp;n=0&amp;q=</v>
      </c>
      <c r="K278" s="1" t="s">
        <v>427</v>
      </c>
      <c r="L278" s="1" t="str">
        <f>VLOOKUP(A278,Folha2!$A$2:$B$2019,2,FALSE)</f>
        <v xml:space="preserve">Os Lusíadas, Rio de Janeiro, 1958. Edição crítica de F. Silveira Bueno. A inserir Paratextos vida. Paratextos argumentos. Paratextos notas e Celebrações (1860), edições? Iconografia Figuras históricas e outras [sistema planetário]. </v>
      </c>
      <c r="M278" s="12" t="str">
        <f t="shared" si="9"/>
        <v>https://permalinkbnd.bnportugal.gov.pt/viewer/272786/?offset=#page=329&amp;viewer=picture&amp;o=info&amp;n=0&amp;q=</v>
      </c>
      <c r="N278" s="12" t="s">
        <v>1497</v>
      </c>
      <c r="O278" s="12" t="str">
        <f>CONCATENATE(N278,A278,"\",B278,"\",C278,".jpg")</f>
        <v>C:\Users\mbaptista\OneDrive - Biblioteca Nacional de Portugal\Documentos\python\camoniana\imagens\capas\1888900\1\329.jpg</v>
      </c>
      <c r="P278" s="12" t="str">
        <f>HYPERLINK(O278)</f>
        <v>C:\Users\mbaptista\OneDrive - Biblioteca Nacional de Portugal\Documentos\python\camoniana\imagens\capas\1888900\1\329.jpg</v>
      </c>
      <c r="Q278" s="12"/>
      <c r="R278" s="6" t="s">
        <v>442</v>
      </c>
      <c r="S278" s="4"/>
      <c r="T278" s="1" t="s">
        <v>428</v>
      </c>
      <c r="U278" s="13"/>
      <c r="V278" s="13"/>
      <c r="W278" s="5" t="s">
        <v>1491</v>
      </c>
    </row>
    <row r="279" spans="1:23" ht="75">
      <c r="A279" s="1">
        <v>1888900</v>
      </c>
      <c r="B279" s="1">
        <v>1</v>
      </c>
      <c r="C279" s="1">
        <v>330</v>
      </c>
      <c r="D279" s="2" t="s">
        <v>426</v>
      </c>
      <c r="E279" s="11" t="s">
        <v>426</v>
      </c>
      <c r="F279" s="11">
        <v>272786</v>
      </c>
      <c r="G279" s="2" t="s">
        <v>1494</v>
      </c>
      <c r="H279" s="2" t="s">
        <v>1495</v>
      </c>
      <c r="I279" s="2" t="s">
        <v>1496</v>
      </c>
      <c r="J279" s="2" t="str">
        <f t="shared" si="8"/>
        <v>https://permalinkbnd.bnportugal.gov.pt/viewer/272786/?offset=#page=330&amp;viewer=picture&amp;o=info&amp;n=0&amp;q=</v>
      </c>
      <c r="K279" s="1" t="s">
        <v>427</v>
      </c>
      <c r="L279" s="1" t="str">
        <f>VLOOKUP(A279,Folha2!$A$2:$B$2019,2,FALSE)</f>
        <v xml:space="preserve">Os Lusíadas, Rio de Janeiro, 1958. Edição crítica de F. Silveira Bueno. A inserir Paratextos vida. Paratextos argumentos. Paratextos notas e Celebrações (1860), edições? Iconografia Figuras históricas e outras [sistema planetário]. </v>
      </c>
      <c r="M279" s="12" t="str">
        <f t="shared" si="9"/>
        <v>https://permalinkbnd.bnportugal.gov.pt/viewer/272786/?offset=#page=330&amp;viewer=picture&amp;o=info&amp;n=0&amp;q=</v>
      </c>
      <c r="N279" s="12" t="s">
        <v>1497</v>
      </c>
      <c r="O279" s="12" t="str">
        <f>CONCATENATE(N279,A279,"\",B279,"\",C279,".jpg")</f>
        <v>C:\Users\mbaptista\OneDrive - Biblioteca Nacional de Portugal\Documentos\python\camoniana\imagens\capas\1888900\1\330.jpg</v>
      </c>
      <c r="P279" s="12" t="str">
        <f>HYPERLINK(O279)</f>
        <v>C:\Users\mbaptista\OneDrive - Biblioteca Nacional de Portugal\Documentos\python\camoniana\imagens\capas\1888900\1\330.jpg</v>
      </c>
      <c r="Q279" s="12"/>
      <c r="R279" s="6" t="s">
        <v>443</v>
      </c>
      <c r="S279" s="4"/>
      <c r="T279" s="1" t="s">
        <v>428</v>
      </c>
      <c r="U279" s="13"/>
      <c r="V279" s="13"/>
      <c r="W279" s="5" t="s">
        <v>1491</v>
      </c>
    </row>
    <row r="280" spans="1:23" ht="75">
      <c r="A280" s="1">
        <v>1888900</v>
      </c>
      <c r="B280" s="1">
        <v>1</v>
      </c>
      <c r="C280" s="1">
        <v>389</v>
      </c>
      <c r="D280" s="2" t="s">
        <v>426</v>
      </c>
      <c r="E280" s="5" t="s">
        <v>426</v>
      </c>
      <c r="F280" s="5">
        <v>272786</v>
      </c>
      <c r="G280" s="2" t="s">
        <v>1494</v>
      </c>
      <c r="H280" s="2" t="s">
        <v>1495</v>
      </c>
      <c r="I280" s="2" t="s">
        <v>1496</v>
      </c>
      <c r="J280" s="2" t="str">
        <f t="shared" si="8"/>
        <v>https://permalinkbnd.bnportugal.gov.pt/viewer/272786/?offset=#page=389&amp;viewer=picture&amp;o=info&amp;n=0&amp;q=</v>
      </c>
      <c r="K280" s="1" t="s">
        <v>427</v>
      </c>
      <c r="L280" s="1" t="str">
        <f>VLOOKUP(A280,Folha2!$A$2:$B$2019,2,FALSE)</f>
        <v xml:space="preserve">Os Lusíadas, Rio de Janeiro, 1958. Edição crítica de F. Silveira Bueno. A inserir Paratextos vida. Paratextos argumentos. Paratextos notas e Celebrações (1860), edições? Iconografia Figuras históricas e outras [sistema planetário]. </v>
      </c>
      <c r="M280" s="12" t="str">
        <f t="shared" si="9"/>
        <v>https://permalinkbnd.bnportugal.gov.pt/viewer/272786/?offset=#page=389&amp;viewer=picture&amp;o=info&amp;n=0&amp;q=</v>
      </c>
      <c r="N280" s="12" t="s">
        <v>1497</v>
      </c>
      <c r="O280" s="12" t="str">
        <f>CONCATENATE(N280,A280,"\",B280,"\",C280,".jpg")</f>
        <v>C:\Users\mbaptista\OneDrive - Biblioteca Nacional de Portugal\Documentos\python\camoniana\imagens\capas\1888900\1\389.jpg</v>
      </c>
      <c r="P280" s="12" t="str">
        <f>HYPERLINK(O280)</f>
        <v>C:\Users\mbaptista\OneDrive - Biblioteca Nacional de Portugal\Documentos\python\camoniana\imagens\capas\1888900\1\389.jpg</v>
      </c>
      <c r="Q280" s="12"/>
      <c r="R280" s="6" t="s">
        <v>444</v>
      </c>
      <c r="S280" s="4"/>
      <c r="T280" s="1" t="s">
        <v>428</v>
      </c>
      <c r="U280" s="13"/>
      <c r="V280" s="13"/>
      <c r="W280" s="5" t="s">
        <v>1491</v>
      </c>
    </row>
    <row r="281" spans="1:23" ht="75">
      <c r="A281" s="1">
        <v>1888900</v>
      </c>
      <c r="B281" s="1">
        <v>1</v>
      </c>
      <c r="C281" s="1">
        <v>390</v>
      </c>
      <c r="D281" s="2" t="s">
        <v>426</v>
      </c>
      <c r="E281" s="11" t="s">
        <v>426</v>
      </c>
      <c r="F281" s="11">
        <v>272786</v>
      </c>
      <c r="G281" s="2" t="s">
        <v>1494</v>
      </c>
      <c r="H281" s="2" t="s">
        <v>1495</v>
      </c>
      <c r="I281" s="2" t="s">
        <v>1496</v>
      </c>
      <c r="J281" s="2" t="str">
        <f t="shared" si="8"/>
        <v>https://permalinkbnd.bnportugal.gov.pt/viewer/272786/?offset=#page=390&amp;viewer=picture&amp;o=info&amp;n=0&amp;q=</v>
      </c>
      <c r="K281" s="1" t="s">
        <v>427</v>
      </c>
      <c r="L281" s="1" t="str">
        <f>VLOOKUP(A281,Folha2!$A$2:$B$2019,2,FALSE)</f>
        <v xml:space="preserve">Os Lusíadas, Rio de Janeiro, 1958. Edição crítica de F. Silveira Bueno. A inserir Paratextos vida. Paratextos argumentos. Paratextos notas e Celebrações (1860), edições? Iconografia Figuras históricas e outras [sistema planetário]. </v>
      </c>
      <c r="M281" s="12" t="str">
        <f t="shared" si="9"/>
        <v>https://permalinkbnd.bnportugal.gov.pt/viewer/272786/?offset=#page=390&amp;viewer=picture&amp;o=info&amp;n=0&amp;q=</v>
      </c>
      <c r="N281" s="12" t="s">
        <v>1497</v>
      </c>
      <c r="O281" s="12" t="str">
        <f>CONCATENATE(N281,A281,"\",B281,"\",C281,".jpg")</f>
        <v>C:\Users\mbaptista\OneDrive - Biblioteca Nacional de Portugal\Documentos\python\camoniana\imagens\capas\1888900\1\390.jpg</v>
      </c>
      <c r="P281" s="12" t="str">
        <f>HYPERLINK(O281)</f>
        <v>C:\Users\mbaptista\OneDrive - Biblioteca Nacional de Portugal\Documentos\python\camoniana\imagens\capas\1888900\1\390.jpg</v>
      </c>
      <c r="Q281" s="12"/>
      <c r="R281" s="6" t="s">
        <v>445</v>
      </c>
      <c r="S281" s="4"/>
      <c r="T281" s="1" t="s">
        <v>428</v>
      </c>
      <c r="U281" s="13"/>
      <c r="V281" s="13"/>
      <c r="W281" s="5" t="s">
        <v>1491</v>
      </c>
    </row>
    <row r="282" spans="1:23" ht="75">
      <c r="A282" s="1">
        <v>1888900</v>
      </c>
      <c r="B282" s="1">
        <v>1</v>
      </c>
      <c r="C282" s="1">
        <v>449</v>
      </c>
      <c r="D282" s="2" t="s">
        <v>426</v>
      </c>
      <c r="E282" s="5" t="s">
        <v>426</v>
      </c>
      <c r="F282" s="5">
        <v>272786</v>
      </c>
      <c r="G282" s="2" t="s">
        <v>1494</v>
      </c>
      <c r="H282" s="2" t="s">
        <v>1495</v>
      </c>
      <c r="I282" s="2" t="s">
        <v>1496</v>
      </c>
      <c r="J282" s="2" t="str">
        <f t="shared" si="8"/>
        <v>https://permalinkbnd.bnportugal.gov.pt/viewer/272786/?offset=#page=449&amp;viewer=picture&amp;o=info&amp;n=0&amp;q=</v>
      </c>
      <c r="K282" s="1" t="s">
        <v>427</v>
      </c>
      <c r="L282" s="1" t="str">
        <f>VLOOKUP(A282,Folha2!$A$2:$B$2019,2,FALSE)</f>
        <v xml:space="preserve">Os Lusíadas, Rio de Janeiro, 1958. Edição crítica de F. Silveira Bueno. A inserir Paratextos vida. Paratextos argumentos. Paratextos notas e Celebrações (1860), edições? Iconografia Figuras históricas e outras [sistema planetário]. </v>
      </c>
      <c r="M282" s="12" t="str">
        <f t="shared" si="9"/>
        <v>https://permalinkbnd.bnportugal.gov.pt/viewer/272786/?offset=#page=449&amp;viewer=picture&amp;o=info&amp;n=0&amp;q=</v>
      </c>
      <c r="N282" s="12" t="s">
        <v>1497</v>
      </c>
      <c r="O282" s="12" t="str">
        <f>CONCATENATE(N282,A282,"\",B282,"\",C282,".jpg")</f>
        <v>C:\Users\mbaptista\OneDrive - Biblioteca Nacional de Portugal\Documentos\python\camoniana\imagens\capas\1888900\1\449.jpg</v>
      </c>
      <c r="P282" s="12" t="str">
        <f>HYPERLINK(O282)</f>
        <v>C:\Users\mbaptista\OneDrive - Biblioteca Nacional de Portugal\Documentos\python\camoniana\imagens\capas\1888900\1\449.jpg</v>
      </c>
      <c r="Q282" s="12"/>
      <c r="R282" s="6" t="s">
        <v>446</v>
      </c>
      <c r="S282" s="4"/>
      <c r="T282" s="1" t="s">
        <v>428</v>
      </c>
      <c r="U282" s="13"/>
      <c r="V282" s="13"/>
      <c r="W282" s="5" t="s">
        <v>1491</v>
      </c>
    </row>
    <row r="283" spans="1:23" ht="75">
      <c r="A283" s="1">
        <v>1888900</v>
      </c>
      <c r="B283" s="1">
        <v>1</v>
      </c>
      <c r="C283" s="1">
        <v>450</v>
      </c>
      <c r="D283" s="2" t="s">
        <v>426</v>
      </c>
      <c r="E283" s="11" t="s">
        <v>426</v>
      </c>
      <c r="F283" s="11">
        <v>272786</v>
      </c>
      <c r="G283" s="2" t="s">
        <v>1494</v>
      </c>
      <c r="H283" s="2" t="s">
        <v>1495</v>
      </c>
      <c r="I283" s="2" t="s">
        <v>1496</v>
      </c>
      <c r="J283" s="2" t="str">
        <f t="shared" si="8"/>
        <v>https://permalinkbnd.bnportugal.gov.pt/viewer/272786/?offset=#page=450&amp;viewer=picture&amp;o=info&amp;n=0&amp;q=</v>
      </c>
      <c r="K283" s="1" t="s">
        <v>427</v>
      </c>
      <c r="L283" s="1" t="str">
        <f>VLOOKUP(A283,Folha2!$A$2:$B$2019,2,FALSE)</f>
        <v xml:space="preserve">Os Lusíadas, Rio de Janeiro, 1958. Edição crítica de F. Silveira Bueno. A inserir Paratextos vida. Paratextos argumentos. Paratextos notas e Celebrações (1860), edições? Iconografia Figuras históricas e outras [sistema planetário]. </v>
      </c>
      <c r="M283" s="12" t="str">
        <f t="shared" si="9"/>
        <v>https://permalinkbnd.bnportugal.gov.pt/viewer/272786/?offset=#page=450&amp;viewer=picture&amp;o=info&amp;n=0&amp;q=</v>
      </c>
      <c r="N283" s="12" t="s">
        <v>1497</v>
      </c>
      <c r="O283" s="12" t="str">
        <f>CONCATENATE(N283,A283,"\",B283,"\",C283,".jpg")</f>
        <v>C:\Users\mbaptista\OneDrive - Biblioteca Nacional de Portugal\Documentos\python\camoniana\imagens\capas\1888900\1\450.jpg</v>
      </c>
      <c r="P283" s="12" t="str">
        <f>HYPERLINK(O283)</f>
        <v>C:\Users\mbaptista\OneDrive - Biblioteca Nacional de Portugal\Documentos\python\camoniana\imagens\capas\1888900\1\450.jpg</v>
      </c>
      <c r="Q283" s="12"/>
      <c r="R283" s="6" t="s">
        <v>447</v>
      </c>
      <c r="S283" s="4"/>
      <c r="T283" s="1" t="s">
        <v>428</v>
      </c>
      <c r="U283" s="13"/>
      <c r="V283" s="13"/>
      <c r="W283" s="5" t="s">
        <v>1491</v>
      </c>
    </row>
    <row r="284" spans="1:23" ht="75">
      <c r="A284" s="1">
        <v>1888900</v>
      </c>
      <c r="B284" s="1">
        <v>1</v>
      </c>
      <c r="C284" s="1">
        <v>505</v>
      </c>
      <c r="D284" s="2" t="s">
        <v>426</v>
      </c>
      <c r="E284" s="5" t="s">
        <v>426</v>
      </c>
      <c r="F284" s="5">
        <v>272786</v>
      </c>
      <c r="G284" s="2" t="s">
        <v>1494</v>
      </c>
      <c r="H284" s="2" t="s">
        <v>1495</v>
      </c>
      <c r="I284" s="2" t="s">
        <v>1496</v>
      </c>
      <c r="J284" s="2" t="str">
        <f t="shared" si="8"/>
        <v>https://permalinkbnd.bnportugal.gov.pt/viewer/272786/?offset=#page=505&amp;viewer=picture&amp;o=info&amp;n=0&amp;q=</v>
      </c>
      <c r="K284" s="1" t="s">
        <v>427</v>
      </c>
      <c r="L284" s="1" t="str">
        <f>VLOOKUP(A284,Folha2!$A$2:$B$2019,2,FALSE)</f>
        <v xml:space="preserve">Os Lusíadas, Rio de Janeiro, 1958. Edição crítica de F. Silveira Bueno. A inserir Paratextos vida. Paratextos argumentos. Paratextos notas e Celebrações (1860), edições? Iconografia Figuras históricas e outras [sistema planetário]. </v>
      </c>
      <c r="M284" s="12" t="str">
        <f t="shared" si="9"/>
        <v>https://permalinkbnd.bnportugal.gov.pt/viewer/272786/?offset=#page=505&amp;viewer=picture&amp;o=info&amp;n=0&amp;q=</v>
      </c>
      <c r="N284" s="12" t="s">
        <v>1497</v>
      </c>
      <c r="O284" s="12" t="str">
        <f>CONCATENATE(N284,A284,"\",B284,"\",C284,".jpg")</f>
        <v>C:\Users\mbaptista\OneDrive - Biblioteca Nacional de Portugal\Documentos\python\camoniana\imagens\capas\1888900\1\505.jpg</v>
      </c>
      <c r="P284" s="12" t="str">
        <f>HYPERLINK(O284)</f>
        <v>C:\Users\mbaptista\OneDrive - Biblioteca Nacional de Portugal\Documentos\python\camoniana\imagens\capas\1888900\1\505.jpg</v>
      </c>
      <c r="Q284" s="12"/>
      <c r="R284" s="6" t="s">
        <v>448</v>
      </c>
      <c r="S284" s="4"/>
      <c r="T284" s="1" t="s">
        <v>428</v>
      </c>
      <c r="U284" s="13"/>
      <c r="V284" s="13"/>
      <c r="W284" s="5" t="s">
        <v>1491</v>
      </c>
    </row>
    <row r="285" spans="1:23" ht="75">
      <c r="A285" s="1">
        <v>1888900</v>
      </c>
      <c r="B285" s="1">
        <v>1</v>
      </c>
      <c r="C285" s="1">
        <v>506</v>
      </c>
      <c r="D285" s="2" t="s">
        <v>426</v>
      </c>
      <c r="E285" s="11" t="s">
        <v>426</v>
      </c>
      <c r="F285" s="11">
        <v>272786</v>
      </c>
      <c r="G285" s="2" t="s">
        <v>1494</v>
      </c>
      <c r="H285" s="2" t="s">
        <v>1495</v>
      </c>
      <c r="I285" s="2" t="s">
        <v>1496</v>
      </c>
      <c r="J285" s="2" t="str">
        <f t="shared" si="8"/>
        <v>https://permalinkbnd.bnportugal.gov.pt/viewer/272786/?offset=#page=506&amp;viewer=picture&amp;o=info&amp;n=0&amp;q=</v>
      </c>
      <c r="K285" s="1" t="s">
        <v>427</v>
      </c>
      <c r="L285" s="1" t="str">
        <f>VLOOKUP(A285,Folha2!$A$2:$B$2019,2,FALSE)</f>
        <v xml:space="preserve">Os Lusíadas, Rio de Janeiro, 1958. Edição crítica de F. Silveira Bueno. A inserir Paratextos vida. Paratextos argumentos. Paratextos notas e Celebrações (1860), edições? Iconografia Figuras históricas e outras [sistema planetário]. </v>
      </c>
      <c r="M285" s="12" t="str">
        <f t="shared" si="9"/>
        <v>https://permalinkbnd.bnportugal.gov.pt/viewer/272786/?offset=#page=506&amp;viewer=picture&amp;o=info&amp;n=0&amp;q=</v>
      </c>
      <c r="N285" s="12" t="s">
        <v>1497</v>
      </c>
      <c r="O285" s="12" t="str">
        <f>CONCATENATE(N285,A285,"\",B285,"\",C285,".jpg")</f>
        <v>C:\Users\mbaptista\OneDrive - Biblioteca Nacional de Portugal\Documentos\python\camoniana\imagens\capas\1888900\1\506.jpg</v>
      </c>
      <c r="P285" s="12" t="str">
        <f>HYPERLINK(O285)</f>
        <v>C:\Users\mbaptista\OneDrive - Biblioteca Nacional de Portugal\Documentos\python\camoniana\imagens\capas\1888900\1\506.jpg</v>
      </c>
      <c r="Q285" s="12"/>
      <c r="R285" s="6" t="s">
        <v>449</v>
      </c>
      <c r="S285" s="4"/>
      <c r="T285" s="1" t="s">
        <v>428</v>
      </c>
      <c r="U285" s="13"/>
      <c r="V285" s="13"/>
      <c r="W285" s="5" t="s">
        <v>1491</v>
      </c>
    </row>
    <row r="286" spans="1:23" ht="75">
      <c r="A286" s="1">
        <v>1888900</v>
      </c>
      <c r="B286" s="1">
        <v>1</v>
      </c>
      <c r="C286" s="1">
        <v>559</v>
      </c>
      <c r="D286" s="2" t="s">
        <v>426</v>
      </c>
      <c r="E286" s="5" t="s">
        <v>426</v>
      </c>
      <c r="F286" s="5">
        <v>272786</v>
      </c>
      <c r="G286" s="2" t="s">
        <v>1494</v>
      </c>
      <c r="H286" s="2" t="s">
        <v>1495</v>
      </c>
      <c r="I286" s="2" t="s">
        <v>1496</v>
      </c>
      <c r="J286" s="2" t="str">
        <f t="shared" si="8"/>
        <v>https://permalinkbnd.bnportugal.gov.pt/viewer/272786/?offset=#page=559&amp;viewer=picture&amp;o=info&amp;n=0&amp;q=</v>
      </c>
      <c r="K286" s="1" t="s">
        <v>427</v>
      </c>
      <c r="L286" s="1" t="str">
        <f>VLOOKUP(A286,Folha2!$A$2:$B$2019,2,FALSE)</f>
        <v xml:space="preserve">Os Lusíadas, Rio de Janeiro, 1958. Edição crítica de F. Silveira Bueno. A inserir Paratextos vida. Paratextos argumentos. Paratextos notas e Celebrações (1860), edições? Iconografia Figuras históricas e outras [sistema planetário]. </v>
      </c>
      <c r="M286" s="12" t="str">
        <f t="shared" si="9"/>
        <v>https://permalinkbnd.bnportugal.gov.pt/viewer/272786/?offset=#page=559&amp;viewer=picture&amp;o=info&amp;n=0&amp;q=</v>
      </c>
      <c r="N286" s="12" t="s">
        <v>1497</v>
      </c>
      <c r="O286" s="12" t="str">
        <f>CONCATENATE(N286,A286,"\",B286,"\",C286,".jpg")</f>
        <v>C:\Users\mbaptista\OneDrive - Biblioteca Nacional de Portugal\Documentos\python\camoniana\imagens\capas\1888900\1\559.jpg</v>
      </c>
      <c r="P286" s="12" t="str">
        <f>HYPERLINK(O286)</f>
        <v>C:\Users\mbaptista\OneDrive - Biblioteca Nacional de Portugal\Documentos\python\camoniana\imagens\capas\1888900\1\559.jpg</v>
      </c>
      <c r="Q286" s="12"/>
      <c r="R286" s="6" t="s">
        <v>450</v>
      </c>
      <c r="S286" s="4"/>
      <c r="T286" s="1" t="s">
        <v>428</v>
      </c>
      <c r="U286" s="13"/>
      <c r="V286" s="13"/>
      <c r="W286" s="5" t="s">
        <v>1491</v>
      </c>
    </row>
    <row r="287" spans="1:23" ht="75">
      <c r="A287" s="1">
        <v>1888900</v>
      </c>
      <c r="B287" s="1">
        <v>1</v>
      </c>
      <c r="C287" s="1">
        <v>560</v>
      </c>
      <c r="D287" s="2" t="s">
        <v>426</v>
      </c>
      <c r="E287" s="11" t="s">
        <v>426</v>
      </c>
      <c r="F287" s="11">
        <v>272786</v>
      </c>
      <c r="G287" s="2" t="s">
        <v>1494</v>
      </c>
      <c r="H287" s="2" t="s">
        <v>1495</v>
      </c>
      <c r="I287" s="2" t="s">
        <v>1496</v>
      </c>
      <c r="J287" s="2" t="str">
        <f t="shared" si="8"/>
        <v>https://permalinkbnd.bnportugal.gov.pt/viewer/272786/?offset=#page=560&amp;viewer=picture&amp;o=info&amp;n=0&amp;q=</v>
      </c>
      <c r="K287" s="1" t="s">
        <v>427</v>
      </c>
      <c r="L287" s="1" t="str">
        <f>VLOOKUP(A287,Folha2!$A$2:$B$2019,2,FALSE)</f>
        <v xml:space="preserve">Os Lusíadas, Rio de Janeiro, 1958. Edição crítica de F. Silveira Bueno. A inserir Paratextos vida. Paratextos argumentos. Paratextos notas e Celebrações (1860), edições? Iconografia Figuras históricas e outras [sistema planetário]. </v>
      </c>
      <c r="M287" s="12" t="str">
        <f t="shared" si="9"/>
        <v>https://permalinkbnd.bnportugal.gov.pt/viewer/272786/?offset=#page=560&amp;viewer=picture&amp;o=info&amp;n=0&amp;q=</v>
      </c>
      <c r="N287" s="12" t="s">
        <v>1497</v>
      </c>
      <c r="O287" s="12" t="str">
        <f>CONCATENATE(N287,A287,"\",B287,"\",C287,".jpg")</f>
        <v>C:\Users\mbaptista\OneDrive - Biblioteca Nacional de Portugal\Documentos\python\camoniana\imagens\capas\1888900\1\560.jpg</v>
      </c>
      <c r="P287" s="12" t="str">
        <f>HYPERLINK(O287)</f>
        <v>C:\Users\mbaptista\OneDrive - Biblioteca Nacional de Portugal\Documentos\python\camoniana\imagens\capas\1888900\1\560.jpg</v>
      </c>
      <c r="Q287" s="12"/>
      <c r="R287" s="6" t="s">
        <v>451</v>
      </c>
      <c r="S287" s="4"/>
      <c r="T287" s="1" t="s">
        <v>428</v>
      </c>
      <c r="U287" s="13"/>
      <c r="V287" s="13"/>
      <c r="W287" s="5" t="s">
        <v>1491</v>
      </c>
    </row>
    <row r="288" spans="1:23" ht="75">
      <c r="A288" s="1">
        <v>1888900</v>
      </c>
      <c r="B288" s="1">
        <v>1</v>
      </c>
      <c r="C288" s="1">
        <v>615</v>
      </c>
      <c r="D288" s="2" t="s">
        <v>426</v>
      </c>
      <c r="E288" s="5" t="s">
        <v>426</v>
      </c>
      <c r="F288" s="5">
        <v>272786</v>
      </c>
      <c r="G288" s="2" t="s">
        <v>1494</v>
      </c>
      <c r="H288" s="2" t="s">
        <v>1495</v>
      </c>
      <c r="I288" s="2" t="s">
        <v>1496</v>
      </c>
      <c r="J288" s="2" t="str">
        <f t="shared" si="8"/>
        <v>https://permalinkbnd.bnportugal.gov.pt/viewer/272786/?offset=#page=615&amp;viewer=picture&amp;o=info&amp;n=0&amp;q=</v>
      </c>
      <c r="K288" s="1" t="s">
        <v>427</v>
      </c>
      <c r="L288" s="1" t="str">
        <f>VLOOKUP(A288,Folha2!$A$2:$B$2019,2,FALSE)</f>
        <v xml:space="preserve">Os Lusíadas, Rio de Janeiro, 1958. Edição crítica de F. Silveira Bueno. A inserir Paratextos vida. Paratextos argumentos. Paratextos notas e Celebrações (1860), edições? Iconografia Figuras históricas e outras [sistema planetário]. </v>
      </c>
      <c r="M288" s="12" t="str">
        <f t="shared" si="9"/>
        <v>https://permalinkbnd.bnportugal.gov.pt/viewer/272786/?offset=#page=615&amp;viewer=picture&amp;o=info&amp;n=0&amp;q=</v>
      </c>
      <c r="N288" s="12" t="s">
        <v>1497</v>
      </c>
      <c r="O288" s="12" t="str">
        <f>CONCATENATE(N288,A288,"\",B288,"\",C288,".jpg")</f>
        <v>C:\Users\mbaptista\OneDrive - Biblioteca Nacional de Portugal\Documentos\python\camoniana\imagens\capas\1888900\1\615.jpg</v>
      </c>
      <c r="P288" s="12" t="str">
        <f>HYPERLINK(O288)</f>
        <v>C:\Users\mbaptista\OneDrive - Biblioteca Nacional de Portugal\Documentos\python\camoniana\imagens\capas\1888900\1\615.jpg</v>
      </c>
      <c r="Q288" s="12"/>
      <c r="R288" s="6" t="s">
        <v>452</v>
      </c>
      <c r="S288" s="4"/>
      <c r="T288" s="1" t="s">
        <v>428</v>
      </c>
      <c r="U288" s="13"/>
      <c r="V288" s="13"/>
      <c r="W288" s="5" t="s">
        <v>1491</v>
      </c>
    </row>
    <row r="289" spans="1:23" ht="75">
      <c r="A289" s="1">
        <v>1888900</v>
      </c>
      <c r="B289" s="1">
        <v>1</v>
      </c>
      <c r="C289" s="1">
        <v>616</v>
      </c>
      <c r="D289" s="2" t="s">
        <v>426</v>
      </c>
      <c r="E289" s="11" t="s">
        <v>426</v>
      </c>
      <c r="F289" s="11">
        <v>272786</v>
      </c>
      <c r="G289" s="2" t="s">
        <v>1494</v>
      </c>
      <c r="H289" s="2" t="s">
        <v>1495</v>
      </c>
      <c r="I289" s="2" t="s">
        <v>1496</v>
      </c>
      <c r="J289" s="2" t="str">
        <f t="shared" si="8"/>
        <v>https://permalinkbnd.bnportugal.gov.pt/viewer/272786/?offset=#page=616&amp;viewer=picture&amp;o=info&amp;n=0&amp;q=</v>
      </c>
      <c r="K289" s="1" t="s">
        <v>427</v>
      </c>
      <c r="L289" s="1" t="str">
        <f>VLOOKUP(A289,Folha2!$A$2:$B$2019,2,FALSE)</f>
        <v xml:space="preserve">Os Lusíadas, Rio de Janeiro, 1958. Edição crítica de F. Silveira Bueno. A inserir Paratextos vida. Paratextos argumentos. Paratextos notas e Celebrações (1860), edições? Iconografia Figuras históricas e outras [sistema planetário]. </v>
      </c>
      <c r="M289" s="12" t="str">
        <f t="shared" si="9"/>
        <v>https://permalinkbnd.bnportugal.gov.pt/viewer/272786/?offset=#page=616&amp;viewer=picture&amp;o=info&amp;n=0&amp;q=</v>
      </c>
      <c r="N289" s="12" t="s">
        <v>1497</v>
      </c>
      <c r="O289" s="12" t="str">
        <f>CONCATENATE(N289,A289,"\",B289,"\",C289,".jpg")</f>
        <v>C:\Users\mbaptista\OneDrive - Biblioteca Nacional de Portugal\Documentos\python\camoniana\imagens\capas\1888900\1\616.jpg</v>
      </c>
      <c r="P289" s="12" t="str">
        <f>HYPERLINK(O289)</f>
        <v>C:\Users\mbaptista\OneDrive - Biblioteca Nacional de Portugal\Documentos\python\camoniana\imagens\capas\1888900\1\616.jpg</v>
      </c>
      <c r="Q289" s="12"/>
      <c r="R289" s="6" t="s">
        <v>453</v>
      </c>
      <c r="S289" s="4"/>
      <c r="T289" s="1" t="s">
        <v>428</v>
      </c>
      <c r="U289" s="13"/>
      <c r="V289" s="13"/>
      <c r="W289" s="5" t="s">
        <v>1491</v>
      </c>
    </row>
    <row r="290" spans="1:23" ht="75">
      <c r="A290" s="1">
        <v>1888900</v>
      </c>
      <c r="B290" s="1">
        <v>1</v>
      </c>
      <c r="C290" s="1">
        <v>670</v>
      </c>
      <c r="D290" s="2" t="s">
        <v>426</v>
      </c>
      <c r="E290" s="5" t="s">
        <v>426</v>
      </c>
      <c r="F290" s="5">
        <v>272786</v>
      </c>
      <c r="G290" s="2" t="s">
        <v>1494</v>
      </c>
      <c r="H290" s="2" t="s">
        <v>1495</v>
      </c>
      <c r="I290" s="2" t="s">
        <v>1496</v>
      </c>
      <c r="J290" s="2" t="str">
        <f t="shared" si="8"/>
        <v>https://permalinkbnd.bnportugal.gov.pt/viewer/272786/?offset=#page=670&amp;viewer=picture&amp;o=info&amp;n=0&amp;q=</v>
      </c>
      <c r="K290" s="1" t="s">
        <v>427</v>
      </c>
      <c r="L290" s="1" t="str">
        <f>VLOOKUP(A290,Folha2!$A$2:$B$2019,2,FALSE)</f>
        <v xml:space="preserve">Os Lusíadas, Rio de Janeiro, 1958. Edição crítica de F. Silveira Bueno. A inserir Paratextos vida. Paratextos argumentos. Paratextos notas e Celebrações (1860), edições? Iconografia Figuras históricas e outras [sistema planetário]. </v>
      </c>
      <c r="M290" s="12" t="str">
        <f t="shared" si="9"/>
        <v>https://permalinkbnd.bnportugal.gov.pt/viewer/272786/?offset=#page=670&amp;viewer=picture&amp;o=info&amp;n=0&amp;q=</v>
      </c>
      <c r="N290" s="12" t="s">
        <v>1497</v>
      </c>
      <c r="O290" s="12" t="str">
        <f>CONCATENATE(N290,A290,"\",B290,"\",C290,".jpg")</f>
        <v>C:\Users\mbaptista\OneDrive - Biblioteca Nacional de Portugal\Documentos\python\camoniana\imagens\capas\1888900\1\670.jpg</v>
      </c>
      <c r="P290" s="12" t="str">
        <f>HYPERLINK(O290)</f>
        <v>C:\Users\mbaptista\OneDrive - Biblioteca Nacional de Portugal\Documentos\python\camoniana\imagens\capas\1888900\1\670.jpg</v>
      </c>
      <c r="Q290" s="12"/>
      <c r="R290" s="6" t="s">
        <v>454</v>
      </c>
      <c r="S290" s="4"/>
      <c r="T290" s="1" t="s">
        <v>428</v>
      </c>
      <c r="U290" s="13"/>
      <c r="V290" s="13"/>
      <c r="W290" s="5" t="s">
        <v>1491</v>
      </c>
    </row>
    <row r="291" spans="1:23" ht="75">
      <c r="A291" s="1">
        <v>1888900</v>
      </c>
      <c r="B291" s="1">
        <v>1</v>
      </c>
      <c r="C291" s="1">
        <v>671</v>
      </c>
      <c r="D291" s="2" t="s">
        <v>426</v>
      </c>
      <c r="E291" s="11" t="s">
        <v>426</v>
      </c>
      <c r="F291" s="11">
        <v>272786</v>
      </c>
      <c r="G291" s="2" t="s">
        <v>1494</v>
      </c>
      <c r="H291" s="2" t="s">
        <v>1495</v>
      </c>
      <c r="I291" s="2" t="s">
        <v>1496</v>
      </c>
      <c r="J291" s="2" t="str">
        <f t="shared" si="8"/>
        <v>https://permalinkbnd.bnportugal.gov.pt/viewer/272786/?offset=#page=671&amp;viewer=picture&amp;o=info&amp;n=0&amp;q=</v>
      </c>
      <c r="K291" s="1" t="s">
        <v>427</v>
      </c>
      <c r="L291" s="1" t="str">
        <f>VLOOKUP(A291,Folha2!$A$2:$B$2019,2,FALSE)</f>
        <v xml:space="preserve">Os Lusíadas, Rio de Janeiro, 1958. Edição crítica de F. Silveira Bueno. A inserir Paratextos vida. Paratextos argumentos. Paratextos notas e Celebrações (1860), edições? Iconografia Figuras históricas e outras [sistema planetário]. </v>
      </c>
      <c r="M291" s="12" t="str">
        <f t="shared" si="9"/>
        <v>https://permalinkbnd.bnportugal.gov.pt/viewer/272786/?offset=#page=671&amp;viewer=picture&amp;o=info&amp;n=0&amp;q=</v>
      </c>
      <c r="N291" s="12" t="s">
        <v>1497</v>
      </c>
      <c r="O291" s="12" t="str">
        <f>CONCATENATE(N291,A291,"\",B291,"\",C291,".jpg")</f>
        <v>C:\Users\mbaptista\OneDrive - Biblioteca Nacional de Portugal\Documentos\python\camoniana\imagens\capas\1888900\1\671.jpg</v>
      </c>
      <c r="P291" s="12" t="str">
        <f>HYPERLINK(O291)</f>
        <v>C:\Users\mbaptista\OneDrive - Biblioteca Nacional de Portugal\Documentos\python\camoniana\imagens\capas\1888900\1\671.jpg</v>
      </c>
      <c r="Q291" s="12"/>
      <c r="R291" s="6" t="s">
        <v>455</v>
      </c>
      <c r="S291" s="4"/>
      <c r="T291" s="1" t="s">
        <v>428</v>
      </c>
      <c r="U291" s="13"/>
      <c r="V291" s="13"/>
      <c r="W291" s="5" t="s">
        <v>1491</v>
      </c>
    </row>
    <row r="292" spans="1:23" ht="75">
      <c r="A292" s="1">
        <v>1888900</v>
      </c>
      <c r="B292" s="1">
        <v>1</v>
      </c>
      <c r="C292" s="1">
        <v>672</v>
      </c>
      <c r="D292" s="2" t="s">
        <v>426</v>
      </c>
      <c r="E292" s="5" t="s">
        <v>426</v>
      </c>
      <c r="F292" s="5">
        <v>272786</v>
      </c>
      <c r="G292" s="2" t="s">
        <v>1494</v>
      </c>
      <c r="H292" s="2" t="s">
        <v>1495</v>
      </c>
      <c r="I292" s="2" t="s">
        <v>1496</v>
      </c>
      <c r="J292" s="2" t="str">
        <f t="shared" si="8"/>
        <v>https://permalinkbnd.bnportugal.gov.pt/viewer/272786/?offset=#page=672&amp;viewer=picture&amp;o=info&amp;n=0&amp;q=</v>
      </c>
      <c r="K292" s="1" t="s">
        <v>427</v>
      </c>
      <c r="L292" s="1" t="str">
        <f>VLOOKUP(A292,Folha2!$A$2:$B$2019,2,FALSE)</f>
        <v xml:space="preserve">Os Lusíadas, Rio de Janeiro, 1958. Edição crítica de F. Silveira Bueno. A inserir Paratextos vida. Paratextos argumentos. Paratextos notas e Celebrações (1860), edições? Iconografia Figuras históricas e outras [sistema planetário]. </v>
      </c>
      <c r="M292" s="12" t="str">
        <f t="shared" si="9"/>
        <v>https://permalinkbnd.bnportugal.gov.pt/viewer/272786/?offset=#page=672&amp;viewer=picture&amp;o=info&amp;n=0&amp;q=</v>
      </c>
      <c r="N292" s="12" t="s">
        <v>1497</v>
      </c>
      <c r="O292" s="12" t="str">
        <f>CONCATENATE(N292,A292,"\",B292,"\",C292,".jpg")</f>
        <v>C:\Users\mbaptista\OneDrive - Biblioteca Nacional de Portugal\Documentos\python\camoniana\imagens\capas\1888900\1\672.jpg</v>
      </c>
      <c r="P292" s="12" t="str">
        <f>HYPERLINK(O292)</f>
        <v>C:\Users\mbaptista\OneDrive - Biblioteca Nacional de Portugal\Documentos\python\camoniana\imagens\capas\1888900\1\672.jpg</v>
      </c>
      <c r="Q292" s="12"/>
      <c r="R292" s="6" t="s">
        <v>456</v>
      </c>
      <c r="S292" s="4"/>
      <c r="T292" s="1" t="s">
        <v>428</v>
      </c>
      <c r="U292" s="13"/>
      <c r="V292" s="13"/>
      <c r="W292" s="5" t="s">
        <v>1491</v>
      </c>
    </row>
    <row r="293" spans="1:23" ht="75">
      <c r="A293" s="1">
        <v>1888900</v>
      </c>
      <c r="B293" s="1">
        <v>1</v>
      </c>
      <c r="C293" s="1">
        <v>792</v>
      </c>
      <c r="D293" s="2" t="s">
        <v>426</v>
      </c>
      <c r="E293" s="11" t="s">
        <v>426</v>
      </c>
      <c r="F293" s="11">
        <v>272786</v>
      </c>
      <c r="G293" s="2" t="s">
        <v>1494</v>
      </c>
      <c r="H293" s="2" t="s">
        <v>1495</v>
      </c>
      <c r="I293" s="2" t="s">
        <v>1496</v>
      </c>
      <c r="J293" s="2" t="str">
        <f t="shared" si="8"/>
        <v>https://permalinkbnd.bnportugal.gov.pt/viewer/272786/?offset=#page=792&amp;viewer=picture&amp;o=info&amp;n=0&amp;q=</v>
      </c>
      <c r="K293" s="1" t="s">
        <v>427</v>
      </c>
      <c r="L293" s="1" t="str">
        <f>VLOOKUP(A293,Folha2!$A$2:$B$2019,2,FALSE)</f>
        <v xml:space="preserve">Os Lusíadas, Rio de Janeiro, 1958. Edição crítica de F. Silveira Bueno. A inserir Paratextos vida. Paratextos argumentos. Paratextos notas e Celebrações (1860), edições? Iconografia Figuras históricas e outras [sistema planetário]. </v>
      </c>
      <c r="M293" s="12" t="str">
        <f t="shared" si="9"/>
        <v>https://permalinkbnd.bnportugal.gov.pt/viewer/272786/?offset=#page=792&amp;viewer=picture&amp;o=info&amp;n=0&amp;q=</v>
      </c>
      <c r="N293" s="12" t="s">
        <v>1497</v>
      </c>
      <c r="O293" s="12" t="str">
        <f>CONCATENATE(N293,A293,"\",B293,"\",C293,".jpg")</f>
        <v>C:\Users\mbaptista\OneDrive - Biblioteca Nacional de Portugal\Documentos\python\camoniana\imagens\capas\1888900\1\792.jpg</v>
      </c>
      <c r="P293" s="12" t="str">
        <f>HYPERLINK(O293)</f>
        <v>C:\Users\mbaptista\OneDrive - Biblioteca Nacional de Portugal\Documentos\python\camoniana\imagens\capas\1888900\1\792.jpg</v>
      </c>
      <c r="Q293" s="12"/>
      <c r="R293" s="6" t="s">
        <v>457</v>
      </c>
      <c r="S293" s="4"/>
      <c r="T293" s="1" t="s">
        <v>428</v>
      </c>
      <c r="U293" s="13"/>
      <c r="V293" s="13"/>
      <c r="W293" s="5" t="s">
        <v>1491</v>
      </c>
    </row>
    <row r="294" spans="1:23" ht="75">
      <c r="A294" s="1">
        <v>1888900</v>
      </c>
      <c r="B294" s="1">
        <v>1</v>
      </c>
      <c r="C294" s="1">
        <v>793</v>
      </c>
      <c r="D294" s="2" t="s">
        <v>426</v>
      </c>
      <c r="E294" s="5" t="s">
        <v>426</v>
      </c>
      <c r="F294" s="5">
        <v>272786</v>
      </c>
      <c r="G294" s="2" t="s">
        <v>1494</v>
      </c>
      <c r="H294" s="2" t="s">
        <v>1495</v>
      </c>
      <c r="I294" s="2" t="s">
        <v>1496</v>
      </c>
      <c r="J294" s="2" t="str">
        <f t="shared" si="8"/>
        <v>https://permalinkbnd.bnportugal.gov.pt/viewer/272786/?offset=#page=793&amp;viewer=picture&amp;o=info&amp;n=0&amp;q=</v>
      </c>
      <c r="K294" s="1" t="s">
        <v>427</v>
      </c>
      <c r="L294" s="1" t="str">
        <f>VLOOKUP(A294,Folha2!$A$2:$B$2019,2,FALSE)</f>
        <v xml:space="preserve">Os Lusíadas, Rio de Janeiro, 1958. Edição crítica de F. Silveira Bueno. A inserir Paratextos vida. Paratextos argumentos. Paratextos notas e Celebrações (1860), edições? Iconografia Figuras históricas e outras [sistema planetário]. </v>
      </c>
      <c r="M294" s="12" t="str">
        <f t="shared" si="9"/>
        <v>https://permalinkbnd.bnportugal.gov.pt/viewer/272786/?offset=#page=793&amp;viewer=picture&amp;o=info&amp;n=0&amp;q=</v>
      </c>
      <c r="N294" s="12" t="s">
        <v>1497</v>
      </c>
      <c r="O294" s="12" t="str">
        <f>CONCATENATE(N294,A294,"\",B294,"\",C294,".jpg")</f>
        <v>C:\Users\mbaptista\OneDrive - Biblioteca Nacional de Portugal\Documentos\python\camoniana\imagens\capas\1888900\1\793.jpg</v>
      </c>
      <c r="P294" s="12" t="str">
        <f>HYPERLINK(O294)</f>
        <v>C:\Users\mbaptista\OneDrive - Biblioteca Nacional de Portugal\Documentos\python\camoniana\imagens\capas\1888900\1\793.jpg</v>
      </c>
      <c r="Q294" s="12"/>
      <c r="R294" s="6" t="s">
        <v>458</v>
      </c>
      <c r="S294" s="4"/>
      <c r="T294" s="1" t="s">
        <v>428</v>
      </c>
      <c r="U294" s="13"/>
      <c r="V294" s="13"/>
      <c r="W294" s="5" t="s">
        <v>1491</v>
      </c>
    </row>
    <row r="295" spans="1:23" ht="75">
      <c r="A295" s="1">
        <v>1888900</v>
      </c>
      <c r="B295" s="1">
        <v>1</v>
      </c>
      <c r="C295" s="1">
        <v>794</v>
      </c>
      <c r="D295" s="2" t="s">
        <v>426</v>
      </c>
      <c r="E295" s="11" t="s">
        <v>426</v>
      </c>
      <c r="F295" s="11">
        <v>272786</v>
      </c>
      <c r="G295" s="2" t="s">
        <v>1494</v>
      </c>
      <c r="H295" s="2" t="s">
        <v>1495</v>
      </c>
      <c r="I295" s="2" t="s">
        <v>1496</v>
      </c>
      <c r="J295" s="2" t="str">
        <f t="shared" si="8"/>
        <v>https://permalinkbnd.bnportugal.gov.pt/viewer/272786/?offset=#page=794&amp;viewer=picture&amp;o=info&amp;n=0&amp;q=</v>
      </c>
      <c r="K295" s="1" t="s">
        <v>427</v>
      </c>
      <c r="L295" s="1" t="str">
        <f>VLOOKUP(A295,Folha2!$A$2:$B$2019,2,FALSE)</f>
        <v xml:space="preserve">Os Lusíadas, Rio de Janeiro, 1958. Edição crítica de F. Silveira Bueno. A inserir Paratextos vida. Paratextos argumentos. Paratextos notas e Celebrações (1860), edições? Iconografia Figuras históricas e outras [sistema planetário]. </v>
      </c>
      <c r="M295" s="12" t="str">
        <f t="shared" si="9"/>
        <v>https://permalinkbnd.bnportugal.gov.pt/viewer/272786/?offset=#page=794&amp;viewer=picture&amp;o=info&amp;n=0&amp;q=</v>
      </c>
      <c r="N295" s="12" t="s">
        <v>1497</v>
      </c>
      <c r="O295" s="12" t="str">
        <f>CONCATENATE(N295,A295,"\",B295,"\",C295,".jpg")</f>
        <v>C:\Users\mbaptista\OneDrive - Biblioteca Nacional de Portugal\Documentos\python\camoniana\imagens\capas\1888900\1\794.jpg</v>
      </c>
      <c r="P295" s="12" t="str">
        <f>HYPERLINK(O295)</f>
        <v>C:\Users\mbaptista\OneDrive - Biblioteca Nacional de Portugal\Documentos\python\camoniana\imagens\capas\1888900\1\794.jpg</v>
      </c>
      <c r="Q295" s="12"/>
      <c r="R295" s="6" t="s">
        <v>459</v>
      </c>
      <c r="S295" s="4"/>
      <c r="T295" s="1" t="s">
        <v>428</v>
      </c>
      <c r="U295" s="13"/>
      <c r="V295" s="13"/>
      <c r="W295" s="5" t="s">
        <v>1491</v>
      </c>
    </row>
    <row r="296" spans="1:23" ht="75">
      <c r="A296" s="1">
        <v>1888900</v>
      </c>
      <c r="B296" s="1">
        <v>1</v>
      </c>
      <c r="C296" s="1">
        <v>795</v>
      </c>
      <c r="D296" s="2" t="s">
        <v>426</v>
      </c>
      <c r="E296" s="5" t="s">
        <v>426</v>
      </c>
      <c r="F296" s="5">
        <v>272786</v>
      </c>
      <c r="G296" s="2" t="s">
        <v>1494</v>
      </c>
      <c r="H296" s="2" t="s">
        <v>1495</v>
      </c>
      <c r="I296" s="2" t="s">
        <v>1496</v>
      </c>
      <c r="J296" s="2" t="str">
        <f t="shared" si="8"/>
        <v>https://permalinkbnd.bnportugal.gov.pt/viewer/272786/?offset=#page=795&amp;viewer=picture&amp;o=info&amp;n=0&amp;q=</v>
      </c>
      <c r="K296" s="1" t="s">
        <v>427</v>
      </c>
      <c r="L296" s="1" t="str">
        <f>VLOOKUP(A296,Folha2!$A$2:$B$2019,2,FALSE)</f>
        <v xml:space="preserve">Os Lusíadas, Rio de Janeiro, 1958. Edição crítica de F. Silveira Bueno. A inserir Paratextos vida. Paratextos argumentos. Paratextos notas e Celebrações (1860), edições? Iconografia Figuras históricas e outras [sistema planetário]. </v>
      </c>
      <c r="M296" s="12" t="str">
        <f t="shared" si="9"/>
        <v>https://permalinkbnd.bnportugal.gov.pt/viewer/272786/?offset=#page=795&amp;viewer=picture&amp;o=info&amp;n=0&amp;q=</v>
      </c>
      <c r="N296" s="12" t="s">
        <v>1497</v>
      </c>
      <c r="O296" s="12" t="str">
        <f>CONCATENATE(N296,A296,"\",B296,"\",C296,".jpg")</f>
        <v>C:\Users\mbaptista\OneDrive - Biblioteca Nacional de Portugal\Documentos\python\camoniana\imagens\capas\1888900\1\795.jpg</v>
      </c>
      <c r="P296" s="12" t="str">
        <f>HYPERLINK(O296)</f>
        <v>C:\Users\mbaptista\OneDrive - Biblioteca Nacional de Portugal\Documentos\python\camoniana\imagens\capas\1888900\1\795.jpg</v>
      </c>
      <c r="Q296" s="12"/>
      <c r="R296" s="6" t="s">
        <v>460</v>
      </c>
      <c r="S296" s="4"/>
      <c r="T296" s="1" t="s">
        <v>428</v>
      </c>
      <c r="U296" s="13"/>
      <c r="V296" s="13"/>
      <c r="W296" s="5" t="s">
        <v>1491</v>
      </c>
    </row>
    <row r="297" spans="1:23" ht="75">
      <c r="A297" s="1">
        <v>1888900</v>
      </c>
      <c r="B297" s="1">
        <v>1</v>
      </c>
      <c r="C297" s="1">
        <v>796</v>
      </c>
      <c r="D297" s="2" t="s">
        <v>426</v>
      </c>
      <c r="E297" s="11" t="s">
        <v>426</v>
      </c>
      <c r="F297" s="11">
        <v>272786</v>
      </c>
      <c r="G297" s="2" t="s">
        <v>1494</v>
      </c>
      <c r="H297" s="2" t="s">
        <v>1495</v>
      </c>
      <c r="I297" s="2" t="s">
        <v>1496</v>
      </c>
      <c r="J297" s="2" t="str">
        <f t="shared" si="8"/>
        <v>https://permalinkbnd.bnportugal.gov.pt/viewer/272786/?offset=#page=796&amp;viewer=picture&amp;o=info&amp;n=0&amp;q=</v>
      </c>
      <c r="K297" s="1" t="s">
        <v>427</v>
      </c>
      <c r="L297" s="1" t="str">
        <f>VLOOKUP(A297,Folha2!$A$2:$B$2019,2,FALSE)</f>
        <v xml:space="preserve">Os Lusíadas, Rio de Janeiro, 1958. Edição crítica de F. Silveira Bueno. A inserir Paratextos vida. Paratextos argumentos. Paratextos notas e Celebrações (1860), edições? Iconografia Figuras históricas e outras [sistema planetário]. </v>
      </c>
      <c r="M297" s="12" t="str">
        <f t="shared" si="9"/>
        <v>https://permalinkbnd.bnportugal.gov.pt/viewer/272786/?offset=#page=796&amp;viewer=picture&amp;o=info&amp;n=0&amp;q=</v>
      </c>
      <c r="N297" s="12" t="s">
        <v>1497</v>
      </c>
      <c r="O297" s="12" t="str">
        <f>CONCATENATE(N297,A297,"\",B297,"\",C297,".jpg")</f>
        <v>C:\Users\mbaptista\OneDrive - Biblioteca Nacional de Portugal\Documentos\python\camoniana\imagens\capas\1888900\1\796.jpg</v>
      </c>
      <c r="P297" s="12" t="str">
        <f>HYPERLINK(O297)</f>
        <v>C:\Users\mbaptista\OneDrive - Biblioteca Nacional de Portugal\Documentos\python\camoniana\imagens\capas\1888900\1\796.jpg</v>
      </c>
      <c r="Q297" s="12"/>
      <c r="R297" s="6" t="s">
        <v>461</v>
      </c>
      <c r="S297" s="4"/>
      <c r="T297" s="1" t="s">
        <v>428</v>
      </c>
      <c r="U297" s="13"/>
      <c r="V297" s="13"/>
      <c r="W297" s="5" t="s">
        <v>1491</v>
      </c>
    </row>
    <row r="298" spans="1:23" ht="75">
      <c r="A298" s="1">
        <v>1888900</v>
      </c>
      <c r="B298" s="1">
        <v>1</v>
      </c>
      <c r="C298" s="1">
        <v>797</v>
      </c>
      <c r="D298" s="2" t="s">
        <v>426</v>
      </c>
      <c r="E298" s="5" t="s">
        <v>426</v>
      </c>
      <c r="F298" s="5">
        <v>272786</v>
      </c>
      <c r="G298" s="2" t="s">
        <v>1494</v>
      </c>
      <c r="H298" s="2" t="s">
        <v>1495</v>
      </c>
      <c r="I298" s="2" t="s">
        <v>1496</v>
      </c>
      <c r="J298" s="2" t="str">
        <f t="shared" si="8"/>
        <v>https://permalinkbnd.bnportugal.gov.pt/viewer/272786/?offset=#page=797&amp;viewer=picture&amp;o=info&amp;n=0&amp;q=</v>
      </c>
      <c r="K298" s="1" t="s">
        <v>427</v>
      </c>
      <c r="L298" s="1" t="str">
        <f>VLOOKUP(A298,Folha2!$A$2:$B$2019,2,FALSE)</f>
        <v xml:space="preserve">Os Lusíadas, Rio de Janeiro, 1958. Edição crítica de F. Silveira Bueno. A inserir Paratextos vida. Paratextos argumentos. Paratextos notas e Celebrações (1860), edições? Iconografia Figuras históricas e outras [sistema planetário]. </v>
      </c>
      <c r="M298" s="12" t="str">
        <f t="shared" si="9"/>
        <v>https://permalinkbnd.bnportugal.gov.pt/viewer/272786/?offset=#page=797&amp;viewer=picture&amp;o=info&amp;n=0&amp;q=</v>
      </c>
      <c r="N298" s="12" t="s">
        <v>1497</v>
      </c>
      <c r="O298" s="12" t="str">
        <f>CONCATENATE(N298,A298,"\",B298,"\",C298,".jpg")</f>
        <v>C:\Users\mbaptista\OneDrive - Biblioteca Nacional de Portugal\Documentos\python\camoniana\imagens\capas\1888900\1\797.jpg</v>
      </c>
      <c r="P298" s="12" t="str">
        <f>HYPERLINK(O298)</f>
        <v>C:\Users\mbaptista\OneDrive - Biblioteca Nacional de Portugal\Documentos\python\camoniana\imagens\capas\1888900\1\797.jpg</v>
      </c>
      <c r="Q298" s="12"/>
      <c r="R298" s="6" t="s">
        <v>462</v>
      </c>
      <c r="S298" s="4"/>
      <c r="T298" s="1" t="s">
        <v>428</v>
      </c>
      <c r="U298" s="13"/>
      <c r="V298" s="13"/>
      <c r="W298" s="5" t="s">
        <v>1491</v>
      </c>
    </row>
    <row r="299" spans="1:23" ht="75">
      <c r="A299" s="1">
        <v>1888900</v>
      </c>
      <c r="B299" s="1">
        <v>1</v>
      </c>
      <c r="C299" s="1">
        <v>798</v>
      </c>
      <c r="D299" s="2" t="s">
        <v>426</v>
      </c>
      <c r="E299" s="11" t="s">
        <v>426</v>
      </c>
      <c r="F299" s="11">
        <v>272786</v>
      </c>
      <c r="G299" s="2" t="s">
        <v>1494</v>
      </c>
      <c r="H299" s="2" t="s">
        <v>1495</v>
      </c>
      <c r="I299" s="2" t="s">
        <v>1496</v>
      </c>
      <c r="J299" s="2" t="str">
        <f t="shared" si="8"/>
        <v>https://permalinkbnd.bnportugal.gov.pt/viewer/272786/?offset=#page=798&amp;viewer=picture&amp;o=info&amp;n=0&amp;q=</v>
      </c>
      <c r="K299" s="1" t="s">
        <v>427</v>
      </c>
      <c r="L299" s="1" t="str">
        <f>VLOOKUP(A299,Folha2!$A$2:$B$2019,2,FALSE)</f>
        <v xml:space="preserve">Os Lusíadas, Rio de Janeiro, 1958. Edição crítica de F. Silveira Bueno. A inserir Paratextos vida. Paratextos argumentos. Paratextos notas e Celebrações (1860), edições? Iconografia Figuras históricas e outras [sistema planetário]. </v>
      </c>
      <c r="M299" s="12" t="str">
        <f t="shared" si="9"/>
        <v>https://permalinkbnd.bnportugal.gov.pt/viewer/272786/?offset=#page=798&amp;viewer=picture&amp;o=info&amp;n=0&amp;q=</v>
      </c>
      <c r="N299" s="12" t="s">
        <v>1497</v>
      </c>
      <c r="O299" s="12" t="str">
        <f>CONCATENATE(N299,A299,"\",B299,"\",C299,".jpg")</f>
        <v>C:\Users\mbaptista\OneDrive - Biblioteca Nacional de Portugal\Documentos\python\camoniana\imagens\capas\1888900\1\798.jpg</v>
      </c>
      <c r="P299" s="12" t="str">
        <f>HYPERLINK(O299)</f>
        <v>C:\Users\mbaptista\OneDrive - Biblioteca Nacional de Portugal\Documentos\python\camoniana\imagens\capas\1888900\1\798.jpg</v>
      </c>
      <c r="Q299" s="12"/>
      <c r="R299" s="6" t="s">
        <v>463</v>
      </c>
      <c r="S299" s="4"/>
      <c r="T299" s="1" t="s">
        <v>428</v>
      </c>
      <c r="U299" s="13"/>
      <c r="V299" s="13"/>
      <c r="W299" s="5" t="s">
        <v>1491</v>
      </c>
    </row>
    <row r="300" spans="1:23" ht="75">
      <c r="A300" s="1">
        <v>1888900</v>
      </c>
      <c r="B300" s="1">
        <v>1</v>
      </c>
      <c r="C300" s="1">
        <v>799</v>
      </c>
      <c r="D300" s="2" t="s">
        <v>426</v>
      </c>
      <c r="E300" s="5" t="s">
        <v>426</v>
      </c>
      <c r="F300" s="5">
        <v>272786</v>
      </c>
      <c r="G300" s="2" t="s">
        <v>1494</v>
      </c>
      <c r="H300" s="2" t="s">
        <v>1495</v>
      </c>
      <c r="I300" s="2" t="s">
        <v>1496</v>
      </c>
      <c r="J300" s="2" t="str">
        <f t="shared" si="8"/>
        <v>https://permalinkbnd.bnportugal.gov.pt/viewer/272786/?offset=#page=799&amp;viewer=picture&amp;o=info&amp;n=0&amp;q=</v>
      </c>
      <c r="K300" s="1" t="s">
        <v>427</v>
      </c>
      <c r="L300" s="1" t="str">
        <f>VLOOKUP(A300,Folha2!$A$2:$B$2019,2,FALSE)</f>
        <v xml:space="preserve">Os Lusíadas, Rio de Janeiro, 1958. Edição crítica de F. Silveira Bueno. A inserir Paratextos vida. Paratextos argumentos. Paratextos notas e Celebrações (1860), edições? Iconografia Figuras históricas e outras [sistema planetário]. </v>
      </c>
      <c r="M300" s="12" t="str">
        <f t="shared" si="9"/>
        <v>https://permalinkbnd.bnportugal.gov.pt/viewer/272786/?offset=#page=799&amp;viewer=picture&amp;o=info&amp;n=0&amp;q=</v>
      </c>
      <c r="N300" s="12" t="s">
        <v>1497</v>
      </c>
      <c r="O300" s="12" t="str">
        <f>CONCATENATE(N300,A300,"\",B300,"\",C300,".jpg")</f>
        <v>C:\Users\mbaptista\OneDrive - Biblioteca Nacional de Portugal\Documentos\python\camoniana\imagens\capas\1888900\1\799.jpg</v>
      </c>
      <c r="P300" s="12" t="str">
        <f>HYPERLINK(O300)</f>
        <v>C:\Users\mbaptista\OneDrive - Biblioteca Nacional de Portugal\Documentos\python\camoniana\imagens\capas\1888900\1\799.jpg</v>
      </c>
      <c r="Q300" s="12"/>
      <c r="R300" s="6" t="s">
        <v>464</v>
      </c>
      <c r="S300" s="4"/>
      <c r="T300" s="1" t="s">
        <v>428</v>
      </c>
      <c r="U300" s="13"/>
      <c r="V300" s="13"/>
      <c r="W300" s="5" t="s">
        <v>1491</v>
      </c>
    </row>
    <row r="301" spans="1:23" ht="75">
      <c r="A301" s="1">
        <v>1888900</v>
      </c>
      <c r="B301" s="1">
        <v>1</v>
      </c>
      <c r="C301" s="1">
        <v>800</v>
      </c>
      <c r="D301" s="2" t="s">
        <v>426</v>
      </c>
      <c r="E301" s="11" t="s">
        <v>426</v>
      </c>
      <c r="F301" s="11">
        <v>272786</v>
      </c>
      <c r="G301" s="2" t="s">
        <v>1494</v>
      </c>
      <c r="H301" s="2" t="s">
        <v>1495</v>
      </c>
      <c r="I301" s="2" t="s">
        <v>1496</v>
      </c>
      <c r="J301" s="2" t="str">
        <f t="shared" si="8"/>
        <v>https://permalinkbnd.bnportugal.gov.pt/viewer/272786/?offset=#page=800&amp;viewer=picture&amp;o=info&amp;n=0&amp;q=</v>
      </c>
      <c r="K301" s="1" t="s">
        <v>427</v>
      </c>
      <c r="L301" s="1" t="str">
        <f>VLOOKUP(A301,Folha2!$A$2:$B$2019,2,FALSE)</f>
        <v xml:space="preserve">Os Lusíadas, Rio de Janeiro, 1958. Edição crítica de F. Silveira Bueno. A inserir Paratextos vida. Paratextos argumentos. Paratextos notas e Celebrações (1860), edições? Iconografia Figuras históricas e outras [sistema planetário]. </v>
      </c>
      <c r="M301" s="12" t="str">
        <f t="shared" si="9"/>
        <v>https://permalinkbnd.bnportugal.gov.pt/viewer/272786/?offset=#page=800&amp;viewer=picture&amp;o=info&amp;n=0&amp;q=</v>
      </c>
      <c r="N301" s="12" t="s">
        <v>1497</v>
      </c>
      <c r="O301" s="12" t="str">
        <f>CONCATENATE(N301,A301,"\",B301,"\",C301,".jpg")</f>
        <v>C:\Users\mbaptista\OneDrive - Biblioteca Nacional de Portugal\Documentos\python\camoniana\imagens\capas\1888900\1\800.jpg</v>
      </c>
      <c r="P301" s="12" t="str">
        <f>HYPERLINK(O301)</f>
        <v>C:\Users\mbaptista\OneDrive - Biblioteca Nacional de Portugal\Documentos\python\camoniana\imagens\capas\1888900\1\800.jpg</v>
      </c>
      <c r="Q301" s="12"/>
      <c r="R301" s="6" t="s">
        <v>465</v>
      </c>
      <c r="S301" s="4"/>
      <c r="T301" s="1" t="s">
        <v>428</v>
      </c>
      <c r="U301" s="13"/>
      <c r="V301" s="13"/>
      <c r="W301" s="5" t="s">
        <v>1491</v>
      </c>
    </row>
    <row r="302" spans="1:23" ht="75">
      <c r="A302" s="1">
        <v>1888900</v>
      </c>
      <c r="B302" s="1">
        <v>1</v>
      </c>
      <c r="C302" s="1">
        <v>804</v>
      </c>
      <c r="D302" s="2" t="s">
        <v>426</v>
      </c>
      <c r="E302" s="5" t="s">
        <v>426</v>
      </c>
      <c r="F302" s="5">
        <v>272786</v>
      </c>
      <c r="G302" s="2" t="s">
        <v>1494</v>
      </c>
      <c r="H302" s="2" t="s">
        <v>1495</v>
      </c>
      <c r="I302" s="2" t="s">
        <v>1496</v>
      </c>
      <c r="J302" s="2" t="str">
        <f t="shared" si="8"/>
        <v>https://permalinkbnd.bnportugal.gov.pt/viewer/272786/?offset=#page=804&amp;viewer=picture&amp;o=info&amp;n=0&amp;q=</v>
      </c>
      <c r="K302" s="1" t="s">
        <v>427</v>
      </c>
      <c r="L302" s="1" t="str">
        <f>VLOOKUP(A302,Folha2!$A$2:$B$2019,2,FALSE)</f>
        <v xml:space="preserve">Os Lusíadas, Rio de Janeiro, 1958. Edição crítica de F. Silveira Bueno. A inserir Paratextos vida. Paratextos argumentos. Paratextos notas e Celebrações (1860), edições? Iconografia Figuras históricas e outras [sistema planetário]. </v>
      </c>
      <c r="M302" s="12" t="str">
        <f t="shared" si="9"/>
        <v>https://permalinkbnd.bnportugal.gov.pt/viewer/272786/?offset=#page=804&amp;viewer=picture&amp;o=info&amp;n=0&amp;q=</v>
      </c>
      <c r="N302" s="12" t="s">
        <v>1497</v>
      </c>
      <c r="O302" s="12" t="str">
        <f>CONCATENATE(N302,A302,"\",B302,"\",C302,".jpg")</f>
        <v>C:\Users\mbaptista\OneDrive - Biblioteca Nacional de Portugal\Documentos\python\camoniana\imagens\capas\1888900\1\804.jpg</v>
      </c>
      <c r="P302" s="12" t="str">
        <f>HYPERLINK(O302)</f>
        <v>C:\Users\mbaptista\OneDrive - Biblioteca Nacional de Portugal\Documentos\python\camoniana\imagens\capas\1888900\1\804.jpg</v>
      </c>
      <c r="Q302" s="12"/>
      <c r="R302" s="6" t="s">
        <v>466</v>
      </c>
      <c r="S302" s="4"/>
      <c r="T302" s="1" t="s">
        <v>428</v>
      </c>
      <c r="U302" s="13"/>
      <c r="V302" s="13"/>
      <c r="W302" s="5" t="s">
        <v>1491</v>
      </c>
    </row>
    <row r="303" spans="1:23" ht="75">
      <c r="A303" s="1">
        <v>1891325</v>
      </c>
      <c r="B303" s="1">
        <v>1</v>
      </c>
      <c r="C303" s="1">
        <v>1</v>
      </c>
      <c r="D303" s="2" t="s">
        <v>467</v>
      </c>
      <c r="E303" s="11" t="s">
        <v>467</v>
      </c>
      <c r="F303" s="11">
        <v>272730</v>
      </c>
      <c r="G303" s="2" t="s">
        <v>1494</v>
      </c>
      <c r="H303" s="2" t="s">
        <v>1495</v>
      </c>
      <c r="I303" s="2" t="s">
        <v>1496</v>
      </c>
      <c r="J303" s="2" t="str">
        <f t="shared" si="8"/>
        <v>https://permalinkbnd.bnportugal.gov.pt/viewer/272730/?offset=#page=1&amp;viewer=picture&amp;o=info&amp;n=0&amp;q=</v>
      </c>
      <c r="K303" s="1">
        <v>1</v>
      </c>
      <c r="L303" s="1" t="str">
        <f>VLOOKUP(A303,Folha2!$A$2:$B$2019,2,FALSE)</f>
        <v>Roque Gameiro, A leitura d'Os Lusíadas a fr. B. Ferreira. Aguarela, 1890-1916</v>
      </c>
      <c r="M303" s="12" t="str">
        <f t="shared" si="9"/>
        <v>https://permalinkbnd.bnportugal.gov.pt/viewer/272730/?offset=#page=1&amp;viewer=picture&amp;o=info&amp;n=0&amp;q=</v>
      </c>
      <c r="N303" s="12" t="s">
        <v>1497</v>
      </c>
      <c r="O303" s="12" t="str">
        <f>CONCATENATE(N303,A303,"\",B303,"\",C303,".jpg")</f>
        <v>C:\Users\mbaptista\OneDrive - Biblioteca Nacional de Portugal\Documentos\python\camoniana\imagens\capas\1891325\1\1.jpg</v>
      </c>
      <c r="P303" s="12" t="str">
        <f>HYPERLINK(O303)</f>
        <v>C:\Users\mbaptista\OneDrive - Biblioteca Nacional de Portugal\Documentos\python\camoniana\imagens\capas\1891325\1\1.jpg</v>
      </c>
      <c r="Q303" s="12"/>
      <c r="R303" s="6" t="s">
        <v>468</v>
      </c>
      <c r="S303" s="4"/>
      <c r="T303" s="1">
        <v>1</v>
      </c>
      <c r="U303" s="13"/>
      <c r="V303" s="13"/>
      <c r="W303" s="5" t="s">
        <v>1491</v>
      </c>
    </row>
    <row r="304" spans="1:23" ht="75">
      <c r="A304" s="1">
        <v>1915110</v>
      </c>
      <c r="B304" s="1">
        <v>1</v>
      </c>
      <c r="C304" s="1">
        <v>3</v>
      </c>
      <c r="D304" s="2" t="s">
        <v>469</v>
      </c>
      <c r="E304" s="5" t="s">
        <v>469</v>
      </c>
      <c r="F304" s="5">
        <v>67153</v>
      </c>
      <c r="G304" s="2" t="s">
        <v>1494</v>
      </c>
      <c r="H304" s="2" t="s">
        <v>1495</v>
      </c>
      <c r="I304" s="2" t="s">
        <v>1496</v>
      </c>
      <c r="J304" s="2" t="str">
        <f t="shared" si="8"/>
        <v>https://permalinkbnd.bnportugal.gov.pt/viewer/67153/?offset=#page=3&amp;viewer=picture&amp;o=info&amp;n=0&amp;q=</v>
      </c>
      <c r="K304" s="1">
        <v>3</v>
      </c>
      <c r="L304" s="1" t="str">
        <f>VLOOKUP(A304,Folha2!$A$2:$B$2019,2,FALSE)</f>
        <v>Manoel Marti, Souvenir de Camões. Suite de valses pour piano,1867. suite de valsa para piano dedicada à Comissão do Monumento [partitura impressa] Celebrações (1860), iconografia</v>
      </c>
      <c r="M304" s="12" t="str">
        <f t="shared" si="9"/>
        <v>https://permalinkbnd.bnportugal.gov.pt/viewer/67153/?offset=#page=3&amp;viewer=picture&amp;o=info&amp;n=0&amp;q=</v>
      </c>
      <c r="N304" s="12" t="s">
        <v>1497</v>
      </c>
      <c r="O304" s="12" t="str">
        <f>CONCATENATE(N304,A304,"\",B304,"\",C304,".jpg")</f>
        <v>C:\Users\mbaptista\OneDrive - Biblioteca Nacional de Portugal\Documentos\python\camoniana\imagens\capas\1915110\1\3.jpg</v>
      </c>
      <c r="P304" s="12" t="str">
        <f>HYPERLINK(O304)</f>
        <v>C:\Users\mbaptista\OneDrive - Biblioteca Nacional de Portugal\Documentos\python\camoniana\imagens\capas\1915110\1\3.jpg</v>
      </c>
      <c r="Q304" s="12"/>
      <c r="R304" s="6" t="s">
        <v>470</v>
      </c>
      <c r="S304" s="4"/>
      <c r="T304" s="1">
        <v>3</v>
      </c>
      <c r="U304" s="13"/>
      <c r="V304" s="13"/>
      <c r="W304" s="5" t="s">
        <v>1491</v>
      </c>
    </row>
    <row r="305" spans="1:23" ht="75">
      <c r="A305" s="1">
        <v>1976927</v>
      </c>
      <c r="B305" s="1">
        <v>1</v>
      </c>
      <c r="C305" s="1">
        <v>1</v>
      </c>
      <c r="D305" s="2" t="s">
        <v>471</v>
      </c>
      <c r="E305" s="11" t="s">
        <v>471</v>
      </c>
      <c r="F305" s="11">
        <v>272792</v>
      </c>
      <c r="G305" s="2" t="s">
        <v>1494</v>
      </c>
      <c r="H305" s="2" t="s">
        <v>1495</v>
      </c>
      <c r="I305" s="2" t="s">
        <v>1496</v>
      </c>
      <c r="J305" s="2" t="str">
        <f t="shared" si="8"/>
        <v>https://permalinkbnd.bnportugal.gov.pt/viewer/272792/?offset=#page=1&amp;viewer=picture&amp;o=info&amp;n=0&amp;q=</v>
      </c>
      <c r="K305" s="1">
        <v>1</v>
      </c>
      <c r="L305" s="1" t="str">
        <f>VLOOKUP(A305,Folha2!$A$2:$B$2019,2,FALSE)</f>
        <v>Camões e as Tágides. Quadro de Columbano. Postal ilustrado. 1903</v>
      </c>
      <c r="M305" s="12" t="str">
        <f t="shared" si="9"/>
        <v>https://permalinkbnd.bnportugal.gov.pt/viewer/272792/?offset=#page=1&amp;viewer=picture&amp;o=info&amp;n=0&amp;q=</v>
      </c>
      <c r="N305" s="12" t="s">
        <v>1497</v>
      </c>
      <c r="O305" s="12" t="str">
        <f>CONCATENATE(N305,A305,"\",B305,"\",C305,".jpg")</f>
        <v>C:\Users\mbaptista\OneDrive - Biblioteca Nacional de Portugal\Documentos\python\camoniana\imagens\capas\1976927\1\1.jpg</v>
      </c>
      <c r="P305" s="12" t="str">
        <f>HYPERLINK(O305)</f>
        <v>C:\Users\mbaptista\OneDrive - Biblioteca Nacional de Portugal\Documentos\python\camoniana\imagens\capas\1976927\1\1.jpg</v>
      </c>
      <c r="Q305" s="12"/>
      <c r="R305" s="6" t="s">
        <v>472</v>
      </c>
      <c r="S305" s="4"/>
      <c r="T305" s="1">
        <v>1</v>
      </c>
      <c r="U305" s="13"/>
      <c r="V305" s="13"/>
      <c r="W305" s="5" t="s">
        <v>1491</v>
      </c>
    </row>
    <row r="306" spans="1:23" ht="75">
      <c r="A306" s="1">
        <v>1979399</v>
      </c>
      <c r="B306" s="1">
        <v>1</v>
      </c>
      <c r="C306" s="1">
        <v>1</v>
      </c>
      <c r="D306" s="2" t="s">
        <v>473</v>
      </c>
      <c r="E306" s="5" t="s">
        <v>473</v>
      </c>
      <c r="F306" s="5">
        <v>272811</v>
      </c>
      <c r="G306" s="2" t="s">
        <v>1494</v>
      </c>
      <c r="H306" s="2" t="s">
        <v>1495</v>
      </c>
      <c r="I306" s="2" t="s">
        <v>1496</v>
      </c>
      <c r="J306" s="2" t="str">
        <f t="shared" si="8"/>
        <v>https://permalinkbnd.bnportugal.gov.pt/viewer/272811/?offset=#page=1&amp;viewer=picture&amp;o=info&amp;n=0&amp;q=</v>
      </c>
      <c r="K306" s="1">
        <v>1</v>
      </c>
      <c r="L306" s="1" t="str">
        <f>VLOOKUP(A306,Folha2!$A$2:$B$2019,2,FALSE)</f>
        <v>Camões náufrago. Ex libris da BN?</v>
      </c>
      <c r="M306" s="12" t="str">
        <f t="shared" si="9"/>
        <v>https://permalinkbnd.bnportugal.gov.pt/viewer/272811/?offset=#page=1&amp;viewer=picture&amp;o=info&amp;n=0&amp;q=</v>
      </c>
      <c r="N306" s="12" t="s">
        <v>1497</v>
      </c>
      <c r="O306" s="12" t="str">
        <f>CONCATENATE(N306,A306,"\",B306,"\",C306,".jpg")</f>
        <v>C:\Users\mbaptista\OneDrive - Biblioteca Nacional de Portugal\Documentos\python\camoniana\imagens\capas\1979399\1\1.jpg</v>
      </c>
      <c r="P306" s="12" t="str">
        <f>HYPERLINK(O306)</f>
        <v>C:\Users\mbaptista\OneDrive - Biblioteca Nacional de Portugal\Documentos\python\camoniana\imagens\capas\1979399\1\1.jpg</v>
      </c>
      <c r="Q306" s="12"/>
      <c r="R306" s="6" t="s">
        <v>474</v>
      </c>
      <c r="S306" s="4"/>
      <c r="T306" s="1">
        <v>1</v>
      </c>
      <c r="U306" s="13"/>
      <c r="V306" s="13"/>
      <c r="W306" s="5" t="s">
        <v>1491</v>
      </c>
    </row>
    <row r="307" spans="1:23" ht="75">
      <c r="A307" s="1">
        <v>1979400</v>
      </c>
      <c r="B307" s="1">
        <v>1</v>
      </c>
      <c r="C307" s="1">
        <v>1</v>
      </c>
      <c r="D307" s="2" t="s">
        <v>475</v>
      </c>
      <c r="E307" s="11" t="s">
        <v>475</v>
      </c>
      <c r="F307" s="11">
        <v>272812</v>
      </c>
      <c r="G307" s="2" t="s">
        <v>1494</v>
      </c>
      <c r="H307" s="2" t="s">
        <v>1495</v>
      </c>
      <c r="I307" s="2" t="s">
        <v>1496</v>
      </c>
      <c r="J307" s="2" t="str">
        <f t="shared" si="8"/>
        <v>https://permalinkbnd.bnportugal.gov.pt/viewer/272812/?offset=#page=1&amp;viewer=picture&amp;o=info&amp;n=0&amp;q=</v>
      </c>
      <c r="K307" s="1">
        <v>1</v>
      </c>
      <c r="L307" s="1" t="str">
        <f>VLOOKUP(A307,Folha2!$A$2:$B$2019,2,FALSE)</f>
        <v>Camões náufrago. Ex libris da BN?</v>
      </c>
      <c r="M307" s="12" t="str">
        <f t="shared" si="9"/>
        <v>https://permalinkbnd.bnportugal.gov.pt/viewer/272812/?offset=#page=1&amp;viewer=picture&amp;o=info&amp;n=0&amp;q=</v>
      </c>
      <c r="N307" s="12" t="s">
        <v>1497</v>
      </c>
      <c r="O307" s="12" t="str">
        <f>CONCATENATE(N307,A307,"\",B307,"\",C307,".jpg")</f>
        <v>C:\Users\mbaptista\OneDrive - Biblioteca Nacional de Portugal\Documentos\python\camoniana\imagens\capas\1979400\1\1.jpg</v>
      </c>
      <c r="P307" s="12" t="str">
        <f>HYPERLINK(O307)</f>
        <v>C:\Users\mbaptista\OneDrive - Biblioteca Nacional de Portugal\Documentos\python\camoniana\imagens\capas\1979400\1\1.jpg</v>
      </c>
      <c r="Q307" s="12"/>
      <c r="R307" s="6" t="s">
        <v>476</v>
      </c>
      <c r="S307" s="4"/>
      <c r="T307" s="1">
        <v>1</v>
      </c>
      <c r="U307" s="13"/>
      <c r="V307" s="13"/>
      <c r="W307" s="5" t="s">
        <v>1491</v>
      </c>
    </row>
    <row r="308" spans="1:23" ht="150">
      <c r="A308" s="1">
        <v>2129622</v>
      </c>
      <c r="B308" s="1">
        <v>1</v>
      </c>
      <c r="C308" s="1">
        <v>7</v>
      </c>
      <c r="D308" s="2" t="s">
        <v>477</v>
      </c>
      <c r="E308" s="5" t="s">
        <v>477</v>
      </c>
      <c r="F308" s="5">
        <v>281142</v>
      </c>
      <c r="G308" s="2" t="s">
        <v>1494</v>
      </c>
      <c r="H308" s="2" t="s">
        <v>1495</v>
      </c>
      <c r="I308" s="2" t="s">
        <v>1496</v>
      </c>
      <c r="J308" s="2" t="str">
        <f t="shared" si="8"/>
        <v>https://permalinkbnd.bnportugal.gov.pt/viewer/281142/?offset=#page=7&amp;viewer=picture&amp;o=info&amp;n=0&amp;q=</v>
      </c>
      <c r="K308" s="1" t="s">
        <v>478</v>
      </c>
      <c r="L308" s="1" t="str">
        <f>VLOOKUP(A308,Folha2!$A$2:$B$2019,2,FALSE)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8" s="12" t="str">
        <f t="shared" si="9"/>
        <v>https://permalinkbnd.bnportugal.gov.pt/viewer/281142/?offset=#page=7&amp;viewer=picture&amp;o=info&amp;n=0&amp;q=</v>
      </c>
      <c r="N308" s="12" t="s">
        <v>1497</v>
      </c>
      <c r="O308" s="12" t="str">
        <f>CONCATENATE(N308,A308,"\",B308,"\",C308,".jpg")</f>
        <v>C:\Users\mbaptista\OneDrive - Biblioteca Nacional de Portugal\Documentos\python\camoniana\imagens\capas\2129622\1\7.jpg</v>
      </c>
      <c r="P308" s="12" t="str">
        <f>HYPERLINK(O308)</f>
        <v>C:\Users\mbaptista\OneDrive - Biblioteca Nacional de Portugal\Documentos\python\camoniana\imagens\capas\2129622\1\7.jpg</v>
      </c>
      <c r="Q308" s="12"/>
      <c r="R308" s="6" t="s">
        <v>480</v>
      </c>
      <c r="S308" s="4"/>
      <c r="T308" s="1" t="s">
        <v>479</v>
      </c>
      <c r="U308" s="13"/>
      <c r="V308" s="13"/>
      <c r="W308" s="5" t="s">
        <v>1491</v>
      </c>
    </row>
    <row r="309" spans="1:23" ht="150">
      <c r="A309" s="1">
        <v>2129622</v>
      </c>
      <c r="B309" s="1">
        <v>1</v>
      </c>
      <c r="C309" s="1">
        <v>9</v>
      </c>
      <c r="D309" s="2" t="s">
        <v>477</v>
      </c>
      <c r="E309" s="11" t="s">
        <v>477</v>
      </c>
      <c r="F309" s="11">
        <v>281142</v>
      </c>
      <c r="G309" s="2" t="s">
        <v>1494</v>
      </c>
      <c r="H309" s="2" t="s">
        <v>1495</v>
      </c>
      <c r="I309" s="2" t="s">
        <v>1496</v>
      </c>
      <c r="J309" s="2" t="str">
        <f t="shared" si="8"/>
        <v>https://permalinkbnd.bnportugal.gov.pt/viewer/281142/?offset=#page=9&amp;viewer=picture&amp;o=info&amp;n=0&amp;q=</v>
      </c>
      <c r="K309" s="1" t="s">
        <v>478</v>
      </c>
      <c r="L309" s="1" t="str">
        <f>VLOOKUP(A309,Folha2!$A$2:$B$2019,2,FALSE)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9" s="12" t="str">
        <f t="shared" si="9"/>
        <v>https://permalinkbnd.bnportugal.gov.pt/viewer/281142/?offset=#page=9&amp;viewer=picture&amp;o=info&amp;n=0&amp;q=</v>
      </c>
      <c r="N309" s="12" t="s">
        <v>1497</v>
      </c>
      <c r="O309" s="12" t="str">
        <f>CONCATENATE(N309,A309,"\",B309,"\",C309,".jpg")</f>
        <v>C:\Users\mbaptista\OneDrive - Biblioteca Nacional de Portugal\Documentos\python\camoniana\imagens\capas\2129622\1\9.jpg</v>
      </c>
      <c r="P309" s="12" t="str">
        <f>HYPERLINK(O309)</f>
        <v>C:\Users\mbaptista\OneDrive - Biblioteca Nacional de Portugal\Documentos\python\camoniana\imagens\capas\2129622\1\9.jpg</v>
      </c>
      <c r="Q309" s="12"/>
      <c r="R309" s="6" t="s">
        <v>481</v>
      </c>
      <c r="S309" s="4"/>
      <c r="T309" s="1" t="s">
        <v>479</v>
      </c>
      <c r="U309" s="13"/>
      <c r="V309" s="13"/>
      <c r="W309" s="5" t="s">
        <v>1491</v>
      </c>
    </row>
    <row r="310" spans="1:23" ht="75">
      <c r="A310" s="1">
        <v>586409</v>
      </c>
      <c r="B310" s="1">
        <v>1</v>
      </c>
      <c r="C310" s="1">
        <v>1</v>
      </c>
      <c r="D310" s="2" t="s">
        <v>482</v>
      </c>
      <c r="E310" s="5" t="s">
        <v>482</v>
      </c>
      <c r="F310" s="5">
        <v>276786</v>
      </c>
      <c r="G310" s="2" t="s">
        <v>1494</v>
      </c>
      <c r="H310" s="2" t="s">
        <v>1495</v>
      </c>
      <c r="I310" s="2" t="s">
        <v>1496</v>
      </c>
      <c r="J310" s="2" t="str">
        <f t="shared" si="8"/>
        <v>https://permalinkbnd.bnportugal.gov.pt/viewer/276786/?offset=#page=1&amp;viewer=picture&amp;o=info&amp;n=0&amp;q=</v>
      </c>
      <c r="K310" s="1">
        <v>1</v>
      </c>
      <c r="L310" s="1" t="str">
        <f>VLOOKUP(A310,Folha2!$A$2:$B$2019,2,FALSE)</f>
        <v>Homenagem a Camoes : Marcha Triunfal para piano : Op. 30 / por Jacopo Carli.185?</v>
      </c>
      <c r="M310" s="12" t="str">
        <f t="shared" si="9"/>
        <v>https://permalinkbnd.bnportugal.gov.pt/viewer/276786/?offset=#page=1&amp;viewer=picture&amp;o=info&amp;n=0&amp;q=</v>
      </c>
      <c r="N310" s="12" t="s">
        <v>1497</v>
      </c>
      <c r="O310" s="12" t="str">
        <f>CONCATENATE(N310,A310,"\",B310,"\",C310,".jpg")</f>
        <v>C:\Users\mbaptista\OneDrive - Biblioteca Nacional de Portugal\Documentos\python\camoniana\imagens\capas\586409\1\1.jpg</v>
      </c>
      <c r="P310" s="12" t="str">
        <f>HYPERLINK(O310)</f>
        <v>C:\Users\mbaptista\OneDrive - Biblioteca Nacional de Portugal\Documentos\python\camoniana\imagens\capas\586409\1\1.jpg</v>
      </c>
      <c r="Q310" s="12"/>
      <c r="R310" s="6" t="s">
        <v>483</v>
      </c>
      <c r="S310" s="4"/>
      <c r="T310" s="1">
        <v>1</v>
      </c>
      <c r="U310" s="13"/>
      <c r="V310" s="13"/>
      <c r="W310" s="5" t="s">
        <v>1491</v>
      </c>
    </row>
    <row r="311" spans="1:23" ht="75">
      <c r="A311" s="1">
        <v>811645</v>
      </c>
      <c r="B311" s="1">
        <v>1</v>
      </c>
      <c r="C311" s="1">
        <v>1</v>
      </c>
      <c r="D311" s="2" t="s">
        <v>484</v>
      </c>
      <c r="E311" s="11" t="s">
        <v>484</v>
      </c>
      <c r="F311" s="11">
        <v>274457</v>
      </c>
      <c r="G311" s="2" t="s">
        <v>1494</v>
      </c>
      <c r="H311" s="2" t="s">
        <v>1495</v>
      </c>
      <c r="I311" s="2" t="s">
        <v>1496</v>
      </c>
      <c r="J311" s="2" t="str">
        <f t="shared" si="8"/>
        <v>https://permalinkbnd.bnportugal.gov.pt/viewer/274457/?offset=#page=1&amp;viewer=picture&amp;o=info&amp;n=0&amp;q=</v>
      </c>
      <c r="K311" s="1">
        <v>1</v>
      </c>
      <c r="L311" s="1" t="str">
        <f>VLOOKUP(A311,Folha2!$A$2:$B$2019,2,FALSE)</f>
        <v>Luiz de Camões ses oeuvres et sa littérature: catalogue d'une collection importante d'éditions originales de ses poésies, de traductions et d'ouvrages rares sur sa vie et ses oeuvres en vente aux prix marqués.1884. Contém obras do tricentenário: Celebrações (1880), catálogo.</v>
      </c>
      <c r="M311" s="12" t="str">
        <f t="shared" si="9"/>
        <v>https://permalinkbnd.bnportugal.gov.pt/viewer/274457/?offset=#page=1&amp;viewer=picture&amp;o=info&amp;n=0&amp;q=</v>
      </c>
      <c r="N311" s="12" t="s">
        <v>1497</v>
      </c>
      <c r="O311" s="12" t="str">
        <f>CONCATENATE(N311,A311,"\",B311,"\",C311,".jpg")</f>
        <v>C:\Users\mbaptista\OneDrive - Biblioteca Nacional de Portugal\Documentos\python\camoniana\imagens\capas\811645\1\1.jpg</v>
      </c>
      <c r="P311" s="12" t="str">
        <f>HYPERLINK(O311)</f>
        <v>C:\Users\mbaptista\OneDrive - Biblioteca Nacional de Portugal\Documentos\python\camoniana\imagens\capas\811645\1\1.jpg</v>
      </c>
      <c r="Q311" s="12"/>
      <c r="R311" s="6" t="s">
        <v>485</v>
      </c>
      <c r="S311" s="4"/>
      <c r="T311" s="1">
        <v>1</v>
      </c>
      <c r="U311" s="13"/>
      <c r="V311" s="13"/>
      <c r="W311" s="5" t="s">
        <v>1491</v>
      </c>
    </row>
    <row r="312" spans="1:23" ht="75">
      <c r="A312" s="1">
        <v>742175</v>
      </c>
      <c r="B312" s="1">
        <v>1</v>
      </c>
      <c r="C312" s="1">
        <v>7</v>
      </c>
      <c r="D312" s="2" t="s">
        <v>486</v>
      </c>
      <c r="E312" s="5" t="s">
        <v>486</v>
      </c>
      <c r="F312" s="5">
        <v>274458</v>
      </c>
      <c r="G312" s="2" t="s">
        <v>1494</v>
      </c>
      <c r="H312" s="2" t="s">
        <v>1495</v>
      </c>
      <c r="I312" s="2" t="s">
        <v>1496</v>
      </c>
      <c r="J312" s="2" t="str">
        <f t="shared" si="8"/>
        <v>https://permalinkbnd.bnportugal.gov.pt/viewer/274458/?offset=#page=7&amp;viewer=picture&amp;o=info&amp;n=0&amp;q=</v>
      </c>
      <c r="K312" s="1" t="s">
        <v>318</v>
      </c>
      <c r="L312" s="1" t="str">
        <f>VLOOKUP(A312,Folha2!$A$2:$B$2019,2,FALSE)</f>
        <v>1898 [na referência bibliográfica surge 1890] Corrigido; Trad. Frag. Paratextos gerais e Celebrações (1880), traduções. Em comemoração do quarto centenário do Descobrimento do Caminho Marítimo para a Índia e do 318.º aniversário do passamento de Camões.</v>
      </c>
      <c r="M312" s="12" t="str">
        <f t="shared" si="9"/>
        <v>https://permalinkbnd.bnportugal.gov.pt/viewer/274458/?offset=#page=7&amp;viewer=picture&amp;o=info&amp;n=0&amp;q=</v>
      </c>
      <c r="N312" s="12" t="s">
        <v>1497</v>
      </c>
      <c r="O312" s="12" t="str">
        <f>CONCATENATE(N312,A312,"\",B312,"\",C312,".jpg")</f>
        <v>C:\Users\mbaptista\OneDrive - Biblioteca Nacional de Portugal\Documentos\python\camoniana\imagens\capas\742175\1\7.jpg</v>
      </c>
      <c r="P312" s="12" t="str">
        <f>HYPERLINK(O312)</f>
        <v>C:\Users\mbaptista\OneDrive - Biblioteca Nacional de Portugal\Documentos\python\camoniana\imagens\capas\742175\1\7.jpg</v>
      </c>
      <c r="Q312" s="12"/>
      <c r="R312" s="6" t="s">
        <v>487</v>
      </c>
      <c r="S312" s="4"/>
      <c r="T312" s="1"/>
      <c r="U312" s="13"/>
      <c r="V312" s="13"/>
      <c r="W312" s="5" t="s">
        <v>1491</v>
      </c>
    </row>
    <row r="313" spans="1:23" ht="75">
      <c r="A313" s="1">
        <v>742176</v>
      </c>
      <c r="B313" s="1">
        <v>1</v>
      </c>
      <c r="C313" s="1">
        <v>3</v>
      </c>
      <c r="D313" s="2" t="s">
        <v>488</v>
      </c>
      <c r="E313" s="11" t="s">
        <v>488</v>
      </c>
      <c r="F313" s="11">
        <v>274459</v>
      </c>
      <c r="G313" s="2" t="s">
        <v>1494</v>
      </c>
      <c r="H313" s="2" t="s">
        <v>1495</v>
      </c>
      <c r="I313" s="2" t="s">
        <v>1496</v>
      </c>
      <c r="J313" s="2" t="str">
        <f t="shared" si="8"/>
        <v>https://permalinkbnd.bnportugal.gov.pt/viewer/274459/?offset=#page=3&amp;viewer=picture&amp;o=info&amp;n=0&amp;q=</v>
      </c>
      <c r="K313" s="1" t="s">
        <v>351</v>
      </c>
      <c r="L313" s="1" t="str">
        <f>VLOOKUP(A313,Folha2!$A$2:$B$2019,2,FALSE)</f>
        <v>Lisboa: Tipografia Castro Irmão. 1915. [na referência bibliográfica surge: Braga: Tip. Lealdade: 1880]. Corrigido</v>
      </c>
      <c r="M313" s="12" t="str">
        <f t="shared" si="9"/>
        <v>https://permalinkbnd.bnportugal.gov.pt/viewer/274459/?offset=#page=3&amp;viewer=picture&amp;o=info&amp;n=0&amp;q=</v>
      </c>
      <c r="N313" s="12" t="s">
        <v>1497</v>
      </c>
      <c r="O313" s="12" t="str">
        <f>CONCATENATE(N313,A313,"\",B313,"\",C313,".jpg")</f>
        <v>C:\Users\mbaptista\OneDrive - Biblioteca Nacional de Portugal\Documentos\python\camoniana\imagens\capas\742176\1\3.jpg</v>
      </c>
      <c r="P313" s="12" t="str">
        <f>HYPERLINK(O313)</f>
        <v>C:\Users\mbaptista\OneDrive - Biblioteca Nacional de Portugal\Documentos\python\camoniana\imagens\capas\742176\1\3.jpg</v>
      </c>
      <c r="Q313" s="12"/>
      <c r="R313" s="6" t="s">
        <v>489</v>
      </c>
      <c r="S313" s="4"/>
      <c r="T313" s="1"/>
      <c r="U313" s="13"/>
      <c r="V313" s="13"/>
      <c r="W313" s="5" t="s">
        <v>1491</v>
      </c>
    </row>
    <row r="314" spans="1:23" ht="75">
      <c r="A314" s="1">
        <v>742180</v>
      </c>
      <c r="B314" s="1">
        <v>1</v>
      </c>
      <c r="C314" s="1">
        <v>5</v>
      </c>
      <c r="D314" s="2" t="s">
        <v>490</v>
      </c>
      <c r="E314" s="5" t="s">
        <v>490</v>
      </c>
      <c r="F314" s="5">
        <v>274957</v>
      </c>
      <c r="G314" s="2" t="s">
        <v>1494</v>
      </c>
      <c r="H314" s="2" t="s">
        <v>1495</v>
      </c>
      <c r="I314" s="2" t="s">
        <v>1496</v>
      </c>
      <c r="J314" s="2" t="str">
        <f t="shared" si="8"/>
        <v>https://permalinkbnd.bnportugal.gov.pt/viewer/274957/?offset=#page=5&amp;viewer=picture&amp;o=info&amp;n=0&amp;q=</v>
      </c>
      <c r="K314" s="1" t="s">
        <v>261</v>
      </c>
      <c r="L314" s="1" t="str">
        <f>VLOOKUP(A314,Folha2!$A$2:$B$2019,2,FALSE)</f>
        <v>Literatura Portuguesa. Camões. Um capítulo da História de Portugal traduzido por Silva Bastos do original inglês de Stephens, corrigido e prefaciado por Oliveira Martins.1892.</v>
      </c>
      <c r="M314" s="12" t="str">
        <f t="shared" si="9"/>
        <v>https://permalinkbnd.bnportugal.gov.pt/viewer/274957/?offset=#page=5&amp;viewer=picture&amp;o=info&amp;n=0&amp;q=</v>
      </c>
      <c r="N314" s="12" t="s">
        <v>1497</v>
      </c>
      <c r="O314" s="12" t="str">
        <f>CONCATENATE(N314,A314,"\",B314,"\",C314,".jpg")</f>
        <v>C:\Users\mbaptista\OneDrive - Biblioteca Nacional de Portugal\Documentos\python\camoniana\imagens\capas\742180\1\5.jpg</v>
      </c>
      <c r="P314" s="12" t="str">
        <f>HYPERLINK(O314)</f>
        <v>C:\Users\mbaptista\OneDrive - Biblioteca Nacional de Portugal\Documentos\python\camoniana\imagens\capas\742180\1\5.jpg</v>
      </c>
      <c r="Q314" s="12"/>
      <c r="R314" s="6" t="s">
        <v>491</v>
      </c>
      <c r="S314" s="4"/>
      <c r="T314" s="1"/>
      <c r="U314" s="13"/>
      <c r="V314" s="13"/>
      <c r="W314" s="5" t="s">
        <v>1491</v>
      </c>
    </row>
    <row r="315" spans="1:23" ht="75">
      <c r="A315" s="1">
        <v>458243</v>
      </c>
      <c r="B315" s="1">
        <v>1</v>
      </c>
      <c r="C315" s="1">
        <v>11</v>
      </c>
      <c r="D315" s="2" t="s">
        <v>492</v>
      </c>
      <c r="E315" s="11" t="s">
        <v>492</v>
      </c>
      <c r="F315" s="11">
        <v>272626</v>
      </c>
      <c r="G315" s="2" t="s">
        <v>1494</v>
      </c>
      <c r="H315" s="2" t="s">
        <v>1495</v>
      </c>
      <c r="I315" s="2" t="s">
        <v>1496</v>
      </c>
      <c r="J315" s="2" t="str">
        <f t="shared" si="8"/>
        <v>https://permalinkbnd.bnportugal.gov.pt/viewer/272626/?offset=#page=11&amp;viewer=picture&amp;o=info&amp;n=0&amp;q=</v>
      </c>
      <c r="K315" s="1" t="s">
        <v>493</v>
      </c>
      <c r="L315" s="1" t="str">
        <f>VLOOKUP(A315,Folha2!$A$2:$B$2019,2,FALSE)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5" s="12" t="str">
        <f t="shared" si="9"/>
        <v>https://permalinkbnd.bnportugal.gov.pt/viewer/272626/?offset=#page=11&amp;viewer=picture&amp;o=info&amp;n=0&amp;q=</v>
      </c>
      <c r="N315" s="12" t="s">
        <v>1497</v>
      </c>
      <c r="O315" s="12" t="str">
        <f>CONCATENATE(N315,A315,"\",B315,"\",C315,".jpg")</f>
        <v>C:\Users\mbaptista\OneDrive - Biblioteca Nacional de Portugal\Documentos\python\camoniana\imagens\capas\458243\1\11.jpg</v>
      </c>
      <c r="P315" s="12" t="str">
        <f>HYPERLINK(O315)</f>
        <v>C:\Users\mbaptista\OneDrive - Biblioteca Nacional de Portugal\Documentos\python\camoniana\imagens\capas\458243\1\11.jpg</v>
      </c>
      <c r="Q315" s="12"/>
      <c r="R315" s="6"/>
      <c r="S315" s="4"/>
      <c r="T315" s="1" t="s">
        <v>494</v>
      </c>
      <c r="U315" s="13"/>
      <c r="V315" s="13"/>
      <c r="W315" s="5"/>
    </row>
    <row r="316" spans="1:23" ht="75">
      <c r="A316" s="1">
        <v>458243</v>
      </c>
      <c r="B316" s="1">
        <v>1</v>
      </c>
      <c r="C316" s="1">
        <v>17</v>
      </c>
      <c r="D316" s="2" t="s">
        <v>492</v>
      </c>
      <c r="E316" s="5" t="s">
        <v>492</v>
      </c>
      <c r="F316" s="5">
        <v>272626</v>
      </c>
      <c r="G316" s="2" t="s">
        <v>1494</v>
      </c>
      <c r="H316" s="2" t="s">
        <v>1495</v>
      </c>
      <c r="I316" s="2" t="s">
        <v>1496</v>
      </c>
      <c r="J316" s="2" t="str">
        <f t="shared" si="8"/>
        <v>https://permalinkbnd.bnportugal.gov.pt/viewer/272626/?offset=#page=17&amp;viewer=picture&amp;o=info&amp;n=0&amp;q=</v>
      </c>
      <c r="K316" s="1" t="s">
        <v>493</v>
      </c>
      <c r="L316" s="1" t="str">
        <f>VLOOKUP(A316,Folha2!$A$2:$B$2019,2,FALSE)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6" s="12" t="str">
        <f t="shared" si="9"/>
        <v>https://permalinkbnd.bnportugal.gov.pt/viewer/272626/?offset=#page=17&amp;viewer=picture&amp;o=info&amp;n=0&amp;q=</v>
      </c>
      <c r="N316" s="12" t="s">
        <v>1497</v>
      </c>
      <c r="O316" s="12" t="str">
        <f>CONCATENATE(N316,A316,"\",B316,"\",C316,".jpg")</f>
        <v>C:\Users\mbaptista\OneDrive - Biblioteca Nacional de Portugal\Documentos\python\camoniana\imagens\capas\458243\1\17.jpg</v>
      </c>
      <c r="P316" s="12" t="str">
        <f>HYPERLINK(O316)</f>
        <v>C:\Users\mbaptista\OneDrive - Biblioteca Nacional de Portugal\Documentos\python\camoniana\imagens\capas\458243\1\17.jpg</v>
      </c>
      <c r="Q316" s="12"/>
      <c r="R316" s="6"/>
      <c r="S316" s="4"/>
      <c r="T316" s="1" t="s">
        <v>494</v>
      </c>
      <c r="U316" s="13"/>
      <c r="V316" s="13"/>
      <c r="W316" s="5"/>
    </row>
    <row r="317" spans="1:23" ht="75">
      <c r="A317" s="1">
        <v>458243</v>
      </c>
      <c r="B317" s="1">
        <v>1</v>
      </c>
      <c r="C317" s="1">
        <v>37</v>
      </c>
      <c r="D317" s="2" t="s">
        <v>492</v>
      </c>
      <c r="E317" s="11" t="s">
        <v>492</v>
      </c>
      <c r="F317" s="11">
        <v>272626</v>
      </c>
      <c r="G317" s="2" t="s">
        <v>1494</v>
      </c>
      <c r="H317" s="2" t="s">
        <v>1495</v>
      </c>
      <c r="I317" s="2" t="s">
        <v>1496</v>
      </c>
      <c r="J317" s="2" t="str">
        <f t="shared" si="8"/>
        <v>https://permalinkbnd.bnportugal.gov.pt/viewer/272626/?offset=#page=37&amp;viewer=picture&amp;o=info&amp;n=0&amp;q=</v>
      </c>
      <c r="K317" s="1" t="s">
        <v>493</v>
      </c>
      <c r="L317" s="1" t="str">
        <f>VLOOKUP(A317,Folha2!$A$2:$B$2019,2,FALSE)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7" s="12" t="str">
        <f t="shared" si="9"/>
        <v>https://permalinkbnd.bnportugal.gov.pt/viewer/272626/?offset=#page=37&amp;viewer=picture&amp;o=info&amp;n=0&amp;q=</v>
      </c>
      <c r="N317" s="12" t="s">
        <v>1497</v>
      </c>
      <c r="O317" s="12" t="str">
        <f>CONCATENATE(N317,A317,"\",B317,"\",C317,".jpg")</f>
        <v>C:\Users\mbaptista\OneDrive - Biblioteca Nacional de Portugal\Documentos\python\camoniana\imagens\capas\458243\1\37.jpg</v>
      </c>
      <c r="P317" s="12" t="str">
        <f>HYPERLINK(O317)</f>
        <v>C:\Users\mbaptista\OneDrive - Biblioteca Nacional de Portugal\Documentos\python\camoniana\imagens\capas\458243\1\37.jpg</v>
      </c>
      <c r="Q317" s="12"/>
      <c r="R317" s="6"/>
      <c r="S317" s="4"/>
      <c r="T317" s="1" t="s">
        <v>494</v>
      </c>
      <c r="U317" s="13"/>
      <c r="V317" s="13"/>
      <c r="W317" s="5"/>
    </row>
    <row r="318" spans="1:23" ht="75">
      <c r="A318" s="1">
        <v>458243</v>
      </c>
      <c r="B318" s="1">
        <v>1</v>
      </c>
      <c r="C318" s="1">
        <v>68</v>
      </c>
      <c r="D318" s="2" t="s">
        <v>492</v>
      </c>
      <c r="E318" s="5" t="s">
        <v>492</v>
      </c>
      <c r="F318" s="5">
        <v>272626</v>
      </c>
      <c r="G318" s="2" t="s">
        <v>1494</v>
      </c>
      <c r="H318" s="2" t="s">
        <v>1495</v>
      </c>
      <c r="I318" s="2" t="s">
        <v>1496</v>
      </c>
      <c r="J318" s="2" t="str">
        <f t="shared" si="8"/>
        <v>https://permalinkbnd.bnportugal.gov.pt/viewer/272626/?offset=#page=68&amp;viewer=picture&amp;o=info&amp;n=0&amp;q=</v>
      </c>
      <c r="K318" s="1" t="s">
        <v>493</v>
      </c>
      <c r="L318" s="1" t="str">
        <f>VLOOKUP(A318,Folha2!$A$2:$B$2019,2,FALSE)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8" s="12" t="str">
        <f t="shared" si="9"/>
        <v>https://permalinkbnd.bnportugal.gov.pt/viewer/272626/?offset=#page=68&amp;viewer=picture&amp;o=info&amp;n=0&amp;q=</v>
      </c>
      <c r="N318" s="12" t="s">
        <v>1497</v>
      </c>
      <c r="O318" s="12" t="str">
        <f>CONCATENATE(N318,A318,"\",B318,"\",C318,".jpg")</f>
        <v>C:\Users\mbaptista\OneDrive - Biblioteca Nacional de Portugal\Documentos\python\camoniana\imagens\capas\458243\1\68.jpg</v>
      </c>
      <c r="P318" s="12" t="str">
        <f>HYPERLINK(O318)</f>
        <v>C:\Users\mbaptista\OneDrive - Biblioteca Nacional de Portugal\Documentos\python\camoniana\imagens\capas\458243\1\68.jpg</v>
      </c>
      <c r="Q318" s="12"/>
      <c r="R318" s="6"/>
      <c r="S318" s="4"/>
      <c r="T318" s="1" t="s">
        <v>494</v>
      </c>
      <c r="U318" s="13"/>
      <c r="V318" s="13"/>
      <c r="W318" s="5"/>
    </row>
    <row r="319" spans="1:23" ht="75">
      <c r="A319" s="1">
        <v>458243</v>
      </c>
      <c r="B319" s="1">
        <v>1</v>
      </c>
      <c r="C319" s="1">
        <v>69</v>
      </c>
      <c r="D319" s="2" t="s">
        <v>492</v>
      </c>
      <c r="E319" s="11" t="s">
        <v>492</v>
      </c>
      <c r="F319" s="11">
        <v>272626</v>
      </c>
      <c r="G319" s="2" t="s">
        <v>1494</v>
      </c>
      <c r="H319" s="2" t="s">
        <v>1495</v>
      </c>
      <c r="I319" s="2" t="s">
        <v>1496</v>
      </c>
      <c r="J319" s="2" t="str">
        <f t="shared" si="8"/>
        <v>https://permalinkbnd.bnportugal.gov.pt/viewer/272626/?offset=#page=69&amp;viewer=picture&amp;o=info&amp;n=0&amp;q=</v>
      </c>
      <c r="K319" s="1" t="s">
        <v>493</v>
      </c>
      <c r="L319" s="1" t="str">
        <f>VLOOKUP(A319,Folha2!$A$2:$B$2019,2,FALSE)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9" s="12" t="str">
        <f t="shared" si="9"/>
        <v>https://permalinkbnd.bnportugal.gov.pt/viewer/272626/?offset=#page=69&amp;viewer=picture&amp;o=info&amp;n=0&amp;q=</v>
      </c>
      <c r="N319" s="12" t="s">
        <v>1497</v>
      </c>
      <c r="O319" s="12" t="str">
        <f>CONCATENATE(N319,A319,"\",B319,"\",C319,".jpg")</f>
        <v>C:\Users\mbaptista\OneDrive - Biblioteca Nacional de Portugal\Documentos\python\camoniana\imagens\capas\458243\1\69.jpg</v>
      </c>
      <c r="P319" s="12" t="str">
        <f>HYPERLINK(O319)</f>
        <v>C:\Users\mbaptista\OneDrive - Biblioteca Nacional de Portugal\Documentos\python\camoniana\imagens\capas\458243\1\69.jpg</v>
      </c>
      <c r="Q319" s="12"/>
      <c r="R319" s="6" t="s">
        <v>495</v>
      </c>
      <c r="S319" s="4"/>
      <c r="T319" s="1" t="s">
        <v>494</v>
      </c>
      <c r="U319" s="13"/>
      <c r="V319" s="13"/>
      <c r="W319" s="5" t="s">
        <v>1491</v>
      </c>
    </row>
    <row r="320" spans="1:23" ht="75">
      <c r="A320" s="1">
        <v>458243</v>
      </c>
      <c r="B320" s="1">
        <v>1</v>
      </c>
      <c r="C320" s="1">
        <v>71</v>
      </c>
      <c r="D320" s="2" t="s">
        <v>492</v>
      </c>
      <c r="E320" s="5" t="s">
        <v>492</v>
      </c>
      <c r="F320" s="5">
        <v>272626</v>
      </c>
      <c r="G320" s="2" t="s">
        <v>1494</v>
      </c>
      <c r="H320" s="2" t="s">
        <v>1495</v>
      </c>
      <c r="I320" s="2" t="s">
        <v>1496</v>
      </c>
      <c r="J320" s="2" t="str">
        <f t="shared" si="8"/>
        <v>https://permalinkbnd.bnportugal.gov.pt/viewer/272626/?offset=#page=71&amp;viewer=picture&amp;o=info&amp;n=0&amp;q=</v>
      </c>
      <c r="K320" s="1" t="s">
        <v>493</v>
      </c>
      <c r="L320" s="1" t="str">
        <f>VLOOKUP(A320,Folha2!$A$2:$B$2019,2,FALSE)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0" s="12" t="str">
        <f t="shared" si="9"/>
        <v>https://permalinkbnd.bnportugal.gov.pt/viewer/272626/?offset=#page=71&amp;viewer=picture&amp;o=info&amp;n=0&amp;q=</v>
      </c>
      <c r="N320" s="12" t="s">
        <v>1497</v>
      </c>
      <c r="O320" s="12" t="str">
        <f>CONCATENATE(N320,A320,"\",B320,"\",C320,".jpg")</f>
        <v>C:\Users\mbaptista\OneDrive - Biblioteca Nacional de Portugal\Documentos\python\camoniana\imagens\capas\458243\1\71.jpg</v>
      </c>
      <c r="P320" s="12" t="str">
        <f>HYPERLINK(O320)</f>
        <v>C:\Users\mbaptista\OneDrive - Biblioteca Nacional de Portugal\Documentos\python\camoniana\imagens\capas\458243\1\71.jpg</v>
      </c>
      <c r="Q320" s="12"/>
      <c r="R320" s="6" t="s">
        <v>496</v>
      </c>
      <c r="S320" s="4"/>
      <c r="T320" s="1" t="s">
        <v>494</v>
      </c>
      <c r="U320" s="13"/>
      <c r="V320" s="13"/>
      <c r="W320" s="5" t="s">
        <v>1491</v>
      </c>
    </row>
    <row r="321" spans="1:23" ht="75">
      <c r="A321" s="1">
        <v>458243</v>
      </c>
      <c r="B321" s="1">
        <v>1</v>
      </c>
      <c r="C321" s="1">
        <v>73</v>
      </c>
      <c r="D321" s="2" t="s">
        <v>492</v>
      </c>
      <c r="E321" s="11" t="s">
        <v>492</v>
      </c>
      <c r="F321" s="11">
        <v>272626</v>
      </c>
      <c r="G321" s="2" t="s">
        <v>1494</v>
      </c>
      <c r="H321" s="2" t="s">
        <v>1495</v>
      </c>
      <c r="I321" s="2" t="s">
        <v>1496</v>
      </c>
      <c r="J321" s="2" t="str">
        <f t="shared" si="8"/>
        <v>https://permalinkbnd.bnportugal.gov.pt/viewer/272626/?offset=#page=73&amp;viewer=picture&amp;o=info&amp;n=0&amp;q=</v>
      </c>
      <c r="K321" s="1" t="s">
        <v>493</v>
      </c>
      <c r="L321" s="1" t="str">
        <f>VLOOKUP(A321,Folha2!$A$2:$B$2019,2,FALSE)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1" s="12" t="str">
        <f t="shared" si="9"/>
        <v>https://permalinkbnd.bnportugal.gov.pt/viewer/272626/?offset=#page=73&amp;viewer=picture&amp;o=info&amp;n=0&amp;q=</v>
      </c>
      <c r="N321" s="12" t="s">
        <v>1497</v>
      </c>
      <c r="O321" s="12" t="str">
        <f>CONCATENATE(N321,A321,"\",B321,"\",C321,".jpg")</f>
        <v>C:\Users\mbaptista\OneDrive - Biblioteca Nacional de Portugal\Documentos\python\camoniana\imagens\capas\458243\1\73.jpg</v>
      </c>
      <c r="P321" s="12" t="str">
        <f>HYPERLINK(O321)</f>
        <v>C:\Users\mbaptista\OneDrive - Biblioteca Nacional de Portugal\Documentos\python\camoniana\imagens\capas\458243\1\73.jpg</v>
      </c>
      <c r="Q321" s="12"/>
      <c r="R321" s="6" t="s">
        <v>497</v>
      </c>
      <c r="S321" s="4"/>
      <c r="T321" s="1" t="s">
        <v>494</v>
      </c>
      <c r="U321" s="13"/>
      <c r="V321" s="13"/>
      <c r="W321" s="5" t="s">
        <v>1491</v>
      </c>
    </row>
    <row r="322" spans="1:23" ht="75">
      <c r="A322" s="1">
        <v>458243</v>
      </c>
      <c r="B322" s="1">
        <v>1</v>
      </c>
      <c r="C322" s="1">
        <v>75</v>
      </c>
      <c r="D322" s="2" t="s">
        <v>492</v>
      </c>
      <c r="E322" s="5" t="s">
        <v>492</v>
      </c>
      <c r="F322" s="5">
        <v>272626</v>
      </c>
      <c r="G322" s="2" t="s">
        <v>1494</v>
      </c>
      <c r="H322" s="2" t="s">
        <v>1495</v>
      </c>
      <c r="I322" s="2" t="s">
        <v>1496</v>
      </c>
      <c r="J322" s="2" t="str">
        <f t="shared" ref="J322:J385" si="10">CONCATENATE(G322,F322,H322,C322,I322)</f>
        <v>https://permalinkbnd.bnportugal.gov.pt/viewer/272626/?offset=#page=75&amp;viewer=picture&amp;o=info&amp;n=0&amp;q=</v>
      </c>
      <c r="K322" s="1" t="s">
        <v>493</v>
      </c>
      <c r="L322" s="1" t="str">
        <f>VLOOKUP(A322,Folha2!$A$2:$B$2019,2,FALSE)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2" s="12" t="str">
        <f t="shared" ref="M322:M385" si="11">HYPERLINK(J322)</f>
        <v>https://permalinkbnd.bnportugal.gov.pt/viewer/272626/?offset=#page=75&amp;viewer=picture&amp;o=info&amp;n=0&amp;q=</v>
      </c>
      <c r="N322" s="12" t="s">
        <v>1497</v>
      </c>
      <c r="O322" s="12" t="str">
        <f>CONCATENATE(N322,A322,"\",B322,"\",C322,".jpg")</f>
        <v>C:\Users\mbaptista\OneDrive - Biblioteca Nacional de Portugal\Documentos\python\camoniana\imagens\capas\458243\1\75.jpg</v>
      </c>
      <c r="P322" s="12" t="str">
        <f>HYPERLINK(O322)</f>
        <v>C:\Users\mbaptista\OneDrive - Biblioteca Nacional de Portugal\Documentos\python\camoniana\imagens\capas\458243\1\75.jpg</v>
      </c>
      <c r="Q322" s="12"/>
      <c r="R322" s="6"/>
      <c r="S322" s="4"/>
      <c r="T322" s="1" t="s">
        <v>494</v>
      </c>
      <c r="U322" s="13"/>
      <c r="V322" s="13"/>
      <c r="W322" s="5"/>
    </row>
    <row r="323" spans="1:23" ht="75">
      <c r="A323" s="1">
        <v>458243</v>
      </c>
      <c r="B323" s="1">
        <v>1</v>
      </c>
      <c r="C323" s="1">
        <v>85</v>
      </c>
      <c r="D323" s="2" t="s">
        <v>492</v>
      </c>
      <c r="E323" s="11" t="s">
        <v>492</v>
      </c>
      <c r="F323" s="11">
        <v>272626</v>
      </c>
      <c r="G323" s="2" t="s">
        <v>1494</v>
      </c>
      <c r="H323" s="2" t="s">
        <v>1495</v>
      </c>
      <c r="I323" s="2" t="s">
        <v>1496</v>
      </c>
      <c r="J323" s="2" t="str">
        <f t="shared" si="10"/>
        <v>https://permalinkbnd.bnportugal.gov.pt/viewer/272626/?offset=#page=85&amp;viewer=picture&amp;o=info&amp;n=0&amp;q=</v>
      </c>
      <c r="K323" s="1" t="s">
        <v>493</v>
      </c>
      <c r="L323" s="1" t="str">
        <f>VLOOKUP(A323,Folha2!$A$2:$B$2019,2,FALSE)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3" s="12" t="str">
        <f t="shared" si="11"/>
        <v>https://permalinkbnd.bnportugal.gov.pt/viewer/272626/?offset=#page=85&amp;viewer=picture&amp;o=info&amp;n=0&amp;q=</v>
      </c>
      <c r="N323" s="12" t="s">
        <v>1497</v>
      </c>
      <c r="O323" s="12" t="str">
        <f>CONCATENATE(N323,A323,"\",B323,"\",C323,".jpg")</f>
        <v>C:\Users\mbaptista\OneDrive - Biblioteca Nacional de Portugal\Documentos\python\camoniana\imagens\capas\458243\1\85.jpg</v>
      </c>
      <c r="P323" s="12" t="str">
        <f>HYPERLINK(O323)</f>
        <v>C:\Users\mbaptista\OneDrive - Biblioteca Nacional de Portugal\Documentos\python\camoniana\imagens\capas\458243\1\85.jpg</v>
      </c>
      <c r="Q323" s="12"/>
      <c r="R323" s="6"/>
      <c r="S323" s="4"/>
      <c r="T323" s="1" t="s">
        <v>494</v>
      </c>
      <c r="U323" s="13"/>
      <c r="V323" s="13"/>
      <c r="W323" s="5"/>
    </row>
    <row r="324" spans="1:23" ht="75">
      <c r="A324" s="1">
        <v>458243</v>
      </c>
      <c r="B324" s="1">
        <v>1</v>
      </c>
      <c r="C324" s="1">
        <v>102</v>
      </c>
      <c r="D324" s="2" t="s">
        <v>492</v>
      </c>
      <c r="E324" s="5" t="s">
        <v>492</v>
      </c>
      <c r="F324" s="5">
        <v>272626</v>
      </c>
      <c r="G324" s="2" t="s">
        <v>1494</v>
      </c>
      <c r="H324" s="2" t="s">
        <v>1495</v>
      </c>
      <c r="I324" s="2" t="s">
        <v>1496</v>
      </c>
      <c r="J324" s="2" t="str">
        <f t="shared" si="10"/>
        <v>https://permalinkbnd.bnportugal.gov.pt/viewer/272626/?offset=#page=102&amp;viewer=picture&amp;o=info&amp;n=0&amp;q=</v>
      </c>
      <c r="K324" s="1" t="s">
        <v>493</v>
      </c>
      <c r="L324" s="1" t="str">
        <f>VLOOKUP(A324,Folha2!$A$2:$B$2019,2,FALSE)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4" s="12" t="str">
        <f t="shared" si="11"/>
        <v>https://permalinkbnd.bnportugal.gov.pt/viewer/272626/?offset=#page=102&amp;viewer=picture&amp;o=info&amp;n=0&amp;q=</v>
      </c>
      <c r="N324" s="12" t="s">
        <v>1497</v>
      </c>
      <c r="O324" s="12" t="str">
        <f>CONCATENATE(N324,A324,"\",B324,"\",C324,".jpg")</f>
        <v>C:\Users\mbaptista\OneDrive - Biblioteca Nacional de Portugal\Documentos\python\camoniana\imagens\capas\458243\1\102.jpg</v>
      </c>
      <c r="P324" s="12" t="str">
        <f>HYPERLINK(O324)</f>
        <v>C:\Users\mbaptista\OneDrive - Biblioteca Nacional de Portugal\Documentos\python\camoniana\imagens\capas\458243\1\102.jpg</v>
      </c>
      <c r="Q324" s="12"/>
      <c r="R324" s="6" t="s">
        <v>498</v>
      </c>
      <c r="S324" s="4"/>
      <c r="T324" s="1" t="s">
        <v>494</v>
      </c>
      <c r="U324" s="13"/>
      <c r="V324" s="13"/>
      <c r="W324" s="5" t="s">
        <v>1491</v>
      </c>
    </row>
    <row r="325" spans="1:23" ht="75">
      <c r="A325" s="1">
        <v>458243</v>
      </c>
      <c r="B325" s="1">
        <v>1</v>
      </c>
      <c r="C325" s="1">
        <v>122</v>
      </c>
      <c r="D325" s="2" t="s">
        <v>492</v>
      </c>
      <c r="E325" s="11" t="s">
        <v>492</v>
      </c>
      <c r="F325" s="11">
        <v>272626</v>
      </c>
      <c r="G325" s="2" t="s">
        <v>1494</v>
      </c>
      <c r="H325" s="2" t="s">
        <v>1495</v>
      </c>
      <c r="I325" s="2" t="s">
        <v>1496</v>
      </c>
      <c r="J325" s="2" t="str">
        <f t="shared" si="10"/>
        <v>https://permalinkbnd.bnportugal.gov.pt/viewer/272626/?offset=#page=122&amp;viewer=picture&amp;o=info&amp;n=0&amp;q=</v>
      </c>
      <c r="K325" s="1" t="s">
        <v>493</v>
      </c>
      <c r="L325" s="1" t="str">
        <f>VLOOKUP(A325,Folha2!$A$2:$B$2019,2,FALSE)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5" s="12" t="str">
        <f t="shared" si="11"/>
        <v>https://permalinkbnd.bnportugal.gov.pt/viewer/272626/?offset=#page=122&amp;viewer=picture&amp;o=info&amp;n=0&amp;q=</v>
      </c>
      <c r="N325" s="12" t="s">
        <v>1497</v>
      </c>
      <c r="O325" s="12" t="str">
        <f>CONCATENATE(N325,A325,"\",B325,"\",C325,".jpg")</f>
        <v>C:\Users\mbaptista\OneDrive - Biblioteca Nacional de Portugal\Documentos\python\camoniana\imagens\capas\458243\1\122.jpg</v>
      </c>
      <c r="P325" s="12" t="str">
        <f>HYPERLINK(O325)</f>
        <v>C:\Users\mbaptista\OneDrive - Biblioteca Nacional de Portugal\Documentos\python\camoniana\imagens\capas\458243\1\122.jpg</v>
      </c>
      <c r="Q325" s="12"/>
      <c r="R325" s="6" t="s">
        <v>499</v>
      </c>
      <c r="S325" s="4"/>
      <c r="T325" s="1" t="s">
        <v>494</v>
      </c>
      <c r="U325" s="13"/>
      <c r="V325" s="13"/>
      <c r="W325" s="5" t="s">
        <v>1491</v>
      </c>
    </row>
    <row r="326" spans="1:23" ht="75">
      <c r="A326" s="1">
        <v>458243</v>
      </c>
      <c r="B326" s="13">
        <v>1</v>
      </c>
      <c r="C326" s="1">
        <v>103</v>
      </c>
      <c r="D326" s="2" t="s">
        <v>492</v>
      </c>
      <c r="E326" s="5" t="s">
        <v>492</v>
      </c>
      <c r="F326" s="5">
        <v>272626</v>
      </c>
      <c r="G326" s="2" t="s">
        <v>1494</v>
      </c>
      <c r="H326" s="2" t="s">
        <v>1495</v>
      </c>
      <c r="I326" s="2" t="s">
        <v>1496</v>
      </c>
      <c r="J326" s="2" t="str">
        <f t="shared" si="10"/>
        <v>https://permalinkbnd.bnportugal.gov.pt/viewer/272626/?offset=#page=103&amp;viewer=picture&amp;o=info&amp;n=0&amp;q=</v>
      </c>
      <c r="K326" s="1" t="s">
        <v>493</v>
      </c>
      <c r="L326" s="1" t="str">
        <f>VLOOKUP(A326,Folha2!$A$2:$B$2019,2,FALSE)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6" s="12" t="str">
        <f t="shared" si="11"/>
        <v>https://permalinkbnd.bnportugal.gov.pt/viewer/272626/?offset=#page=103&amp;viewer=picture&amp;o=info&amp;n=0&amp;q=</v>
      </c>
      <c r="N326" s="12" t="s">
        <v>1497</v>
      </c>
      <c r="O326" s="12" t="str">
        <f>CONCATENATE(N326,A326,"\",B326,"\",C326,".jpg")</f>
        <v>C:\Users\mbaptista\OneDrive - Biblioteca Nacional de Portugal\Documentos\python\camoniana\imagens\capas\458243\1\103.jpg</v>
      </c>
      <c r="P326" s="12" t="str">
        <f>HYPERLINK(O326)</f>
        <v>C:\Users\mbaptista\OneDrive - Biblioteca Nacional de Portugal\Documentos\python\camoniana\imagens\capas\458243\1\103.jpg</v>
      </c>
      <c r="Q326" s="12"/>
      <c r="R326" s="6" t="s">
        <v>501</v>
      </c>
      <c r="S326" s="4"/>
      <c r="T326" s="1" t="s">
        <v>494</v>
      </c>
      <c r="U326" s="13" t="s">
        <v>500</v>
      </c>
      <c r="V326" s="13"/>
      <c r="W326" s="5" t="s">
        <v>1491</v>
      </c>
    </row>
    <row r="327" spans="1:23" ht="75">
      <c r="A327" s="1">
        <v>458243</v>
      </c>
      <c r="B327" s="13">
        <v>1</v>
      </c>
      <c r="C327" s="1">
        <v>105</v>
      </c>
      <c r="D327" s="2" t="s">
        <v>492</v>
      </c>
      <c r="E327" s="11" t="s">
        <v>492</v>
      </c>
      <c r="F327" s="11">
        <v>272626</v>
      </c>
      <c r="G327" s="2" t="s">
        <v>1494</v>
      </c>
      <c r="H327" s="2" t="s">
        <v>1495</v>
      </c>
      <c r="I327" s="2" t="s">
        <v>1496</v>
      </c>
      <c r="J327" s="2" t="str">
        <f t="shared" si="10"/>
        <v>https://permalinkbnd.bnportugal.gov.pt/viewer/272626/?offset=#page=105&amp;viewer=picture&amp;o=info&amp;n=0&amp;q=</v>
      </c>
      <c r="K327" s="1" t="s">
        <v>493</v>
      </c>
      <c r="L327" s="1" t="str">
        <f>VLOOKUP(A327,Folha2!$A$2:$B$2019,2,FALSE)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7" s="12" t="str">
        <f t="shared" si="11"/>
        <v>https://permalinkbnd.bnportugal.gov.pt/viewer/272626/?offset=#page=105&amp;viewer=picture&amp;o=info&amp;n=0&amp;q=</v>
      </c>
      <c r="N327" s="12" t="s">
        <v>1497</v>
      </c>
      <c r="O327" s="12" t="str">
        <f>CONCATENATE(N327,A327,"\",B327,"\",C327,".jpg")</f>
        <v>C:\Users\mbaptista\OneDrive - Biblioteca Nacional de Portugal\Documentos\python\camoniana\imagens\capas\458243\1\105.jpg</v>
      </c>
      <c r="P327" s="12" t="str">
        <f>HYPERLINK(O327)</f>
        <v>C:\Users\mbaptista\OneDrive - Biblioteca Nacional de Portugal\Documentos\python\camoniana\imagens\capas\458243\1\105.jpg</v>
      </c>
      <c r="Q327" s="12"/>
      <c r="R327" s="6"/>
      <c r="S327" s="4"/>
      <c r="T327" s="1" t="s">
        <v>494</v>
      </c>
      <c r="U327" s="13"/>
      <c r="V327" s="13"/>
      <c r="W327" s="5"/>
    </row>
    <row r="328" spans="1:23" ht="75">
      <c r="A328" s="1">
        <v>458243</v>
      </c>
      <c r="B328" s="13">
        <v>1</v>
      </c>
      <c r="C328" s="1">
        <v>135</v>
      </c>
      <c r="D328" s="2" t="s">
        <v>492</v>
      </c>
      <c r="E328" s="5" t="s">
        <v>492</v>
      </c>
      <c r="F328" s="5">
        <v>272626</v>
      </c>
      <c r="G328" s="2" t="s">
        <v>1494</v>
      </c>
      <c r="H328" s="2" t="s">
        <v>1495</v>
      </c>
      <c r="I328" s="2" t="s">
        <v>1496</v>
      </c>
      <c r="J328" s="2" t="str">
        <f t="shared" si="10"/>
        <v>https://permalinkbnd.bnportugal.gov.pt/viewer/272626/?offset=#page=135&amp;viewer=picture&amp;o=info&amp;n=0&amp;q=</v>
      </c>
      <c r="K328" s="1" t="s">
        <v>493</v>
      </c>
      <c r="L328" s="1" t="str">
        <f>VLOOKUP(A328,Folha2!$A$2:$B$2019,2,FALSE)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8" s="12" t="str">
        <f t="shared" si="11"/>
        <v>https://permalinkbnd.bnportugal.gov.pt/viewer/272626/?offset=#page=135&amp;viewer=picture&amp;o=info&amp;n=0&amp;q=</v>
      </c>
      <c r="N328" s="12" t="s">
        <v>1497</v>
      </c>
      <c r="O328" s="12" t="str">
        <f>CONCATENATE(N328,A328,"\",B328,"\",C328,".jpg")</f>
        <v>C:\Users\mbaptista\OneDrive - Biblioteca Nacional de Portugal\Documentos\python\camoniana\imagens\capas\458243\1\135.jpg</v>
      </c>
      <c r="P328" s="12" t="str">
        <f>HYPERLINK(O328)</f>
        <v>C:\Users\mbaptista\OneDrive - Biblioteca Nacional de Portugal\Documentos\python\camoniana\imagens\capas\458243\1\135.jpg</v>
      </c>
      <c r="Q328" s="12"/>
      <c r="R328" s="6" t="s">
        <v>502</v>
      </c>
      <c r="S328" s="4"/>
      <c r="T328" s="1" t="s">
        <v>494</v>
      </c>
      <c r="U328" s="13" t="s">
        <v>500</v>
      </c>
      <c r="V328" s="13"/>
      <c r="W328" s="5" t="s">
        <v>1491</v>
      </c>
    </row>
    <row r="329" spans="1:23" ht="75">
      <c r="A329" s="1">
        <v>458243</v>
      </c>
      <c r="B329" s="13">
        <v>1</v>
      </c>
      <c r="C329" s="1">
        <v>137</v>
      </c>
      <c r="D329" s="2" t="s">
        <v>492</v>
      </c>
      <c r="E329" s="11" t="s">
        <v>492</v>
      </c>
      <c r="F329" s="11">
        <v>272626</v>
      </c>
      <c r="G329" s="2" t="s">
        <v>1494</v>
      </c>
      <c r="H329" s="2" t="s">
        <v>1495</v>
      </c>
      <c r="I329" s="2" t="s">
        <v>1496</v>
      </c>
      <c r="J329" s="2" t="str">
        <f t="shared" si="10"/>
        <v>https://permalinkbnd.bnportugal.gov.pt/viewer/272626/?offset=#page=137&amp;viewer=picture&amp;o=info&amp;n=0&amp;q=</v>
      </c>
      <c r="K329" s="1" t="s">
        <v>493</v>
      </c>
      <c r="L329" s="1" t="str">
        <f>VLOOKUP(A329,Folha2!$A$2:$B$2019,2,FALSE)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9" s="12" t="str">
        <f t="shared" si="11"/>
        <v>https://permalinkbnd.bnportugal.gov.pt/viewer/272626/?offset=#page=137&amp;viewer=picture&amp;o=info&amp;n=0&amp;q=</v>
      </c>
      <c r="N329" s="12" t="s">
        <v>1497</v>
      </c>
      <c r="O329" s="12" t="str">
        <f>CONCATENATE(N329,A329,"\",B329,"\",C329,".jpg")</f>
        <v>C:\Users\mbaptista\OneDrive - Biblioteca Nacional de Portugal\Documentos\python\camoniana\imagens\capas\458243\1\137.jpg</v>
      </c>
      <c r="P329" s="12" t="str">
        <f>HYPERLINK(O329)</f>
        <v>C:\Users\mbaptista\OneDrive - Biblioteca Nacional de Portugal\Documentos\python\camoniana\imagens\capas\458243\1\137.jpg</v>
      </c>
      <c r="Q329" s="12"/>
      <c r="R329" s="6" t="s">
        <v>503</v>
      </c>
      <c r="S329" s="4"/>
      <c r="T329" s="1" t="s">
        <v>494</v>
      </c>
      <c r="U329" s="13" t="s">
        <v>500</v>
      </c>
      <c r="V329" s="13"/>
      <c r="W329" s="5" t="s">
        <v>1491</v>
      </c>
    </row>
    <row r="330" spans="1:23" ht="75">
      <c r="A330" s="1">
        <v>458243</v>
      </c>
      <c r="B330" s="13">
        <v>1</v>
      </c>
      <c r="C330" s="1">
        <v>175</v>
      </c>
      <c r="D330" s="2" t="s">
        <v>492</v>
      </c>
      <c r="E330" s="5" t="s">
        <v>492</v>
      </c>
      <c r="F330" s="5">
        <v>272626</v>
      </c>
      <c r="G330" s="2" t="s">
        <v>1494</v>
      </c>
      <c r="H330" s="2" t="s">
        <v>1495</v>
      </c>
      <c r="I330" s="2" t="s">
        <v>1496</v>
      </c>
      <c r="J330" s="2" t="str">
        <f t="shared" si="10"/>
        <v>https://permalinkbnd.bnportugal.gov.pt/viewer/272626/?offset=#page=175&amp;viewer=picture&amp;o=info&amp;n=0&amp;q=</v>
      </c>
      <c r="K330" s="1" t="s">
        <v>493</v>
      </c>
      <c r="L330" s="1" t="str">
        <f>VLOOKUP(A330,Folha2!$A$2:$B$2019,2,FALSE)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0" s="12" t="str">
        <f t="shared" si="11"/>
        <v>https://permalinkbnd.bnportugal.gov.pt/viewer/272626/?offset=#page=175&amp;viewer=picture&amp;o=info&amp;n=0&amp;q=</v>
      </c>
      <c r="N330" s="12" t="s">
        <v>1497</v>
      </c>
      <c r="O330" s="12" t="str">
        <f>CONCATENATE(N330,A330,"\",B330,"\",C330,".jpg")</f>
        <v>C:\Users\mbaptista\OneDrive - Biblioteca Nacional de Portugal\Documentos\python\camoniana\imagens\capas\458243\1\175.jpg</v>
      </c>
      <c r="P330" s="12" t="str">
        <f>HYPERLINK(O330)</f>
        <v>C:\Users\mbaptista\OneDrive - Biblioteca Nacional de Portugal\Documentos\python\camoniana\imagens\capas\458243\1\175.jpg</v>
      </c>
      <c r="Q330" s="12"/>
      <c r="R330" s="6"/>
      <c r="S330" s="4"/>
      <c r="T330" s="1" t="s">
        <v>494</v>
      </c>
      <c r="U330" s="13"/>
      <c r="V330" s="13"/>
      <c r="W330" s="5"/>
    </row>
    <row r="331" spans="1:23" ht="75">
      <c r="A331" s="1">
        <v>458243</v>
      </c>
      <c r="B331" s="13">
        <v>1</v>
      </c>
      <c r="C331" s="1">
        <v>17</v>
      </c>
      <c r="D331" s="2" t="s">
        <v>492</v>
      </c>
      <c r="E331" s="11" t="s">
        <v>492</v>
      </c>
      <c r="F331" s="11">
        <v>272626</v>
      </c>
      <c r="G331" s="2" t="s">
        <v>1494</v>
      </c>
      <c r="H331" s="2" t="s">
        <v>1495</v>
      </c>
      <c r="I331" s="2" t="s">
        <v>1496</v>
      </c>
      <c r="J331" s="2" t="str">
        <f t="shared" si="10"/>
        <v>https://permalinkbnd.bnportugal.gov.pt/viewer/272626/?offset=#page=17&amp;viewer=picture&amp;o=info&amp;n=0&amp;q=</v>
      </c>
      <c r="K331" s="1" t="s">
        <v>493</v>
      </c>
      <c r="L331" s="1" t="str">
        <f>VLOOKUP(A331,Folha2!$A$2:$B$2019,2,FALSE)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1" s="12" t="str">
        <f t="shared" si="11"/>
        <v>https://permalinkbnd.bnportugal.gov.pt/viewer/272626/?offset=#page=17&amp;viewer=picture&amp;o=info&amp;n=0&amp;q=</v>
      </c>
      <c r="N331" s="12" t="s">
        <v>1497</v>
      </c>
      <c r="O331" s="12" t="str">
        <f>CONCATENATE(N331,A331,"\",B331,"\",C331,".jpg")</f>
        <v>C:\Users\mbaptista\OneDrive - Biblioteca Nacional de Portugal\Documentos\python\camoniana\imagens\capas\458243\1\17.jpg</v>
      </c>
      <c r="P331" s="12" t="str">
        <f>HYPERLINK(O331)</f>
        <v>C:\Users\mbaptista\OneDrive - Biblioteca Nacional de Portugal\Documentos\python\camoniana\imagens\capas\458243\1\17.jpg</v>
      </c>
      <c r="Q331" s="12"/>
      <c r="R331" s="6"/>
      <c r="S331" s="4"/>
      <c r="T331" s="1" t="s">
        <v>494</v>
      </c>
      <c r="U331" s="13"/>
      <c r="V331" s="13"/>
      <c r="W331" s="5"/>
    </row>
    <row r="332" spans="1:23" ht="75">
      <c r="A332" s="1">
        <v>458243</v>
      </c>
      <c r="B332" s="13">
        <v>1</v>
      </c>
      <c r="C332" s="1">
        <v>205</v>
      </c>
      <c r="D332" s="2" t="s">
        <v>492</v>
      </c>
      <c r="E332" s="5" t="s">
        <v>492</v>
      </c>
      <c r="F332" s="5">
        <v>272626</v>
      </c>
      <c r="G332" s="2" t="s">
        <v>1494</v>
      </c>
      <c r="H332" s="2" t="s">
        <v>1495</v>
      </c>
      <c r="I332" s="2" t="s">
        <v>1496</v>
      </c>
      <c r="J332" s="2" t="str">
        <f t="shared" si="10"/>
        <v>https://permalinkbnd.bnportugal.gov.pt/viewer/272626/?offset=#page=205&amp;viewer=picture&amp;o=info&amp;n=0&amp;q=</v>
      </c>
      <c r="K332" s="1" t="s">
        <v>493</v>
      </c>
      <c r="L332" s="1" t="str">
        <f>VLOOKUP(A332,Folha2!$A$2:$B$2019,2,FALSE)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2" s="12" t="str">
        <f t="shared" si="11"/>
        <v>https://permalinkbnd.bnportugal.gov.pt/viewer/272626/?offset=#page=205&amp;viewer=picture&amp;o=info&amp;n=0&amp;q=</v>
      </c>
      <c r="N332" s="12" t="s">
        <v>1497</v>
      </c>
      <c r="O332" s="12" t="str">
        <f>CONCATENATE(N332,A332,"\",B332,"\",C332,".jpg")</f>
        <v>C:\Users\mbaptista\OneDrive - Biblioteca Nacional de Portugal\Documentos\python\camoniana\imagens\capas\458243\1\205.jpg</v>
      </c>
      <c r="P332" s="12" t="str">
        <f>HYPERLINK(O332)</f>
        <v>C:\Users\mbaptista\OneDrive - Biblioteca Nacional de Portugal\Documentos\python\camoniana\imagens\capas\458243\1\205.jpg</v>
      </c>
      <c r="Q332" s="12"/>
      <c r="R332" s="6" t="s">
        <v>504</v>
      </c>
      <c r="S332" s="4"/>
      <c r="T332" s="1" t="s">
        <v>494</v>
      </c>
      <c r="U332" s="13" t="s">
        <v>500</v>
      </c>
      <c r="V332" s="13"/>
      <c r="W332" s="5" t="s">
        <v>1491</v>
      </c>
    </row>
    <row r="333" spans="1:23" ht="75">
      <c r="A333" s="1">
        <v>458243</v>
      </c>
      <c r="B333" s="13">
        <v>1</v>
      </c>
      <c r="C333" s="1">
        <v>207</v>
      </c>
      <c r="D333" s="2" t="s">
        <v>492</v>
      </c>
      <c r="E333" s="11" t="s">
        <v>492</v>
      </c>
      <c r="F333" s="11">
        <v>272626</v>
      </c>
      <c r="G333" s="2" t="s">
        <v>1494</v>
      </c>
      <c r="H333" s="2" t="s">
        <v>1495</v>
      </c>
      <c r="I333" s="2" t="s">
        <v>1496</v>
      </c>
      <c r="J333" s="2" t="str">
        <f t="shared" si="10"/>
        <v>https://permalinkbnd.bnportugal.gov.pt/viewer/272626/?offset=#page=207&amp;viewer=picture&amp;o=info&amp;n=0&amp;q=</v>
      </c>
      <c r="K333" s="1" t="s">
        <v>493</v>
      </c>
      <c r="L333" s="1" t="str">
        <f>VLOOKUP(A333,Folha2!$A$2:$B$2019,2,FALSE)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3" s="12" t="str">
        <f t="shared" si="11"/>
        <v>https://permalinkbnd.bnportugal.gov.pt/viewer/272626/?offset=#page=207&amp;viewer=picture&amp;o=info&amp;n=0&amp;q=</v>
      </c>
      <c r="N333" s="12" t="s">
        <v>1497</v>
      </c>
      <c r="O333" s="12" t="str">
        <f>CONCATENATE(N333,A333,"\",B333,"\",C333,".jpg")</f>
        <v>C:\Users\mbaptista\OneDrive - Biblioteca Nacional de Portugal\Documentos\python\camoniana\imagens\capas\458243\1\207.jpg</v>
      </c>
      <c r="P333" s="12" t="str">
        <f>HYPERLINK(O333)</f>
        <v>C:\Users\mbaptista\OneDrive - Biblioteca Nacional de Portugal\Documentos\python\camoniana\imagens\capas\458243\1\207.jpg</v>
      </c>
      <c r="Q333" s="12"/>
      <c r="R333" s="6"/>
      <c r="S333" s="4"/>
      <c r="T333" s="1" t="s">
        <v>494</v>
      </c>
      <c r="U333" s="13"/>
      <c r="V333" s="13"/>
      <c r="W333" s="5"/>
    </row>
    <row r="334" spans="1:23" ht="75">
      <c r="A334" s="1">
        <v>458243</v>
      </c>
      <c r="B334" s="13">
        <v>1</v>
      </c>
      <c r="C334" s="1">
        <v>233</v>
      </c>
      <c r="D334" s="2" t="s">
        <v>492</v>
      </c>
      <c r="E334" s="5" t="s">
        <v>492</v>
      </c>
      <c r="F334" s="5">
        <v>272626</v>
      </c>
      <c r="G334" s="2" t="s">
        <v>1494</v>
      </c>
      <c r="H334" s="2" t="s">
        <v>1495</v>
      </c>
      <c r="I334" s="2" t="s">
        <v>1496</v>
      </c>
      <c r="J334" s="2" t="str">
        <f t="shared" si="10"/>
        <v>https://permalinkbnd.bnportugal.gov.pt/viewer/272626/?offset=#page=233&amp;viewer=picture&amp;o=info&amp;n=0&amp;q=</v>
      </c>
      <c r="K334" s="1" t="s">
        <v>493</v>
      </c>
      <c r="L334" s="1" t="str">
        <f>VLOOKUP(A334,Folha2!$A$2:$B$2019,2,FALSE)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4" s="12" t="str">
        <f t="shared" si="11"/>
        <v>https://permalinkbnd.bnportugal.gov.pt/viewer/272626/?offset=#page=233&amp;viewer=picture&amp;o=info&amp;n=0&amp;q=</v>
      </c>
      <c r="N334" s="12" t="s">
        <v>1497</v>
      </c>
      <c r="O334" s="12" t="str">
        <f>CONCATENATE(N334,A334,"\",B334,"\",C334,".jpg")</f>
        <v>C:\Users\mbaptista\OneDrive - Biblioteca Nacional de Portugal\Documentos\python\camoniana\imagens\capas\458243\1\233.jpg</v>
      </c>
      <c r="P334" s="12" t="str">
        <f>HYPERLINK(O334)</f>
        <v>C:\Users\mbaptista\OneDrive - Biblioteca Nacional de Portugal\Documentos\python\camoniana\imagens\capas\458243\1\233.jpg</v>
      </c>
      <c r="Q334" s="12"/>
      <c r="R334" s="6" t="s">
        <v>505</v>
      </c>
      <c r="S334" s="4"/>
      <c r="T334" s="1" t="s">
        <v>494</v>
      </c>
      <c r="U334" s="13" t="s">
        <v>500</v>
      </c>
      <c r="V334" s="13"/>
      <c r="W334" s="5" t="s">
        <v>1491</v>
      </c>
    </row>
    <row r="335" spans="1:23" ht="75">
      <c r="A335" s="1">
        <v>458243</v>
      </c>
      <c r="B335" s="13">
        <v>1</v>
      </c>
      <c r="C335" s="1">
        <v>235</v>
      </c>
      <c r="D335" s="2" t="s">
        <v>492</v>
      </c>
      <c r="E335" s="11" t="s">
        <v>492</v>
      </c>
      <c r="F335" s="11">
        <v>272626</v>
      </c>
      <c r="G335" s="2" t="s">
        <v>1494</v>
      </c>
      <c r="H335" s="2" t="s">
        <v>1495</v>
      </c>
      <c r="I335" s="2" t="s">
        <v>1496</v>
      </c>
      <c r="J335" s="2" t="str">
        <f t="shared" si="10"/>
        <v>https://permalinkbnd.bnportugal.gov.pt/viewer/272626/?offset=#page=235&amp;viewer=picture&amp;o=info&amp;n=0&amp;q=</v>
      </c>
      <c r="K335" s="1" t="s">
        <v>493</v>
      </c>
      <c r="L335" s="1" t="str">
        <f>VLOOKUP(A335,Folha2!$A$2:$B$2019,2,FALSE)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5" s="12" t="str">
        <f t="shared" si="11"/>
        <v>https://permalinkbnd.bnportugal.gov.pt/viewer/272626/?offset=#page=235&amp;viewer=picture&amp;o=info&amp;n=0&amp;q=</v>
      </c>
      <c r="N335" s="12" t="s">
        <v>1497</v>
      </c>
      <c r="O335" s="12" t="str">
        <f>CONCATENATE(N335,A335,"\",B335,"\",C335,".jpg")</f>
        <v>C:\Users\mbaptista\OneDrive - Biblioteca Nacional de Portugal\Documentos\python\camoniana\imagens\capas\458243\1\235.jpg</v>
      </c>
      <c r="P335" s="12" t="str">
        <f>HYPERLINK(O335)</f>
        <v>C:\Users\mbaptista\OneDrive - Biblioteca Nacional de Portugal\Documentos\python\camoniana\imagens\capas\458243\1\235.jpg</v>
      </c>
      <c r="Q335" s="12"/>
      <c r="R335" s="6"/>
      <c r="S335" s="4"/>
      <c r="T335" s="1" t="s">
        <v>494</v>
      </c>
      <c r="U335" s="13"/>
      <c r="V335" s="13"/>
      <c r="W335" s="5"/>
    </row>
    <row r="336" spans="1:23" ht="75">
      <c r="A336" s="1">
        <v>458243</v>
      </c>
      <c r="B336" s="13">
        <v>1</v>
      </c>
      <c r="C336" s="1">
        <v>261</v>
      </c>
      <c r="D336" s="2" t="s">
        <v>492</v>
      </c>
      <c r="E336" s="5" t="s">
        <v>492</v>
      </c>
      <c r="F336" s="5">
        <v>272626</v>
      </c>
      <c r="G336" s="2" t="s">
        <v>1494</v>
      </c>
      <c r="H336" s="2" t="s">
        <v>1495</v>
      </c>
      <c r="I336" s="2" t="s">
        <v>1496</v>
      </c>
      <c r="J336" s="2" t="str">
        <f t="shared" si="10"/>
        <v>https://permalinkbnd.bnportugal.gov.pt/viewer/272626/?offset=#page=261&amp;viewer=picture&amp;o=info&amp;n=0&amp;q=</v>
      </c>
      <c r="K336" s="1" t="s">
        <v>493</v>
      </c>
      <c r="L336" s="1" t="str">
        <f>VLOOKUP(A336,Folha2!$A$2:$B$2019,2,FALSE)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6" s="12" t="str">
        <f t="shared" si="11"/>
        <v>https://permalinkbnd.bnportugal.gov.pt/viewer/272626/?offset=#page=261&amp;viewer=picture&amp;o=info&amp;n=0&amp;q=</v>
      </c>
      <c r="N336" s="12" t="s">
        <v>1497</v>
      </c>
      <c r="O336" s="12" t="str">
        <f>CONCATENATE(N336,A336,"\",B336,"\",C336,".jpg")</f>
        <v>C:\Users\mbaptista\OneDrive - Biblioteca Nacional de Portugal\Documentos\python\camoniana\imagens\capas\458243\1\261.jpg</v>
      </c>
      <c r="P336" s="12" t="str">
        <f>HYPERLINK(O336)</f>
        <v>C:\Users\mbaptista\OneDrive - Biblioteca Nacional de Portugal\Documentos\python\camoniana\imagens\capas\458243\1\261.jpg</v>
      </c>
      <c r="Q336" s="12"/>
      <c r="R336" s="6" t="s">
        <v>506</v>
      </c>
      <c r="S336" s="4"/>
      <c r="T336" s="1" t="s">
        <v>494</v>
      </c>
      <c r="U336" s="13" t="s">
        <v>500</v>
      </c>
      <c r="V336" s="13"/>
      <c r="W336" s="5" t="s">
        <v>1491</v>
      </c>
    </row>
    <row r="337" spans="1:23" ht="75">
      <c r="A337" s="1">
        <v>458243</v>
      </c>
      <c r="B337" s="13">
        <v>1</v>
      </c>
      <c r="C337" s="1">
        <v>287</v>
      </c>
      <c r="D337" s="2" t="s">
        <v>492</v>
      </c>
      <c r="E337" s="11" t="s">
        <v>492</v>
      </c>
      <c r="F337" s="11">
        <v>272626</v>
      </c>
      <c r="G337" s="2" t="s">
        <v>1494</v>
      </c>
      <c r="H337" s="2" t="s">
        <v>1495</v>
      </c>
      <c r="I337" s="2" t="s">
        <v>1496</v>
      </c>
      <c r="J337" s="2" t="str">
        <f t="shared" si="10"/>
        <v>https://permalinkbnd.bnportugal.gov.pt/viewer/272626/?offset=#page=287&amp;viewer=picture&amp;o=info&amp;n=0&amp;q=</v>
      </c>
      <c r="K337" s="1" t="s">
        <v>493</v>
      </c>
      <c r="L337" s="1" t="str">
        <f>VLOOKUP(A337,Folha2!$A$2:$B$2019,2,FALSE)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7" s="12" t="str">
        <f t="shared" si="11"/>
        <v>https://permalinkbnd.bnportugal.gov.pt/viewer/272626/?offset=#page=287&amp;viewer=picture&amp;o=info&amp;n=0&amp;q=</v>
      </c>
      <c r="N337" s="12" t="s">
        <v>1497</v>
      </c>
      <c r="O337" s="12" t="str">
        <f>CONCATENATE(N337,A337,"\",B337,"\",C337,".jpg")</f>
        <v>C:\Users\mbaptista\OneDrive - Biblioteca Nacional de Portugal\Documentos\python\camoniana\imagens\capas\458243\1\287.jpg</v>
      </c>
      <c r="P337" s="12" t="str">
        <f>HYPERLINK(O337)</f>
        <v>C:\Users\mbaptista\OneDrive - Biblioteca Nacional de Portugal\Documentos\python\camoniana\imagens\capas\458243\1\287.jpg</v>
      </c>
      <c r="Q337" s="12"/>
      <c r="R337" s="6" t="s">
        <v>507</v>
      </c>
      <c r="S337" s="4"/>
      <c r="T337" s="1" t="s">
        <v>494</v>
      </c>
      <c r="U337" s="13" t="s">
        <v>500</v>
      </c>
      <c r="V337" s="13"/>
      <c r="W337" s="5" t="s">
        <v>1491</v>
      </c>
    </row>
    <row r="338" spans="1:23" ht="75">
      <c r="A338" s="1">
        <v>458243</v>
      </c>
      <c r="B338" s="13">
        <v>1</v>
      </c>
      <c r="C338" s="1">
        <v>289</v>
      </c>
      <c r="D338" s="2" t="s">
        <v>492</v>
      </c>
      <c r="E338" s="5" t="s">
        <v>492</v>
      </c>
      <c r="F338" s="5">
        <v>272626</v>
      </c>
      <c r="G338" s="2" t="s">
        <v>1494</v>
      </c>
      <c r="H338" s="2" t="s">
        <v>1495</v>
      </c>
      <c r="I338" s="2" t="s">
        <v>1496</v>
      </c>
      <c r="J338" s="2" t="str">
        <f t="shared" si="10"/>
        <v>https://permalinkbnd.bnportugal.gov.pt/viewer/272626/?offset=#page=289&amp;viewer=picture&amp;o=info&amp;n=0&amp;q=</v>
      </c>
      <c r="K338" s="1" t="s">
        <v>493</v>
      </c>
      <c r="L338" s="1" t="str">
        <f>VLOOKUP(A338,Folha2!$A$2:$B$2019,2,FALSE)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8" s="12" t="str">
        <f t="shared" si="11"/>
        <v>https://permalinkbnd.bnportugal.gov.pt/viewer/272626/?offset=#page=289&amp;viewer=picture&amp;o=info&amp;n=0&amp;q=</v>
      </c>
      <c r="N338" s="12" t="s">
        <v>1497</v>
      </c>
      <c r="O338" s="12" t="str">
        <f>CONCATENATE(N338,A338,"\",B338,"\",C338,".jpg")</f>
        <v>C:\Users\mbaptista\OneDrive - Biblioteca Nacional de Portugal\Documentos\python\camoniana\imagens\capas\458243\1\289.jpg</v>
      </c>
      <c r="P338" s="12" t="str">
        <f>HYPERLINK(O338)</f>
        <v>C:\Users\mbaptista\OneDrive - Biblioteca Nacional de Portugal\Documentos\python\camoniana\imagens\capas\458243\1\289.jpg</v>
      </c>
      <c r="Q338" s="12"/>
      <c r="R338" s="6"/>
      <c r="S338" s="4"/>
      <c r="T338" s="1" t="s">
        <v>494</v>
      </c>
      <c r="U338" s="13"/>
      <c r="V338" s="13"/>
      <c r="W338" s="5"/>
    </row>
    <row r="339" spans="1:23" ht="75">
      <c r="A339" s="1">
        <v>458243</v>
      </c>
      <c r="B339" s="13">
        <v>1</v>
      </c>
      <c r="C339" s="1">
        <v>315</v>
      </c>
      <c r="D339" s="2" t="s">
        <v>492</v>
      </c>
      <c r="E339" s="11" t="s">
        <v>492</v>
      </c>
      <c r="F339" s="11">
        <v>272626</v>
      </c>
      <c r="G339" s="2" t="s">
        <v>1494</v>
      </c>
      <c r="H339" s="2" t="s">
        <v>1495</v>
      </c>
      <c r="I339" s="2" t="s">
        <v>1496</v>
      </c>
      <c r="J339" s="2" t="str">
        <f t="shared" si="10"/>
        <v>https://permalinkbnd.bnportugal.gov.pt/viewer/272626/?offset=#page=315&amp;viewer=picture&amp;o=info&amp;n=0&amp;q=</v>
      </c>
      <c r="K339" s="1" t="s">
        <v>493</v>
      </c>
      <c r="L339" s="1" t="str">
        <f>VLOOKUP(A339,Folha2!$A$2:$B$2019,2,FALSE)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9" s="12" t="str">
        <f t="shared" si="11"/>
        <v>https://permalinkbnd.bnportugal.gov.pt/viewer/272626/?offset=#page=315&amp;viewer=picture&amp;o=info&amp;n=0&amp;q=</v>
      </c>
      <c r="N339" s="12" t="s">
        <v>1497</v>
      </c>
      <c r="O339" s="12" t="str">
        <f>CONCATENATE(N339,A339,"\",B339,"\",C339,".jpg")</f>
        <v>C:\Users\mbaptista\OneDrive - Biblioteca Nacional de Portugal\Documentos\python\camoniana\imagens\capas\458243\1\315.jpg</v>
      </c>
      <c r="P339" s="12" t="str">
        <f>HYPERLINK(O339)</f>
        <v>C:\Users\mbaptista\OneDrive - Biblioteca Nacional de Portugal\Documentos\python\camoniana\imagens\capas\458243\1\315.jpg</v>
      </c>
      <c r="Q339" s="12"/>
      <c r="R339" s="6" t="s">
        <v>508</v>
      </c>
      <c r="S339" s="4"/>
      <c r="T339" s="1" t="s">
        <v>494</v>
      </c>
      <c r="U339" s="13" t="s">
        <v>500</v>
      </c>
      <c r="V339" s="13"/>
      <c r="W339" s="5" t="s">
        <v>1491</v>
      </c>
    </row>
    <row r="340" spans="1:23" ht="75">
      <c r="A340" s="1">
        <v>458243</v>
      </c>
      <c r="B340" s="13">
        <v>1</v>
      </c>
      <c r="C340" s="1">
        <v>317</v>
      </c>
      <c r="D340" s="2" t="s">
        <v>492</v>
      </c>
      <c r="E340" s="5" t="s">
        <v>492</v>
      </c>
      <c r="F340" s="5">
        <v>272626</v>
      </c>
      <c r="G340" s="2" t="s">
        <v>1494</v>
      </c>
      <c r="H340" s="2" t="s">
        <v>1495</v>
      </c>
      <c r="I340" s="2" t="s">
        <v>1496</v>
      </c>
      <c r="J340" s="2" t="str">
        <f t="shared" si="10"/>
        <v>https://permalinkbnd.bnportugal.gov.pt/viewer/272626/?offset=#page=317&amp;viewer=picture&amp;o=info&amp;n=0&amp;q=</v>
      </c>
      <c r="K340" s="1" t="s">
        <v>493</v>
      </c>
      <c r="L340" s="1" t="str">
        <f>VLOOKUP(A340,Folha2!$A$2:$B$2019,2,FALSE)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0" s="12" t="str">
        <f t="shared" si="11"/>
        <v>https://permalinkbnd.bnportugal.gov.pt/viewer/272626/?offset=#page=317&amp;viewer=picture&amp;o=info&amp;n=0&amp;q=</v>
      </c>
      <c r="N340" s="12" t="s">
        <v>1497</v>
      </c>
      <c r="O340" s="12" t="str">
        <f>CONCATENATE(N340,A340,"\",B340,"\",C340,".jpg")</f>
        <v>C:\Users\mbaptista\OneDrive - Biblioteca Nacional de Portugal\Documentos\python\camoniana\imagens\capas\458243\1\317.jpg</v>
      </c>
      <c r="P340" s="12" t="str">
        <f>HYPERLINK(O340)</f>
        <v>C:\Users\mbaptista\OneDrive - Biblioteca Nacional de Portugal\Documentos\python\camoniana\imagens\capas\458243\1\317.jpg</v>
      </c>
      <c r="Q340" s="12"/>
      <c r="R340" s="6"/>
      <c r="S340" s="4"/>
      <c r="T340" s="1" t="s">
        <v>494</v>
      </c>
      <c r="U340" s="13"/>
      <c r="V340" s="13"/>
      <c r="W340" s="5"/>
    </row>
    <row r="341" spans="1:23" ht="75">
      <c r="A341" s="1">
        <v>458243</v>
      </c>
      <c r="B341" s="13">
        <v>1</v>
      </c>
      <c r="C341" s="1">
        <v>343</v>
      </c>
      <c r="D341" s="2" t="s">
        <v>492</v>
      </c>
      <c r="E341" s="11" t="s">
        <v>492</v>
      </c>
      <c r="F341" s="11">
        <v>272626</v>
      </c>
      <c r="G341" s="2" t="s">
        <v>1494</v>
      </c>
      <c r="H341" s="2" t="s">
        <v>1495</v>
      </c>
      <c r="I341" s="2" t="s">
        <v>1496</v>
      </c>
      <c r="J341" s="2" t="str">
        <f t="shared" si="10"/>
        <v>https://permalinkbnd.bnportugal.gov.pt/viewer/272626/?offset=#page=343&amp;viewer=picture&amp;o=info&amp;n=0&amp;q=</v>
      </c>
      <c r="K341" s="1" t="s">
        <v>493</v>
      </c>
      <c r="L341" s="1" t="str">
        <f>VLOOKUP(A341,Folha2!$A$2:$B$2019,2,FALSE)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1" s="12" t="str">
        <f t="shared" si="11"/>
        <v>https://permalinkbnd.bnportugal.gov.pt/viewer/272626/?offset=#page=343&amp;viewer=picture&amp;o=info&amp;n=0&amp;q=</v>
      </c>
      <c r="N341" s="12" t="s">
        <v>1497</v>
      </c>
      <c r="O341" s="12" t="str">
        <f>CONCATENATE(N341,A341,"\",B341,"\",C341,".jpg")</f>
        <v>C:\Users\mbaptista\OneDrive - Biblioteca Nacional de Portugal\Documentos\python\camoniana\imagens\capas\458243\1\343.jpg</v>
      </c>
      <c r="P341" s="12" t="str">
        <f>HYPERLINK(O341)</f>
        <v>C:\Users\mbaptista\OneDrive - Biblioteca Nacional de Portugal\Documentos\python\camoniana\imagens\capas\458243\1\343.jpg</v>
      </c>
      <c r="Q341" s="12"/>
      <c r="R341" s="6" t="s">
        <v>509</v>
      </c>
      <c r="S341" s="4"/>
      <c r="T341" s="1" t="s">
        <v>494</v>
      </c>
      <c r="U341" s="13" t="s">
        <v>500</v>
      </c>
      <c r="V341" s="13"/>
      <c r="W341" s="5" t="s">
        <v>1491</v>
      </c>
    </row>
    <row r="342" spans="1:23" ht="75">
      <c r="A342" s="1">
        <v>458243</v>
      </c>
      <c r="B342" s="13">
        <v>1</v>
      </c>
      <c r="C342" s="1">
        <v>345</v>
      </c>
      <c r="D342" s="2" t="s">
        <v>492</v>
      </c>
      <c r="E342" s="5" t="s">
        <v>492</v>
      </c>
      <c r="F342" s="5">
        <v>272626</v>
      </c>
      <c r="G342" s="2" t="s">
        <v>1494</v>
      </c>
      <c r="H342" s="2" t="s">
        <v>1495</v>
      </c>
      <c r="I342" s="2" t="s">
        <v>1496</v>
      </c>
      <c r="J342" s="2" t="str">
        <f t="shared" si="10"/>
        <v>https://permalinkbnd.bnportugal.gov.pt/viewer/272626/?offset=#page=345&amp;viewer=picture&amp;o=info&amp;n=0&amp;q=</v>
      </c>
      <c r="K342" s="1" t="s">
        <v>493</v>
      </c>
      <c r="L342" s="1" t="str">
        <f>VLOOKUP(A342,Folha2!$A$2:$B$2019,2,FALSE)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2" s="12" t="str">
        <f t="shared" si="11"/>
        <v>https://permalinkbnd.bnportugal.gov.pt/viewer/272626/?offset=#page=345&amp;viewer=picture&amp;o=info&amp;n=0&amp;q=</v>
      </c>
      <c r="N342" s="12" t="s">
        <v>1497</v>
      </c>
      <c r="O342" s="12" t="str">
        <f>CONCATENATE(N342,A342,"\",B342,"\",C342,".jpg")</f>
        <v>C:\Users\mbaptista\OneDrive - Biblioteca Nacional de Portugal\Documentos\python\camoniana\imagens\capas\458243\1\345.jpg</v>
      </c>
      <c r="P342" s="12" t="str">
        <f>HYPERLINK(O342)</f>
        <v>C:\Users\mbaptista\OneDrive - Biblioteca Nacional de Portugal\Documentos\python\camoniana\imagens\capas\458243\1\345.jpg</v>
      </c>
      <c r="Q342" s="12"/>
      <c r="R342" s="6"/>
      <c r="S342" s="4"/>
      <c r="T342" s="1" t="s">
        <v>494</v>
      </c>
      <c r="U342" s="13"/>
      <c r="V342" s="13"/>
      <c r="W342" s="5"/>
    </row>
    <row r="343" spans="1:23" ht="75">
      <c r="A343" s="1">
        <v>458243</v>
      </c>
      <c r="B343" s="13">
        <v>1</v>
      </c>
      <c r="C343" s="1">
        <v>392</v>
      </c>
      <c r="D343" s="2" t="s">
        <v>492</v>
      </c>
      <c r="E343" s="11" t="s">
        <v>492</v>
      </c>
      <c r="F343" s="11">
        <v>272626</v>
      </c>
      <c r="G343" s="2" t="s">
        <v>1494</v>
      </c>
      <c r="H343" s="2" t="s">
        <v>1495</v>
      </c>
      <c r="I343" s="2" t="s">
        <v>1496</v>
      </c>
      <c r="J343" s="2" t="str">
        <f t="shared" si="10"/>
        <v>https://permalinkbnd.bnportugal.gov.pt/viewer/272626/?offset=#page=392&amp;viewer=picture&amp;o=info&amp;n=0&amp;q=</v>
      </c>
      <c r="K343" s="1" t="s">
        <v>493</v>
      </c>
      <c r="L343" s="1" t="str">
        <f>VLOOKUP(A343,Folha2!$A$2:$B$2019,2,FALSE)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3" s="12" t="str">
        <f t="shared" si="11"/>
        <v>https://permalinkbnd.bnportugal.gov.pt/viewer/272626/?offset=#page=392&amp;viewer=picture&amp;o=info&amp;n=0&amp;q=</v>
      </c>
      <c r="N343" s="12" t="s">
        <v>1497</v>
      </c>
      <c r="O343" s="12" t="str">
        <f>CONCATENATE(N343,A343,"\",B343,"\",C343,".jpg")</f>
        <v>C:\Users\mbaptista\OneDrive - Biblioteca Nacional de Portugal\Documentos\python\camoniana\imagens\capas\458243\1\392.jpg</v>
      </c>
      <c r="P343" s="12" t="str">
        <f>HYPERLINK(O343)</f>
        <v>C:\Users\mbaptista\OneDrive - Biblioteca Nacional de Portugal\Documentos\python\camoniana\imagens\capas\458243\1\392.jpg</v>
      </c>
      <c r="Q343" s="12"/>
      <c r="R343" s="6"/>
      <c r="S343" s="4"/>
      <c r="T343" s="1" t="s">
        <v>494</v>
      </c>
      <c r="U343" s="13"/>
      <c r="V343" s="13"/>
      <c r="W343" s="5"/>
    </row>
    <row r="344" spans="1:23" ht="75">
      <c r="A344" s="1">
        <v>458243</v>
      </c>
      <c r="B344" s="13">
        <v>1</v>
      </c>
      <c r="C344" s="1">
        <v>394</v>
      </c>
      <c r="D344" s="2" t="s">
        <v>492</v>
      </c>
      <c r="E344" s="5" t="s">
        <v>492</v>
      </c>
      <c r="F344" s="5">
        <v>272626</v>
      </c>
      <c r="G344" s="2" t="s">
        <v>1494</v>
      </c>
      <c r="H344" s="2" t="s">
        <v>1495</v>
      </c>
      <c r="I344" s="2" t="s">
        <v>1496</v>
      </c>
      <c r="J344" s="2" t="str">
        <f t="shared" si="10"/>
        <v>https://permalinkbnd.bnportugal.gov.pt/viewer/272626/?offset=#page=394&amp;viewer=picture&amp;o=info&amp;n=0&amp;q=</v>
      </c>
      <c r="K344" s="1" t="s">
        <v>493</v>
      </c>
      <c r="L344" s="1" t="str">
        <f>VLOOKUP(A344,Folha2!$A$2:$B$2019,2,FALSE)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4" s="12" t="str">
        <f t="shared" si="11"/>
        <v>https://permalinkbnd.bnportugal.gov.pt/viewer/272626/?offset=#page=394&amp;viewer=picture&amp;o=info&amp;n=0&amp;q=</v>
      </c>
      <c r="N344" s="12" t="s">
        <v>1497</v>
      </c>
      <c r="O344" s="12" t="str">
        <f>CONCATENATE(N344,A344,"\",B344,"\",C344,".jpg")</f>
        <v>C:\Users\mbaptista\OneDrive - Biblioteca Nacional de Portugal\Documentos\python\camoniana\imagens\capas\458243\1\394.jpg</v>
      </c>
      <c r="P344" s="12" t="str">
        <f>HYPERLINK(O344)</f>
        <v>C:\Users\mbaptista\OneDrive - Biblioteca Nacional de Portugal\Documentos\python\camoniana\imagens\capas\458243\1\394.jpg</v>
      </c>
      <c r="Q344" s="12"/>
      <c r="R344" s="6"/>
      <c r="S344" s="4"/>
      <c r="T344" s="1" t="s">
        <v>494</v>
      </c>
      <c r="U344" s="13"/>
      <c r="V344" s="13"/>
      <c r="W344" s="5"/>
    </row>
    <row r="345" spans="1:23" ht="90">
      <c r="A345" s="1">
        <v>335235</v>
      </c>
      <c r="B345" s="1">
        <v>1</v>
      </c>
      <c r="C345" s="1">
        <v>23</v>
      </c>
      <c r="D345" s="2" t="s">
        <v>510</v>
      </c>
      <c r="E345" s="11" t="s">
        <v>510</v>
      </c>
      <c r="F345" s="11">
        <v>279168</v>
      </c>
      <c r="G345" s="2" t="s">
        <v>1494</v>
      </c>
      <c r="H345" s="2" t="s">
        <v>1495</v>
      </c>
      <c r="I345" s="2" t="s">
        <v>1496</v>
      </c>
      <c r="J345" s="2" t="str">
        <f t="shared" si="10"/>
        <v>https://permalinkbnd.bnportugal.gov.pt/viewer/279168/?offset=#page=23&amp;viewer=picture&amp;o=info&amp;n=0&amp;q=</v>
      </c>
      <c r="K345" s="1" t="s">
        <v>511</v>
      </c>
      <c r="L345" s="1" t="str">
        <f>VLOOKUP(A345,Folha2!$A$2:$B$2019,2,FALSE)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5" s="12" t="str">
        <f t="shared" si="11"/>
        <v>https://permalinkbnd.bnportugal.gov.pt/viewer/279168/?offset=#page=23&amp;viewer=picture&amp;o=info&amp;n=0&amp;q=</v>
      </c>
      <c r="N345" s="12" t="s">
        <v>1497</v>
      </c>
      <c r="O345" s="12" t="str">
        <f>CONCATENATE(N345,A345,"\",B345,"\",C345,".jpg")</f>
        <v>C:\Users\mbaptista\OneDrive - Biblioteca Nacional de Portugal\Documentos\python\camoniana\imagens\capas\335235\1\23.jpg</v>
      </c>
      <c r="P345" s="12" t="str">
        <f>HYPERLINK(O345)</f>
        <v>C:\Users\mbaptista\OneDrive - Biblioteca Nacional de Portugal\Documentos\python\camoniana\imagens\capas\335235\1\23.jpg</v>
      </c>
      <c r="Q345" s="12"/>
      <c r="R345" s="6" t="s">
        <v>512</v>
      </c>
      <c r="S345" s="4"/>
      <c r="T345" s="1" t="s">
        <v>511</v>
      </c>
      <c r="U345" s="13"/>
      <c r="V345" s="13"/>
      <c r="W345" s="5" t="s">
        <v>1491</v>
      </c>
    </row>
    <row r="346" spans="1:23" ht="90">
      <c r="A346" s="1">
        <v>335235</v>
      </c>
      <c r="B346" s="1">
        <v>1</v>
      </c>
      <c r="C346" s="1">
        <v>63</v>
      </c>
      <c r="D346" s="2" t="s">
        <v>510</v>
      </c>
      <c r="E346" s="5" t="s">
        <v>510</v>
      </c>
      <c r="F346" s="5">
        <v>279168</v>
      </c>
      <c r="G346" s="2" t="s">
        <v>1494</v>
      </c>
      <c r="H346" s="2" t="s">
        <v>1495</v>
      </c>
      <c r="I346" s="2" t="s">
        <v>1496</v>
      </c>
      <c r="J346" s="2" t="str">
        <f t="shared" si="10"/>
        <v>https://permalinkbnd.bnportugal.gov.pt/viewer/279168/?offset=#page=63&amp;viewer=picture&amp;o=info&amp;n=0&amp;q=</v>
      </c>
      <c r="K346" s="1" t="s">
        <v>511</v>
      </c>
      <c r="L346" s="1" t="str">
        <f>VLOOKUP(A346,Folha2!$A$2:$B$2019,2,FALSE)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6" s="12" t="str">
        <f t="shared" si="11"/>
        <v>https://permalinkbnd.bnportugal.gov.pt/viewer/279168/?offset=#page=63&amp;viewer=picture&amp;o=info&amp;n=0&amp;q=</v>
      </c>
      <c r="N346" s="12" t="s">
        <v>1497</v>
      </c>
      <c r="O346" s="12" t="str">
        <f>CONCATENATE(N346,A346,"\",B346,"\",C346,".jpg")</f>
        <v>C:\Users\mbaptista\OneDrive - Biblioteca Nacional de Portugal\Documentos\python\camoniana\imagens\capas\335235\1\63.jpg</v>
      </c>
      <c r="P346" s="12" t="str">
        <f>HYPERLINK(O346)</f>
        <v>C:\Users\mbaptista\OneDrive - Biblioteca Nacional de Portugal\Documentos\python\camoniana\imagens\capas\335235\1\63.jpg</v>
      </c>
      <c r="Q346" s="12"/>
      <c r="R346" s="6" t="s">
        <v>513</v>
      </c>
      <c r="S346" s="4"/>
      <c r="T346" s="1" t="s">
        <v>511</v>
      </c>
      <c r="U346" s="13"/>
      <c r="V346" s="13"/>
      <c r="W346" s="5" t="s">
        <v>1491</v>
      </c>
    </row>
    <row r="347" spans="1:23" ht="90">
      <c r="A347" s="1">
        <v>335235</v>
      </c>
      <c r="B347" s="1">
        <v>1</v>
      </c>
      <c r="C347" s="1">
        <v>105</v>
      </c>
      <c r="D347" s="2" t="s">
        <v>510</v>
      </c>
      <c r="E347" s="11" t="s">
        <v>510</v>
      </c>
      <c r="F347" s="11">
        <v>279168</v>
      </c>
      <c r="G347" s="2" t="s">
        <v>1494</v>
      </c>
      <c r="H347" s="2" t="s">
        <v>1495</v>
      </c>
      <c r="I347" s="2" t="s">
        <v>1496</v>
      </c>
      <c r="J347" s="2" t="str">
        <f t="shared" si="10"/>
        <v>https://permalinkbnd.bnportugal.gov.pt/viewer/279168/?offset=#page=105&amp;viewer=picture&amp;o=info&amp;n=0&amp;q=</v>
      </c>
      <c r="K347" s="1" t="s">
        <v>511</v>
      </c>
      <c r="L347" s="1" t="str">
        <f>VLOOKUP(A347,Folha2!$A$2:$B$2019,2,FALSE)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7" s="12" t="str">
        <f t="shared" si="11"/>
        <v>https://permalinkbnd.bnportugal.gov.pt/viewer/279168/?offset=#page=105&amp;viewer=picture&amp;o=info&amp;n=0&amp;q=</v>
      </c>
      <c r="N347" s="12" t="s">
        <v>1497</v>
      </c>
      <c r="O347" s="12" t="str">
        <f>CONCATENATE(N347,A347,"\",B347,"\",C347,".jpg")</f>
        <v>C:\Users\mbaptista\OneDrive - Biblioteca Nacional de Portugal\Documentos\python\camoniana\imagens\capas\335235\1\105.jpg</v>
      </c>
      <c r="P347" s="12" t="str">
        <f>HYPERLINK(O347)</f>
        <v>C:\Users\mbaptista\OneDrive - Biblioteca Nacional de Portugal\Documentos\python\camoniana\imagens\capas\335235\1\105.jpg</v>
      </c>
      <c r="Q347" s="12"/>
      <c r="R347" s="6" t="s">
        <v>514</v>
      </c>
      <c r="S347" s="4"/>
      <c r="T347" s="1" t="s">
        <v>511</v>
      </c>
      <c r="U347" s="13"/>
      <c r="V347" s="13"/>
      <c r="W347" s="5" t="s">
        <v>1491</v>
      </c>
    </row>
    <row r="348" spans="1:23" ht="90">
      <c r="A348" s="1">
        <v>335235</v>
      </c>
      <c r="B348" s="1">
        <v>1</v>
      </c>
      <c r="C348" s="1">
        <v>157</v>
      </c>
      <c r="D348" s="2" t="s">
        <v>510</v>
      </c>
      <c r="E348" s="5" t="s">
        <v>510</v>
      </c>
      <c r="F348" s="5">
        <v>279168</v>
      </c>
      <c r="G348" s="2" t="s">
        <v>1494</v>
      </c>
      <c r="H348" s="2" t="s">
        <v>1495</v>
      </c>
      <c r="I348" s="2" t="s">
        <v>1496</v>
      </c>
      <c r="J348" s="2" t="str">
        <f t="shared" si="10"/>
        <v>https://permalinkbnd.bnportugal.gov.pt/viewer/279168/?offset=#page=157&amp;viewer=picture&amp;o=info&amp;n=0&amp;q=</v>
      </c>
      <c r="K348" s="1" t="s">
        <v>511</v>
      </c>
      <c r="L348" s="1" t="str">
        <f>VLOOKUP(A348,Folha2!$A$2:$B$2019,2,FALSE)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8" s="12" t="str">
        <f t="shared" si="11"/>
        <v>https://permalinkbnd.bnportugal.gov.pt/viewer/279168/?offset=#page=157&amp;viewer=picture&amp;o=info&amp;n=0&amp;q=</v>
      </c>
      <c r="N348" s="12" t="s">
        <v>1497</v>
      </c>
      <c r="O348" s="12" t="str">
        <f>CONCATENATE(N348,A348,"\",B348,"\",C348,".jpg")</f>
        <v>C:\Users\mbaptista\OneDrive - Biblioteca Nacional de Portugal\Documentos\python\camoniana\imagens\capas\335235\1\157.jpg</v>
      </c>
      <c r="P348" s="12" t="str">
        <f>HYPERLINK(O348)</f>
        <v>C:\Users\mbaptista\OneDrive - Biblioteca Nacional de Portugal\Documentos\python\camoniana\imagens\capas\335235\1\157.jpg</v>
      </c>
      <c r="Q348" s="12"/>
      <c r="R348" s="6" t="s">
        <v>515</v>
      </c>
      <c r="S348" s="4"/>
      <c r="T348" s="1" t="s">
        <v>511</v>
      </c>
      <c r="U348" s="13"/>
      <c r="V348" s="13"/>
      <c r="W348" s="5" t="s">
        <v>1491</v>
      </c>
    </row>
    <row r="349" spans="1:23" ht="90">
      <c r="A349" s="1">
        <v>335235</v>
      </c>
      <c r="B349" s="1">
        <v>1</v>
      </c>
      <c r="C349" s="1">
        <v>197</v>
      </c>
      <c r="D349" s="2" t="s">
        <v>510</v>
      </c>
      <c r="E349" s="11" t="s">
        <v>510</v>
      </c>
      <c r="F349" s="11">
        <v>279168</v>
      </c>
      <c r="G349" s="2" t="s">
        <v>1494</v>
      </c>
      <c r="H349" s="2" t="s">
        <v>1495</v>
      </c>
      <c r="I349" s="2" t="s">
        <v>1496</v>
      </c>
      <c r="J349" s="2" t="str">
        <f t="shared" si="10"/>
        <v>https://permalinkbnd.bnportugal.gov.pt/viewer/279168/?offset=#page=197&amp;viewer=picture&amp;o=info&amp;n=0&amp;q=</v>
      </c>
      <c r="K349" s="1" t="s">
        <v>511</v>
      </c>
      <c r="L349" s="1" t="str">
        <f>VLOOKUP(A349,Folha2!$A$2:$B$2019,2,FALSE)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9" s="12" t="str">
        <f t="shared" si="11"/>
        <v>https://permalinkbnd.bnportugal.gov.pt/viewer/279168/?offset=#page=197&amp;viewer=picture&amp;o=info&amp;n=0&amp;q=</v>
      </c>
      <c r="N349" s="12" t="s">
        <v>1497</v>
      </c>
      <c r="O349" s="12" t="str">
        <f>CONCATENATE(N349,A349,"\",B349,"\",C349,".jpg")</f>
        <v>C:\Users\mbaptista\OneDrive - Biblioteca Nacional de Portugal\Documentos\python\camoniana\imagens\capas\335235\1\197.jpg</v>
      </c>
      <c r="P349" s="12" t="str">
        <f>HYPERLINK(O349)</f>
        <v>C:\Users\mbaptista\OneDrive - Biblioteca Nacional de Portugal\Documentos\python\camoniana\imagens\capas\335235\1\197.jpg</v>
      </c>
      <c r="Q349" s="12"/>
      <c r="R349" s="6" t="s">
        <v>516</v>
      </c>
      <c r="S349" s="4"/>
      <c r="T349" s="1" t="s">
        <v>511</v>
      </c>
      <c r="U349" s="13"/>
      <c r="V349" s="13"/>
      <c r="W349" s="5" t="s">
        <v>1491</v>
      </c>
    </row>
    <row r="350" spans="1:23" ht="90">
      <c r="A350" s="1">
        <v>335235</v>
      </c>
      <c r="B350" s="1">
        <v>1</v>
      </c>
      <c r="C350" s="1">
        <v>268</v>
      </c>
      <c r="D350" s="2" t="s">
        <v>510</v>
      </c>
      <c r="E350" s="5" t="s">
        <v>510</v>
      </c>
      <c r="F350" s="5">
        <v>279168</v>
      </c>
      <c r="G350" s="2" t="s">
        <v>1494</v>
      </c>
      <c r="H350" s="2" t="s">
        <v>1495</v>
      </c>
      <c r="I350" s="2" t="s">
        <v>1496</v>
      </c>
      <c r="J350" s="2" t="str">
        <f t="shared" si="10"/>
        <v>https://permalinkbnd.bnportugal.gov.pt/viewer/279168/?offset=#page=268&amp;viewer=picture&amp;o=info&amp;n=0&amp;q=</v>
      </c>
      <c r="K350" s="1" t="s">
        <v>511</v>
      </c>
      <c r="L350" s="1" t="str">
        <f>VLOOKUP(A350,Folha2!$A$2:$B$2019,2,FALSE)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0" s="12" t="str">
        <f t="shared" si="11"/>
        <v>https://permalinkbnd.bnportugal.gov.pt/viewer/279168/?offset=#page=268&amp;viewer=picture&amp;o=info&amp;n=0&amp;q=</v>
      </c>
      <c r="N350" s="12" t="s">
        <v>1497</v>
      </c>
      <c r="O350" s="12" t="str">
        <f>CONCATENATE(N350,A350,"\",B350,"\",C350,".jpg")</f>
        <v>C:\Users\mbaptista\OneDrive - Biblioteca Nacional de Portugal\Documentos\python\camoniana\imagens\capas\335235\1\268.jpg</v>
      </c>
      <c r="P350" s="12" t="str">
        <f>HYPERLINK(O350)</f>
        <v>C:\Users\mbaptista\OneDrive - Biblioteca Nacional de Portugal\Documentos\python\camoniana\imagens\capas\335235\1\268.jpg</v>
      </c>
      <c r="Q350" s="12"/>
      <c r="R350" s="6" t="s">
        <v>517</v>
      </c>
      <c r="S350" s="4"/>
      <c r="T350" s="1" t="s">
        <v>511</v>
      </c>
      <c r="U350" s="13"/>
      <c r="V350" s="13"/>
      <c r="W350" s="5" t="s">
        <v>1491</v>
      </c>
    </row>
    <row r="351" spans="1:23" ht="90">
      <c r="A351" s="1">
        <v>335235</v>
      </c>
      <c r="B351" s="1">
        <v>1</v>
      </c>
      <c r="C351" s="1">
        <v>309</v>
      </c>
      <c r="D351" s="2" t="s">
        <v>510</v>
      </c>
      <c r="E351" s="11" t="s">
        <v>510</v>
      </c>
      <c r="F351" s="11">
        <v>279168</v>
      </c>
      <c r="G351" s="2" t="s">
        <v>1494</v>
      </c>
      <c r="H351" s="2" t="s">
        <v>1495</v>
      </c>
      <c r="I351" s="2" t="s">
        <v>1496</v>
      </c>
      <c r="J351" s="2" t="str">
        <f t="shared" si="10"/>
        <v>https://permalinkbnd.bnportugal.gov.pt/viewer/279168/?offset=#page=309&amp;viewer=picture&amp;o=info&amp;n=0&amp;q=</v>
      </c>
      <c r="K351" s="1" t="s">
        <v>511</v>
      </c>
      <c r="L351" s="1" t="str">
        <f>VLOOKUP(A351,Folha2!$A$2:$B$2019,2,FALSE)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1" s="12" t="str">
        <f t="shared" si="11"/>
        <v>https://permalinkbnd.bnportugal.gov.pt/viewer/279168/?offset=#page=309&amp;viewer=picture&amp;o=info&amp;n=0&amp;q=</v>
      </c>
      <c r="N351" s="12" t="s">
        <v>1497</v>
      </c>
      <c r="O351" s="12" t="str">
        <f>CONCATENATE(N351,A351,"\",B351,"\",C351,".jpg")</f>
        <v>C:\Users\mbaptista\OneDrive - Biblioteca Nacional de Portugal\Documentos\python\camoniana\imagens\capas\335235\1\309.jpg</v>
      </c>
      <c r="P351" s="12" t="str">
        <f>HYPERLINK(O351)</f>
        <v>C:\Users\mbaptista\OneDrive - Biblioteca Nacional de Portugal\Documentos\python\camoniana\imagens\capas\335235\1\309.jpg</v>
      </c>
      <c r="Q351" s="12"/>
      <c r="R351" s="6" t="s">
        <v>518</v>
      </c>
      <c r="S351" s="4"/>
      <c r="T351" s="1" t="s">
        <v>511</v>
      </c>
      <c r="U351" s="13"/>
      <c r="V351" s="13"/>
      <c r="W351" s="5" t="s">
        <v>1491</v>
      </c>
    </row>
    <row r="352" spans="1:23" ht="90">
      <c r="A352" s="1">
        <v>335235</v>
      </c>
      <c r="B352" s="1">
        <v>1</v>
      </c>
      <c r="C352" s="1">
        <v>375</v>
      </c>
      <c r="D352" s="2" t="s">
        <v>510</v>
      </c>
      <c r="E352" s="5" t="s">
        <v>510</v>
      </c>
      <c r="F352" s="5">
        <v>279168</v>
      </c>
      <c r="G352" s="2" t="s">
        <v>1494</v>
      </c>
      <c r="H352" s="2" t="s">
        <v>1495</v>
      </c>
      <c r="I352" s="2" t="s">
        <v>1496</v>
      </c>
      <c r="J352" s="2" t="str">
        <f t="shared" si="10"/>
        <v>https://permalinkbnd.bnportugal.gov.pt/viewer/279168/?offset=#page=375&amp;viewer=picture&amp;o=info&amp;n=0&amp;q=</v>
      </c>
      <c r="K352" s="1" t="s">
        <v>511</v>
      </c>
      <c r="L352" s="1" t="str">
        <f>VLOOKUP(A352,Folha2!$A$2:$B$2019,2,FALSE)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2" s="12" t="str">
        <f t="shared" si="11"/>
        <v>https://permalinkbnd.bnportugal.gov.pt/viewer/279168/?offset=#page=375&amp;viewer=picture&amp;o=info&amp;n=0&amp;q=</v>
      </c>
      <c r="N352" s="12" t="s">
        <v>1497</v>
      </c>
      <c r="O352" s="12" t="str">
        <f>CONCATENATE(N352,A352,"\",B352,"\",C352,".jpg")</f>
        <v>C:\Users\mbaptista\OneDrive - Biblioteca Nacional de Portugal\Documentos\python\camoniana\imagens\capas\335235\1\375.jpg</v>
      </c>
      <c r="P352" s="12" t="str">
        <f>HYPERLINK(O352)</f>
        <v>C:\Users\mbaptista\OneDrive - Biblioteca Nacional de Portugal\Documentos\python\camoniana\imagens\capas\335235\1\375.jpg</v>
      </c>
      <c r="Q352" s="12"/>
      <c r="R352" s="6" t="s">
        <v>519</v>
      </c>
      <c r="S352" s="4"/>
      <c r="T352" s="1" t="s">
        <v>511</v>
      </c>
      <c r="U352" s="13"/>
      <c r="V352" s="13"/>
      <c r="W352" s="5" t="s">
        <v>1491</v>
      </c>
    </row>
    <row r="353" spans="1:23" ht="75">
      <c r="A353" s="1">
        <v>256272</v>
      </c>
      <c r="B353" s="1">
        <v>1</v>
      </c>
      <c r="C353" s="1">
        <v>10</v>
      </c>
      <c r="D353" s="2" t="s">
        <v>520</v>
      </c>
      <c r="E353" s="11" t="s">
        <v>520</v>
      </c>
      <c r="F353" s="11">
        <v>273511</v>
      </c>
      <c r="G353" s="2" t="s">
        <v>1494</v>
      </c>
      <c r="H353" s="2" t="s">
        <v>1495</v>
      </c>
      <c r="I353" s="2" t="s">
        <v>1496</v>
      </c>
      <c r="J353" s="2" t="str">
        <f t="shared" si="10"/>
        <v>https://permalinkbnd.bnportugal.gov.pt/viewer/273511/?offset=#page=10&amp;viewer=picture&amp;o=info&amp;n=0&amp;q=</v>
      </c>
      <c r="K353" s="1" t="s">
        <v>521</v>
      </c>
      <c r="L353" s="1" t="str">
        <f>VLOOKUP(A353,Folha2!$A$2:$B$2019,2,FALSE)</f>
        <v>Luís de Camões. Os Lusíadas, poema épico, sem argumentos. Nova edição correcta, e dada à luz, conforme a de 1817, por Dom José Maria de Souza-Botelho Morgado de Matteus. Paris. 1823.</v>
      </c>
      <c r="M353" s="12" t="str">
        <f t="shared" si="11"/>
        <v>https://permalinkbnd.bnportugal.gov.pt/viewer/273511/?offset=#page=10&amp;viewer=picture&amp;o=info&amp;n=0&amp;q=</v>
      </c>
      <c r="N353" s="12" t="s">
        <v>1497</v>
      </c>
      <c r="O353" s="12" t="str">
        <f>CONCATENATE(N353,A353,"\",B353,"\",C353,".jpg")</f>
        <v>C:\Users\mbaptista\OneDrive - Biblioteca Nacional de Portugal\Documentos\python\camoniana\imagens\capas\256272\1\10.jpg</v>
      </c>
      <c r="P353" s="12" t="str">
        <f>HYPERLINK(O353)</f>
        <v>C:\Users\mbaptista\OneDrive - Biblioteca Nacional de Portugal\Documentos\python\camoniana\imagens\capas\256272\1\10.jpg</v>
      </c>
      <c r="Q353" s="12"/>
      <c r="R353" s="6" t="s">
        <v>523</v>
      </c>
      <c r="S353" s="4"/>
      <c r="T353" s="1" t="s">
        <v>522</v>
      </c>
      <c r="U353" s="13"/>
      <c r="V353" s="13"/>
      <c r="W353" s="5" t="s">
        <v>1491</v>
      </c>
    </row>
    <row r="354" spans="1:23" ht="75">
      <c r="A354" s="1">
        <v>256272</v>
      </c>
      <c r="B354" s="1">
        <v>1</v>
      </c>
      <c r="C354" s="1">
        <v>11</v>
      </c>
      <c r="D354" s="2" t="s">
        <v>520</v>
      </c>
      <c r="E354" s="5" t="s">
        <v>520</v>
      </c>
      <c r="F354" s="5">
        <v>273511</v>
      </c>
      <c r="G354" s="2" t="s">
        <v>1494</v>
      </c>
      <c r="H354" s="2" t="s">
        <v>1495</v>
      </c>
      <c r="I354" s="2" t="s">
        <v>1496</v>
      </c>
      <c r="J354" s="2" t="str">
        <f t="shared" si="10"/>
        <v>https://permalinkbnd.bnportugal.gov.pt/viewer/273511/?offset=#page=11&amp;viewer=picture&amp;o=info&amp;n=0&amp;q=</v>
      </c>
      <c r="K354" s="1" t="s">
        <v>521</v>
      </c>
      <c r="L354" s="1" t="str">
        <f>VLOOKUP(A354,Folha2!$A$2:$B$2019,2,FALSE)</f>
        <v>Luís de Camões. Os Lusíadas, poema épico, sem argumentos. Nova edição correcta, e dada à luz, conforme a de 1817, por Dom José Maria de Souza-Botelho Morgado de Matteus. Paris. 1823.</v>
      </c>
      <c r="M354" s="12" t="str">
        <f t="shared" si="11"/>
        <v>https://permalinkbnd.bnportugal.gov.pt/viewer/273511/?offset=#page=11&amp;viewer=picture&amp;o=info&amp;n=0&amp;q=</v>
      </c>
      <c r="N354" s="12" t="s">
        <v>1497</v>
      </c>
      <c r="O354" s="12" t="str">
        <f>CONCATENATE(N354,A354,"\",B354,"\",C354,".jpg")</f>
        <v>C:\Users\mbaptista\OneDrive - Biblioteca Nacional de Portugal\Documentos\python\camoniana\imagens\capas\256272\1\11.jpg</v>
      </c>
      <c r="P354" s="12" t="str">
        <f>HYPERLINK(O354)</f>
        <v>C:\Users\mbaptista\OneDrive - Biblioteca Nacional de Portugal\Documentos\python\camoniana\imagens\capas\256272\1\11.jpg</v>
      </c>
      <c r="Q354" s="12"/>
      <c r="R354" s="6" t="s">
        <v>524</v>
      </c>
      <c r="S354" s="4"/>
      <c r="T354" s="1" t="s">
        <v>522</v>
      </c>
      <c r="U354" s="13"/>
      <c r="V354" s="13"/>
      <c r="W354" s="5" t="s">
        <v>1491</v>
      </c>
    </row>
    <row r="355" spans="1:23" ht="75">
      <c r="A355" s="1">
        <v>256272</v>
      </c>
      <c r="B355" s="1">
        <v>1</v>
      </c>
      <c r="C355" s="1">
        <v>49</v>
      </c>
      <c r="D355" s="2" t="s">
        <v>520</v>
      </c>
      <c r="E355" s="11" t="s">
        <v>520</v>
      </c>
      <c r="F355" s="11">
        <v>273511</v>
      </c>
      <c r="G355" s="2" t="s">
        <v>1494</v>
      </c>
      <c r="H355" s="2" t="s">
        <v>1495</v>
      </c>
      <c r="I355" s="2" t="s">
        <v>1496</v>
      </c>
      <c r="J355" s="2" t="str">
        <f t="shared" si="10"/>
        <v>https://permalinkbnd.bnportugal.gov.pt/viewer/273511/?offset=#page=49&amp;viewer=picture&amp;o=info&amp;n=0&amp;q=</v>
      </c>
      <c r="K355" s="1" t="s">
        <v>521</v>
      </c>
      <c r="L355" s="1" t="str">
        <f>VLOOKUP(A355,Folha2!$A$2:$B$2019,2,FALSE)</f>
        <v>Luís de Camões. Os Lusíadas, poema épico, sem argumentos. Nova edição correcta, e dada à luz, conforme a de 1817, por Dom José Maria de Souza-Botelho Morgado de Matteus. Paris. 1823.</v>
      </c>
      <c r="M355" s="12" t="str">
        <f t="shared" si="11"/>
        <v>https://permalinkbnd.bnportugal.gov.pt/viewer/273511/?offset=#page=49&amp;viewer=picture&amp;o=info&amp;n=0&amp;q=</v>
      </c>
      <c r="N355" s="12" t="s">
        <v>1497</v>
      </c>
      <c r="O355" s="12" t="str">
        <f>CONCATENATE(N355,A355,"\",B355,"\",C355,".jpg")</f>
        <v>C:\Users\mbaptista\OneDrive - Biblioteca Nacional de Portugal\Documentos\python\camoniana\imagens\capas\256272\1\49.jpg</v>
      </c>
      <c r="P355" s="12" t="str">
        <f>HYPERLINK(O355)</f>
        <v>C:\Users\mbaptista\OneDrive - Biblioteca Nacional de Portugal\Documentos\python\camoniana\imagens\capas\256272\1\49.jpg</v>
      </c>
      <c r="Q355" s="12"/>
      <c r="R355" s="6"/>
      <c r="S355" s="4"/>
      <c r="T355" s="1" t="s">
        <v>522</v>
      </c>
      <c r="U355" s="13"/>
      <c r="V355" s="13"/>
      <c r="W355" s="5"/>
    </row>
    <row r="356" spans="1:23" ht="75">
      <c r="A356" s="1">
        <v>256272</v>
      </c>
      <c r="B356" s="1">
        <v>1</v>
      </c>
      <c r="C356" s="1">
        <v>268</v>
      </c>
      <c r="D356" s="2" t="s">
        <v>520</v>
      </c>
      <c r="E356" s="5" t="s">
        <v>520</v>
      </c>
      <c r="F356" s="5">
        <v>273511</v>
      </c>
      <c r="G356" s="2" t="s">
        <v>1494</v>
      </c>
      <c r="H356" s="2" t="s">
        <v>1495</v>
      </c>
      <c r="I356" s="2" t="s">
        <v>1496</v>
      </c>
      <c r="J356" s="2" t="str">
        <f t="shared" si="10"/>
        <v>https://permalinkbnd.bnportugal.gov.pt/viewer/273511/?offset=#page=268&amp;viewer=picture&amp;o=info&amp;n=0&amp;q=</v>
      </c>
      <c r="K356" s="1" t="s">
        <v>521</v>
      </c>
      <c r="L356" s="1" t="str">
        <f>VLOOKUP(A356,Folha2!$A$2:$B$2019,2,FALSE)</f>
        <v>Luís de Camões. Os Lusíadas, poema épico, sem argumentos. Nova edição correcta, e dada à luz, conforme a de 1817, por Dom José Maria de Souza-Botelho Morgado de Matteus. Paris. 1823.</v>
      </c>
      <c r="M356" s="12" t="str">
        <f t="shared" si="11"/>
        <v>https://permalinkbnd.bnportugal.gov.pt/viewer/273511/?offset=#page=268&amp;viewer=picture&amp;o=info&amp;n=0&amp;q=</v>
      </c>
      <c r="N356" s="12" t="s">
        <v>1497</v>
      </c>
      <c r="O356" s="12" t="str">
        <f>CONCATENATE(N356,A356,"\",B356,"\",C356,".jpg")</f>
        <v>C:\Users\mbaptista\OneDrive - Biblioteca Nacional de Portugal\Documentos\python\camoniana\imagens\capas\256272\1\268.jpg</v>
      </c>
      <c r="P356" s="12" t="str">
        <f>HYPERLINK(O356)</f>
        <v>C:\Users\mbaptista\OneDrive - Biblioteca Nacional de Portugal\Documentos\python\camoniana\imagens\capas\256272\1\268.jpg</v>
      </c>
      <c r="Q356" s="12"/>
      <c r="R356" s="6"/>
      <c r="S356" s="4"/>
      <c r="T356" s="1" t="s">
        <v>522</v>
      </c>
      <c r="U356" s="13"/>
      <c r="V356" s="13"/>
      <c r="W356" s="5"/>
    </row>
    <row r="357" spans="1:23" ht="75">
      <c r="A357" s="1">
        <v>256272</v>
      </c>
      <c r="B357" s="1">
        <v>1</v>
      </c>
      <c r="C357" s="1">
        <v>302</v>
      </c>
      <c r="D357" s="2" t="s">
        <v>520</v>
      </c>
      <c r="E357" s="11" t="s">
        <v>520</v>
      </c>
      <c r="F357" s="11">
        <v>273511</v>
      </c>
      <c r="G357" s="2" t="s">
        <v>1494</v>
      </c>
      <c r="H357" s="2" t="s">
        <v>1495</v>
      </c>
      <c r="I357" s="2" t="s">
        <v>1496</v>
      </c>
      <c r="J357" s="2" t="str">
        <f t="shared" si="10"/>
        <v>https://permalinkbnd.bnportugal.gov.pt/viewer/273511/?offset=#page=302&amp;viewer=picture&amp;o=info&amp;n=0&amp;q=</v>
      </c>
      <c r="K357" s="1" t="s">
        <v>521</v>
      </c>
      <c r="L357" s="1" t="str">
        <f>VLOOKUP(A357,Folha2!$A$2:$B$2019,2,FALSE)</f>
        <v>Luís de Camões. Os Lusíadas, poema épico, sem argumentos. Nova edição correcta, e dada à luz, conforme a de 1817, por Dom José Maria de Souza-Botelho Morgado de Matteus. Paris. 1823.</v>
      </c>
      <c r="M357" s="12" t="str">
        <f t="shared" si="11"/>
        <v>https://permalinkbnd.bnportugal.gov.pt/viewer/273511/?offset=#page=302&amp;viewer=picture&amp;o=info&amp;n=0&amp;q=</v>
      </c>
      <c r="N357" s="12" t="s">
        <v>1497</v>
      </c>
      <c r="O357" s="12" t="str">
        <f>CONCATENATE(N357,A357,"\",B357,"\",C357,".jpg")</f>
        <v>C:\Users\mbaptista\OneDrive - Biblioteca Nacional de Portugal\Documentos\python\camoniana\imagens\capas\256272\1\302.jpg</v>
      </c>
      <c r="P357" s="12" t="str">
        <f>HYPERLINK(O357)</f>
        <v>C:\Users\mbaptista\OneDrive - Biblioteca Nacional de Portugal\Documentos\python\camoniana\imagens\capas\256272\1\302.jpg</v>
      </c>
      <c r="Q357" s="12"/>
      <c r="R357" s="6"/>
      <c r="S357" s="4"/>
      <c r="T357" s="1" t="s">
        <v>522</v>
      </c>
      <c r="U357" s="13"/>
      <c r="V357" s="13"/>
      <c r="W357" s="5"/>
    </row>
    <row r="358" spans="1:23" ht="75">
      <c r="A358" s="1">
        <v>458267</v>
      </c>
      <c r="B358" s="1">
        <v>1</v>
      </c>
      <c r="C358" s="1">
        <v>5</v>
      </c>
      <c r="D358" s="2" t="s">
        <v>525</v>
      </c>
      <c r="E358" s="5" t="s">
        <v>525</v>
      </c>
      <c r="F358" s="5">
        <v>274951</v>
      </c>
      <c r="G358" s="2" t="s">
        <v>1494</v>
      </c>
      <c r="H358" s="2" t="s">
        <v>1495</v>
      </c>
      <c r="I358" s="2" t="s">
        <v>1496</v>
      </c>
      <c r="J358" s="2" t="str">
        <f t="shared" si="10"/>
        <v>https://permalinkbnd.bnportugal.gov.pt/viewer/274951/?offset=#page=5&amp;viewer=picture&amp;o=info&amp;n=0&amp;q=</v>
      </c>
      <c r="K358" s="1" t="s">
        <v>261</v>
      </c>
      <c r="L358" s="1" t="str">
        <f>VLOOKUP(A358,Folha2!$A$2:$B$2019,2,FALSE)</f>
        <v>Eugénio de Castro. Per Umbram..., sonetos camonianos. Lisboa. 1887. [em comemoração do sétimo aniversário do tricentenário: 10 de Junho de 1887].  Celebrações (1880), recepção criativa, tematização.</v>
      </c>
      <c r="M358" s="12" t="str">
        <f t="shared" si="11"/>
        <v>https://permalinkbnd.bnportugal.gov.pt/viewer/274951/?offset=#page=5&amp;viewer=picture&amp;o=info&amp;n=0&amp;q=</v>
      </c>
      <c r="N358" s="12" t="s">
        <v>1497</v>
      </c>
      <c r="O358" s="12" t="str">
        <f>CONCATENATE(N358,A358,"\",B358,"\",C358,".jpg")</f>
        <v>C:\Users\mbaptista\OneDrive - Biblioteca Nacional de Portugal\Documentos\python\camoniana\imagens\capas\458267\1\5.jpg</v>
      </c>
      <c r="P358" s="12" t="str">
        <f>HYPERLINK(O358)</f>
        <v>C:\Users\mbaptista\OneDrive - Biblioteca Nacional de Portugal\Documentos\python\camoniana\imagens\capas\458267\1\5.jpg</v>
      </c>
      <c r="Q358" s="12"/>
      <c r="R358" s="6" t="s">
        <v>526</v>
      </c>
      <c r="S358" s="4"/>
      <c r="T358" s="1"/>
      <c r="U358" s="13"/>
      <c r="V358" s="13"/>
      <c r="W358" s="5" t="s">
        <v>1491</v>
      </c>
    </row>
    <row r="359" spans="1:23" ht="75">
      <c r="A359" s="1">
        <v>849980</v>
      </c>
      <c r="B359" s="1">
        <v>1</v>
      </c>
      <c r="C359" s="1">
        <v>96</v>
      </c>
      <c r="D359" s="2" t="s">
        <v>527</v>
      </c>
      <c r="E359" s="11" t="s">
        <v>527</v>
      </c>
      <c r="F359" s="11">
        <v>273524</v>
      </c>
      <c r="G359" s="2" t="s">
        <v>1494</v>
      </c>
      <c r="H359" s="2" t="s">
        <v>1495</v>
      </c>
      <c r="I359" s="2" t="s">
        <v>1496</v>
      </c>
      <c r="J359" s="2" t="str">
        <f t="shared" si="10"/>
        <v>https://permalinkbnd.bnportugal.gov.pt/viewer/273524/?offset=#page=96&amp;viewer=picture&amp;o=info&amp;n=0&amp;q=</v>
      </c>
      <c r="K359" s="1" t="s">
        <v>528</v>
      </c>
      <c r="L359" s="1" t="str">
        <f>VLOOKUP(A359,Folha2!$A$2:$B$2019,2,FALSE)</f>
        <v>Tito de Noronha. A primeira edição dos Lusíadas. Porto e Braga. 1880. [no final surgem duas imagens da portada da edição de 1572]</v>
      </c>
      <c r="M359" s="12" t="str">
        <f t="shared" si="11"/>
        <v>https://permalinkbnd.bnportugal.gov.pt/viewer/273524/?offset=#page=96&amp;viewer=picture&amp;o=info&amp;n=0&amp;q=</v>
      </c>
      <c r="N359" s="12" t="s">
        <v>1497</v>
      </c>
      <c r="O359" s="12" t="str">
        <f>CONCATENATE(N359,A359,"\",B359,"\",C359,".jpg")</f>
        <v>C:\Users\mbaptista\OneDrive - Biblioteca Nacional de Portugal\Documentos\python\camoniana\imagens\capas\849980\1\96.jpg</v>
      </c>
      <c r="P359" s="12" t="str">
        <f>HYPERLINK(O359)</f>
        <v>C:\Users\mbaptista\OneDrive - Biblioteca Nacional de Portugal\Documentos\python\camoniana\imagens\capas\849980\1\96.jpg</v>
      </c>
      <c r="Q359" s="12"/>
      <c r="R359" s="6" t="s">
        <v>529</v>
      </c>
      <c r="S359" s="4"/>
      <c r="T359" s="1"/>
      <c r="U359" s="13"/>
      <c r="V359" s="13"/>
      <c r="W359" s="5" t="s">
        <v>1491</v>
      </c>
    </row>
    <row r="360" spans="1:23" ht="75">
      <c r="A360" s="1">
        <v>849980</v>
      </c>
      <c r="B360" s="1">
        <v>1</v>
      </c>
      <c r="C360" s="1">
        <v>97</v>
      </c>
      <c r="D360" s="2" t="s">
        <v>527</v>
      </c>
      <c r="E360" s="5" t="s">
        <v>527</v>
      </c>
      <c r="F360" s="5">
        <v>273524</v>
      </c>
      <c r="G360" s="2" t="s">
        <v>1494</v>
      </c>
      <c r="H360" s="2" t="s">
        <v>1495</v>
      </c>
      <c r="I360" s="2" t="s">
        <v>1496</v>
      </c>
      <c r="J360" s="2" t="str">
        <f t="shared" si="10"/>
        <v>https://permalinkbnd.bnportugal.gov.pt/viewer/273524/?offset=#page=97&amp;viewer=picture&amp;o=info&amp;n=0&amp;q=</v>
      </c>
      <c r="K360" s="1"/>
      <c r="L360" s="1" t="str">
        <f>VLOOKUP(A360,Folha2!$A$2:$B$2019,2,FALSE)</f>
        <v>Tito de Noronha. A primeira edição dos Lusíadas. Porto e Braga. 1880. [no final surgem duas imagens da portada da edição de 1572]</v>
      </c>
      <c r="M360" s="12" t="str">
        <f t="shared" si="11"/>
        <v>https://permalinkbnd.bnportugal.gov.pt/viewer/273524/?offset=#page=97&amp;viewer=picture&amp;o=info&amp;n=0&amp;q=</v>
      </c>
      <c r="N360" s="12" t="s">
        <v>1497</v>
      </c>
      <c r="O360" s="12" t="str">
        <f>CONCATENATE(N360,A360,"\",B360,"\",C360,".jpg")</f>
        <v>C:\Users\mbaptista\OneDrive - Biblioteca Nacional de Portugal\Documentos\python\camoniana\imagens\capas\849980\1\97.jpg</v>
      </c>
      <c r="P360" s="12" t="str">
        <f>HYPERLINK(O360)</f>
        <v>C:\Users\mbaptista\OneDrive - Biblioteca Nacional de Portugal\Documentos\python\camoniana\imagens\capas\849980\1\97.jpg</v>
      </c>
      <c r="Q360" s="12"/>
      <c r="R360" s="6" t="s">
        <v>530</v>
      </c>
      <c r="S360" s="4"/>
      <c r="T360" s="1"/>
      <c r="U360" s="13"/>
      <c r="V360" s="13"/>
      <c r="W360" s="5" t="s">
        <v>1491</v>
      </c>
    </row>
    <row r="361" spans="1:23" ht="75">
      <c r="A361" s="1">
        <v>849980</v>
      </c>
      <c r="B361" s="1">
        <v>1</v>
      </c>
      <c r="C361" s="1">
        <v>100</v>
      </c>
      <c r="D361" s="2" t="s">
        <v>527</v>
      </c>
      <c r="E361" s="11" t="s">
        <v>527</v>
      </c>
      <c r="F361" s="11">
        <v>273524</v>
      </c>
      <c r="G361" s="2" t="s">
        <v>1494</v>
      </c>
      <c r="H361" s="2" t="s">
        <v>1495</v>
      </c>
      <c r="I361" s="2" t="s">
        <v>1496</v>
      </c>
      <c r="J361" s="2" t="str">
        <f t="shared" si="10"/>
        <v>https://permalinkbnd.bnportugal.gov.pt/viewer/273524/?offset=#page=100&amp;viewer=picture&amp;o=info&amp;n=0&amp;q=</v>
      </c>
      <c r="K361" s="1"/>
      <c r="L361" s="1" t="str">
        <f>VLOOKUP(A361,Folha2!$A$2:$B$2019,2,FALSE)</f>
        <v>Tito de Noronha. A primeira edição dos Lusíadas. Porto e Braga. 1880. [no final surgem duas imagens da portada da edição de 1572]</v>
      </c>
      <c r="M361" s="12" t="str">
        <f t="shared" si="11"/>
        <v>https://permalinkbnd.bnportugal.gov.pt/viewer/273524/?offset=#page=100&amp;viewer=picture&amp;o=info&amp;n=0&amp;q=</v>
      </c>
      <c r="N361" s="12" t="s">
        <v>1497</v>
      </c>
      <c r="O361" s="12" t="str">
        <f>CONCATENATE(N361,A361,"\",B361,"\",C361,".jpg")</f>
        <v>C:\Users\mbaptista\OneDrive - Biblioteca Nacional de Portugal\Documentos\python\camoniana\imagens\capas\849980\1\100.jpg</v>
      </c>
      <c r="P361" s="12" t="str">
        <f>HYPERLINK(O361)</f>
        <v>C:\Users\mbaptista\OneDrive - Biblioteca Nacional de Portugal\Documentos\python\camoniana\imagens\capas\849980\1\100.jpg</v>
      </c>
      <c r="Q361" s="12"/>
      <c r="R361" s="6" t="s">
        <v>531</v>
      </c>
      <c r="S361" s="4"/>
      <c r="T361" s="1"/>
      <c r="U361" s="13"/>
      <c r="V361" s="13"/>
      <c r="W361" s="5" t="s">
        <v>1491</v>
      </c>
    </row>
    <row r="362" spans="1:23" ht="75">
      <c r="A362" s="1">
        <v>849980</v>
      </c>
      <c r="B362" s="1">
        <v>1</v>
      </c>
      <c r="C362" s="1">
        <v>101</v>
      </c>
      <c r="D362" s="2" t="s">
        <v>527</v>
      </c>
      <c r="E362" s="5" t="s">
        <v>527</v>
      </c>
      <c r="F362" s="5">
        <v>273524</v>
      </c>
      <c r="G362" s="2" t="s">
        <v>1494</v>
      </c>
      <c r="H362" s="2" t="s">
        <v>1495</v>
      </c>
      <c r="I362" s="2" t="s">
        <v>1496</v>
      </c>
      <c r="J362" s="2" t="str">
        <f t="shared" si="10"/>
        <v>https://permalinkbnd.bnportugal.gov.pt/viewer/273524/?offset=#page=101&amp;viewer=picture&amp;o=info&amp;n=0&amp;q=</v>
      </c>
      <c r="K362" s="1"/>
      <c r="L362" s="1" t="str">
        <f>VLOOKUP(A362,Folha2!$A$2:$B$2019,2,FALSE)</f>
        <v>Tito de Noronha. A primeira edição dos Lusíadas. Porto e Braga. 1880. [no final surgem duas imagens da portada da edição de 1572]</v>
      </c>
      <c r="M362" s="12" t="str">
        <f t="shared" si="11"/>
        <v>https://permalinkbnd.bnportugal.gov.pt/viewer/273524/?offset=#page=101&amp;viewer=picture&amp;o=info&amp;n=0&amp;q=</v>
      </c>
      <c r="N362" s="12" t="s">
        <v>1497</v>
      </c>
      <c r="O362" s="12" t="str">
        <f>CONCATENATE(N362,A362,"\",B362,"\",C362,".jpg")</f>
        <v>C:\Users\mbaptista\OneDrive - Biblioteca Nacional de Portugal\Documentos\python\camoniana\imagens\capas\849980\1\101.jpg</v>
      </c>
      <c r="P362" s="12" t="str">
        <f>HYPERLINK(O362)</f>
        <v>C:\Users\mbaptista\OneDrive - Biblioteca Nacional de Portugal\Documentos\python\camoniana\imagens\capas\849980\1\101.jpg</v>
      </c>
      <c r="Q362" s="12"/>
      <c r="R362" s="6" t="s">
        <v>532</v>
      </c>
      <c r="S362" s="4"/>
      <c r="T362" s="1"/>
      <c r="U362" s="13"/>
      <c r="V362" s="13"/>
      <c r="W362" s="5" t="s">
        <v>1491</v>
      </c>
    </row>
    <row r="363" spans="1:23" ht="75">
      <c r="A363" s="1">
        <v>458260</v>
      </c>
      <c r="B363" s="1">
        <v>1</v>
      </c>
      <c r="C363" s="1">
        <v>8</v>
      </c>
      <c r="D363" s="2" t="s">
        <v>533</v>
      </c>
      <c r="E363" s="11" t="s">
        <v>533</v>
      </c>
      <c r="F363" s="11">
        <v>275168</v>
      </c>
      <c r="G363" s="2" t="s">
        <v>1494</v>
      </c>
      <c r="H363" s="2" t="s">
        <v>1495</v>
      </c>
      <c r="I363" s="2" t="s">
        <v>1496</v>
      </c>
      <c r="J363" s="2" t="str">
        <f t="shared" si="10"/>
        <v>https://permalinkbnd.bnportugal.gov.pt/viewer/275168/?offset=#page=8&amp;viewer=picture&amp;o=info&amp;n=0&amp;q=</v>
      </c>
      <c r="K363" s="1" t="s">
        <v>534</v>
      </c>
      <c r="L363" s="1" t="str">
        <f>VLOOKUP(A363,Folha2!$A$2:$B$2019,2,FALSE)</f>
        <v>Luís de Camões. Adamastor: episódio do Canto V dos Lusíadas, sem argumento. Lisboa. 1888.</v>
      </c>
      <c r="M363" s="12" t="str">
        <f t="shared" si="11"/>
        <v>https://permalinkbnd.bnportugal.gov.pt/viewer/275168/?offset=#page=8&amp;viewer=picture&amp;o=info&amp;n=0&amp;q=</v>
      </c>
      <c r="N363" s="12" t="s">
        <v>1497</v>
      </c>
      <c r="O363" s="12" t="str">
        <f>CONCATENATE(N363,A363,"\",B363,"\",C363,".jpg")</f>
        <v>C:\Users\mbaptista\OneDrive - Biblioteca Nacional de Portugal\Documentos\python\camoniana\imagens\capas\458260\1\8.jpg</v>
      </c>
      <c r="P363" s="12" t="str">
        <f>HYPERLINK(O363)</f>
        <v>C:\Users\mbaptista\OneDrive - Biblioteca Nacional de Portugal\Documentos\python\camoniana\imagens\capas\458260\1\8.jpg</v>
      </c>
      <c r="Q363" s="12"/>
      <c r="R363" s="6" t="s">
        <v>535</v>
      </c>
      <c r="S363" s="4"/>
      <c r="T363" s="1">
        <v>8</v>
      </c>
      <c r="U363" s="13"/>
      <c r="V363" s="13"/>
      <c r="W363" s="5" t="s">
        <v>1491</v>
      </c>
    </row>
    <row r="364" spans="1:23" ht="75">
      <c r="A364" s="1">
        <v>458260</v>
      </c>
      <c r="B364" s="1">
        <v>1</v>
      </c>
      <c r="C364" s="1">
        <v>9</v>
      </c>
      <c r="D364" s="2" t="s">
        <v>533</v>
      </c>
      <c r="E364" s="5" t="s">
        <v>533</v>
      </c>
      <c r="F364" s="5">
        <v>275168</v>
      </c>
      <c r="G364" s="2" t="s">
        <v>1494</v>
      </c>
      <c r="H364" s="2" t="s">
        <v>1495</v>
      </c>
      <c r="I364" s="2" t="s">
        <v>1496</v>
      </c>
      <c r="J364" s="2" t="str">
        <f t="shared" si="10"/>
        <v>https://permalinkbnd.bnportugal.gov.pt/viewer/275168/?offset=#page=9&amp;viewer=picture&amp;o=info&amp;n=0&amp;q=</v>
      </c>
      <c r="K364" s="1" t="s">
        <v>534</v>
      </c>
      <c r="L364" s="1" t="str">
        <f>VLOOKUP(A364,Folha2!$A$2:$B$2019,2,FALSE)</f>
        <v>Luís de Camões. Adamastor: episódio do Canto V dos Lusíadas, sem argumento. Lisboa. 1888.</v>
      </c>
      <c r="M364" s="12" t="str">
        <f t="shared" si="11"/>
        <v>https://permalinkbnd.bnportugal.gov.pt/viewer/275168/?offset=#page=9&amp;viewer=picture&amp;o=info&amp;n=0&amp;q=</v>
      </c>
      <c r="N364" s="12" t="s">
        <v>1497</v>
      </c>
      <c r="O364" s="12" t="str">
        <f>CONCATENATE(N364,A364,"\",B364,"\",C364,".jpg")</f>
        <v>C:\Users\mbaptista\OneDrive - Biblioteca Nacional de Portugal\Documentos\python\camoniana\imagens\capas\458260\1\9.jpg</v>
      </c>
      <c r="P364" s="12" t="str">
        <f>HYPERLINK(O364)</f>
        <v>C:\Users\mbaptista\OneDrive - Biblioteca Nacional de Portugal\Documentos\python\camoniana\imagens\capas\458260\1\9.jpg</v>
      </c>
      <c r="Q364" s="12"/>
      <c r="R364" s="6"/>
      <c r="S364" s="4"/>
      <c r="T364" s="1"/>
      <c r="U364" s="13"/>
      <c r="V364" s="13"/>
      <c r="W364" s="5"/>
    </row>
    <row r="365" spans="1:23" ht="75">
      <c r="A365" s="1">
        <v>256276</v>
      </c>
      <c r="B365" s="1">
        <v>1</v>
      </c>
      <c r="C365" s="13">
        <v>7</v>
      </c>
      <c r="D365" s="2" t="s">
        <v>536</v>
      </c>
      <c r="E365" s="11" t="s">
        <v>536</v>
      </c>
      <c r="F365" s="11">
        <v>275163</v>
      </c>
      <c r="G365" s="2" t="s">
        <v>1494</v>
      </c>
      <c r="H365" s="2" t="s">
        <v>1495</v>
      </c>
      <c r="I365" s="2" t="s">
        <v>1496</v>
      </c>
      <c r="J365" s="2" t="str">
        <f t="shared" si="10"/>
        <v>https://permalinkbnd.bnportugal.gov.pt/viewer/275163/?offset=#page=7&amp;viewer=picture&amp;o=info&amp;n=0&amp;q=</v>
      </c>
      <c r="K365" s="1" t="s">
        <v>318</v>
      </c>
      <c r="L365" s="1" t="str">
        <f>VLOOKUP(A365,Folha2!$A$2:$B$2019,2,FALSE)</f>
        <v>Épica, sem argumentos e sem paratextos.</v>
      </c>
      <c r="M365" s="12" t="str">
        <f t="shared" si="11"/>
        <v>https://permalinkbnd.bnportugal.gov.pt/viewer/275163/?offset=#page=7&amp;viewer=picture&amp;o=info&amp;n=0&amp;q=</v>
      </c>
      <c r="N365" s="12" t="s">
        <v>1497</v>
      </c>
      <c r="O365" s="12" t="str">
        <f>CONCATENATE(N365,A365,"\",B365,"\",C365,".jpg")</f>
        <v>C:\Users\mbaptista\OneDrive - Biblioteca Nacional de Portugal\Documentos\python\camoniana\imagens\capas\256276\1\7.jpg</v>
      </c>
      <c r="P365" s="12" t="str">
        <f>HYPERLINK(O365)</f>
        <v>C:\Users\mbaptista\OneDrive - Biblioteca Nacional de Portugal\Documentos\python\camoniana\imagens\capas\256276\1\7.jpg</v>
      </c>
      <c r="Q365" s="12"/>
      <c r="R365" s="6" t="s">
        <v>537</v>
      </c>
      <c r="S365" s="4"/>
      <c r="T365" s="1"/>
      <c r="U365" s="13" t="s">
        <v>73</v>
      </c>
      <c r="V365" s="13"/>
      <c r="W365" s="5" t="s">
        <v>1491</v>
      </c>
    </row>
    <row r="366" spans="1:23" ht="75">
      <c r="A366" s="1">
        <v>849990</v>
      </c>
      <c r="B366" s="1">
        <v>1</v>
      </c>
      <c r="C366" s="1">
        <v>7</v>
      </c>
      <c r="D366" s="2" t="s">
        <v>538</v>
      </c>
      <c r="E366" s="5" t="s">
        <v>538</v>
      </c>
      <c r="F366" s="5">
        <v>275167</v>
      </c>
      <c r="G366" s="2" t="s">
        <v>1494</v>
      </c>
      <c r="H366" s="2" t="s">
        <v>1495</v>
      </c>
      <c r="I366" s="2" t="s">
        <v>1496</v>
      </c>
      <c r="J366" s="2" t="str">
        <f t="shared" si="10"/>
        <v>https://permalinkbnd.bnportugal.gov.pt/viewer/275167/?offset=#page=7&amp;viewer=picture&amp;o=info&amp;n=0&amp;q=</v>
      </c>
      <c r="K366" s="1" t="s">
        <v>539</v>
      </c>
      <c r="L366" s="1" t="str">
        <f>VLOOKUP(A366,Folha2!$A$2:$B$2019,2,FALSE)</f>
        <v>Augusto Luso da Silva. Leitura de um trecho dos Lusíadas. Descrição da esfera celeste por Tétis a Vasco da Gama. Canto décimo. Por ocasião do tricentenário de Luís de Camões. Porto. 1880.</v>
      </c>
      <c r="M366" s="12" t="str">
        <f t="shared" si="11"/>
        <v>https://permalinkbnd.bnportugal.gov.pt/viewer/275167/?offset=#page=7&amp;viewer=picture&amp;o=info&amp;n=0&amp;q=</v>
      </c>
      <c r="N366" s="12" t="s">
        <v>1497</v>
      </c>
      <c r="O366" s="12" t="str">
        <f>CONCATENATE(N366,A366,"\",B366,"\",C366,".jpg")</f>
        <v>C:\Users\mbaptista\OneDrive - Biblioteca Nacional de Portugal\Documentos\python\camoniana\imagens\capas\849990\1\7.jpg</v>
      </c>
      <c r="P366" s="12" t="str">
        <f>HYPERLINK(O366)</f>
        <v>C:\Users\mbaptista\OneDrive - Biblioteca Nacional de Portugal\Documentos\python\camoniana\imagens\capas\849990\1\7.jpg</v>
      </c>
      <c r="Q366" s="12"/>
      <c r="R366" s="6" t="s">
        <v>540</v>
      </c>
      <c r="S366" s="4"/>
      <c r="T366" s="1"/>
      <c r="U366" s="13"/>
      <c r="V366" s="13"/>
      <c r="W366" s="5" t="s">
        <v>1491</v>
      </c>
    </row>
    <row r="367" spans="1:23" ht="75">
      <c r="A367" s="1">
        <v>851358</v>
      </c>
      <c r="B367" s="1">
        <v>1</v>
      </c>
      <c r="C367" s="1">
        <v>281</v>
      </c>
      <c r="D367" s="12" t="s">
        <v>541</v>
      </c>
      <c r="E367" s="11" t="s">
        <v>541</v>
      </c>
      <c r="F367" s="11">
        <v>280465</v>
      </c>
      <c r="G367" s="2" t="s">
        <v>1494</v>
      </c>
      <c r="H367" s="2" t="s">
        <v>1495</v>
      </c>
      <c r="I367" s="2" t="s">
        <v>1496</v>
      </c>
      <c r="J367" s="2" t="str">
        <f t="shared" si="10"/>
        <v>https://permalinkbnd.bnportugal.gov.pt/viewer/280465/?offset=#page=281&amp;viewer=picture&amp;o=info&amp;n=0&amp;q=</v>
      </c>
      <c r="K367" s="1" t="s">
        <v>542</v>
      </c>
      <c r="L367" s="1" t="str">
        <f>VLOOKUP(A367,Folha2!$A$2:$B$2019,2,FALSE)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7" s="12" t="str">
        <f t="shared" si="11"/>
        <v>https://permalinkbnd.bnportugal.gov.pt/viewer/280465/?offset=#page=281&amp;viewer=picture&amp;o=info&amp;n=0&amp;q=</v>
      </c>
      <c r="N367" s="12" t="s">
        <v>1497</v>
      </c>
      <c r="O367" s="12" t="str">
        <f>CONCATENATE(N367,A367,"\",B367,"\",C367,".jpg")</f>
        <v>C:\Users\mbaptista\OneDrive - Biblioteca Nacional de Portugal\Documentos\python\camoniana\imagens\capas\851358\1\281.jpg</v>
      </c>
      <c r="P367" s="12" t="str">
        <f>HYPERLINK(O367)</f>
        <v>C:\Users\mbaptista\OneDrive - Biblioteca Nacional de Portugal\Documentos\python\camoniana\imagens\capas\851358\1\281.jpg</v>
      </c>
      <c r="Q367" s="12"/>
      <c r="R367" s="6"/>
      <c r="S367" s="4"/>
      <c r="T367" s="1"/>
      <c r="U367" s="13"/>
      <c r="V367" s="13"/>
      <c r="W367" s="5"/>
    </row>
    <row r="368" spans="1:23" ht="75">
      <c r="A368" s="1">
        <v>851358</v>
      </c>
      <c r="B368" s="1">
        <v>1</v>
      </c>
      <c r="C368" s="1">
        <v>33</v>
      </c>
      <c r="D368" s="2" t="s">
        <v>541</v>
      </c>
      <c r="E368" s="5" t="s">
        <v>541</v>
      </c>
      <c r="F368" s="5">
        <v>280465</v>
      </c>
      <c r="G368" s="2" t="s">
        <v>1494</v>
      </c>
      <c r="H368" s="2" t="s">
        <v>1495</v>
      </c>
      <c r="I368" s="2" t="s">
        <v>1496</v>
      </c>
      <c r="J368" s="2" t="str">
        <f t="shared" si="10"/>
        <v>https://permalinkbnd.bnportugal.gov.pt/viewer/280465/?offset=#page=33&amp;viewer=picture&amp;o=info&amp;n=0&amp;q=</v>
      </c>
      <c r="K368" s="1" t="s">
        <v>542</v>
      </c>
      <c r="L368" s="1" t="str">
        <f>VLOOKUP(A368,Folha2!$A$2:$B$2019,2,FALSE)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8" s="12" t="str">
        <f t="shared" si="11"/>
        <v>https://permalinkbnd.bnportugal.gov.pt/viewer/280465/?offset=#page=33&amp;viewer=picture&amp;o=info&amp;n=0&amp;q=</v>
      </c>
      <c r="N368" s="12" t="s">
        <v>1497</v>
      </c>
      <c r="O368" s="12" t="str">
        <f>CONCATENATE(N368,A368,"\",B368,"\",C368,".jpg")</f>
        <v>C:\Users\mbaptista\OneDrive - Biblioteca Nacional de Portugal\Documentos\python\camoniana\imagens\capas\851358\1\33.jpg</v>
      </c>
      <c r="P368" s="12" t="str">
        <f>HYPERLINK(O368)</f>
        <v>C:\Users\mbaptista\OneDrive - Biblioteca Nacional de Portugal\Documentos\python\camoniana\imagens\capas\851358\1\33.jpg</v>
      </c>
      <c r="Q368" s="12"/>
      <c r="R368" s="6"/>
      <c r="S368" s="4"/>
      <c r="T368" s="1"/>
      <c r="U368" s="13"/>
      <c r="V368" s="13"/>
      <c r="W368" s="5"/>
    </row>
    <row r="369" spans="1:23" ht="75">
      <c r="A369" s="1">
        <v>851358</v>
      </c>
      <c r="B369" s="1">
        <v>1</v>
      </c>
      <c r="C369" s="1">
        <v>38</v>
      </c>
      <c r="D369" s="2" t="s">
        <v>541</v>
      </c>
      <c r="E369" s="11" t="s">
        <v>541</v>
      </c>
      <c r="F369" s="11">
        <v>280465</v>
      </c>
      <c r="G369" s="2" t="s">
        <v>1494</v>
      </c>
      <c r="H369" s="2" t="s">
        <v>1495</v>
      </c>
      <c r="I369" s="2" t="s">
        <v>1496</v>
      </c>
      <c r="J369" s="2" t="str">
        <f t="shared" si="10"/>
        <v>https://permalinkbnd.bnportugal.gov.pt/viewer/280465/?offset=#page=38&amp;viewer=picture&amp;o=info&amp;n=0&amp;q=</v>
      </c>
      <c r="K369" s="1" t="s">
        <v>542</v>
      </c>
      <c r="L369" s="1" t="str">
        <f>VLOOKUP(A369,Folha2!$A$2:$B$2019,2,FALSE)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9" s="12" t="str">
        <f t="shared" si="11"/>
        <v>https://permalinkbnd.bnportugal.gov.pt/viewer/280465/?offset=#page=38&amp;viewer=picture&amp;o=info&amp;n=0&amp;q=</v>
      </c>
      <c r="N369" s="12" t="s">
        <v>1497</v>
      </c>
      <c r="O369" s="12" t="str">
        <f>CONCATENATE(N369,A369,"\",B369,"\",C369,".jpg")</f>
        <v>C:\Users\mbaptista\OneDrive - Biblioteca Nacional de Portugal\Documentos\python\camoniana\imagens\capas\851358\1\38.jpg</v>
      </c>
      <c r="P369" s="12" t="str">
        <f>HYPERLINK(O369)</f>
        <v>C:\Users\mbaptista\OneDrive - Biblioteca Nacional de Portugal\Documentos\python\camoniana\imagens\capas\851358\1\38.jpg</v>
      </c>
      <c r="Q369" s="12"/>
      <c r="R369" s="6"/>
      <c r="S369" s="4"/>
      <c r="T369" s="1"/>
      <c r="U369" s="13"/>
      <c r="V369" s="13"/>
      <c r="W369" s="5"/>
    </row>
    <row r="370" spans="1:23" ht="75">
      <c r="A370" s="1">
        <v>851358</v>
      </c>
      <c r="B370" s="1">
        <v>1</v>
      </c>
      <c r="C370" s="1">
        <v>46</v>
      </c>
      <c r="D370" s="2" t="s">
        <v>541</v>
      </c>
      <c r="E370" s="5" t="s">
        <v>541</v>
      </c>
      <c r="F370" s="5">
        <v>280465</v>
      </c>
      <c r="G370" s="2" t="s">
        <v>1494</v>
      </c>
      <c r="H370" s="2" t="s">
        <v>1495</v>
      </c>
      <c r="I370" s="2" t="s">
        <v>1496</v>
      </c>
      <c r="J370" s="2" t="str">
        <f t="shared" si="10"/>
        <v>https://permalinkbnd.bnportugal.gov.pt/viewer/280465/?offset=#page=46&amp;viewer=picture&amp;o=info&amp;n=0&amp;q=</v>
      </c>
      <c r="K370" s="1" t="s">
        <v>542</v>
      </c>
      <c r="L370" s="1" t="str">
        <f>VLOOKUP(A370,Folha2!$A$2:$B$2019,2,FALSE)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0" s="12" t="str">
        <f t="shared" si="11"/>
        <v>https://permalinkbnd.bnportugal.gov.pt/viewer/280465/?offset=#page=46&amp;viewer=picture&amp;o=info&amp;n=0&amp;q=</v>
      </c>
      <c r="N370" s="12" t="s">
        <v>1497</v>
      </c>
      <c r="O370" s="12" t="str">
        <f>CONCATENATE(N370,A370,"\",B370,"\",C370,".jpg")</f>
        <v>C:\Users\mbaptista\OneDrive - Biblioteca Nacional de Portugal\Documentos\python\camoniana\imagens\capas\851358\1\46.jpg</v>
      </c>
      <c r="P370" s="12" t="str">
        <f>HYPERLINK(O370)</f>
        <v>C:\Users\mbaptista\OneDrive - Biblioteca Nacional de Portugal\Documentos\python\camoniana\imagens\capas\851358\1\46.jpg</v>
      </c>
      <c r="Q370" s="12"/>
      <c r="R370" s="6"/>
      <c r="S370" s="4"/>
      <c r="T370" s="1"/>
      <c r="U370" s="13"/>
      <c r="V370" s="13"/>
      <c r="W370" s="5"/>
    </row>
    <row r="371" spans="1:23" ht="75">
      <c r="A371" s="1">
        <v>851358</v>
      </c>
      <c r="B371" s="1">
        <v>1</v>
      </c>
      <c r="C371" s="1">
        <v>54</v>
      </c>
      <c r="D371" s="2" t="s">
        <v>541</v>
      </c>
      <c r="E371" s="11" t="s">
        <v>541</v>
      </c>
      <c r="F371" s="11">
        <v>280465</v>
      </c>
      <c r="G371" s="2" t="s">
        <v>1494</v>
      </c>
      <c r="H371" s="2" t="s">
        <v>1495</v>
      </c>
      <c r="I371" s="2" t="s">
        <v>1496</v>
      </c>
      <c r="J371" s="2" t="str">
        <f t="shared" si="10"/>
        <v>https://permalinkbnd.bnportugal.gov.pt/viewer/280465/?offset=#page=54&amp;viewer=picture&amp;o=info&amp;n=0&amp;q=</v>
      </c>
      <c r="K371" s="1" t="s">
        <v>542</v>
      </c>
      <c r="L371" s="1" t="str">
        <f>VLOOKUP(A371,Folha2!$A$2:$B$2019,2,FALSE)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1" s="12" t="str">
        <f t="shared" si="11"/>
        <v>https://permalinkbnd.bnportugal.gov.pt/viewer/280465/?offset=#page=54&amp;viewer=picture&amp;o=info&amp;n=0&amp;q=</v>
      </c>
      <c r="N371" s="12" t="s">
        <v>1497</v>
      </c>
      <c r="O371" s="12" t="str">
        <f>CONCATENATE(N371,A371,"\",B371,"\",C371,".jpg")</f>
        <v>C:\Users\mbaptista\OneDrive - Biblioteca Nacional de Portugal\Documentos\python\camoniana\imagens\capas\851358\1\54.jpg</v>
      </c>
      <c r="P371" s="12" t="str">
        <f>HYPERLINK(O371)</f>
        <v>C:\Users\mbaptista\OneDrive - Biblioteca Nacional de Portugal\Documentos\python\camoniana\imagens\capas\851358\1\54.jpg</v>
      </c>
      <c r="Q371" s="12"/>
      <c r="R371" s="6"/>
      <c r="S371" s="4"/>
      <c r="T371" s="1"/>
      <c r="U371" s="13"/>
      <c r="V371" s="13"/>
      <c r="W371" s="5"/>
    </row>
    <row r="372" spans="1:23" ht="75">
      <c r="A372" s="1">
        <v>851358</v>
      </c>
      <c r="B372" s="1">
        <v>1</v>
      </c>
      <c r="C372" s="1">
        <v>58</v>
      </c>
      <c r="D372" s="2" t="s">
        <v>541</v>
      </c>
      <c r="E372" s="5" t="s">
        <v>541</v>
      </c>
      <c r="F372" s="5">
        <v>280465</v>
      </c>
      <c r="G372" s="2" t="s">
        <v>1494</v>
      </c>
      <c r="H372" s="2" t="s">
        <v>1495</v>
      </c>
      <c r="I372" s="2" t="s">
        <v>1496</v>
      </c>
      <c r="J372" s="2" t="str">
        <f t="shared" si="10"/>
        <v>https://permalinkbnd.bnportugal.gov.pt/viewer/280465/?offset=#page=58&amp;viewer=picture&amp;o=info&amp;n=0&amp;q=</v>
      </c>
      <c r="K372" s="1" t="s">
        <v>542</v>
      </c>
      <c r="L372" s="1" t="str">
        <f>VLOOKUP(A372,Folha2!$A$2:$B$2019,2,FALSE)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2" s="12" t="str">
        <f t="shared" si="11"/>
        <v>https://permalinkbnd.bnportugal.gov.pt/viewer/280465/?offset=#page=58&amp;viewer=picture&amp;o=info&amp;n=0&amp;q=</v>
      </c>
      <c r="N372" s="12" t="s">
        <v>1497</v>
      </c>
      <c r="O372" s="12" t="str">
        <f>CONCATENATE(N372,A372,"\",B372,"\",C372,".jpg")</f>
        <v>C:\Users\mbaptista\OneDrive - Biblioteca Nacional de Portugal\Documentos\python\camoniana\imagens\capas\851358\1\58.jpg</v>
      </c>
      <c r="P372" s="12" t="str">
        <f>HYPERLINK(O372)</f>
        <v>C:\Users\mbaptista\OneDrive - Biblioteca Nacional de Portugal\Documentos\python\camoniana\imagens\capas\851358\1\58.jpg</v>
      </c>
      <c r="Q372" s="12"/>
      <c r="R372" s="6"/>
      <c r="S372" s="4"/>
      <c r="T372" s="1"/>
      <c r="U372" s="13"/>
      <c r="V372" s="13"/>
      <c r="W372" s="5"/>
    </row>
    <row r="373" spans="1:23" ht="75">
      <c r="A373" s="1">
        <v>851358</v>
      </c>
      <c r="B373" s="1">
        <v>1</v>
      </c>
      <c r="C373" s="1">
        <v>66</v>
      </c>
      <c r="D373" s="2" t="s">
        <v>541</v>
      </c>
      <c r="E373" s="11" t="s">
        <v>541</v>
      </c>
      <c r="F373" s="11">
        <v>280465</v>
      </c>
      <c r="G373" s="2" t="s">
        <v>1494</v>
      </c>
      <c r="H373" s="2" t="s">
        <v>1495</v>
      </c>
      <c r="I373" s="2" t="s">
        <v>1496</v>
      </c>
      <c r="J373" s="2" t="str">
        <f t="shared" si="10"/>
        <v>https://permalinkbnd.bnportugal.gov.pt/viewer/280465/?offset=#page=66&amp;viewer=picture&amp;o=info&amp;n=0&amp;q=</v>
      </c>
      <c r="K373" s="1" t="s">
        <v>542</v>
      </c>
      <c r="L373" s="1" t="str">
        <f>VLOOKUP(A373,Folha2!$A$2:$B$2019,2,FALSE)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3" s="12" t="str">
        <f t="shared" si="11"/>
        <v>https://permalinkbnd.bnportugal.gov.pt/viewer/280465/?offset=#page=66&amp;viewer=picture&amp;o=info&amp;n=0&amp;q=</v>
      </c>
      <c r="N373" s="12" t="s">
        <v>1497</v>
      </c>
      <c r="O373" s="12" t="str">
        <f>CONCATENATE(N373,A373,"\",B373,"\",C373,".jpg")</f>
        <v>C:\Users\mbaptista\OneDrive - Biblioteca Nacional de Portugal\Documentos\python\camoniana\imagens\capas\851358\1\66.jpg</v>
      </c>
      <c r="P373" s="12" t="str">
        <f>HYPERLINK(O373)</f>
        <v>C:\Users\mbaptista\OneDrive - Biblioteca Nacional de Portugal\Documentos\python\camoniana\imagens\capas\851358\1\66.jpg</v>
      </c>
      <c r="Q373" s="12"/>
      <c r="R373" s="6"/>
      <c r="S373" s="4"/>
      <c r="T373" s="1"/>
      <c r="U373" s="13"/>
      <c r="V373" s="13"/>
      <c r="W373" s="5"/>
    </row>
    <row r="374" spans="1:23" ht="75">
      <c r="A374" s="1">
        <v>851358</v>
      </c>
      <c r="B374" s="1">
        <v>1</v>
      </c>
      <c r="C374" s="1">
        <v>76</v>
      </c>
      <c r="D374" s="2" t="s">
        <v>541</v>
      </c>
      <c r="E374" s="5" t="s">
        <v>541</v>
      </c>
      <c r="F374" s="5">
        <v>280465</v>
      </c>
      <c r="G374" s="2" t="s">
        <v>1494</v>
      </c>
      <c r="H374" s="2" t="s">
        <v>1495</v>
      </c>
      <c r="I374" s="2" t="s">
        <v>1496</v>
      </c>
      <c r="J374" s="2" t="str">
        <f t="shared" si="10"/>
        <v>https://permalinkbnd.bnportugal.gov.pt/viewer/280465/?offset=#page=76&amp;viewer=picture&amp;o=info&amp;n=0&amp;q=</v>
      </c>
      <c r="K374" s="1" t="s">
        <v>542</v>
      </c>
      <c r="L374" s="1" t="str">
        <f>VLOOKUP(A374,Folha2!$A$2:$B$2019,2,FALSE)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4" s="12" t="str">
        <f t="shared" si="11"/>
        <v>https://permalinkbnd.bnportugal.gov.pt/viewer/280465/?offset=#page=76&amp;viewer=picture&amp;o=info&amp;n=0&amp;q=</v>
      </c>
      <c r="N374" s="12" t="s">
        <v>1497</v>
      </c>
      <c r="O374" s="12" t="str">
        <f>CONCATENATE(N374,A374,"\",B374,"\",C374,".jpg")</f>
        <v>C:\Users\mbaptista\OneDrive - Biblioteca Nacional de Portugal\Documentos\python\camoniana\imagens\capas\851358\1\76.jpg</v>
      </c>
      <c r="P374" s="12" t="str">
        <f>HYPERLINK(O374)</f>
        <v>C:\Users\mbaptista\OneDrive - Biblioteca Nacional de Portugal\Documentos\python\camoniana\imagens\capas\851358\1\76.jpg</v>
      </c>
      <c r="Q374" s="12"/>
      <c r="R374" s="6"/>
      <c r="S374" s="4"/>
      <c r="T374" s="1"/>
      <c r="U374" s="13"/>
      <c r="V374" s="13"/>
      <c r="W374" s="5"/>
    </row>
    <row r="375" spans="1:23" ht="75">
      <c r="A375" s="1">
        <v>851358</v>
      </c>
      <c r="B375" s="1">
        <v>1</v>
      </c>
      <c r="C375" s="1">
        <v>79</v>
      </c>
      <c r="D375" s="2" t="s">
        <v>541</v>
      </c>
      <c r="E375" s="11" t="s">
        <v>541</v>
      </c>
      <c r="F375" s="11">
        <v>280465</v>
      </c>
      <c r="G375" s="2" t="s">
        <v>1494</v>
      </c>
      <c r="H375" s="2" t="s">
        <v>1495</v>
      </c>
      <c r="I375" s="2" t="s">
        <v>1496</v>
      </c>
      <c r="J375" s="2" t="str">
        <f t="shared" si="10"/>
        <v>https://permalinkbnd.bnportugal.gov.pt/viewer/280465/?offset=#page=79&amp;viewer=picture&amp;o=info&amp;n=0&amp;q=</v>
      </c>
      <c r="K375" s="1" t="s">
        <v>542</v>
      </c>
      <c r="L375" s="1" t="str">
        <f>VLOOKUP(A375,Folha2!$A$2:$B$2019,2,FALSE)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5" s="12" t="str">
        <f t="shared" si="11"/>
        <v>https://permalinkbnd.bnportugal.gov.pt/viewer/280465/?offset=#page=79&amp;viewer=picture&amp;o=info&amp;n=0&amp;q=</v>
      </c>
      <c r="N375" s="12" t="s">
        <v>1497</v>
      </c>
      <c r="O375" s="12" t="str">
        <f>CONCATENATE(N375,A375,"\",B375,"\",C375,".jpg")</f>
        <v>C:\Users\mbaptista\OneDrive - Biblioteca Nacional de Portugal\Documentos\python\camoniana\imagens\capas\851358\1\79.jpg</v>
      </c>
      <c r="P375" s="12" t="str">
        <f>HYPERLINK(O375)</f>
        <v>C:\Users\mbaptista\OneDrive - Biblioteca Nacional de Portugal\Documentos\python\camoniana\imagens\capas\851358\1\79.jpg</v>
      </c>
      <c r="Q375" s="12"/>
      <c r="R375" s="6"/>
      <c r="S375" s="4"/>
      <c r="T375" s="1"/>
      <c r="U375" s="13"/>
      <c r="V375" s="13"/>
      <c r="W375" s="5"/>
    </row>
    <row r="376" spans="1:23" ht="75">
      <c r="A376" s="1">
        <v>851358</v>
      </c>
      <c r="B376" s="1">
        <v>1</v>
      </c>
      <c r="C376" s="1">
        <v>84</v>
      </c>
      <c r="D376" s="2" t="s">
        <v>541</v>
      </c>
      <c r="E376" s="5" t="s">
        <v>541</v>
      </c>
      <c r="F376" s="5">
        <v>280465</v>
      </c>
      <c r="G376" s="2" t="s">
        <v>1494</v>
      </c>
      <c r="H376" s="2" t="s">
        <v>1495</v>
      </c>
      <c r="I376" s="2" t="s">
        <v>1496</v>
      </c>
      <c r="J376" s="2" t="str">
        <f t="shared" si="10"/>
        <v>https://permalinkbnd.bnportugal.gov.pt/viewer/280465/?offset=#page=84&amp;viewer=picture&amp;o=info&amp;n=0&amp;q=</v>
      </c>
      <c r="K376" s="1" t="s">
        <v>542</v>
      </c>
      <c r="L376" s="1" t="str">
        <f>VLOOKUP(A376,Folha2!$A$2:$B$2019,2,FALSE)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6" s="12" t="str">
        <f t="shared" si="11"/>
        <v>https://permalinkbnd.bnportugal.gov.pt/viewer/280465/?offset=#page=84&amp;viewer=picture&amp;o=info&amp;n=0&amp;q=</v>
      </c>
      <c r="N376" s="12" t="s">
        <v>1497</v>
      </c>
      <c r="O376" s="12" t="str">
        <f>CONCATENATE(N376,A376,"\",B376,"\",C376,".jpg")</f>
        <v>C:\Users\mbaptista\OneDrive - Biblioteca Nacional de Portugal\Documentos\python\camoniana\imagens\capas\851358\1\84.jpg</v>
      </c>
      <c r="P376" s="12" t="str">
        <f>HYPERLINK(O376)</f>
        <v>C:\Users\mbaptista\OneDrive - Biblioteca Nacional de Portugal\Documentos\python\camoniana\imagens\capas\851358\1\84.jpg</v>
      </c>
      <c r="Q376" s="12"/>
      <c r="R376" s="6"/>
      <c r="S376" s="4"/>
      <c r="T376" s="1"/>
      <c r="U376" s="13"/>
      <c r="V376" s="13"/>
      <c r="W376" s="5"/>
    </row>
    <row r="377" spans="1:23" ht="75">
      <c r="A377" s="1">
        <v>851358</v>
      </c>
      <c r="B377" s="1">
        <v>1</v>
      </c>
      <c r="C377" s="1">
        <v>100</v>
      </c>
      <c r="D377" s="2" t="s">
        <v>541</v>
      </c>
      <c r="E377" s="11" t="s">
        <v>541</v>
      </c>
      <c r="F377" s="11">
        <v>280465</v>
      </c>
      <c r="G377" s="2" t="s">
        <v>1494</v>
      </c>
      <c r="H377" s="2" t="s">
        <v>1495</v>
      </c>
      <c r="I377" s="2" t="s">
        <v>1496</v>
      </c>
      <c r="J377" s="2" t="str">
        <f t="shared" si="10"/>
        <v>https://permalinkbnd.bnportugal.gov.pt/viewer/280465/?offset=#page=100&amp;viewer=picture&amp;o=info&amp;n=0&amp;q=</v>
      </c>
      <c r="K377" s="1" t="s">
        <v>542</v>
      </c>
      <c r="L377" s="1" t="str">
        <f>VLOOKUP(A377,Folha2!$A$2:$B$2019,2,FALSE)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7" s="12" t="str">
        <f t="shared" si="11"/>
        <v>https://permalinkbnd.bnportugal.gov.pt/viewer/280465/?offset=#page=100&amp;viewer=picture&amp;o=info&amp;n=0&amp;q=</v>
      </c>
      <c r="N377" s="12" t="s">
        <v>1497</v>
      </c>
      <c r="O377" s="12" t="str">
        <f>CONCATENATE(N377,A377,"\",B377,"\",C377,".jpg")</f>
        <v>C:\Users\mbaptista\OneDrive - Biblioteca Nacional de Portugal\Documentos\python\camoniana\imagens\capas\851358\1\100.jpg</v>
      </c>
      <c r="P377" s="12" t="str">
        <f>HYPERLINK(O377)</f>
        <v>C:\Users\mbaptista\OneDrive - Biblioteca Nacional de Portugal\Documentos\python\camoniana\imagens\capas\851358\1\100.jpg</v>
      </c>
      <c r="Q377" s="12"/>
      <c r="R377" s="6" t="s">
        <v>544</v>
      </c>
      <c r="S377" s="4"/>
      <c r="T377" s="1" t="s">
        <v>543</v>
      </c>
      <c r="U377" s="13"/>
      <c r="V377" s="13"/>
      <c r="W377" s="5" t="s">
        <v>1491</v>
      </c>
    </row>
    <row r="378" spans="1:23" ht="75">
      <c r="A378" s="1">
        <v>851358</v>
      </c>
      <c r="B378" s="1">
        <v>1</v>
      </c>
      <c r="C378" s="1">
        <v>121</v>
      </c>
      <c r="D378" s="2" t="s">
        <v>541</v>
      </c>
      <c r="E378" s="5" t="s">
        <v>541</v>
      </c>
      <c r="F378" s="5">
        <v>280465</v>
      </c>
      <c r="G378" s="2" t="s">
        <v>1494</v>
      </c>
      <c r="H378" s="2" t="s">
        <v>1495</v>
      </c>
      <c r="I378" s="2" t="s">
        <v>1496</v>
      </c>
      <c r="J378" s="2" t="str">
        <f t="shared" si="10"/>
        <v>https://permalinkbnd.bnportugal.gov.pt/viewer/280465/?offset=#page=121&amp;viewer=picture&amp;o=info&amp;n=0&amp;q=</v>
      </c>
      <c r="K378" s="1" t="s">
        <v>542</v>
      </c>
      <c r="L378" s="1" t="str">
        <f>VLOOKUP(A378,Folha2!$A$2:$B$2019,2,FALSE)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8" s="12" t="str">
        <f t="shared" si="11"/>
        <v>https://permalinkbnd.bnportugal.gov.pt/viewer/280465/?offset=#page=121&amp;viewer=picture&amp;o=info&amp;n=0&amp;q=</v>
      </c>
      <c r="N378" s="12" t="s">
        <v>1497</v>
      </c>
      <c r="O378" s="12" t="str">
        <f>CONCATENATE(N378,A378,"\",B378,"\",C378,".jpg")</f>
        <v>C:\Users\mbaptista\OneDrive - Biblioteca Nacional de Portugal\Documentos\python\camoniana\imagens\capas\851358\1\121.jpg</v>
      </c>
      <c r="P378" s="12" t="str">
        <f>HYPERLINK(O378)</f>
        <v>C:\Users\mbaptista\OneDrive - Biblioteca Nacional de Portugal\Documentos\python\camoniana\imagens\capas\851358\1\121.jpg</v>
      </c>
      <c r="Q378" s="12"/>
      <c r="R378" s="6" t="s">
        <v>545</v>
      </c>
      <c r="S378" s="4"/>
      <c r="T378" s="1" t="s">
        <v>543</v>
      </c>
      <c r="U378" s="13"/>
      <c r="V378" s="13"/>
      <c r="W378" s="5" t="s">
        <v>1491</v>
      </c>
    </row>
    <row r="379" spans="1:23" ht="75">
      <c r="A379" s="1">
        <v>851358</v>
      </c>
      <c r="B379" s="1">
        <v>1</v>
      </c>
      <c r="C379" s="1">
        <v>125</v>
      </c>
      <c r="D379" s="2" t="s">
        <v>541</v>
      </c>
      <c r="E379" s="11" t="s">
        <v>541</v>
      </c>
      <c r="F379" s="11">
        <v>280465</v>
      </c>
      <c r="G379" s="2" t="s">
        <v>1494</v>
      </c>
      <c r="H379" s="2" t="s">
        <v>1495</v>
      </c>
      <c r="I379" s="2" t="s">
        <v>1496</v>
      </c>
      <c r="J379" s="2" t="str">
        <f t="shared" si="10"/>
        <v>https://permalinkbnd.bnportugal.gov.pt/viewer/280465/?offset=#page=125&amp;viewer=picture&amp;o=info&amp;n=0&amp;q=</v>
      </c>
      <c r="K379" s="1" t="s">
        <v>542</v>
      </c>
      <c r="L379" s="1" t="str">
        <f>VLOOKUP(A379,Folha2!$A$2:$B$2019,2,FALSE)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9" s="12" t="str">
        <f t="shared" si="11"/>
        <v>https://permalinkbnd.bnportugal.gov.pt/viewer/280465/?offset=#page=125&amp;viewer=picture&amp;o=info&amp;n=0&amp;q=</v>
      </c>
      <c r="N379" s="12" t="s">
        <v>1497</v>
      </c>
      <c r="O379" s="12" t="str">
        <f>CONCATENATE(N379,A379,"\",B379,"\",C379,".jpg")</f>
        <v>C:\Users\mbaptista\OneDrive - Biblioteca Nacional de Portugal\Documentos\python\camoniana\imagens\capas\851358\1\125.jpg</v>
      </c>
      <c r="P379" s="12" t="str">
        <f>HYPERLINK(O379)</f>
        <v>C:\Users\mbaptista\OneDrive - Biblioteca Nacional de Portugal\Documentos\python\camoniana\imagens\capas\851358\1\125.jpg</v>
      </c>
      <c r="Q379" s="12"/>
      <c r="R379" s="6" t="s">
        <v>546</v>
      </c>
      <c r="S379" s="4"/>
      <c r="T379" s="1" t="s">
        <v>543</v>
      </c>
      <c r="U379" s="13"/>
      <c r="V379" s="13"/>
      <c r="W379" s="5" t="s">
        <v>1491</v>
      </c>
    </row>
    <row r="380" spans="1:23" ht="75">
      <c r="A380" s="1">
        <v>851358</v>
      </c>
      <c r="B380" s="1">
        <v>1</v>
      </c>
      <c r="C380" s="1">
        <v>129</v>
      </c>
      <c r="D380" s="2" t="s">
        <v>541</v>
      </c>
      <c r="E380" s="5" t="s">
        <v>541</v>
      </c>
      <c r="F380" s="5">
        <v>280465</v>
      </c>
      <c r="G380" s="2" t="s">
        <v>1494</v>
      </c>
      <c r="H380" s="2" t="s">
        <v>1495</v>
      </c>
      <c r="I380" s="2" t="s">
        <v>1496</v>
      </c>
      <c r="J380" s="2" t="str">
        <f t="shared" si="10"/>
        <v>https://permalinkbnd.bnportugal.gov.pt/viewer/280465/?offset=#page=129&amp;viewer=picture&amp;o=info&amp;n=0&amp;q=</v>
      </c>
      <c r="K380" s="1" t="s">
        <v>542</v>
      </c>
      <c r="L380" s="1" t="str">
        <f>VLOOKUP(A380,Folha2!$A$2:$B$2019,2,FALSE)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0" s="12" t="str">
        <f t="shared" si="11"/>
        <v>https://permalinkbnd.bnportugal.gov.pt/viewer/280465/?offset=#page=129&amp;viewer=picture&amp;o=info&amp;n=0&amp;q=</v>
      </c>
      <c r="N380" s="12" t="s">
        <v>1497</v>
      </c>
      <c r="O380" s="12" t="str">
        <f>CONCATENATE(N380,A380,"\",B380,"\",C380,".jpg")</f>
        <v>C:\Users\mbaptista\OneDrive - Biblioteca Nacional de Portugal\Documentos\python\camoniana\imagens\capas\851358\1\129.jpg</v>
      </c>
      <c r="P380" s="12" t="str">
        <f>HYPERLINK(O380)</f>
        <v>C:\Users\mbaptista\OneDrive - Biblioteca Nacional de Portugal\Documentos\python\camoniana\imagens\capas\851358\1\129.jpg</v>
      </c>
      <c r="Q380" s="12"/>
      <c r="R380" s="6" t="s">
        <v>547</v>
      </c>
      <c r="S380" s="4"/>
      <c r="T380" s="1" t="s">
        <v>543</v>
      </c>
      <c r="U380" s="13"/>
      <c r="V380" s="13"/>
      <c r="W380" s="5" t="s">
        <v>1491</v>
      </c>
    </row>
    <row r="381" spans="1:23" ht="75">
      <c r="A381" s="1">
        <v>851358</v>
      </c>
      <c r="B381" s="1">
        <v>1</v>
      </c>
      <c r="C381" s="1">
        <v>137</v>
      </c>
      <c r="D381" s="2" t="s">
        <v>541</v>
      </c>
      <c r="E381" s="11" t="s">
        <v>541</v>
      </c>
      <c r="F381" s="11">
        <v>280465</v>
      </c>
      <c r="G381" s="2" t="s">
        <v>1494</v>
      </c>
      <c r="H381" s="2" t="s">
        <v>1495</v>
      </c>
      <c r="I381" s="2" t="s">
        <v>1496</v>
      </c>
      <c r="J381" s="2" t="str">
        <f t="shared" si="10"/>
        <v>https://permalinkbnd.bnportugal.gov.pt/viewer/280465/?offset=#page=137&amp;viewer=picture&amp;o=info&amp;n=0&amp;q=</v>
      </c>
      <c r="K381" s="1" t="s">
        <v>542</v>
      </c>
      <c r="L381" s="1" t="str">
        <f>VLOOKUP(A381,Folha2!$A$2:$B$2019,2,FALSE)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1" s="12" t="str">
        <f t="shared" si="11"/>
        <v>https://permalinkbnd.bnportugal.gov.pt/viewer/280465/?offset=#page=137&amp;viewer=picture&amp;o=info&amp;n=0&amp;q=</v>
      </c>
      <c r="N381" s="12" t="s">
        <v>1497</v>
      </c>
      <c r="O381" s="12" t="str">
        <f>CONCATENATE(N381,A381,"\",B381,"\",C381,".jpg")</f>
        <v>C:\Users\mbaptista\OneDrive - Biblioteca Nacional de Portugal\Documentos\python\camoniana\imagens\capas\851358\1\137.jpg</v>
      </c>
      <c r="P381" s="12" t="str">
        <f>HYPERLINK(O381)</f>
        <v>C:\Users\mbaptista\OneDrive - Biblioteca Nacional de Portugal\Documentos\python\camoniana\imagens\capas\851358\1\137.jpg</v>
      </c>
      <c r="Q381" s="12"/>
      <c r="R381" s="6" t="s">
        <v>548</v>
      </c>
      <c r="S381" s="4"/>
      <c r="T381" s="1" t="s">
        <v>543</v>
      </c>
      <c r="U381" s="13"/>
      <c r="V381" s="13"/>
      <c r="W381" s="5" t="s">
        <v>1491</v>
      </c>
    </row>
    <row r="382" spans="1:23" ht="75">
      <c r="A382" s="1">
        <v>851358</v>
      </c>
      <c r="B382" s="1">
        <v>1</v>
      </c>
      <c r="C382" s="1">
        <v>151</v>
      </c>
      <c r="D382" s="2" t="s">
        <v>541</v>
      </c>
      <c r="E382" s="5" t="s">
        <v>541</v>
      </c>
      <c r="F382" s="5">
        <v>280465</v>
      </c>
      <c r="G382" s="2" t="s">
        <v>1494</v>
      </c>
      <c r="H382" s="2" t="s">
        <v>1495</v>
      </c>
      <c r="I382" s="2" t="s">
        <v>1496</v>
      </c>
      <c r="J382" s="2" t="str">
        <f t="shared" si="10"/>
        <v>https://permalinkbnd.bnportugal.gov.pt/viewer/280465/?offset=#page=151&amp;viewer=picture&amp;o=info&amp;n=0&amp;q=</v>
      </c>
      <c r="K382" s="1" t="s">
        <v>542</v>
      </c>
      <c r="L382" s="1" t="str">
        <f>VLOOKUP(A382,Folha2!$A$2:$B$2019,2,FALSE)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2" s="12" t="str">
        <f t="shared" si="11"/>
        <v>https://permalinkbnd.bnportugal.gov.pt/viewer/280465/?offset=#page=151&amp;viewer=picture&amp;o=info&amp;n=0&amp;q=</v>
      </c>
      <c r="N382" s="12" t="s">
        <v>1497</v>
      </c>
      <c r="O382" s="12" t="str">
        <f>CONCATENATE(N382,A382,"\",B382,"\",C382,".jpg")</f>
        <v>C:\Users\mbaptista\OneDrive - Biblioteca Nacional de Portugal\Documentos\python\camoniana\imagens\capas\851358\1\151.jpg</v>
      </c>
      <c r="P382" s="12" t="str">
        <f>HYPERLINK(O382)</f>
        <v>C:\Users\mbaptista\OneDrive - Biblioteca Nacional de Portugal\Documentos\python\camoniana\imagens\capas\851358\1\151.jpg</v>
      </c>
      <c r="Q382" s="12"/>
      <c r="R382" s="6" t="s">
        <v>549</v>
      </c>
      <c r="S382" s="4"/>
      <c r="T382" s="1" t="s">
        <v>543</v>
      </c>
      <c r="U382" s="13"/>
      <c r="V382" s="13"/>
      <c r="W382" s="5" t="s">
        <v>1491</v>
      </c>
    </row>
    <row r="383" spans="1:23" ht="75">
      <c r="A383" s="1">
        <v>851358</v>
      </c>
      <c r="B383" s="1">
        <v>1</v>
      </c>
      <c r="C383" s="1">
        <v>157</v>
      </c>
      <c r="D383" s="2" t="s">
        <v>541</v>
      </c>
      <c r="E383" s="11" t="s">
        <v>541</v>
      </c>
      <c r="F383" s="11">
        <v>280465</v>
      </c>
      <c r="G383" s="2" t="s">
        <v>1494</v>
      </c>
      <c r="H383" s="2" t="s">
        <v>1495</v>
      </c>
      <c r="I383" s="2" t="s">
        <v>1496</v>
      </c>
      <c r="J383" s="2" t="str">
        <f t="shared" si="10"/>
        <v>https://permalinkbnd.bnportugal.gov.pt/viewer/280465/?offset=#page=157&amp;viewer=picture&amp;o=info&amp;n=0&amp;q=</v>
      </c>
      <c r="K383" s="1" t="s">
        <v>542</v>
      </c>
      <c r="L383" s="1" t="str">
        <f>VLOOKUP(A383,Folha2!$A$2:$B$2019,2,FALSE)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3" s="12" t="str">
        <f t="shared" si="11"/>
        <v>https://permalinkbnd.bnportugal.gov.pt/viewer/280465/?offset=#page=157&amp;viewer=picture&amp;o=info&amp;n=0&amp;q=</v>
      </c>
      <c r="N383" s="12" t="s">
        <v>1497</v>
      </c>
      <c r="O383" s="12" t="str">
        <f>CONCATENATE(N383,A383,"\",B383,"\",C383,".jpg")</f>
        <v>C:\Users\mbaptista\OneDrive - Biblioteca Nacional de Portugal\Documentos\python\camoniana\imagens\capas\851358\1\157.jpg</v>
      </c>
      <c r="P383" s="12" t="str">
        <f>HYPERLINK(O383)</f>
        <v>C:\Users\mbaptista\OneDrive - Biblioteca Nacional de Portugal\Documentos\python\camoniana\imagens\capas\851358\1\157.jpg</v>
      </c>
      <c r="Q383" s="12"/>
      <c r="R383" s="6" t="s">
        <v>550</v>
      </c>
      <c r="S383" s="4"/>
      <c r="T383" s="1" t="s">
        <v>543</v>
      </c>
      <c r="U383" s="13"/>
      <c r="V383" s="13"/>
      <c r="W383" s="5" t="s">
        <v>1491</v>
      </c>
    </row>
    <row r="384" spans="1:23" ht="75">
      <c r="A384" s="1">
        <v>851358</v>
      </c>
      <c r="B384" s="1">
        <v>1</v>
      </c>
      <c r="C384" s="1">
        <v>159</v>
      </c>
      <c r="D384" s="2" t="s">
        <v>541</v>
      </c>
      <c r="E384" s="5" t="s">
        <v>541</v>
      </c>
      <c r="F384" s="5">
        <v>280465</v>
      </c>
      <c r="G384" s="2" t="s">
        <v>1494</v>
      </c>
      <c r="H384" s="2" t="s">
        <v>1495</v>
      </c>
      <c r="I384" s="2" t="s">
        <v>1496</v>
      </c>
      <c r="J384" s="2" t="str">
        <f t="shared" si="10"/>
        <v>https://permalinkbnd.bnportugal.gov.pt/viewer/280465/?offset=#page=159&amp;viewer=picture&amp;o=info&amp;n=0&amp;q=</v>
      </c>
      <c r="K384" s="1" t="s">
        <v>542</v>
      </c>
      <c r="L384" s="1" t="str">
        <f>VLOOKUP(A384,Folha2!$A$2:$B$2019,2,FALSE)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4" s="12" t="str">
        <f t="shared" si="11"/>
        <v>https://permalinkbnd.bnportugal.gov.pt/viewer/280465/?offset=#page=159&amp;viewer=picture&amp;o=info&amp;n=0&amp;q=</v>
      </c>
      <c r="N384" s="12" t="s">
        <v>1497</v>
      </c>
      <c r="O384" s="12" t="str">
        <f>CONCATENATE(N384,A384,"\",B384,"\",C384,".jpg")</f>
        <v>C:\Users\mbaptista\OneDrive - Biblioteca Nacional de Portugal\Documentos\python\camoniana\imagens\capas\851358\1\159.jpg</v>
      </c>
      <c r="P384" s="12" t="str">
        <f>HYPERLINK(O384)</f>
        <v>C:\Users\mbaptista\OneDrive - Biblioteca Nacional de Portugal\Documentos\python\camoniana\imagens\capas\851358\1\159.jpg</v>
      </c>
      <c r="Q384" s="12"/>
      <c r="R384" s="6" t="s">
        <v>551</v>
      </c>
      <c r="S384" s="4"/>
      <c r="T384" s="1" t="s">
        <v>543</v>
      </c>
      <c r="U384" s="13"/>
      <c r="V384" s="13"/>
      <c r="W384" s="5" t="s">
        <v>1491</v>
      </c>
    </row>
    <row r="385" spans="1:23" ht="75">
      <c r="A385" s="1">
        <v>851358</v>
      </c>
      <c r="B385" s="1">
        <v>1</v>
      </c>
      <c r="C385" s="1">
        <v>192</v>
      </c>
      <c r="D385" s="2" t="s">
        <v>541</v>
      </c>
      <c r="E385" s="11" t="s">
        <v>541</v>
      </c>
      <c r="F385" s="11">
        <v>280465</v>
      </c>
      <c r="G385" s="2" t="s">
        <v>1494</v>
      </c>
      <c r="H385" s="2" t="s">
        <v>1495</v>
      </c>
      <c r="I385" s="2" t="s">
        <v>1496</v>
      </c>
      <c r="J385" s="2" t="str">
        <f t="shared" si="10"/>
        <v>https://permalinkbnd.bnportugal.gov.pt/viewer/280465/?offset=#page=192&amp;viewer=picture&amp;o=info&amp;n=0&amp;q=</v>
      </c>
      <c r="K385" s="1" t="s">
        <v>542</v>
      </c>
      <c r="L385" s="1" t="str">
        <f>VLOOKUP(A385,Folha2!$A$2:$B$2019,2,FALSE)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5" s="12" t="str">
        <f t="shared" si="11"/>
        <v>https://permalinkbnd.bnportugal.gov.pt/viewer/280465/?offset=#page=192&amp;viewer=picture&amp;o=info&amp;n=0&amp;q=</v>
      </c>
      <c r="N385" s="12" t="s">
        <v>1497</v>
      </c>
      <c r="O385" s="12" t="str">
        <f>CONCATENATE(N385,A385,"\",B385,"\",C385,".jpg")</f>
        <v>C:\Users\mbaptista\OneDrive - Biblioteca Nacional de Portugal\Documentos\python\camoniana\imagens\capas\851358\1\192.jpg</v>
      </c>
      <c r="P385" s="12" t="str">
        <f>HYPERLINK(O385)</f>
        <v>C:\Users\mbaptista\OneDrive - Biblioteca Nacional de Portugal\Documentos\python\camoniana\imagens\capas\851358\1\192.jpg</v>
      </c>
      <c r="Q385" s="12"/>
      <c r="R385" s="6" t="s">
        <v>552</v>
      </c>
      <c r="S385" s="4"/>
      <c r="T385" s="1" t="s">
        <v>543</v>
      </c>
      <c r="U385" s="13"/>
      <c r="V385" s="13"/>
      <c r="W385" s="5" t="s">
        <v>1491</v>
      </c>
    </row>
    <row r="386" spans="1:23" ht="75">
      <c r="A386" s="1">
        <v>851358</v>
      </c>
      <c r="B386" s="1">
        <v>1</v>
      </c>
      <c r="C386" s="1">
        <v>193</v>
      </c>
      <c r="D386" s="2" t="s">
        <v>541</v>
      </c>
      <c r="E386" s="5" t="s">
        <v>541</v>
      </c>
      <c r="F386" s="5">
        <v>280465</v>
      </c>
      <c r="G386" s="2" t="s">
        <v>1494</v>
      </c>
      <c r="H386" s="2" t="s">
        <v>1495</v>
      </c>
      <c r="I386" s="2" t="s">
        <v>1496</v>
      </c>
      <c r="J386" s="2" t="str">
        <f t="shared" ref="J386:J449" si="12">CONCATENATE(G386,F386,H386,C386,I386)</f>
        <v>https://permalinkbnd.bnportugal.gov.pt/viewer/280465/?offset=#page=193&amp;viewer=picture&amp;o=info&amp;n=0&amp;q=</v>
      </c>
      <c r="K386" s="1" t="s">
        <v>542</v>
      </c>
      <c r="L386" s="1" t="str">
        <f>VLOOKUP(A386,Folha2!$A$2:$B$2019,2,FALSE)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6" s="12" t="str">
        <f t="shared" ref="M386:M449" si="13">HYPERLINK(J386)</f>
        <v>https://permalinkbnd.bnportugal.gov.pt/viewer/280465/?offset=#page=193&amp;viewer=picture&amp;o=info&amp;n=0&amp;q=</v>
      </c>
      <c r="N386" s="12" t="s">
        <v>1497</v>
      </c>
      <c r="O386" s="12" t="str">
        <f>CONCATENATE(N386,A386,"\",B386,"\",C386,".jpg")</f>
        <v>C:\Users\mbaptista\OneDrive - Biblioteca Nacional de Portugal\Documentos\python\camoniana\imagens\capas\851358\1\193.jpg</v>
      </c>
      <c r="P386" s="12" t="str">
        <f>HYPERLINK(O386)</f>
        <v>C:\Users\mbaptista\OneDrive - Biblioteca Nacional de Portugal\Documentos\python\camoniana\imagens\capas\851358\1\193.jpg</v>
      </c>
      <c r="Q386" s="12"/>
      <c r="R386" s="6" t="s">
        <v>553</v>
      </c>
      <c r="S386" s="4"/>
      <c r="T386" s="1" t="s">
        <v>543</v>
      </c>
      <c r="U386" s="13"/>
      <c r="V386" s="13"/>
      <c r="W386" s="5" t="s">
        <v>1491</v>
      </c>
    </row>
    <row r="387" spans="1:23" ht="75">
      <c r="A387" s="1">
        <v>851358</v>
      </c>
      <c r="B387" s="1">
        <v>1</v>
      </c>
      <c r="C387" s="1">
        <v>226</v>
      </c>
      <c r="D387" s="2" t="s">
        <v>541</v>
      </c>
      <c r="E387" s="11" t="s">
        <v>541</v>
      </c>
      <c r="F387" s="11">
        <v>280465</v>
      </c>
      <c r="G387" s="2" t="s">
        <v>1494</v>
      </c>
      <c r="H387" s="2" t="s">
        <v>1495</v>
      </c>
      <c r="I387" s="2" t="s">
        <v>1496</v>
      </c>
      <c r="J387" s="2" t="str">
        <f t="shared" si="12"/>
        <v>https://permalinkbnd.bnportugal.gov.pt/viewer/280465/?offset=#page=226&amp;viewer=picture&amp;o=info&amp;n=0&amp;q=</v>
      </c>
      <c r="K387" s="1" t="s">
        <v>542</v>
      </c>
      <c r="L387" s="1" t="str">
        <f>VLOOKUP(A387,Folha2!$A$2:$B$2019,2,FALSE)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7" s="12" t="str">
        <f t="shared" si="13"/>
        <v>https://permalinkbnd.bnportugal.gov.pt/viewer/280465/?offset=#page=226&amp;viewer=picture&amp;o=info&amp;n=0&amp;q=</v>
      </c>
      <c r="N387" s="12" t="s">
        <v>1497</v>
      </c>
      <c r="O387" s="12" t="str">
        <f>CONCATENATE(N387,A387,"\",B387,"\",C387,".jpg")</f>
        <v>C:\Users\mbaptista\OneDrive - Biblioteca Nacional de Portugal\Documentos\python\camoniana\imagens\capas\851358\1\226.jpg</v>
      </c>
      <c r="P387" s="12" t="str">
        <f>HYPERLINK(O387)</f>
        <v>C:\Users\mbaptista\OneDrive - Biblioteca Nacional de Portugal\Documentos\python\camoniana\imagens\capas\851358\1\226.jpg</v>
      </c>
      <c r="Q387" s="12"/>
      <c r="R387" s="6" t="s">
        <v>554</v>
      </c>
      <c r="S387" s="4"/>
      <c r="T387" s="1" t="s">
        <v>543</v>
      </c>
      <c r="U387" s="13"/>
      <c r="V387" s="13"/>
      <c r="W387" s="5" t="s">
        <v>1491</v>
      </c>
    </row>
    <row r="388" spans="1:23" ht="75">
      <c r="A388" s="1">
        <v>851358</v>
      </c>
      <c r="B388" s="1">
        <v>1</v>
      </c>
      <c r="C388" s="1">
        <v>281</v>
      </c>
      <c r="D388" s="2" t="s">
        <v>541</v>
      </c>
      <c r="E388" s="5" t="s">
        <v>541</v>
      </c>
      <c r="F388" s="5">
        <v>280465</v>
      </c>
      <c r="G388" s="2" t="s">
        <v>1494</v>
      </c>
      <c r="H388" s="2" t="s">
        <v>1495</v>
      </c>
      <c r="I388" s="2" t="s">
        <v>1496</v>
      </c>
      <c r="J388" s="2" t="str">
        <f t="shared" si="12"/>
        <v>https://permalinkbnd.bnportugal.gov.pt/viewer/280465/?offset=#page=281&amp;viewer=picture&amp;o=info&amp;n=0&amp;q=</v>
      </c>
      <c r="K388" s="1" t="s">
        <v>542</v>
      </c>
      <c r="L388" s="1" t="str">
        <f>VLOOKUP(A388,Folha2!$A$2:$B$2019,2,FALSE)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8" s="12" t="str">
        <f t="shared" si="13"/>
        <v>https://permalinkbnd.bnportugal.gov.pt/viewer/280465/?offset=#page=281&amp;viewer=picture&amp;o=info&amp;n=0&amp;q=</v>
      </c>
      <c r="N388" s="12" t="s">
        <v>1497</v>
      </c>
      <c r="O388" s="12" t="str">
        <f>CONCATENATE(N388,A388,"\",B388,"\",C388,".jpg")</f>
        <v>C:\Users\mbaptista\OneDrive - Biblioteca Nacional de Portugal\Documentos\python\camoniana\imagens\capas\851358\1\281.jpg</v>
      </c>
      <c r="P388" s="12" t="str">
        <f>HYPERLINK(O388)</f>
        <v>C:\Users\mbaptista\OneDrive - Biblioteca Nacional de Portugal\Documentos\python\camoniana\imagens\capas\851358\1\281.jpg</v>
      </c>
      <c r="Q388" s="12"/>
      <c r="R388" s="6" t="s">
        <v>555</v>
      </c>
      <c r="S388" s="4"/>
      <c r="T388" s="1" t="s">
        <v>543</v>
      </c>
      <c r="U388" s="13"/>
      <c r="V388" s="13"/>
      <c r="W388" s="5" t="s">
        <v>1491</v>
      </c>
    </row>
    <row r="389" spans="1:23" ht="75">
      <c r="A389" s="1">
        <v>851358</v>
      </c>
      <c r="B389" s="1">
        <v>1</v>
      </c>
      <c r="C389" s="1">
        <v>294</v>
      </c>
      <c r="D389" s="2" t="s">
        <v>541</v>
      </c>
      <c r="E389" s="11" t="s">
        <v>541</v>
      </c>
      <c r="F389" s="11">
        <v>280465</v>
      </c>
      <c r="G389" s="2" t="s">
        <v>1494</v>
      </c>
      <c r="H389" s="2" t="s">
        <v>1495</v>
      </c>
      <c r="I389" s="2" t="s">
        <v>1496</v>
      </c>
      <c r="J389" s="2" t="str">
        <f t="shared" si="12"/>
        <v>https://permalinkbnd.bnportugal.gov.pt/viewer/280465/?offset=#page=294&amp;viewer=picture&amp;o=info&amp;n=0&amp;q=</v>
      </c>
      <c r="K389" s="1" t="s">
        <v>542</v>
      </c>
      <c r="L389" s="1" t="str">
        <f>VLOOKUP(A389,Folha2!$A$2:$B$2019,2,FALSE)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9" s="12" t="str">
        <f t="shared" si="13"/>
        <v>https://permalinkbnd.bnportugal.gov.pt/viewer/280465/?offset=#page=294&amp;viewer=picture&amp;o=info&amp;n=0&amp;q=</v>
      </c>
      <c r="N389" s="12" t="s">
        <v>1497</v>
      </c>
      <c r="O389" s="12" t="str">
        <f>CONCATENATE(N389,A389,"\",B389,"\",C389,".jpg")</f>
        <v>C:\Users\mbaptista\OneDrive - Biblioteca Nacional de Portugal\Documentos\python\camoniana\imagens\capas\851358\1\294.jpg</v>
      </c>
      <c r="P389" s="12" t="str">
        <f>HYPERLINK(O389)</f>
        <v>C:\Users\mbaptista\OneDrive - Biblioteca Nacional de Portugal\Documentos\python\camoniana\imagens\capas\851358\1\294.jpg</v>
      </c>
      <c r="Q389" s="12"/>
      <c r="R389" s="6" t="s">
        <v>556</v>
      </c>
      <c r="S389" s="4"/>
      <c r="T389" s="1" t="s">
        <v>543</v>
      </c>
      <c r="U389" s="13"/>
      <c r="V389" s="13"/>
      <c r="W389" s="5" t="s">
        <v>1491</v>
      </c>
    </row>
    <row r="390" spans="1:23" ht="75">
      <c r="A390" s="1">
        <v>851358</v>
      </c>
      <c r="B390" s="1">
        <v>1</v>
      </c>
      <c r="C390" s="1">
        <v>325</v>
      </c>
      <c r="D390" s="2" t="s">
        <v>541</v>
      </c>
      <c r="E390" s="5" t="s">
        <v>541</v>
      </c>
      <c r="F390" s="5">
        <v>280465</v>
      </c>
      <c r="G390" s="2" t="s">
        <v>1494</v>
      </c>
      <c r="H390" s="2" t="s">
        <v>1495</v>
      </c>
      <c r="I390" s="2" t="s">
        <v>1496</v>
      </c>
      <c r="J390" s="2" t="str">
        <f t="shared" si="12"/>
        <v>https://permalinkbnd.bnportugal.gov.pt/viewer/280465/?offset=#page=325&amp;viewer=picture&amp;o=info&amp;n=0&amp;q=</v>
      </c>
      <c r="K390" s="1" t="s">
        <v>542</v>
      </c>
      <c r="L390" s="1" t="str">
        <f>VLOOKUP(A390,Folha2!$A$2:$B$2019,2,FALSE)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0" s="12" t="str">
        <f t="shared" si="13"/>
        <v>https://permalinkbnd.bnportugal.gov.pt/viewer/280465/?offset=#page=325&amp;viewer=picture&amp;o=info&amp;n=0&amp;q=</v>
      </c>
      <c r="N390" s="12" t="s">
        <v>1497</v>
      </c>
      <c r="O390" s="12" t="str">
        <f>CONCATENATE(N390,A390,"\",B390,"\",C390,".jpg")</f>
        <v>C:\Users\mbaptista\OneDrive - Biblioteca Nacional de Portugal\Documentos\python\camoniana\imagens\capas\851358\1\325.jpg</v>
      </c>
      <c r="P390" s="12" t="str">
        <f>HYPERLINK(O390)</f>
        <v>C:\Users\mbaptista\OneDrive - Biblioteca Nacional de Portugal\Documentos\python\camoniana\imagens\capas\851358\1\325.jpg</v>
      </c>
      <c r="Q390" s="12"/>
      <c r="R390" s="6" t="s">
        <v>557</v>
      </c>
      <c r="S390" s="4"/>
      <c r="T390" s="1" t="s">
        <v>543</v>
      </c>
      <c r="U390" s="13"/>
      <c r="V390" s="13"/>
      <c r="W390" s="5" t="s">
        <v>1491</v>
      </c>
    </row>
    <row r="391" spans="1:23" ht="75">
      <c r="A391" s="1">
        <v>851358</v>
      </c>
      <c r="B391" s="1">
        <v>1</v>
      </c>
      <c r="C391" s="1">
        <v>468</v>
      </c>
      <c r="D391" s="2" t="s">
        <v>541</v>
      </c>
      <c r="E391" s="11" t="s">
        <v>541</v>
      </c>
      <c r="F391" s="11">
        <v>280465</v>
      </c>
      <c r="G391" s="2" t="s">
        <v>1494</v>
      </c>
      <c r="H391" s="2" t="s">
        <v>1495</v>
      </c>
      <c r="I391" s="2" t="s">
        <v>1496</v>
      </c>
      <c r="J391" s="2" t="str">
        <f t="shared" si="12"/>
        <v>https://permalinkbnd.bnportugal.gov.pt/viewer/280465/?offset=#page=468&amp;viewer=picture&amp;o=info&amp;n=0&amp;q=</v>
      </c>
      <c r="K391" s="1" t="s">
        <v>542</v>
      </c>
      <c r="L391" s="1" t="str">
        <f>VLOOKUP(A391,Folha2!$A$2:$B$2019,2,FALSE)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1" s="12" t="str">
        <f t="shared" si="13"/>
        <v>https://permalinkbnd.bnportugal.gov.pt/viewer/280465/?offset=#page=468&amp;viewer=picture&amp;o=info&amp;n=0&amp;q=</v>
      </c>
      <c r="N391" s="12" t="s">
        <v>1497</v>
      </c>
      <c r="O391" s="12" t="str">
        <f>CONCATENATE(N391,A391,"\",B391,"\",C391,".jpg")</f>
        <v>C:\Users\mbaptista\OneDrive - Biblioteca Nacional de Portugal\Documentos\python\camoniana\imagens\capas\851358\1\468.jpg</v>
      </c>
      <c r="P391" s="12" t="str">
        <f>HYPERLINK(O391)</f>
        <v>C:\Users\mbaptista\OneDrive - Biblioteca Nacional de Portugal\Documentos\python\camoniana\imagens\capas\851358\1\468.jpg</v>
      </c>
      <c r="Q391" s="12"/>
      <c r="R391" s="6" t="s">
        <v>558</v>
      </c>
      <c r="S391" s="4"/>
      <c r="T391" s="1" t="s">
        <v>543</v>
      </c>
      <c r="U391" s="13"/>
      <c r="V391" s="13"/>
      <c r="W391" s="5" t="s">
        <v>1491</v>
      </c>
    </row>
    <row r="392" spans="1:23" ht="75">
      <c r="A392" s="3">
        <v>851358</v>
      </c>
      <c r="B392" s="3">
        <v>1</v>
      </c>
      <c r="C392" s="3">
        <v>500</v>
      </c>
      <c r="D392" s="2" t="s">
        <v>541</v>
      </c>
      <c r="E392" s="5" t="s">
        <v>541</v>
      </c>
      <c r="F392" s="5">
        <v>280465</v>
      </c>
      <c r="G392" s="2" t="s">
        <v>1494</v>
      </c>
      <c r="H392" s="2" t="s">
        <v>1495</v>
      </c>
      <c r="I392" s="2" t="s">
        <v>1496</v>
      </c>
      <c r="J392" s="2" t="str">
        <f t="shared" si="12"/>
        <v>https://permalinkbnd.bnportugal.gov.pt/viewer/280465/?offset=#page=500&amp;viewer=picture&amp;o=info&amp;n=0&amp;q=</v>
      </c>
      <c r="K392" s="3" t="s">
        <v>542</v>
      </c>
      <c r="L392" s="1" t="str">
        <f>VLOOKUP(A392,Folha2!$A$2:$B$2019,2,FALSE)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2" s="12" t="str">
        <f t="shared" si="13"/>
        <v>https://permalinkbnd.bnportugal.gov.pt/viewer/280465/?offset=#page=500&amp;viewer=picture&amp;o=info&amp;n=0&amp;q=</v>
      </c>
      <c r="N392" s="12" t="s">
        <v>1497</v>
      </c>
      <c r="O392" s="12" t="str">
        <f>CONCATENATE(N392,A392,"\",B392,"\",C392,".jpg")</f>
        <v>C:\Users\mbaptista\OneDrive - Biblioteca Nacional de Portugal\Documentos\python\camoniana\imagens\capas\851358\1\500.jpg</v>
      </c>
      <c r="P392" s="12" t="str">
        <f>HYPERLINK(O392)</f>
        <v>C:\Users\mbaptista\OneDrive - Biblioteca Nacional de Portugal\Documentos\python\camoniana\imagens\capas\851358\1\500.jpg</v>
      </c>
      <c r="Q392" s="12"/>
      <c r="R392" s="6" t="s">
        <v>559</v>
      </c>
      <c r="S392" s="4"/>
      <c r="T392" s="3" t="s">
        <v>543</v>
      </c>
      <c r="U392" s="3"/>
      <c r="V392" s="3"/>
      <c r="W392" s="5" t="s">
        <v>1491</v>
      </c>
    </row>
    <row r="393" spans="1:23" ht="75">
      <c r="A393" s="1">
        <v>851957</v>
      </c>
      <c r="B393" s="1">
        <v>1</v>
      </c>
      <c r="C393" s="1">
        <v>5</v>
      </c>
      <c r="D393" s="2" t="s">
        <v>560</v>
      </c>
      <c r="E393" s="11" t="s">
        <v>560</v>
      </c>
      <c r="F393" s="11">
        <v>275169</v>
      </c>
      <c r="G393" s="2" t="s">
        <v>1494</v>
      </c>
      <c r="H393" s="2" t="s">
        <v>1495</v>
      </c>
      <c r="I393" s="2" t="s">
        <v>1496</v>
      </c>
      <c r="J393" s="2" t="str">
        <f t="shared" si="12"/>
        <v>https://permalinkbnd.bnportugal.gov.pt/viewer/275169/?offset=#page=5&amp;viewer=picture&amp;o=info&amp;n=0&amp;q=</v>
      </c>
      <c r="K393" s="1">
        <v>5</v>
      </c>
      <c r="L393" s="1" t="str">
        <f>VLOOKUP(A393,Folha2!$A$2:$B$2019,2,FALSE)</f>
        <v>Joaquim dos Anjos. A Camões. Poesia recitada pelo actor Salazar no Teatro da Rua dos Condes. Lisboa. 1880. Celebrações (1880), recepção criativa, tematização.</v>
      </c>
      <c r="M393" s="12" t="str">
        <f t="shared" si="13"/>
        <v>https://permalinkbnd.bnportugal.gov.pt/viewer/275169/?offset=#page=5&amp;viewer=picture&amp;o=info&amp;n=0&amp;q=</v>
      </c>
      <c r="N393" s="12" t="s">
        <v>1497</v>
      </c>
      <c r="O393" s="12" t="str">
        <f>CONCATENATE(N393,A393,"\",B393,"\",C393,".jpg")</f>
        <v>C:\Users\mbaptista\OneDrive - Biblioteca Nacional de Portugal\Documentos\python\camoniana\imagens\capas\851957\1\5.jpg</v>
      </c>
      <c r="P393" s="12" t="str">
        <f>HYPERLINK(O393)</f>
        <v>C:\Users\mbaptista\OneDrive - Biblioteca Nacional de Portugal\Documentos\python\camoniana\imagens\capas\851957\1\5.jpg</v>
      </c>
      <c r="Q393" s="12"/>
      <c r="R393" s="6" t="s">
        <v>561</v>
      </c>
      <c r="S393" s="4"/>
      <c r="T393" s="1">
        <v>5</v>
      </c>
      <c r="U393" s="13"/>
      <c r="V393" s="13"/>
      <c r="W393" s="5" t="s">
        <v>1491</v>
      </c>
    </row>
    <row r="394" spans="1:23" ht="75">
      <c r="A394" s="1">
        <v>780308</v>
      </c>
      <c r="B394" s="1">
        <v>1</v>
      </c>
      <c r="C394" s="1">
        <v>5</v>
      </c>
      <c r="D394" s="2" t="s">
        <v>562</v>
      </c>
      <c r="E394" s="5" t="s">
        <v>562</v>
      </c>
      <c r="F394" s="5">
        <v>275164</v>
      </c>
      <c r="G394" s="2" t="s">
        <v>1494</v>
      </c>
      <c r="H394" s="2" t="s">
        <v>1495</v>
      </c>
      <c r="I394" s="2" t="s">
        <v>1496</v>
      </c>
      <c r="J394" s="2" t="str">
        <f t="shared" si="12"/>
        <v>https://permalinkbnd.bnportugal.gov.pt/viewer/275164/?offset=#page=5&amp;viewer=picture&amp;o=info&amp;n=0&amp;q=</v>
      </c>
      <c r="K394" s="1">
        <v>5</v>
      </c>
      <c r="L394" s="1" t="str">
        <f>VLOOKUP(A394,Folha2!$A$2:$B$2019,2,FALSE)</f>
        <v>Antonia Pusich. Homenagem a Luís de Camões. Lisboa. 1880. [poema, com notas e conclusão, contém epígrafe, Os Lusíadas, Canto I: X]. Celebrações (1880), Recepção criativa, tematização.</v>
      </c>
      <c r="M394" s="12" t="str">
        <f t="shared" si="13"/>
        <v>https://permalinkbnd.bnportugal.gov.pt/viewer/275164/?offset=#page=5&amp;viewer=picture&amp;o=info&amp;n=0&amp;q=</v>
      </c>
      <c r="N394" s="12" t="s">
        <v>1497</v>
      </c>
      <c r="O394" s="12" t="str">
        <f>CONCATENATE(N394,A394,"\",B394,"\",C394,".jpg")</f>
        <v>C:\Users\mbaptista\OneDrive - Biblioteca Nacional de Portugal\Documentos\python\camoniana\imagens\capas\780308\1\5.jpg</v>
      </c>
      <c r="P394" s="12" t="str">
        <f>HYPERLINK(O394)</f>
        <v>C:\Users\mbaptista\OneDrive - Biblioteca Nacional de Portugal\Documentos\python\camoniana\imagens\capas\780308\1\5.jpg</v>
      </c>
      <c r="Q394" s="12"/>
      <c r="R394" s="6" t="s">
        <v>563</v>
      </c>
      <c r="S394" s="4"/>
      <c r="T394" s="1">
        <v>5</v>
      </c>
      <c r="U394" s="13"/>
      <c r="V394" s="13"/>
      <c r="W394" s="5" t="s">
        <v>1491</v>
      </c>
    </row>
    <row r="395" spans="1:23" ht="75">
      <c r="A395" s="1">
        <v>852081</v>
      </c>
      <c r="B395" s="1">
        <v>1</v>
      </c>
      <c r="C395" s="1">
        <v>4</v>
      </c>
      <c r="D395" s="2" t="s">
        <v>564</v>
      </c>
      <c r="E395" s="11" t="s">
        <v>564</v>
      </c>
      <c r="F395" s="11">
        <v>275364</v>
      </c>
      <c r="G395" s="2" t="s">
        <v>1494</v>
      </c>
      <c r="H395" s="2" t="s">
        <v>1495</v>
      </c>
      <c r="I395" s="2" t="s">
        <v>1496</v>
      </c>
      <c r="J395" s="2" t="str">
        <f t="shared" si="12"/>
        <v>https://permalinkbnd.bnportugal.gov.pt/viewer/275364/?offset=#page=4&amp;viewer=picture&amp;o=info&amp;n=0&amp;q=</v>
      </c>
      <c r="K395" s="1" t="s">
        <v>565</v>
      </c>
      <c r="L395" s="1" t="str">
        <f>VLOOKUP(A395,Folha2!$A$2:$B$2019,2,FALSE)</f>
        <v>AA. VV. Homenagem a Luís de Camões: sessão solene da Associação Tipográfica Lisbonense para comemorar o Tricentenário.  Lisboa. 1880. Celebrações (1880), recepção criativa, tematização.</v>
      </c>
      <c r="M395" s="12" t="str">
        <f t="shared" si="13"/>
        <v>https://permalinkbnd.bnportugal.gov.pt/viewer/275364/?offset=#page=4&amp;viewer=picture&amp;o=info&amp;n=0&amp;q=</v>
      </c>
      <c r="N395" s="12" t="s">
        <v>1497</v>
      </c>
      <c r="O395" s="12" t="str">
        <f>CONCATENATE(N395,A395,"\",B395,"\",C395,".jpg")</f>
        <v>C:\Users\mbaptista\OneDrive - Biblioteca Nacional de Portugal\Documentos\python\camoniana\imagens\capas\852081\1\4.jpg</v>
      </c>
      <c r="P395" s="12" t="str">
        <f>HYPERLINK(O395)</f>
        <v>C:\Users\mbaptista\OneDrive - Biblioteca Nacional de Portugal\Documentos\python\camoniana\imagens\capas\852081\1\4.jpg</v>
      </c>
      <c r="Q395" s="12"/>
      <c r="R395" s="6" t="s">
        <v>566</v>
      </c>
      <c r="S395" s="4"/>
      <c r="T395" s="1">
        <v>4</v>
      </c>
      <c r="U395" s="13"/>
      <c r="V395" s="13"/>
      <c r="W395" s="5" t="s">
        <v>1491</v>
      </c>
    </row>
    <row r="396" spans="1:23" ht="75">
      <c r="A396" s="1">
        <v>352640</v>
      </c>
      <c r="B396" s="1">
        <v>1</v>
      </c>
      <c r="C396" s="1">
        <v>6</v>
      </c>
      <c r="D396" s="2" t="s">
        <v>567</v>
      </c>
      <c r="E396" s="5" t="s">
        <v>567</v>
      </c>
      <c r="F396" s="5">
        <v>279243</v>
      </c>
      <c r="G396" s="2" t="s">
        <v>1494</v>
      </c>
      <c r="H396" s="2" t="s">
        <v>1495</v>
      </c>
      <c r="I396" s="2" t="s">
        <v>1496</v>
      </c>
      <c r="J396" s="2" t="str">
        <f t="shared" si="12"/>
        <v>https://permalinkbnd.bnportugal.gov.pt/viewer/279243/?offset=#page=6&amp;viewer=picture&amp;o=info&amp;n=0&amp;q=</v>
      </c>
      <c r="K396" s="1">
        <v>6</v>
      </c>
      <c r="L396" s="1" t="str">
        <f>VLOOKUP(A396,Folha2!$A$2:$B$2019,2,FALSE)</f>
        <v>Scénes de la nature sous les Tropiques et de leur influence sur la poesie : suivies de Camoens et Jozé Indio / par Ferdinand Denis.... - Paris : Chez Louis Janet, 1824. Estudo contém referências a Camões; poema final a Camões da autoria de Raynouard e notas finais.</v>
      </c>
      <c r="M396" s="12" t="str">
        <f t="shared" si="13"/>
        <v>https://permalinkbnd.bnportugal.gov.pt/viewer/279243/?offset=#page=6&amp;viewer=picture&amp;o=info&amp;n=0&amp;q=</v>
      </c>
      <c r="N396" s="12" t="s">
        <v>1497</v>
      </c>
      <c r="O396" s="12" t="str">
        <f>CONCATENATE(N396,A396,"\",B396,"\",C396,".jpg")</f>
        <v>C:\Users\mbaptista\OneDrive - Biblioteca Nacional de Portugal\Documentos\python\camoniana\imagens\capas\352640\1\6.jpg</v>
      </c>
      <c r="P396" s="12" t="str">
        <f>HYPERLINK(O396)</f>
        <v>C:\Users\mbaptista\OneDrive - Biblioteca Nacional de Portugal\Documentos\python\camoniana\imagens\capas\352640\1\6.jpg</v>
      </c>
      <c r="Q396" s="12"/>
      <c r="R396" s="6" t="s">
        <v>568</v>
      </c>
      <c r="S396" s="4"/>
      <c r="T396" s="1">
        <v>6</v>
      </c>
      <c r="U396" s="13"/>
      <c r="V396" s="13"/>
      <c r="W396" s="5" t="s">
        <v>1491</v>
      </c>
    </row>
    <row r="397" spans="1:23" ht="75">
      <c r="A397" s="1">
        <v>943524</v>
      </c>
      <c r="B397" s="1">
        <v>1</v>
      </c>
      <c r="C397" s="1">
        <v>6</v>
      </c>
      <c r="D397" s="2" t="s">
        <v>569</v>
      </c>
      <c r="E397" s="11" t="s">
        <v>569</v>
      </c>
      <c r="F397" s="11">
        <v>279232</v>
      </c>
      <c r="G397" s="2" t="s">
        <v>1494</v>
      </c>
      <c r="H397" s="2" t="s">
        <v>1495</v>
      </c>
      <c r="I397" s="2" t="s">
        <v>1496</v>
      </c>
      <c r="J397" s="2" t="str">
        <f t="shared" si="12"/>
        <v>https://permalinkbnd.bnportugal.gov.pt/viewer/279232/?offset=#page=6&amp;viewer=picture&amp;o=info&amp;n=0&amp;q=</v>
      </c>
      <c r="K397" s="1" t="s">
        <v>570</v>
      </c>
      <c r="L397" s="1" t="str">
        <f>VLOOKUP(A397,Folha2!$A$2:$B$2019,2,FALSE)</f>
        <v>Nova Castro : tragedia / João Baptista Gomes Junior. - 4ª edição, correcta e augmentada. - Lisboa : Imp. Regia, 1817.</v>
      </c>
      <c r="M397" s="12" t="str">
        <f t="shared" si="13"/>
        <v>https://permalinkbnd.bnportugal.gov.pt/viewer/279232/?offset=#page=6&amp;viewer=picture&amp;o=info&amp;n=0&amp;q=</v>
      </c>
      <c r="N397" s="12" t="s">
        <v>1497</v>
      </c>
      <c r="O397" s="12" t="str">
        <f>CONCATENATE(N397,A397,"\",B397,"\",C397,".jpg")</f>
        <v>C:\Users\mbaptista\OneDrive - Biblioteca Nacional de Portugal\Documentos\python\camoniana\imagens\capas\943524\1\6.jpg</v>
      </c>
      <c r="P397" s="12" t="str">
        <f>HYPERLINK(O397)</f>
        <v>C:\Users\mbaptista\OneDrive - Biblioteca Nacional de Portugal\Documentos\python\camoniana\imagens\capas\943524\1\6.jpg</v>
      </c>
      <c r="Q397" s="12"/>
      <c r="R397" s="6" t="s">
        <v>571</v>
      </c>
      <c r="S397" s="4"/>
      <c r="T397" s="1">
        <v>6</v>
      </c>
      <c r="U397" s="13"/>
      <c r="V397" s="13"/>
      <c r="W397" s="5" t="s">
        <v>1491</v>
      </c>
    </row>
    <row r="398" spans="1:23" ht="75">
      <c r="A398" s="1">
        <v>120404</v>
      </c>
      <c r="B398" s="1">
        <v>1</v>
      </c>
      <c r="C398" s="1">
        <v>1</v>
      </c>
      <c r="D398" s="2" t="s">
        <v>572</v>
      </c>
      <c r="E398" s="5" t="s">
        <v>572</v>
      </c>
      <c r="F398" s="5">
        <v>276120</v>
      </c>
      <c r="G398" s="2" t="s">
        <v>1494</v>
      </c>
      <c r="H398" s="2" t="s">
        <v>1495</v>
      </c>
      <c r="I398" s="2" t="s">
        <v>1496</v>
      </c>
      <c r="J398" s="2" t="str">
        <f t="shared" si="12"/>
        <v>https://permalinkbnd.bnportugal.gov.pt/viewer/276120/?offset=#page=1&amp;viewer=picture&amp;o=info&amp;n=0&amp;q=</v>
      </c>
      <c r="K398" s="1" t="s">
        <v>573</v>
      </c>
      <c r="L398" s="1" t="str">
        <f>VLOOKUP(A398,Folha2!$A$2:$B$2019,2,FALSE)</f>
        <v xml:space="preserve">Luís de Camões. Os Lusíadas, sem argumentos. Ed. popular gratuita da empresa do Diário de Notícias [reprodução crítica da 2.ª ed. de 1572]. Tricentenário da morte do Poeta dedicada aos assinantes e leitores. [Lisboa]. 1880. </v>
      </c>
      <c r="M398" s="12" t="str">
        <f t="shared" si="13"/>
        <v>https://permalinkbnd.bnportugal.gov.pt/viewer/276120/?offset=#page=1&amp;viewer=picture&amp;o=info&amp;n=0&amp;q=</v>
      </c>
      <c r="N398" s="12" t="s">
        <v>1497</v>
      </c>
      <c r="O398" s="12" t="str">
        <f>CONCATENATE(N398,A398,"\",B398,"\",C398,".jpg")</f>
        <v>C:\Users\mbaptista\OneDrive - Biblioteca Nacional de Portugal\Documentos\python\camoniana\imagens\capas\120404\1\1.jpg</v>
      </c>
      <c r="P398" s="12" t="str">
        <f>HYPERLINK(O398)</f>
        <v>C:\Users\mbaptista\OneDrive - Biblioteca Nacional de Portugal\Documentos\python\camoniana\imagens\capas\120404\1\1.jpg</v>
      </c>
      <c r="Q398" s="12"/>
      <c r="R398" s="6" t="s">
        <v>574</v>
      </c>
      <c r="S398" s="4"/>
      <c r="T398" s="1"/>
      <c r="U398" s="13"/>
      <c r="V398" s="13"/>
      <c r="W398" s="5" t="s">
        <v>1491</v>
      </c>
    </row>
    <row r="399" spans="1:23" ht="75">
      <c r="A399" s="1">
        <v>397864</v>
      </c>
      <c r="B399" s="1">
        <v>1</v>
      </c>
      <c r="C399" s="1">
        <v>10</v>
      </c>
      <c r="D399" s="2" t="s">
        <v>575</v>
      </c>
      <c r="E399" s="11" t="s">
        <v>575</v>
      </c>
      <c r="F399" s="11">
        <v>279340</v>
      </c>
      <c r="G399" s="2" t="s">
        <v>1494</v>
      </c>
      <c r="H399" s="2" t="s">
        <v>1495</v>
      </c>
      <c r="I399" s="2" t="s">
        <v>1496</v>
      </c>
      <c r="J399" s="2" t="str">
        <f t="shared" si="12"/>
        <v>https://permalinkbnd.bnportugal.gov.pt/viewer/279340/?offset=#page=10&amp;viewer=picture&amp;o=info&amp;n=0&amp;q=</v>
      </c>
      <c r="K399" s="1">
        <v>10</v>
      </c>
      <c r="L399" s="1" t="str">
        <f>VLOOKUP(A399,Folha2!$A$2:$B$2019,2,FALSE)</f>
        <v>Poems from the portuguese of Luis de Camoens : with remarks on his life and writings, notes, etc. / by Lord Viscount Strangford. - 5th ed. - London : J. Carpenter : C. Whittingham, 1808. [canções, madrigais, cantigas, estanças, sonetos, 3.ª parte da elegia + fragmento Canto VI de Os Lusíadas]</v>
      </c>
      <c r="M399" s="12" t="str">
        <f t="shared" si="13"/>
        <v>https://permalinkbnd.bnportugal.gov.pt/viewer/279340/?offset=#page=10&amp;viewer=picture&amp;o=info&amp;n=0&amp;q=</v>
      </c>
      <c r="N399" s="12" t="s">
        <v>1497</v>
      </c>
      <c r="O399" s="12" t="str">
        <f>CONCATENATE(N399,A399,"\",B399,"\",C399,".jpg")</f>
        <v>C:\Users\mbaptista\OneDrive - Biblioteca Nacional de Portugal\Documentos\python\camoniana\imagens\capas\397864\1\10.jpg</v>
      </c>
      <c r="P399" s="12" t="str">
        <f>HYPERLINK(O399)</f>
        <v>C:\Users\mbaptista\OneDrive - Biblioteca Nacional de Portugal\Documentos\python\camoniana\imagens\capas\397864\1\10.jpg</v>
      </c>
      <c r="Q399" s="12"/>
      <c r="R399" s="6" t="s">
        <v>576</v>
      </c>
      <c r="S399" s="4"/>
      <c r="T399" s="1">
        <v>10</v>
      </c>
      <c r="U399" s="13"/>
      <c r="V399" s="13"/>
      <c r="W399" s="5" t="s">
        <v>1491</v>
      </c>
    </row>
    <row r="400" spans="1:23" ht="75">
      <c r="A400" s="1">
        <v>256426</v>
      </c>
      <c r="B400" s="1">
        <v>1</v>
      </c>
      <c r="C400" s="1">
        <v>8</v>
      </c>
      <c r="D400" s="2" t="s">
        <v>577</v>
      </c>
      <c r="E400" s="5" t="s">
        <v>577</v>
      </c>
      <c r="F400" s="5">
        <v>276130</v>
      </c>
      <c r="G400" s="2" t="s">
        <v>1494</v>
      </c>
      <c r="H400" s="2" t="s">
        <v>1495</v>
      </c>
      <c r="I400" s="2" t="s">
        <v>1496</v>
      </c>
      <c r="J400" s="2" t="str">
        <f t="shared" si="12"/>
        <v>https://permalinkbnd.bnportugal.gov.pt/viewer/276130/?offset=#page=8&amp;viewer=picture&amp;o=info&amp;n=0&amp;q=</v>
      </c>
      <c r="K400" s="1" t="s">
        <v>578</v>
      </c>
      <c r="L400" s="1" t="str">
        <f>VLOOKUP(A400,Folha2!$A$2:$B$2019,2,FALSE)</f>
        <v>Luís de Camões. Os Lusíadas. Edição Agra &amp; Irmão. Rio de Janeiro. 1855. Paratextos argumentos, sem paratextos gerais.</v>
      </c>
      <c r="M400" s="12" t="str">
        <f t="shared" si="13"/>
        <v>https://permalinkbnd.bnportugal.gov.pt/viewer/276130/?offset=#page=8&amp;viewer=picture&amp;o=info&amp;n=0&amp;q=</v>
      </c>
      <c r="N400" s="12" t="s">
        <v>1497</v>
      </c>
      <c r="O400" s="12" t="str">
        <f>CONCATENATE(N400,A400,"\",B400,"\",C400,".jpg")</f>
        <v>C:\Users\mbaptista\OneDrive - Biblioteca Nacional de Portugal\Documentos\python\camoniana\imagens\capas\256426\1\8.jpg</v>
      </c>
      <c r="P400" s="12" t="str">
        <f>HYPERLINK(O400)</f>
        <v>C:\Users\mbaptista\OneDrive - Biblioteca Nacional de Portugal\Documentos\python\camoniana\imagens\capas\256426\1\8.jpg</v>
      </c>
      <c r="Q400" s="12"/>
      <c r="R400" s="6" t="s">
        <v>579</v>
      </c>
      <c r="S400" s="4"/>
      <c r="T400" s="1">
        <v>8</v>
      </c>
      <c r="U400" s="13"/>
      <c r="V400" s="13"/>
      <c r="W400" s="5" t="s">
        <v>1491</v>
      </c>
    </row>
    <row r="401" spans="1:23" ht="150">
      <c r="A401" s="1">
        <v>381260</v>
      </c>
      <c r="B401" s="1">
        <v>1</v>
      </c>
      <c r="C401" s="1">
        <v>9</v>
      </c>
      <c r="D401" s="2" t="s">
        <v>580</v>
      </c>
      <c r="E401" s="11" t="s">
        <v>580</v>
      </c>
      <c r="F401" s="11">
        <v>273100</v>
      </c>
      <c r="G401" s="2" t="s">
        <v>1494</v>
      </c>
      <c r="H401" s="2" t="s">
        <v>1495</v>
      </c>
      <c r="I401" s="2" t="s">
        <v>1496</v>
      </c>
      <c r="J401" s="2" t="str">
        <f t="shared" si="12"/>
        <v>https://permalinkbnd.bnportugal.gov.pt/viewer/273100/?offset=#page=9&amp;viewer=picture&amp;o=info&amp;n=0&amp;q=</v>
      </c>
      <c r="K401" s="1" t="s">
        <v>581</v>
      </c>
      <c r="L401" s="1" t="str">
        <f>VLOOKUP(A401,Folha2!$A$2:$B$2019,2,FALSE)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1" s="12" t="str">
        <f t="shared" si="13"/>
        <v>https://permalinkbnd.bnportugal.gov.pt/viewer/273100/?offset=#page=9&amp;viewer=picture&amp;o=info&amp;n=0&amp;q=</v>
      </c>
      <c r="N401" s="12" t="s">
        <v>1497</v>
      </c>
      <c r="O401" s="12" t="str">
        <f>CONCATENATE(N401,A401,"\",B401,"\",C401,".jpg")</f>
        <v>C:\Users\mbaptista\OneDrive - Biblioteca Nacional de Portugal\Documentos\python\camoniana\imagens\capas\381260\1\9.jpg</v>
      </c>
      <c r="P401" s="12" t="str">
        <f>HYPERLINK(O401)</f>
        <v>C:\Users\mbaptista\OneDrive - Biblioteca Nacional de Portugal\Documentos\python\camoniana\imagens\capas\381260\1\9.jpg</v>
      </c>
      <c r="Q401" s="12"/>
      <c r="R401" s="6" t="s">
        <v>583</v>
      </c>
      <c r="S401" s="4"/>
      <c r="T401" s="1" t="s">
        <v>582</v>
      </c>
      <c r="U401" s="13"/>
      <c r="V401" s="13"/>
      <c r="W401" s="5" t="s">
        <v>1491</v>
      </c>
    </row>
    <row r="402" spans="1:23" ht="150">
      <c r="A402" s="1">
        <v>381260</v>
      </c>
      <c r="B402" s="1">
        <v>1</v>
      </c>
      <c r="C402" s="1">
        <v>16</v>
      </c>
      <c r="D402" s="2" t="s">
        <v>580</v>
      </c>
      <c r="E402" s="5" t="s">
        <v>580</v>
      </c>
      <c r="F402" s="5">
        <v>273100</v>
      </c>
      <c r="G402" s="2" t="s">
        <v>1494</v>
      </c>
      <c r="H402" s="2" t="s">
        <v>1495</v>
      </c>
      <c r="I402" s="2" t="s">
        <v>1496</v>
      </c>
      <c r="J402" s="2" t="str">
        <f t="shared" si="12"/>
        <v>https://permalinkbnd.bnportugal.gov.pt/viewer/273100/?offset=#page=16&amp;viewer=picture&amp;o=info&amp;n=0&amp;q=</v>
      </c>
      <c r="K402" s="1" t="s">
        <v>581</v>
      </c>
      <c r="L402" s="1" t="str">
        <f>VLOOKUP(A402,Folha2!$A$2:$B$2019,2,FALSE)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2" s="12" t="str">
        <f t="shared" si="13"/>
        <v>https://permalinkbnd.bnportugal.gov.pt/viewer/273100/?offset=#page=16&amp;viewer=picture&amp;o=info&amp;n=0&amp;q=</v>
      </c>
      <c r="N402" s="12" t="s">
        <v>1497</v>
      </c>
      <c r="O402" s="12" t="str">
        <f>CONCATENATE(N402,A402,"\",B402,"\",C402,".jpg")</f>
        <v>C:\Users\mbaptista\OneDrive - Biblioteca Nacional de Portugal\Documentos\python\camoniana\imagens\capas\381260\1\16.jpg</v>
      </c>
      <c r="P402" s="12" t="str">
        <f>HYPERLINK(O402)</f>
        <v>C:\Users\mbaptista\OneDrive - Biblioteca Nacional de Portugal\Documentos\python\camoniana\imagens\capas\381260\1\16.jpg</v>
      </c>
      <c r="Q402" s="12"/>
      <c r="R402" s="6" t="s">
        <v>584</v>
      </c>
      <c r="S402" s="4"/>
      <c r="T402" s="1" t="s">
        <v>582</v>
      </c>
      <c r="U402" s="13"/>
      <c r="V402" s="13"/>
      <c r="W402" s="5" t="s">
        <v>1491</v>
      </c>
    </row>
    <row r="403" spans="1:23" ht="150">
      <c r="A403" s="1">
        <v>381260</v>
      </c>
      <c r="B403" s="1">
        <v>1</v>
      </c>
      <c r="C403" s="1">
        <v>475</v>
      </c>
      <c r="D403" s="2" t="s">
        <v>580</v>
      </c>
      <c r="E403" s="11" t="s">
        <v>580</v>
      </c>
      <c r="F403" s="11">
        <v>273100</v>
      </c>
      <c r="G403" s="2" t="s">
        <v>1494</v>
      </c>
      <c r="H403" s="2" t="s">
        <v>1495</v>
      </c>
      <c r="I403" s="2" t="s">
        <v>1496</v>
      </c>
      <c r="J403" s="2" t="str">
        <f t="shared" si="12"/>
        <v>https://permalinkbnd.bnportugal.gov.pt/viewer/273100/?offset=#page=475&amp;viewer=picture&amp;o=info&amp;n=0&amp;q=</v>
      </c>
      <c r="K403" s="1" t="s">
        <v>581</v>
      </c>
      <c r="L403" s="1" t="str">
        <f>VLOOKUP(A403,Folha2!$A$2:$B$2019,2,FALSE)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3" s="12" t="str">
        <f t="shared" si="13"/>
        <v>https://permalinkbnd.bnportugal.gov.pt/viewer/273100/?offset=#page=475&amp;viewer=picture&amp;o=info&amp;n=0&amp;q=</v>
      </c>
      <c r="N403" s="12" t="s">
        <v>1497</v>
      </c>
      <c r="O403" s="12" t="str">
        <f>CONCATENATE(N403,A403,"\",B403,"\",C403,".jpg")</f>
        <v>C:\Users\mbaptista\OneDrive - Biblioteca Nacional de Portugal\Documentos\python\camoniana\imagens\capas\381260\1\475.jpg</v>
      </c>
      <c r="P403" s="12" t="str">
        <f>HYPERLINK(O403)</f>
        <v>C:\Users\mbaptista\OneDrive - Biblioteca Nacional de Portugal\Documentos\python\camoniana\imagens\capas\381260\1\475.jpg</v>
      </c>
      <c r="Q403" s="12"/>
      <c r="R403" s="6"/>
      <c r="S403" s="4"/>
      <c r="T403" s="1"/>
      <c r="U403" s="13"/>
      <c r="V403" s="13"/>
      <c r="W403" s="5"/>
    </row>
    <row r="404" spans="1:23" ht="75">
      <c r="A404" s="1">
        <v>397821</v>
      </c>
      <c r="B404" s="1">
        <v>1</v>
      </c>
      <c r="C404" s="1">
        <v>7</v>
      </c>
      <c r="D404" s="2" t="s">
        <v>585</v>
      </c>
      <c r="E404" s="5" t="s">
        <v>585</v>
      </c>
      <c r="F404" s="5">
        <v>273782</v>
      </c>
      <c r="G404" s="2" t="s">
        <v>1494</v>
      </c>
      <c r="H404" s="2" t="s">
        <v>1495</v>
      </c>
      <c r="I404" s="2" t="s">
        <v>1496</v>
      </c>
      <c r="J404" s="2" t="str">
        <f t="shared" si="12"/>
        <v>https://permalinkbnd.bnportugal.gov.pt/viewer/273782/?offset=#page=7&amp;viewer=picture&amp;o=info&amp;n=0&amp;q=</v>
      </c>
      <c r="K404" s="1" t="s">
        <v>586</v>
      </c>
      <c r="L404" s="1" t="str">
        <f>VLOOKUP(A404,Folha2!$A$2:$B$2019,2,FALSE)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4" s="12" t="str">
        <f t="shared" si="13"/>
        <v>https://permalinkbnd.bnportugal.gov.pt/viewer/273782/?offset=#page=7&amp;viewer=picture&amp;o=info&amp;n=0&amp;q=</v>
      </c>
      <c r="N404" s="12" t="s">
        <v>1497</v>
      </c>
      <c r="O404" s="12" t="str">
        <f>CONCATENATE(N404,A404,"\",B404,"\",C404,".jpg")</f>
        <v>C:\Users\mbaptista\OneDrive - Biblioteca Nacional de Portugal\Documentos\python\camoniana\imagens\capas\397821\1\7.jpg</v>
      </c>
      <c r="P404" s="12" t="str">
        <f>HYPERLINK(O404)</f>
        <v>C:\Users\mbaptista\OneDrive - Biblioteca Nacional de Portugal\Documentos\python\camoniana\imagens\capas\397821\1\7.jpg</v>
      </c>
      <c r="Q404" s="12"/>
      <c r="R404" s="6" t="s">
        <v>588</v>
      </c>
      <c r="S404" s="4"/>
      <c r="T404" s="1" t="s">
        <v>587</v>
      </c>
      <c r="U404" s="13"/>
      <c r="V404" s="13"/>
      <c r="W404" s="5" t="s">
        <v>1491</v>
      </c>
    </row>
    <row r="405" spans="1:23" ht="75">
      <c r="A405" s="1">
        <v>397821</v>
      </c>
      <c r="B405" s="1">
        <v>1</v>
      </c>
      <c r="C405" s="1">
        <v>12</v>
      </c>
      <c r="D405" s="2" t="s">
        <v>585</v>
      </c>
      <c r="E405" s="11" t="s">
        <v>585</v>
      </c>
      <c r="F405" s="11">
        <v>273782</v>
      </c>
      <c r="G405" s="2" t="s">
        <v>1494</v>
      </c>
      <c r="H405" s="2" t="s">
        <v>1495</v>
      </c>
      <c r="I405" s="2" t="s">
        <v>1496</v>
      </c>
      <c r="J405" s="2" t="str">
        <f t="shared" si="12"/>
        <v>https://permalinkbnd.bnportugal.gov.pt/viewer/273782/?offset=#page=12&amp;viewer=picture&amp;o=info&amp;n=0&amp;q=</v>
      </c>
      <c r="K405" s="1" t="s">
        <v>586</v>
      </c>
      <c r="L405" s="1" t="str">
        <f>VLOOKUP(A405,Folha2!$A$2:$B$2019,2,FALSE)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5" s="12" t="str">
        <f t="shared" si="13"/>
        <v>https://permalinkbnd.bnportugal.gov.pt/viewer/273782/?offset=#page=12&amp;viewer=picture&amp;o=info&amp;n=0&amp;q=</v>
      </c>
      <c r="N405" s="12" t="s">
        <v>1497</v>
      </c>
      <c r="O405" s="12" t="str">
        <f>CONCATENATE(N405,A405,"\",B405,"\",C405,".jpg")</f>
        <v>C:\Users\mbaptista\OneDrive - Biblioteca Nacional de Portugal\Documentos\python\camoniana\imagens\capas\397821\1\12.jpg</v>
      </c>
      <c r="P405" s="12" t="str">
        <f>HYPERLINK(O405)</f>
        <v>C:\Users\mbaptista\OneDrive - Biblioteca Nacional de Portugal\Documentos\python\camoniana\imagens\capas\397821\1\12.jpg</v>
      </c>
      <c r="Q405" s="12"/>
      <c r="R405" s="6" t="s">
        <v>589</v>
      </c>
      <c r="S405" s="4"/>
      <c r="T405" s="1" t="s">
        <v>587</v>
      </c>
      <c r="U405" s="13"/>
      <c r="V405" s="13"/>
      <c r="W405" s="5" t="s">
        <v>1491</v>
      </c>
    </row>
    <row r="406" spans="1:23" ht="75">
      <c r="A406" s="1">
        <v>397821</v>
      </c>
      <c r="B406" s="1">
        <v>1</v>
      </c>
      <c r="C406" s="1">
        <v>25</v>
      </c>
      <c r="D406" s="2" t="s">
        <v>585</v>
      </c>
      <c r="E406" s="5" t="s">
        <v>585</v>
      </c>
      <c r="F406" s="5">
        <v>273782</v>
      </c>
      <c r="G406" s="2" t="s">
        <v>1494</v>
      </c>
      <c r="H406" s="2" t="s">
        <v>1495</v>
      </c>
      <c r="I406" s="2" t="s">
        <v>1496</v>
      </c>
      <c r="J406" s="2" t="str">
        <f t="shared" si="12"/>
        <v>https://permalinkbnd.bnportugal.gov.pt/viewer/273782/?offset=#page=25&amp;viewer=picture&amp;o=info&amp;n=0&amp;q=</v>
      </c>
      <c r="K406" s="1" t="s">
        <v>586</v>
      </c>
      <c r="L406" s="1" t="str">
        <f>VLOOKUP(A406,Folha2!$A$2:$B$2019,2,FALSE)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6" s="12" t="str">
        <f t="shared" si="13"/>
        <v>https://permalinkbnd.bnportugal.gov.pt/viewer/273782/?offset=#page=25&amp;viewer=picture&amp;o=info&amp;n=0&amp;q=</v>
      </c>
      <c r="N406" s="12" t="s">
        <v>1497</v>
      </c>
      <c r="O406" s="12" t="str">
        <f>CONCATENATE(N406,A406,"\",B406,"\",C406,".jpg")</f>
        <v>C:\Users\mbaptista\OneDrive - Biblioteca Nacional de Portugal\Documentos\python\camoniana\imagens\capas\397821\1\25.jpg</v>
      </c>
      <c r="P406" s="12" t="str">
        <f>HYPERLINK(O406)</f>
        <v>C:\Users\mbaptista\OneDrive - Biblioteca Nacional de Portugal\Documentos\python\camoniana\imagens\capas\397821\1\25.jpg</v>
      </c>
      <c r="Q406" s="12"/>
      <c r="R406" s="6" t="s">
        <v>590</v>
      </c>
      <c r="S406" s="4"/>
      <c r="T406" s="1" t="s">
        <v>587</v>
      </c>
      <c r="U406" s="13"/>
      <c r="V406" s="13"/>
      <c r="W406" s="5" t="s">
        <v>1491</v>
      </c>
    </row>
    <row r="407" spans="1:23" ht="75">
      <c r="A407" s="1">
        <v>397821</v>
      </c>
      <c r="B407" s="1">
        <v>1</v>
      </c>
      <c r="C407" s="1">
        <v>43</v>
      </c>
      <c r="D407" s="2" t="s">
        <v>585</v>
      </c>
      <c r="E407" s="11" t="s">
        <v>585</v>
      </c>
      <c r="F407" s="11">
        <v>273782</v>
      </c>
      <c r="G407" s="2" t="s">
        <v>1494</v>
      </c>
      <c r="H407" s="2" t="s">
        <v>1495</v>
      </c>
      <c r="I407" s="2" t="s">
        <v>1496</v>
      </c>
      <c r="J407" s="2" t="str">
        <f t="shared" si="12"/>
        <v>https://permalinkbnd.bnportugal.gov.pt/viewer/273782/?offset=#page=43&amp;viewer=picture&amp;o=info&amp;n=0&amp;q=</v>
      </c>
      <c r="K407" s="1" t="s">
        <v>586</v>
      </c>
      <c r="L407" s="1" t="str">
        <f>VLOOKUP(A407,Folha2!$A$2:$B$2019,2,FALSE)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7" s="12" t="str">
        <f t="shared" si="13"/>
        <v>https://permalinkbnd.bnportugal.gov.pt/viewer/273782/?offset=#page=43&amp;viewer=picture&amp;o=info&amp;n=0&amp;q=</v>
      </c>
      <c r="N407" s="12" t="s">
        <v>1497</v>
      </c>
      <c r="O407" s="12" t="str">
        <f>CONCATENATE(N407,A407,"\",B407,"\",C407,".jpg")</f>
        <v>C:\Users\mbaptista\OneDrive - Biblioteca Nacional de Portugal\Documentos\python\camoniana\imagens\capas\397821\1\43.jpg</v>
      </c>
      <c r="P407" s="12" t="str">
        <f>HYPERLINK(O407)</f>
        <v>C:\Users\mbaptista\OneDrive - Biblioteca Nacional de Portugal\Documentos\python\camoniana\imagens\capas\397821\1\43.jpg</v>
      </c>
      <c r="Q407" s="12"/>
      <c r="R407" s="6"/>
      <c r="S407" s="4"/>
      <c r="T407" s="1"/>
      <c r="U407" s="13"/>
      <c r="V407" s="13"/>
      <c r="W407" s="5"/>
    </row>
    <row r="408" spans="1:23" ht="75">
      <c r="A408" s="1">
        <v>397821</v>
      </c>
      <c r="B408" s="1">
        <v>1</v>
      </c>
      <c r="C408" s="1">
        <v>48</v>
      </c>
      <c r="D408" s="2" t="s">
        <v>585</v>
      </c>
      <c r="E408" s="5" t="s">
        <v>585</v>
      </c>
      <c r="F408" s="5">
        <v>273782</v>
      </c>
      <c r="G408" s="2" t="s">
        <v>1494</v>
      </c>
      <c r="H408" s="2" t="s">
        <v>1495</v>
      </c>
      <c r="I408" s="2" t="s">
        <v>1496</v>
      </c>
      <c r="J408" s="2" t="str">
        <f t="shared" si="12"/>
        <v>https://permalinkbnd.bnportugal.gov.pt/viewer/273782/?offset=#page=48&amp;viewer=picture&amp;o=info&amp;n=0&amp;q=</v>
      </c>
      <c r="K408" s="1" t="s">
        <v>586</v>
      </c>
      <c r="L408" s="1" t="str">
        <f>VLOOKUP(A408,Folha2!$A$2:$B$2019,2,FALSE)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8" s="12" t="str">
        <f t="shared" si="13"/>
        <v>https://permalinkbnd.bnportugal.gov.pt/viewer/273782/?offset=#page=48&amp;viewer=picture&amp;o=info&amp;n=0&amp;q=</v>
      </c>
      <c r="N408" s="12" t="s">
        <v>1497</v>
      </c>
      <c r="O408" s="12" t="str">
        <f>CONCATENATE(N408,A408,"\",B408,"\",C408,".jpg")</f>
        <v>C:\Users\mbaptista\OneDrive - Biblioteca Nacional de Portugal\Documentos\python\camoniana\imagens\capas\397821\1\48.jpg</v>
      </c>
      <c r="P408" s="12" t="str">
        <f>HYPERLINK(O408)</f>
        <v>C:\Users\mbaptista\OneDrive - Biblioteca Nacional de Portugal\Documentos\python\camoniana\imagens\capas\397821\1\48.jpg</v>
      </c>
      <c r="Q408" s="12"/>
      <c r="R408" s="6" t="s">
        <v>591</v>
      </c>
      <c r="S408" s="4"/>
      <c r="T408" s="1" t="s">
        <v>587</v>
      </c>
      <c r="U408" s="13"/>
      <c r="V408" s="13"/>
      <c r="W408" s="5" t="s">
        <v>1491</v>
      </c>
    </row>
    <row r="409" spans="1:23" ht="75">
      <c r="A409" s="1">
        <v>397821</v>
      </c>
      <c r="B409" s="1">
        <v>1</v>
      </c>
      <c r="C409" s="1">
        <v>49</v>
      </c>
      <c r="D409" s="2" t="s">
        <v>585</v>
      </c>
      <c r="E409" s="11" t="s">
        <v>585</v>
      </c>
      <c r="F409" s="11">
        <v>273782</v>
      </c>
      <c r="G409" s="2" t="s">
        <v>1494</v>
      </c>
      <c r="H409" s="2" t="s">
        <v>1495</v>
      </c>
      <c r="I409" s="2" t="s">
        <v>1496</v>
      </c>
      <c r="J409" s="2" t="str">
        <f t="shared" si="12"/>
        <v>https://permalinkbnd.bnportugal.gov.pt/viewer/273782/?offset=#page=49&amp;viewer=picture&amp;o=info&amp;n=0&amp;q=</v>
      </c>
      <c r="K409" s="1" t="s">
        <v>586</v>
      </c>
      <c r="L409" s="1" t="str">
        <f>VLOOKUP(A409,Folha2!$A$2:$B$2019,2,FALSE)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9" s="12" t="str">
        <f t="shared" si="13"/>
        <v>https://permalinkbnd.bnportugal.gov.pt/viewer/273782/?offset=#page=49&amp;viewer=picture&amp;o=info&amp;n=0&amp;q=</v>
      </c>
      <c r="N409" s="12" t="s">
        <v>1497</v>
      </c>
      <c r="O409" s="12" t="str">
        <f>CONCATENATE(N409,A409,"\",B409,"\",C409,".jpg")</f>
        <v>C:\Users\mbaptista\OneDrive - Biblioteca Nacional de Portugal\Documentos\python\camoniana\imagens\capas\397821\1\49.jpg</v>
      </c>
      <c r="P409" s="12" t="str">
        <f>HYPERLINK(O409)</f>
        <v>C:\Users\mbaptista\OneDrive - Biblioteca Nacional de Portugal\Documentos\python\camoniana\imagens\capas\397821\1\49.jpg</v>
      </c>
      <c r="Q409" s="12"/>
      <c r="R409" s="6"/>
      <c r="S409" s="4"/>
      <c r="T409" s="1"/>
      <c r="U409" s="13"/>
      <c r="V409" s="13"/>
      <c r="W409" s="5"/>
    </row>
    <row r="410" spans="1:23" ht="75">
      <c r="A410" s="1">
        <v>397821</v>
      </c>
      <c r="B410" s="1">
        <v>1</v>
      </c>
      <c r="C410" s="1">
        <v>102</v>
      </c>
      <c r="D410" s="2" t="s">
        <v>585</v>
      </c>
      <c r="E410" s="5" t="s">
        <v>585</v>
      </c>
      <c r="F410" s="5">
        <v>273782</v>
      </c>
      <c r="G410" s="2" t="s">
        <v>1494</v>
      </c>
      <c r="H410" s="2" t="s">
        <v>1495</v>
      </c>
      <c r="I410" s="2" t="s">
        <v>1496</v>
      </c>
      <c r="J410" s="2" t="str">
        <f t="shared" si="12"/>
        <v>https://permalinkbnd.bnportugal.gov.pt/viewer/273782/?offset=#page=102&amp;viewer=picture&amp;o=info&amp;n=0&amp;q=</v>
      </c>
      <c r="K410" s="1" t="s">
        <v>586</v>
      </c>
      <c r="L410" s="1" t="str">
        <f>VLOOKUP(A410,Folha2!$A$2:$B$2019,2,FALSE)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0" s="12" t="str">
        <f t="shared" si="13"/>
        <v>https://permalinkbnd.bnportugal.gov.pt/viewer/273782/?offset=#page=102&amp;viewer=picture&amp;o=info&amp;n=0&amp;q=</v>
      </c>
      <c r="N410" s="12" t="s">
        <v>1497</v>
      </c>
      <c r="O410" s="12" t="str">
        <f>CONCATENATE(N410,A410,"\",B410,"\",C410,".jpg")</f>
        <v>C:\Users\mbaptista\OneDrive - Biblioteca Nacional de Portugal\Documentos\python\camoniana\imagens\capas\397821\1\102.jpg</v>
      </c>
      <c r="P410" s="12" t="str">
        <f>HYPERLINK(O410)</f>
        <v>C:\Users\mbaptista\OneDrive - Biblioteca Nacional de Portugal\Documentos\python\camoniana\imagens\capas\397821\1\102.jpg</v>
      </c>
      <c r="Q410" s="12"/>
      <c r="R410" s="6"/>
      <c r="S410" s="4"/>
      <c r="T410" s="1"/>
      <c r="U410" s="13"/>
      <c r="V410" s="13"/>
      <c r="W410" s="5"/>
    </row>
    <row r="411" spans="1:23" ht="75">
      <c r="A411" s="1">
        <v>397821</v>
      </c>
      <c r="B411" s="1">
        <v>1</v>
      </c>
      <c r="C411" s="1">
        <v>103</v>
      </c>
      <c r="D411" s="2" t="s">
        <v>585</v>
      </c>
      <c r="E411" s="11" t="s">
        <v>585</v>
      </c>
      <c r="F411" s="11">
        <v>273782</v>
      </c>
      <c r="G411" s="2" t="s">
        <v>1494</v>
      </c>
      <c r="H411" s="2" t="s">
        <v>1495</v>
      </c>
      <c r="I411" s="2" t="s">
        <v>1496</v>
      </c>
      <c r="J411" s="2" t="str">
        <f t="shared" si="12"/>
        <v>https://permalinkbnd.bnportugal.gov.pt/viewer/273782/?offset=#page=103&amp;viewer=picture&amp;o=info&amp;n=0&amp;q=</v>
      </c>
      <c r="K411" s="1" t="s">
        <v>586</v>
      </c>
      <c r="L411" s="1" t="str">
        <f>VLOOKUP(A411,Folha2!$A$2:$B$2019,2,FALSE)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1" s="12" t="str">
        <f t="shared" si="13"/>
        <v>https://permalinkbnd.bnportugal.gov.pt/viewer/273782/?offset=#page=103&amp;viewer=picture&amp;o=info&amp;n=0&amp;q=</v>
      </c>
      <c r="N411" s="12" t="s">
        <v>1497</v>
      </c>
      <c r="O411" s="12" t="str">
        <f>CONCATENATE(N411,A411,"\",B411,"\",C411,".jpg")</f>
        <v>C:\Users\mbaptista\OneDrive - Biblioteca Nacional de Portugal\Documentos\python\camoniana\imagens\capas\397821\1\103.jpg</v>
      </c>
      <c r="P411" s="12" t="str">
        <f>HYPERLINK(O411)</f>
        <v>C:\Users\mbaptista\OneDrive - Biblioteca Nacional de Portugal\Documentos\python\camoniana\imagens\capas\397821\1\103.jpg</v>
      </c>
      <c r="Q411" s="12"/>
      <c r="R411" s="6" t="s">
        <v>592</v>
      </c>
      <c r="S411" s="4"/>
      <c r="T411" s="1" t="s">
        <v>587</v>
      </c>
      <c r="U411" s="13"/>
      <c r="V411" s="13"/>
      <c r="W411" s="5" t="s">
        <v>1491</v>
      </c>
    </row>
    <row r="412" spans="1:23" ht="75">
      <c r="A412" s="1">
        <v>397821</v>
      </c>
      <c r="B412" s="1">
        <v>1</v>
      </c>
      <c r="C412" s="1">
        <v>162</v>
      </c>
      <c r="D412" s="2" t="s">
        <v>585</v>
      </c>
      <c r="E412" s="5" t="s">
        <v>585</v>
      </c>
      <c r="F412" s="5">
        <v>273782</v>
      </c>
      <c r="G412" s="2" t="s">
        <v>1494</v>
      </c>
      <c r="H412" s="2" t="s">
        <v>1495</v>
      </c>
      <c r="I412" s="2" t="s">
        <v>1496</v>
      </c>
      <c r="J412" s="2" t="str">
        <f t="shared" si="12"/>
        <v>https://permalinkbnd.bnportugal.gov.pt/viewer/273782/?offset=#page=162&amp;viewer=picture&amp;o=info&amp;n=0&amp;q=</v>
      </c>
      <c r="K412" s="1" t="s">
        <v>586</v>
      </c>
      <c r="L412" s="1" t="str">
        <f>VLOOKUP(A412,Folha2!$A$2:$B$2019,2,FALSE)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2" s="12" t="str">
        <f t="shared" si="13"/>
        <v>https://permalinkbnd.bnportugal.gov.pt/viewer/273782/?offset=#page=162&amp;viewer=picture&amp;o=info&amp;n=0&amp;q=</v>
      </c>
      <c r="N412" s="12" t="s">
        <v>1497</v>
      </c>
      <c r="O412" s="12" t="str">
        <f>CONCATENATE(N412,A412,"\",B412,"\",C412,".jpg")</f>
        <v>C:\Users\mbaptista\OneDrive - Biblioteca Nacional de Portugal\Documentos\python\camoniana\imagens\capas\397821\1\162.jpg</v>
      </c>
      <c r="P412" s="12" t="str">
        <f>HYPERLINK(O412)</f>
        <v>C:\Users\mbaptista\OneDrive - Biblioteca Nacional de Portugal\Documentos\python\camoniana\imagens\capas\397821\1\162.jpg</v>
      </c>
      <c r="Q412" s="12"/>
      <c r="R412" s="6"/>
      <c r="S412" s="4"/>
      <c r="T412" s="1"/>
      <c r="U412" s="13"/>
      <c r="V412" s="13"/>
      <c r="W412" s="5"/>
    </row>
    <row r="413" spans="1:23" ht="75">
      <c r="A413" s="1">
        <v>397821</v>
      </c>
      <c r="B413" s="1">
        <v>1</v>
      </c>
      <c r="C413" s="1">
        <v>163</v>
      </c>
      <c r="D413" s="2" t="s">
        <v>585</v>
      </c>
      <c r="E413" s="11" t="s">
        <v>585</v>
      </c>
      <c r="F413" s="11">
        <v>273782</v>
      </c>
      <c r="G413" s="2" t="s">
        <v>1494</v>
      </c>
      <c r="H413" s="2" t="s">
        <v>1495</v>
      </c>
      <c r="I413" s="2" t="s">
        <v>1496</v>
      </c>
      <c r="J413" s="2" t="str">
        <f t="shared" si="12"/>
        <v>https://permalinkbnd.bnportugal.gov.pt/viewer/273782/?offset=#page=163&amp;viewer=picture&amp;o=info&amp;n=0&amp;q=</v>
      </c>
      <c r="K413" s="1" t="s">
        <v>586</v>
      </c>
      <c r="L413" s="1" t="str">
        <f>VLOOKUP(A413,Folha2!$A$2:$B$2019,2,FALSE)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3" s="12" t="str">
        <f t="shared" si="13"/>
        <v>https://permalinkbnd.bnportugal.gov.pt/viewer/273782/?offset=#page=163&amp;viewer=picture&amp;o=info&amp;n=0&amp;q=</v>
      </c>
      <c r="N413" s="12" t="s">
        <v>1497</v>
      </c>
      <c r="O413" s="12" t="str">
        <f>CONCATENATE(N413,A413,"\",B413,"\",C413,".jpg")</f>
        <v>C:\Users\mbaptista\OneDrive - Biblioteca Nacional de Portugal\Documentos\python\camoniana\imagens\capas\397821\1\163.jpg</v>
      </c>
      <c r="P413" s="12" t="str">
        <f>HYPERLINK(O413)</f>
        <v>C:\Users\mbaptista\OneDrive - Biblioteca Nacional de Portugal\Documentos\python\camoniana\imagens\capas\397821\1\163.jpg</v>
      </c>
      <c r="Q413" s="12"/>
      <c r="R413" s="6" t="s">
        <v>593</v>
      </c>
      <c r="S413" s="4"/>
      <c r="T413" s="1" t="s">
        <v>587</v>
      </c>
      <c r="U413" s="13"/>
      <c r="V413" s="13"/>
      <c r="W413" s="5" t="s">
        <v>1491</v>
      </c>
    </row>
    <row r="414" spans="1:23" ht="75">
      <c r="A414" s="1">
        <v>397821</v>
      </c>
      <c r="B414" s="1">
        <v>1</v>
      </c>
      <c r="C414" s="1">
        <v>165</v>
      </c>
      <c r="D414" s="2" t="s">
        <v>585</v>
      </c>
      <c r="E414" s="5" t="s">
        <v>585</v>
      </c>
      <c r="F414" s="5">
        <v>273782</v>
      </c>
      <c r="G414" s="2" t="s">
        <v>1494</v>
      </c>
      <c r="H414" s="2" t="s">
        <v>1495</v>
      </c>
      <c r="I414" s="2" t="s">
        <v>1496</v>
      </c>
      <c r="J414" s="2" t="str">
        <f t="shared" si="12"/>
        <v>https://permalinkbnd.bnportugal.gov.pt/viewer/273782/?offset=#page=165&amp;viewer=picture&amp;o=info&amp;n=0&amp;q=</v>
      </c>
      <c r="K414" s="1" t="s">
        <v>586</v>
      </c>
      <c r="L414" s="1" t="str">
        <f>VLOOKUP(A414,Folha2!$A$2:$B$2019,2,FALSE)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4" s="12" t="str">
        <f t="shared" si="13"/>
        <v>https://permalinkbnd.bnportugal.gov.pt/viewer/273782/?offset=#page=165&amp;viewer=picture&amp;o=info&amp;n=0&amp;q=</v>
      </c>
      <c r="N414" s="12" t="s">
        <v>1497</v>
      </c>
      <c r="O414" s="12" t="str">
        <f>CONCATENATE(N414,A414,"\",B414,"\",C414,".jpg")</f>
        <v>C:\Users\mbaptista\OneDrive - Biblioteca Nacional de Portugal\Documentos\python\camoniana\imagens\capas\397821\1\165.jpg</v>
      </c>
      <c r="P414" s="12" t="str">
        <f>HYPERLINK(O414)</f>
        <v>C:\Users\mbaptista\OneDrive - Biblioteca Nacional de Portugal\Documentos\python\camoniana\imagens\capas\397821\1\165.jpg</v>
      </c>
      <c r="Q414" s="12"/>
      <c r="R414" s="6"/>
      <c r="S414" s="4"/>
      <c r="T414" s="1"/>
      <c r="U414" s="13"/>
      <c r="V414" s="13"/>
      <c r="W414" s="5"/>
    </row>
    <row r="415" spans="1:23" ht="75">
      <c r="A415" s="1">
        <v>397821</v>
      </c>
      <c r="B415" s="1">
        <v>1</v>
      </c>
      <c r="C415" s="1">
        <v>237</v>
      </c>
      <c r="D415" s="2" t="s">
        <v>585</v>
      </c>
      <c r="E415" s="11" t="s">
        <v>585</v>
      </c>
      <c r="F415" s="11">
        <v>273782</v>
      </c>
      <c r="G415" s="2" t="s">
        <v>1494</v>
      </c>
      <c r="H415" s="2" t="s">
        <v>1495</v>
      </c>
      <c r="I415" s="2" t="s">
        <v>1496</v>
      </c>
      <c r="J415" s="2" t="str">
        <f t="shared" si="12"/>
        <v>https://permalinkbnd.bnportugal.gov.pt/viewer/273782/?offset=#page=237&amp;viewer=picture&amp;o=info&amp;n=0&amp;q=</v>
      </c>
      <c r="K415" s="1" t="s">
        <v>586</v>
      </c>
      <c r="L415" s="1" t="str">
        <f>VLOOKUP(A415,Folha2!$A$2:$B$2019,2,FALSE)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5" s="12" t="str">
        <f t="shared" si="13"/>
        <v>https://permalinkbnd.bnportugal.gov.pt/viewer/273782/?offset=#page=237&amp;viewer=picture&amp;o=info&amp;n=0&amp;q=</v>
      </c>
      <c r="N415" s="12" t="s">
        <v>1497</v>
      </c>
      <c r="O415" s="12" t="str">
        <f>CONCATENATE(N415,A415,"\",B415,"\",C415,".jpg")</f>
        <v>C:\Users\mbaptista\OneDrive - Biblioteca Nacional de Portugal\Documentos\python\camoniana\imagens\capas\397821\1\237.jpg</v>
      </c>
      <c r="P415" s="12" t="str">
        <f>HYPERLINK(O415)</f>
        <v>C:\Users\mbaptista\OneDrive - Biblioteca Nacional de Portugal\Documentos\python\camoniana\imagens\capas\397821\1\237.jpg</v>
      </c>
      <c r="Q415" s="12"/>
      <c r="R415" s="6" t="s">
        <v>594</v>
      </c>
      <c r="S415" s="4"/>
      <c r="T415" s="1" t="s">
        <v>587</v>
      </c>
      <c r="U415" s="13"/>
      <c r="V415" s="13"/>
      <c r="W415" s="5" t="s">
        <v>1491</v>
      </c>
    </row>
    <row r="416" spans="1:23" ht="75">
      <c r="A416" s="1">
        <v>397821</v>
      </c>
      <c r="B416" s="1">
        <v>1</v>
      </c>
      <c r="C416" s="1">
        <v>239</v>
      </c>
      <c r="D416" s="2" t="s">
        <v>585</v>
      </c>
      <c r="E416" s="5" t="s">
        <v>585</v>
      </c>
      <c r="F416" s="5">
        <v>273782</v>
      </c>
      <c r="G416" s="2" t="s">
        <v>1494</v>
      </c>
      <c r="H416" s="2" t="s">
        <v>1495</v>
      </c>
      <c r="I416" s="2" t="s">
        <v>1496</v>
      </c>
      <c r="J416" s="2" t="str">
        <f t="shared" si="12"/>
        <v>https://permalinkbnd.bnportugal.gov.pt/viewer/273782/?offset=#page=239&amp;viewer=picture&amp;o=info&amp;n=0&amp;q=</v>
      </c>
      <c r="K416" s="1" t="s">
        <v>586</v>
      </c>
      <c r="L416" s="1" t="str">
        <f>VLOOKUP(A416,Folha2!$A$2:$B$2019,2,FALSE)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6" s="12" t="str">
        <f t="shared" si="13"/>
        <v>https://permalinkbnd.bnportugal.gov.pt/viewer/273782/?offset=#page=239&amp;viewer=picture&amp;o=info&amp;n=0&amp;q=</v>
      </c>
      <c r="N416" s="12" t="s">
        <v>1497</v>
      </c>
      <c r="O416" s="12" t="str">
        <f>CONCATENATE(N416,A416,"\",B416,"\",C416,".jpg")</f>
        <v>C:\Users\mbaptista\OneDrive - Biblioteca Nacional de Portugal\Documentos\python\camoniana\imagens\capas\397821\1\239.jpg</v>
      </c>
      <c r="P416" s="12" t="str">
        <f>HYPERLINK(O416)</f>
        <v>C:\Users\mbaptista\OneDrive - Biblioteca Nacional de Portugal\Documentos\python\camoniana\imagens\capas\397821\1\239.jpg</v>
      </c>
      <c r="Q416" s="12"/>
      <c r="R416" s="6" t="s">
        <v>595</v>
      </c>
      <c r="S416" s="4"/>
      <c r="T416" s="1" t="s">
        <v>587</v>
      </c>
      <c r="U416" s="13"/>
      <c r="V416" s="13"/>
      <c r="W416" s="5" t="s">
        <v>1491</v>
      </c>
    </row>
    <row r="417" spans="1:23" ht="75">
      <c r="A417" s="1">
        <v>397821</v>
      </c>
      <c r="B417" s="1">
        <v>1</v>
      </c>
      <c r="C417" s="1">
        <v>291</v>
      </c>
      <c r="D417" s="2" t="s">
        <v>585</v>
      </c>
      <c r="E417" s="11" t="s">
        <v>585</v>
      </c>
      <c r="F417" s="11">
        <v>273782</v>
      </c>
      <c r="G417" s="2" t="s">
        <v>1494</v>
      </c>
      <c r="H417" s="2" t="s">
        <v>1495</v>
      </c>
      <c r="I417" s="2" t="s">
        <v>1496</v>
      </c>
      <c r="J417" s="2" t="str">
        <f t="shared" si="12"/>
        <v>https://permalinkbnd.bnportugal.gov.pt/viewer/273782/?offset=#page=291&amp;viewer=picture&amp;o=info&amp;n=0&amp;q=</v>
      </c>
      <c r="K417" s="1" t="s">
        <v>586</v>
      </c>
      <c r="L417" s="1" t="str">
        <f>VLOOKUP(A417,Folha2!$A$2:$B$2019,2,FALSE)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7" s="12" t="str">
        <f t="shared" si="13"/>
        <v>https://permalinkbnd.bnportugal.gov.pt/viewer/273782/?offset=#page=291&amp;viewer=picture&amp;o=info&amp;n=0&amp;q=</v>
      </c>
      <c r="N417" s="12" t="s">
        <v>1497</v>
      </c>
      <c r="O417" s="12" t="str">
        <f>CONCATENATE(N417,A417,"\",B417,"\",C417,".jpg")</f>
        <v>C:\Users\mbaptista\OneDrive - Biblioteca Nacional de Portugal\Documentos\python\camoniana\imagens\capas\397821\1\291.jpg</v>
      </c>
      <c r="P417" s="12" t="str">
        <f>HYPERLINK(O417)</f>
        <v>C:\Users\mbaptista\OneDrive - Biblioteca Nacional de Portugal\Documentos\python\camoniana\imagens\capas\397821\1\291.jpg</v>
      </c>
      <c r="Q417" s="12"/>
      <c r="R417" s="6"/>
      <c r="S417" s="4"/>
      <c r="T417" s="1"/>
      <c r="U417" s="13"/>
      <c r="V417" s="13"/>
      <c r="W417" s="5"/>
    </row>
    <row r="418" spans="1:23" ht="75">
      <c r="A418" s="1">
        <v>397821</v>
      </c>
      <c r="B418" s="1">
        <v>1</v>
      </c>
      <c r="C418" s="1">
        <v>293</v>
      </c>
      <c r="D418" s="2" t="s">
        <v>585</v>
      </c>
      <c r="E418" s="5" t="s">
        <v>585</v>
      </c>
      <c r="F418" s="5">
        <v>273782</v>
      </c>
      <c r="G418" s="2" t="s">
        <v>1494</v>
      </c>
      <c r="H418" s="2" t="s">
        <v>1495</v>
      </c>
      <c r="I418" s="2" t="s">
        <v>1496</v>
      </c>
      <c r="J418" s="2" t="str">
        <f t="shared" si="12"/>
        <v>https://permalinkbnd.bnportugal.gov.pt/viewer/273782/?offset=#page=293&amp;viewer=picture&amp;o=info&amp;n=0&amp;q=</v>
      </c>
      <c r="K418" s="1" t="s">
        <v>586</v>
      </c>
      <c r="L418" s="1" t="str">
        <f>VLOOKUP(A418,Folha2!$A$2:$B$2019,2,FALSE)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8" s="12" t="str">
        <f t="shared" si="13"/>
        <v>https://permalinkbnd.bnportugal.gov.pt/viewer/273782/?offset=#page=293&amp;viewer=picture&amp;o=info&amp;n=0&amp;q=</v>
      </c>
      <c r="N418" s="12" t="s">
        <v>1497</v>
      </c>
      <c r="O418" s="12" t="str">
        <f>CONCATENATE(N418,A418,"\",B418,"\",C418,".jpg")</f>
        <v>C:\Users\mbaptista\OneDrive - Biblioteca Nacional de Portugal\Documentos\python\camoniana\imagens\capas\397821\1\293.jpg</v>
      </c>
      <c r="P418" s="12" t="str">
        <f>HYPERLINK(O418)</f>
        <v>C:\Users\mbaptista\OneDrive - Biblioteca Nacional de Portugal\Documentos\python\camoniana\imagens\capas\397821\1\293.jpg</v>
      </c>
      <c r="Q418" s="12"/>
      <c r="R418" s="6" t="s">
        <v>596</v>
      </c>
      <c r="S418" s="4"/>
      <c r="T418" s="1" t="s">
        <v>587</v>
      </c>
      <c r="U418" s="13"/>
      <c r="V418" s="13"/>
      <c r="W418" s="5" t="s">
        <v>1491</v>
      </c>
    </row>
    <row r="419" spans="1:23" ht="75">
      <c r="A419" s="1">
        <v>397821</v>
      </c>
      <c r="B419" s="1">
        <v>1</v>
      </c>
      <c r="C419" s="1">
        <v>295</v>
      </c>
      <c r="D419" s="2" t="s">
        <v>585</v>
      </c>
      <c r="E419" s="11" t="s">
        <v>585</v>
      </c>
      <c r="F419" s="11">
        <v>273782</v>
      </c>
      <c r="G419" s="2" t="s">
        <v>1494</v>
      </c>
      <c r="H419" s="2" t="s">
        <v>1495</v>
      </c>
      <c r="I419" s="2" t="s">
        <v>1496</v>
      </c>
      <c r="J419" s="2" t="str">
        <f t="shared" si="12"/>
        <v>https://permalinkbnd.bnportugal.gov.pt/viewer/273782/?offset=#page=295&amp;viewer=picture&amp;o=info&amp;n=0&amp;q=</v>
      </c>
      <c r="K419" s="1" t="s">
        <v>586</v>
      </c>
      <c r="L419" s="1" t="str">
        <f>VLOOKUP(A419,Folha2!$A$2:$B$2019,2,FALSE)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9" s="12" t="str">
        <f t="shared" si="13"/>
        <v>https://permalinkbnd.bnportugal.gov.pt/viewer/273782/?offset=#page=295&amp;viewer=picture&amp;o=info&amp;n=0&amp;q=</v>
      </c>
      <c r="N419" s="12" t="s">
        <v>1497</v>
      </c>
      <c r="O419" s="12" t="str">
        <f>CONCATENATE(N419,A419,"\",B419,"\",C419,".jpg")</f>
        <v>C:\Users\mbaptista\OneDrive - Biblioteca Nacional de Portugal\Documentos\python\camoniana\imagens\capas\397821\1\295.jpg</v>
      </c>
      <c r="P419" s="12" t="str">
        <f>HYPERLINK(O419)</f>
        <v>C:\Users\mbaptista\OneDrive - Biblioteca Nacional de Portugal\Documentos\python\camoniana\imagens\capas\397821\1\295.jpg</v>
      </c>
      <c r="Q419" s="12"/>
      <c r="R419" s="6"/>
      <c r="S419" s="4"/>
      <c r="T419" s="1"/>
      <c r="U419" s="13"/>
      <c r="V419" s="13"/>
      <c r="W419" s="5"/>
    </row>
    <row r="420" spans="1:23" ht="75">
      <c r="A420" s="1">
        <v>397821</v>
      </c>
      <c r="B420" s="1">
        <v>1</v>
      </c>
      <c r="C420" s="1">
        <v>347</v>
      </c>
      <c r="D420" s="2" t="s">
        <v>585</v>
      </c>
      <c r="E420" s="5" t="s">
        <v>585</v>
      </c>
      <c r="F420" s="5">
        <v>273782</v>
      </c>
      <c r="G420" s="2" t="s">
        <v>1494</v>
      </c>
      <c r="H420" s="2" t="s">
        <v>1495</v>
      </c>
      <c r="I420" s="2" t="s">
        <v>1496</v>
      </c>
      <c r="J420" s="2" t="str">
        <f t="shared" si="12"/>
        <v>https://permalinkbnd.bnportugal.gov.pt/viewer/273782/?offset=#page=347&amp;viewer=picture&amp;o=info&amp;n=0&amp;q=</v>
      </c>
      <c r="K420" s="1" t="s">
        <v>586</v>
      </c>
      <c r="L420" s="1" t="str">
        <f>VLOOKUP(A420,Folha2!$A$2:$B$2019,2,FALSE)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0" s="12" t="str">
        <f t="shared" si="13"/>
        <v>https://permalinkbnd.bnportugal.gov.pt/viewer/273782/?offset=#page=347&amp;viewer=picture&amp;o=info&amp;n=0&amp;q=</v>
      </c>
      <c r="N420" s="12" t="s">
        <v>1497</v>
      </c>
      <c r="O420" s="12" t="str">
        <f>CONCATENATE(N420,A420,"\",B420,"\",C420,".jpg")</f>
        <v>C:\Users\mbaptista\OneDrive - Biblioteca Nacional de Portugal\Documentos\python\camoniana\imagens\capas\397821\1\347.jpg</v>
      </c>
      <c r="P420" s="12" t="str">
        <f>HYPERLINK(O420)</f>
        <v>C:\Users\mbaptista\OneDrive - Biblioteca Nacional de Portugal\Documentos\python\camoniana\imagens\capas\397821\1\347.jpg</v>
      </c>
      <c r="Q420" s="12"/>
      <c r="R420" s="6" t="s">
        <v>597</v>
      </c>
      <c r="S420" s="4"/>
      <c r="T420" s="1" t="s">
        <v>587</v>
      </c>
      <c r="U420" s="13"/>
      <c r="V420" s="13"/>
      <c r="W420" s="5" t="s">
        <v>1491</v>
      </c>
    </row>
    <row r="421" spans="1:23" ht="75">
      <c r="A421" s="1">
        <v>397821</v>
      </c>
      <c r="B421" s="1">
        <v>1</v>
      </c>
      <c r="C421" s="1">
        <v>349</v>
      </c>
      <c r="D421" s="2" t="s">
        <v>585</v>
      </c>
      <c r="E421" s="11" t="s">
        <v>585</v>
      </c>
      <c r="F421" s="11">
        <v>273782</v>
      </c>
      <c r="G421" s="2" t="s">
        <v>1494</v>
      </c>
      <c r="H421" s="2" t="s">
        <v>1495</v>
      </c>
      <c r="I421" s="2" t="s">
        <v>1496</v>
      </c>
      <c r="J421" s="2" t="str">
        <f t="shared" si="12"/>
        <v>https://permalinkbnd.bnportugal.gov.pt/viewer/273782/?offset=#page=349&amp;viewer=picture&amp;o=info&amp;n=0&amp;q=</v>
      </c>
      <c r="K421" s="1" t="s">
        <v>586</v>
      </c>
      <c r="L421" s="1" t="str">
        <f>VLOOKUP(A421,Folha2!$A$2:$B$2019,2,FALSE)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1" s="12" t="str">
        <f t="shared" si="13"/>
        <v>https://permalinkbnd.bnportugal.gov.pt/viewer/273782/?offset=#page=349&amp;viewer=picture&amp;o=info&amp;n=0&amp;q=</v>
      </c>
      <c r="N421" s="12" t="s">
        <v>1497</v>
      </c>
      <c r="O421" s="12" t="str">
        <f>CONCATENATE(N421,A421,"\",B421,"\",C421,".jpg")</f>
        <v>C:\Users\mbaptista\OneDrive - Biblioteca Nacional de Portugal\Documentos\python\camoniana\imagens\capas\397821\1\349.jpg</v>
      </c>
      <c r="P421" s="12" t="str">
        <f>HYPERLINK(O421)</f>
        <v>C:\Users\mbaptista\OneDrive - Biblioteca Nacional de Portugal\Documentos\python\camoniana\imagens\capas\397821\1\349.jpg</v>
      </c>
      <c r="Q421" s="12"/>
      <c r="R421" s="6" t="s">
        <v>598</v>
      </c>
      <c r="S421" s="4"/>
      <c r="T421" s="1" t="s">
        <v>587</v>
      </c>
      <c r="U421" s="13"/>
      <c r="V421" s="13"/>
      <c r="W421" s="5" t="s">
        <v>1491</v>
      </c>
    </row>
    <row r="422" spans="1:23" ht="75">
      <c r="A422" s="1">
        <v>397821</v>
      </c>
      <c r="B422" s="1">
        <v>1</v>
      </c>
      <c r="C422" s="1">
        <v>399</v>
      </c>
      <c r="D422" s="2" t="s">
        <v>585</v>
      </c>
      <c r="E422" s="5" t="s">
        <v>585</v>
      </c>
      <c r="F422" s="5">
        <v>273782</v>
      </c>
      <c r="G422" s="2" t="s">
        <v>1494</v>
      </c>
      <c r="H422" s="2" t="s">
        <v>1495</v>
      </c>
      <c r="I422" s="2" t="s">
        <v>1496</v>
      </c>
      <c r="J422" s="2" t="str">
        <f t="shared" si="12"/>
        <v>https://permalinkbnd.bnportugal.gov.pt/viewer/273782/?offset=#page=399&amp;viewer=picture&amp;o=info&amp;n=0&amp;q=</v>
      </c>
      <c r="K422" s="1" t="s">
        <v>586</v>
      </c>
      <c r="L422" s="1" t="str">
        <f>VLOOKUP(A422,Folha2!$A$2:$B$2019,2,FALSE)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2" s="12" t="str">
        <f t="shared" si="13"/>
        <v>https://permalinkbnd.bnportugal.gov.pt/viewer/273782/?offset=#page=399&amp;viewer=picture&amp;o=info&amp;n=0&amp;q=</v>
      </c>
      <c r="N422" s="12" t="s">
        <v>1497</v>
      </c>
      <c r="O422" s="12" t="str">
        <f>CONCATENATE(N422,A422,"\",B422,"\",C422,".jpg")</f>
        <v>C:\Users\mbaptista\OneDrive - Biblioteca Nacional de Portugal\Documentos\python\camoniana\imagens\capas\397821\1\399.jpg</v>
      </c>
      <c r="P422" s="12" t="str">
        <f>HYPERLINK(O422)</f>
        <v>C:\Users\mbaptista\OneDrive - Biblioteca Nacional de Portugal\Documentos\python\camoniana\imagens\capas\397821\1\399.jpg</v>
      </c>
      <c r="Q422" s="12"/>
      <c r="R422" s="6" t="s">
        <v>599</v>
      </c>
      <c r="S422" s="4"/>
      <c r="T422" s="1" t="s">
        <v>587</v>
      </c>
      <c r="U422" s="13"/>
      <c r="V422" s="13"/>
      <c r="W422" s="5" t="s">
        <v>1491</v>
      </c>
    </row>
    <row r="423" spans="1:23" ht="75">
      <c r="A423" s="1">
        <v>397821</v>
      </c>
      <c r="B423" s="1">
        <v>1</v>
      </c>
      <c r="C423" s="1">
        <v>401</v>
      </c>
      <c r="D423" s="2" t="s">
        <v>585</v>
      </c>
      <c r="E423" s="11" t="s">
        <v>585</v>
      </c>
      <c r="F423" s="11">
        <v>273782</v>
      </c>
      <c r="G423" s="2" t="s">
        <v>1494</v>
      </c>
      <c r="H423" s="2" t="s">
        <v>1495</v>
      </c>
      <c r="I423" s="2" t="s">
        <v>1496</v>
      </c>
      <c r="J423" s="2" t="str">
        <f t="shared" si="12"/>
        <v>https://permalinkbnd.bnportugal.gov.pt/viewer/273782/?offset=#page=401&amp;viewer=picture&amp;o=info&amp;n=0&amp;q=</v>
      </c>
      <c r="K423" s="1" t="s">
        <v>586</v>
      </c>
      <c r="L423" s="1" t="str">
        <f>VLOOKUP(A423,Folha2!$A$2:$B$2019,2,FALSE)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3" s="12" t="str">
        <f t="shared" si="13"/>
        <v>https://permalinkbnd.bnportugal.gov.pt/viewer/273782/?offset=#page=401&amp;viewer=picture&amp;o=info&amp;n=0&amp;q=</v>
      </c>
      <c r="N423" s="12" t="s">
        <v>1497</v>
      </c>
      <c r="O423" s="12" t="str">
        <f>CONCATENATE(N423,A423,"\",B423,"\",C423,".jpg")</f>
        <v>C:\Users\mbaptista\OneDrive - Biblioteca Nacional de Portugal\Documentos\python\camoniana\imagens\capas\397821\1\401.jpg</v>
      </c>
      <c r="P423" s="12" t="str">
        <f>HYPERLINK(O423)</f>
        <v>C:\Users\mbaptista\OneDrive - Biblioteca Nacional de Portugal\Documentos\python\camoniana\imagens\capas\397821\1\401.jpg</v>
      </c>
      <c r="Q423" s="12"/>
      <c r="R423" s="6" t="s">
        <v>600</v>
      </c>
      <c r="S423" s="4"/>
      <c r="T423" s="1" t="s">
        <v>587</v>
      </c>
      <c r="U423" s="13"/>
      <c r="V423" s="13"/>
      <c r="W423" s="5" t="s">
        <v>1491</v>
      </c>
    </row>
    <row r="424" spans="1:23" ht="75">
      <c r="A424" s="1">
        <v>397821</v>
      </c>
      <c r="B424" s="1">
        <v>1</v>
      </c>
      <c r="C424" s="1">
        <v>445</v>
      </c>
      <c r="D424" s="2" t="s">
        <v>585</v>
      </c>
      <c r="E424" s="5" t="s">
        <v>585</v>
      </c>
      <c r="F424" s="5">
        <v>273782</v>
      </c>
      <c r="G424" s="2" t="s">
        <v>1494</v>
      </c>
      <c r="H424" s="2" t="s">
        <v>1495</v>
      </c>
      <c r="I424" s="2" t="s">
        <v>1496</v>
      </c>
      <c r="J424" s="2" t="str">
        <f t="shared" si="12"/>
        <v>https://permalinkbnd.bnportugal.gov.pt/viewer/273782/?offset=#page=445&amp;viewer=picture&amp;o=info&amp;n=0&amp;q=</v>
      </c>
      <c r="K424" s="1" t="s">
        <v>586</v>
      </c>
      <c r="L424" s="1" t="str">
        <f>VLOOKUP(A424,Folha2!$A$2:$B$2019,2,FALSE)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4" s="12" t="str">
        <f t="shared" si="13"/>
        <v>https://permalinkbnd.bnportugal.gov.pt/viewer/273782/?offset=#page=445&amp;viewer=picture&amp;o=info&amp;n=0&amp;q=</v>
      </c>
      <c r="N424" s="12" t="s">
        <v>1497</v>
      </c>
      <c r="O424" s="12" t="str">
        <f>CONCATENATE(N424,A424,"\",B424,"\",C424,".jpg")</f>
        <v>C:\Users\mbaptista\OneDrive - Biblioteca Nacional de Portugal\Documentos\python\camoniana\imagens\capas\397821\1\445.jpg</v>
      </c>
      <c r="P424" s="12" t="str">
        <f>HYPERLINK(O424)</f>
        <v>C:\Users\mbaptista\OneDrive - Biblioteca Nacional de Portugal\Documentos\python\camoniana\imagens\capas\397821\1\445.jpg</v>
      </c>
      <c r="Q424" s="12"/>
      <c r="R424" s="6" t="s">
        <v>601</v>
      </c>
      <c r="S424" s="4"/>
      <c r="T424" s="1" t="s">
        <v>587</v>
      </c>
      <c r="U424" s="13"/>
      <c r="V424" s="13"/>
      <c r="W424" s="5" t="s">
        <v>1491</v>
      </c>
    </row>
    <row r="425" spans="1:23" ht="75">
      <c r="A425" s="1">
        <v>397821</v>
      </c>
      <c r="B425" s="1">
        <v>1</v>
      </c>
      <c r="C425" s="1">
        <v>447</v>
      </c>
      <c r="D425" s="2" t="s">
        <v>585</v>
      </c>
      <c r="E425" s="11" t="s">
        <v>585</v>
      </c>
      <c r="F425" s="11">
        <v>273782</v>
      </c>
      <c r="G425" s="2" t="s">
        <v>1494</v>
      </c>
      <c r="H425" s="2" t="s">
        <v>1495</v>
      </c>
      <c r="I425" s="2" t="s">
        <v>1496</v>
      </c>
      <c r="J425" s="2" t="str">
        <f t="shared" si="12"/>
        <v>https://permalinkbnd.bnportugal.gov.pt/viewer/273782/?offset=#page=447&amp;viewer=picture&amp;o=info&amp;n=0&amp;q=</v>
      </c>
      <c r="K425" s="1" t="s">
        <v>586</v>
      </c>
      <c r="L425" s="1" t="str">
        <f>VLOOKUP(A425,Folha2!$A$2:$B$2019,2,FALSE)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5" s="12" t="str">
        <f t="shared" si="13"/>
        <v>https://permalinkbnd.bnportugal.gov.pt/viewer/273782/?offset=#page=447&amp;viewer=picture&amp;o=info&amp;n=0&amp;q=</v>
      </c>
      <c r="N425" s="12" t="s">
        <v>1497</v>
      </c>
      <c r="O425" s="12" t="str">
        <f>CONCATENATE(N425,A425,"\",B425,"\",C425,".jpg")</f>
        <v>C:\Users\mbaptista\OneDrive - Biblioteca Nacional de Portugal\Documentos\python\camoniana\imagens\capas\397821\1\447.jpg</v>
      </c>
      <c r="P425" s="12" t="str">
        <f>HYPERLINK(O425)</f>
        <v>C:\Users\mbaptista\OneDrive - Biblioteca Nacional de Portugal\Documentos\python\camoniana\imagens\capas\397821\1\447.jpg</v>
      </c>
      <c r="Q425" s="12"/>
      <c r="R425" s="6" t="s">
        <v>602</v>
      </c>
      <c r="S425" s="4"/>
      <c r="T425" s="1" t="s">
        <v>587</v>
      </c>
      <c r="U425" s="13"/>
      <c r="V425" s="13"/>
      <c r="W425" s="5" t="s">
        <v>1491</v>
      </c>
    </row>
    <row r="426" spans="1:23" ht="75">
      <c r="A426" s="1">
        <v>397821</v>
      </c>
      <c r="B426" s="1">
        <v>1</v>
      </c>
      <c r="C426" s="1">
        <v>497</v>
      </c>
      <c r="D426" s="2" t="s">
        <v>585</v>
      </c>
      <c r="E426" s="5" t="s">
        <v>585</v>
      </c>
      <c r="F426" s="5">
        <v>273782</v>
      </c>
      <c r="G426" s="2" t="s">
        <v>1494</v>
      </c>
      <c r="H426" s="2" t="s">
        <v>1495</v>
      </c>
      <c r="I426" s="2" t="s">
        <v>1496</v>
      </c>
      <c r="J426" s="2" t="str">
        <f t="shared" si="12"/>
        <v>https://permalinkbnd.bnportugal.gov.pt/viewer/273782/?offset=#page=497&amp;viewer=picture&amp;o=info&amp;n=0&amp;q=</v>
      </c>
      <c r="K426" s="1" t="s">
        <v>586</v>
      </c>
      <c r="L426" s="1" t="str">
        <f>VLOOKUP(A426,Folha2!$A$2:$B$2019,2,FALSE)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6" s="12" t="str">
        <f t="shared" si="13"/>
        <v>https://permalinkbnd.bnportugal.gov.pt/viewer/273782/?offset=#page=497&amp;viewer=picture&amp;o=info&amp;n=0&amp;q=</v>
      </c>
      <c r="N426" s="12" t="s">
        <v>1497</v>
      </c>
      <c r="O426" s="12" t="str">
        <f>CONCATENATE(N426,A426,"\",B426,"\",C426,".jpg")</f>
        <v>C:\Users\mbaptista\OneDrive - Biblioteca Nacional de Portugal\Documentos\python\camoniana\imagens\capas\397821\1\497.jpg</v>
      </c>
      <c r="P426" s="12" t="str">
        <f>HYPERLINK(O426)</f>
        <v>C:\Users\mbaptista\OneDrive - Biblioteca Nacional de Portugal\Documentos\python\camoniana\imagens\capas\397821\1\497.jpg</v>
      </c>
      <c r="Q426" s="12"/>
      <c r="R426" s="6" t="s">
        <v>603</v>
      </c>
      <c r="S426" s="4"/>
      <c r="T426" s="1" t="s">
        <v>587</v>
      </c>
      <c r="U426" s="13"/>
      <c r="V426" s="13"/>
      <c r="W426" s="5" t="s">
        <v>1491</v>
      </c>
    </row>
    <row r="427" spans="1:23" ht="75">
      <c r="A427" s="1">
        <v>397821</v>
      </c>
      <c r="B427" s="1">
        <v>1</v>
      </c>
      <c r="C427" s="1">
        <v>499</v>
      </c>
      <c r="D427" s="2" t="s">
        <v>585</v>
      </c>
      <c r="E427" s="11" t="s">
        <v>585</v>
      </c>
      <c r="F427" s="11">
        <v>273782</v>
      </c>
      <c r="G427" s="2" t="s">
        <v>1494</v>
      </c>
      <c r="H427" s="2" t="s">
        <v>1495</v>
      </c>
      <c r="I427" s="2" t="s">
        <v>1496</v>
      </c>
      <c r="J427" s="2" t="str">
        <f t="shared" si="12"/>
        <v>https://permalinkbnd.bnportugal.gov.pt/viewer/273782/?offset=#page=499&amp;viewer=picture&amp;o=info&amp;n=0&amp;q=</v>
      </c>
      <c r="K427" s="1" t="s">
        <v>586</v>
      </c>
      <c r="L427" s="1" t="str">
        <f>VLOOKUP(A427,Folha2!$A$2:$B$2019,2,FALSE)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7" s="12" t="str">
        <f t="shared" si="13"/>
        <v>https://permalinkbnd.bnportugal.gov.pt/viewer/273782/?offset=#page=499&amp;viewer=picture&amp;o=info&amp;n=0&amp;q=</v>
      </c>
      <c r="N427" s="12" t="s">
        <v>1497</v>
      </c>
      <c r="O427" s="12" t="str">
        <f>CONCATENATE(N427,A427,"\",B427,"\",C427,".jpg")</f>
        <v>C:\Users\mbaptista\OneDrive - Biblioteca Nacional de Portugal\Documentos\python\camoniana\imagens\capas\397821\1\499.jpg</v>
      </c>
      <c r="P427" s="12" t="str">
        <f>HYPERLINK(O427)</f>
        <v>C:\Users\mbaptista\OneDrive - Biblioteca Nacional de Portugal\Documentos\python\camoniana\imagens\capas\397821\1\499.jpg</v>
      </c>
      <c r="Q427" s="12"/>
      <c r="R427" s="6" t="s">
        <v>604</v>
      </c>
      <c r="S427" s="4"/>
      <c r="T427" s="1" t="s">
        <v>587</v>
      </c>
      <c r="U427" s="13"/>
      <c r="V427" s="13"/>
      <c r="W427" s="5" t="s">
        <v>1491</v>
      </c>
    </row>
    <row r="428" spans="1:23" ht="75">
      <c r="A428" s="1">
        <v>397821</v>
      </c>
      <c r="B428" s="1">
        <v>1</v>
      </c>
      <c r="C428" s="1">
        <v>547</v>
      </c>
      <c r="D428" s="2" t="s">
        <v>585</v>
      </c>
      <c r="E428" s="5" t="s">
        <v>585</v>
      </c>
      <c r="F428" s="5">
        <v>273782</v>
      </c>
      <c r="G428" s="2" t="s">
        <v>1494</v>
      </c>
      <c r="H428" s="2" t="s">
        <v>1495</v>
      </c>
      <c r="I428" s="2" t="s">
        <v>1496</v>
      </c>
      <c r="J428" s="2" t="str">
        <f t="shared" si="12"/>
        <v>https://permalinkbnd.bnportugal.gov.pt/viewer/273782/?offset=#page=547&amp;viewer=picture&amp;o=info&amp;n=0&amp;q=</v>
      </c>
      <c r="K428" s="1" t="s">
        <v>586</v>
      </c>
      <c r="L428" s="1" t="str">
        <f>VLOOKUP(A428,Folha2!$A$2:$B$2019,2,FALSE)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8" s="12" t="str">
        <f t="shared" si="13"/>
        <v>https://permalinkbnd.bnportugal.gov.pt/viewer/273782/?offset=#page=547&amp;viewer=picture&amp;o=info&amp;n=0&amp;q=</v>
      </c>
      <c r="N428" s="12" t="s">
        <v>1497</v>
      </c>
      <c r="O428" s="12" t="str">
        <f>CONCATENATE(N428,A428,"\",B428,"\",C428,".jpg")</f>
        <v>C:\Users\mbaptista\OneDrive - Biblioteca Nacional de Portugal\Documentos\python\camoniana\imagens\capas\397821\1\547.jpg</v>
      </c>
      <c r="P428" s="12" t="str">
        <f>HYPERLINK(O428)</f>
        <v>C:\Users\mbaptista\OneDrive - Biblioteca Nacional de Portugal\Documentos\python\camoniana\imagens\capas\397821\1\547.jpg</v>
      </c>
      <c r="Q428" s="12"/>
      <c r="R428" s="6" t="s">
        <v>605</v>
      </c>
      <c r="S428" s="4"/>
      <c r="T428" s="1" t="s">
        <v>587</v>
      </c>
      <c r="U428" s="13"/>
      <c r="V428" s="13"/>
      <c r="W428" s="5" t="s">
        <v>1491</v>
      </c>
    </row>
    <row r="429" spans="1:23" ht="75">
      <c r="A429" s="1">
        <v>397821</v>
      </c>
      <c r="B429" s="1">
        <v>1</v>
      </c>
      <c r="C429" s="1">
        <v>549</v>
      </c>
      <c r="D429" s="2" t="s">
        <v>585</v>
      </c>
      <c r="E429" s="11" t="s">
        <v>585</v>
      </c>
      <c r="F429" s="11">
        <v>273782</v>
      </c>
      <c r="G429" s="2" t="s">
        <v>1494</v>
      </c>
      <c r="H429" s="2" t="s">
        <v>1495</v>
      </c>
      <c r="I429" s="2" t="s">
        <v>1496</v>
      </c>
      <c r="J429" s="2" t="str">
        <f t="shared" si="12"/>
        <v>https://permalinkbnd.bnportugal.gov.pt/viewer/273782/?offset=#page=549&amp;viewer=picture&amp;o=info&amp;n=0&amp;q=</v>
      </c>
      <c r="K429" s="1" t="s">
        <v>586</v>
      </c>
      <c r="L429" s="1" t="str">
        <f>VLOOKUP(A429,Folha2!$A$2:$B$2019,2,FALSE)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9" s="12" t="str">
        <f t="shared" si="13"/>
        <v>https://permalinkbnd.bnportugal.gov.pt/viewer/273782/?offset=#page=549&amp;viewer=picture&amp;o=info&amp;n=0&amp;q=</v>
      </c>
      <c r="N429" s="12" t="s">
        <v>1497</v>
      </c>
      <c r="O429" s="12" t="str">
        <f>CONCATENATE(N429,A429,"\",B429,"\",C429,".jpg")</f>
        <v>C:\Users\mbaptista\OneDrive - Biblioteca Nacional de Portugal\Documentos\python\camoniana\imagens\capas\397821\1\549.jpg</v>
      </c>
      <c r="P429" s="12" t="str">
        <f>HYPERLINK(O429)</f>
        <v>C:\Users\mbaptista\OneDrive - Biblioteca Nacional de Portugal\Documentos\python\camoniana\imagens\capas\397821\1\549.jpg</v>
      </c>
      <c r="Q429" s="12"/>
      <c r="R429" s="6" t="s">
        <v>606</v>
      </c>
      <c r="S429" s="4"/>
      <c r="T429" s="1" t="s">
        <v>587</v>
      </c>
      <c r="U429" s="13"/>
      <c r="V429" s="13"/>
      <c r="W429" s="5" t="s">
        <v>1491</v>
      </c>
    </row>
    <row r="430" spans="1:23" ht="75">
      <c r="A430" s="1">
        <v>397821</v>
      </c>
      <c r="B430" s="1">
        <v>1</v>
      </c>
      <c r="C430" s="1">
        <v>627</v>
      </c>
      <c r="D430" s="2" t="s">
        <v>585</v>
      </c>
      <c r="E430" s="5" t="s">
        <v>585</v>
      </c>
      <c r="F430" s="5">
        <v>273782</v>
      </c>
      <c r="G430" s="2" t="s">
        <v>1494</v>
      </c>
      <c r="H430" s="2" t="s">
        <v>1495</v>
      </c>
      <c r="I430" s="2" t="s">
        <v>1496</v>
      </c>
      <c r="J430" s="2" t="str">
        <f t="shared" si="12"/>
        <v>https://permalinkbnd.bnportugal.gov.pt/viewer/273782/?offset=#page=627&amp;viewer=picture&amp;o=info&amp;n=0&amp;q=</v>
      </c>
      <c r="K430" s="1" t="s">
        <v>586</v>
      </c>
      <c r="L430" s="1" t="str">
        <f>VLOOKUP(A430,Folha2!$A$2:$B$2019,2,FALSE)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0" s="12" t="str">
        <f t="shared" si="13"/>
        <v>https://permalinkbnd.bnportugal.gov.pt/viewer/273782/?offset=#page=627&amp;viewer=picture&amp;o=info&amp;n=0&amp;q=</v>
      </c>
      <c r="N430" s="12" t="s">
        <v>1497</v>
      </c>
      <c r="O430" s="12" t="str">
        <f>CONCATENATE(N430,A430,"\",B430,"\",C430,".jpg")</f>
        <v>C:\Users\mbaptista\OneDrive - Biblioteca Nacional de Portugal\Documentos\python\camoniana\imagens\capas\397821\1\627.jpg</v>
      </c>
      <c r="P430" s="12" t="str">
        <f>HYPERLINK(O430)</f>
        <v>C:\Users\mbaptista\OneDrive - Biblioteca Nacional de Portugal\Documentos\python\camoniana\imagens\capas\397821\1\627.jpg</v>
      </c>
      <c r="Q430" s="12"/>
      <c r="R430" s="6"/>
      <c r="S430" s="4"/>
      <c r="T430" s="1"/>
      <c r="U430" s="13"/>
      <c r="V430" s="13"/>
      <c r="W430" s="5"/>
    </row>
    <row r="431" spans="1:23" ht="75">
      <c r="A431" s="1">
        <v>397821</v>
      </c>
      <c r="B431" s="1">
        <v>1</v>
      </c>
      <c r="C431" s="1">
        <v>629</v>
      </c>
      <c r="D431" s="2" t="s">
        <v>585</v>
      </c>
      <c r="E431" s="11" t="s">
        <v>585</v>
      </c>
      <c r="F431" s="11">
        <v>273782</v>
      </c>
      <c r="G431" s="2" t="s">
        <v>1494</v>
      </c>
      <c r="H431" s="2" t="s">
        <v>1495</v>
      </c>
      <c r="I431" s="2" t="s">
        <v>1496</v>
      </c>
      <c r="J431" s="2" t="str">
        <f t="shared" si="12"/>
        <v>https://permalinkbnd.bnportugal.gov.pt/viewer/273782/?offset=#page=629&amp;viewer=picture&amp;o=info&amp;n=0&amp;q=</v>
      </c>
      <c r="K431" s="1" t="s">
        <v>586</v>
      </c>
      <c r="L431" s="1" t="str">
        <f>VLOOKUP(A431,Folha2!$A$2:$B$2019,2,FALSE)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1" s="12" t="str">
        <f t="shared" si="13"/>
        <v>https://permalinkbnd.bnportugal.gov.pt/viewer/273782/?offset=#page=629&amp;viewer=picture&amp;o=info&amp;n=0&amp;q=</v>
      </c>
      <c r="N431" s="12" t="s">
        <v>1497</v>
      </c>
      <c r="O431" s="12" t="str">
        <f>CONCATENATE(N431,A431,"\",B431,"\",C431,".jpg")</f>
        <v>C:\Users\mbaptista\OneDrive - Biblioteca Nacional de Portugal\Documentos\python\camoniana\imagens\capas\397821\1\629.jpg</v>
      </c>
      <c r="P431" s="12" t="str">
        <f>HYPERLINK(O431)</f>
        <v>C:\Users\mbaptista\OneDrive - Biblioteca Nacional de Portugal\Documentos\python\camoniana\imagens\capas\397821\1\629.jpg</v>
      </c>
      <c r="Q431" s="12"/>
      <c r="R431" s="6"/>
      <c r="S431" s="4"/>
      <c r="T431" s="1"/>
      <c r="U431" s="13"/>
      <c r="V431" s="13"/>
      <c r="W431" s="5"/>
    </row>
    <row r="432" spans="1:23" ht="75">
      <c r="A432" s="1">
        <v>397821</v>
      </c>
      <c r="B432" s="1">
        <v>1</v>
      </c>
      <c r="C432" s="1">
        <v>646</v>
      </c>
      <c r="D432" s="2" t="s">
        <v>585</v>
      </c>
      <c r="E432" s="5" t="s">
        <v>585</v>
      </c>
      <c r="F432" s="5">
        <v>273782</v>
      </c>
      <c r="G432" s="2" t="s">
        <v>1494</v>
      </c>
      <c r="H432" s="2" t="s">
        <v>1495</v>
      </c>
      <c r="I432" s="2" t="s">
        <v>1496</v>
      </c>
      <c r="J432" s="2" t="str">
        <f t="shared" si="12"/>
        <v>https://permalinkbnd.bnportugal.gov.pt/viewer/273782/?offset=#page=646&amp;viewer=picture&amp;o=info&amp;n=0&amp;q=</v>
      </c>
      <c r="K432" s="1" t="s">
        <v>586</v>
      </c>
      <c r="L432" s="1" t="str">
        <f>VLOOKUP(A432,Folha2!$A$2:$B$2019,2,FALSE)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2" s="12" t="str">
        <f t="shared" si="13"/>
        <v>https://permalinkbnd.bnportugal.gov.pt/viewer/273782/?offset=#page=646&amp;viewer=picture&amp;o=info&amp;n=0&amp;q=</v>
      </c>
      <c r="N432" s="12" t="s">
        <v>1497</v>
      </c>
      <c r="O432" s="12" t="str">
        <f>CONCATENATE(N432,A432,"\",B432,"\",C432,".jpg")</f>
        <v>C:\Users\mbaptista\OneDrive - Biblioteca Nacional de Portugal\Documentos\python\camoniana\imagens\capas\397821\1\646.jpg</v>
      </c>
      <c r="P432" s="12" t="str">
        <f>HYPERLINK(O432)</f>
        <v>C:\Users\mbaptista\OneDrive - Biblioteca Nacional de Portugal\Documentos\python\camoniana\imagens\capas\397821\1\646.jpg</v>
      </c>
      <c r="Q432" s="12"/>
      <c r="R432" s="6"/>
      <c r="S432" s="4"/>
      <c r="T432" s="1"/>
      <c r="U432" s="13"/>
      <c r="V432" s="13"/>
      <c r="W432" s="5"/>
    </row>
    <row r="433" spans="1:23" ht="75">
      <c r="A433" s="1">
        <v>2284</v>
      </c>
      <c r="B433" s="1">
        <v>1</v>
      </c>
      <c r="C433" s="1">
        <v>65</v>
      </c>
      <c r="D433" s="2" t="s">
        <v>607</v>
      </c>
      <c r="E433" s="11" t="s">
        <v>607</v>
      </c>
      <c r="F433" s="11">
        <v>272627</v>
      </c>
      <c r="G433" s="2" t="s">
        <v>1494</v>
      </c>
      <c r="H433" s="2" t="s">
        <v>1495</v>
      </c>
      <c r="I433" s="2" t="s">
        <v>1496</v>
      </c>
      <c r="J433" s="2" t="str">
        <f t="shared" si="12"/>
        <v>https://permalinkbnd.bnportugal.gov.pt/viewer/272627/?offset=#page=65&amp;viewer=picture&amp;o=info&amp;n=0&amp;q=</v>
      </c>
      <c r="K433" s="1" t="s">
        <v>608</v>
      </c>
      <c r="L433" s="1" t="str">
        <f>VLOOKUP(A433,Folha2!$A$2:$B$2019,2,FALSE)</f>
        <v>Sem argumentos. Bibliografia crítica considerada separadamente [via PDF Miguel]</v>
      </c>
      <c r="M433" s="12" t="str">
        <f t="shared" si="13"/>
        <v>https://permalinkbnd.bnportugal.gov.pt/viewer/272627/?offset=#page=65&amp;viewer=picture&amp;o=info&amp;n=0&amp;q=</v>
      </c>
      <c r="N433" s="12" t="s">
        <v>1497</v>
      </c>
      <c r="O433" s="12" t="str">
        <f>CONCATENATE(N433,A433,"\",B433,"\",C433,".jpg")</f>
        <v>C:\Users\mbaptista\OneDrive - Biblioteca Nacional de Portugal\Documentos\python\camoniana\imagens\capas\2284\1\65.jpg</v>
      </c>
      <c r="P433" s="12" t="str">
        <f>HYPERLINK(O433)</f>
        <v>C:\Users\mbaptista\OneDrive - Biblioteca Nacional de Portugal\Documentos\python\camoniana\imagens\capas\2284\1\65.jpg</v>
      </c>
      <c r="Q433" s="12"/>
      <c r="R433" s="6"/>
      <c r="S433" s="4"/>
      <c r="T433" s="1"/>
      <c r="U433" s="13"/>
      <c r="V433" s="13"/>
      <c r="W433" s="5"/>
    </row>
    <row r="434" spans="1:23" ht="75">
      <c r="A434" s="1">
        <v>2284</v>
      </c>
      <c r="B434" s="1">
        <v>1</v>
      </c>
      <c r="C434" s="1">
        <v>67</v>
      </c>
      <c r="D434" s="2" t="s">
        <v>607</v>
      </c>
      <c r="E434" s="5" t="s">
        <v>607</v>
      </c>
      <c r="F434" s="5">
        <v>272627</v>
      </c>
      <c r="G434" s="2" t="s">
        <v>1494</v>
      </c>
      <c r="H434" s="2" t="s">
        <v>1495</v>
      </c>
      <c r="I434" s="2" t="s">
        <v>1496</v>
      </c>
      <c r="J434" s="2" t="str">
        <f t="shared" si="12"/>
        <v>https://permalinkbnd.bnportugal.gov.pt/viewer/272627/?offset=#page=67&amp;viewer=picture&amp;o=info&amp;n=0&amp;q=</v>
      </c>
      <c r="K434" s="1" t="s">
        <v>608</v>
      </c>
      <c r="L434" s="1" t="str">
        <f>VLOOKUP(A434,Folha2!$A$2:$B$2019,2,FALSE)</f>
        <v>Sem argumentos. Bibliografia crítica considerada separadamente [via PDF Miguel]</v>
      </c>
      <c r="M434" s="12" t="str">
        <f t="shared" si="13"/>
        <v>https://permalinkbnd.bnportugal.gov.pt/viewer/272627/?offset=#page=67&amp;viewer=picture&amp;o=info&amp;n=0&amp;q=</v>
      </c>
      <c r="N434" s="12" t="s">
        <v>1497</v>
      </c>
      <c r="O434" s="12" t="str">
        <f>CONCATENATE(N434,A434,"\",B434,"\",C434,".jpg")</f>
        <v>C:\Users\mbaptista\OneDrive - Biblioteca Nacional de Portugal\Documentos\python\camoniana\imagens\capas\2284\1\67.jpg</v>
      </c>
      <c r="P434" s="12" t="str">
        <f>HYPERLINK(O434)</f>
        <v>C:\Users\mbaptista\OneDrive - Biblioteca Nacional de Portugal\Documentos\python\camoniana\imagens\capas\2284\1\67.jpg</v>
      </c>
      <c r="Q434" s="12"/>
      <c r="R434" s="6" t="s">
        <v>610</v>
      </c>
      <c r="S434" s="4"/>
      <c r="T434" s="1" t="s">
        <v>609</v>
      </c>
      <c r="U434" s="13"/>
      <c r="V434" s="13"/>
      <c r="W434" s="5" t="s">
        <v>1491</v>
      </c>
    </row>
    <row r="435" spans="1:23" ht="75">
      <c r="A435" s="1">
        <v>2284</v>
      </c>
      <c r="B435" s="1">
        <v>1</v>
      </c>
      <c r="C435" s="1">
        <v>70</v>
      </c>
      <c r="D435" s="2" t="s">
        <v>607</v>
      </c>
      <c r="E435" s="11" t="s">
        <v>607</v>
      </c>
      <c r="F435" s="11">
        <v>272627</v>
      </c>
      <c r="G435" s="2" t="s">
        <v>1494</v>
      </c>
      <c r="H435" s="2" t="s">
        <v>1495</v>
      </c>
      <c r="I435" s="2" t="s">
        <v>1496</v>
      </c>
      <c r="J435" s="2" t="str">
        <f t="shared" si="12"/>
        <v>https://permalinkbnd.bnportugal.gov.pt/viewer/272627/?offset=#page=70&amp;viewer=picture&amp;o=info&amp;n=0&amp;q=</v>
      </c>
      <c r="K435" s="1" t="s">
        <v>608</v>
      </c>
      <c r="L435" s="1" t="str">
        <f>VLOOKUP(A435,Folha2!$A$2:$B$2019,2,FALSE)</f>
        <v>Sem argumentos. Bibliografia crítica considerada separadamente [via PDF Miguel]</v>
      </c>
      <c r="M435" s="12" t="str">
        <f t="shared" si="13"/>
        <v>https://permalinkbnd.bnportugal.gov.pt/viewer/272627/?offset=#page=70&amp;viewer=picture&amp;o=info&amp;n=0&amp;q=</v>
      </c>
      <c r="N435" s="12" t="s">
        <v>1497</v>
      </c>
      <c r="O435" s="12" t="str">
        <f>CONCATENATE(N435,A435,"\",B435,"\",C435,".jpg")</f>
        <v>C:\Users\mbaptista\OneDrive - Biblioteca Nacional de Portugal\Documentos\python\camoniana\imagens\capas\2284\1\70.jpg</v>
      </c>
      <c r="P435" s="12" t="str">
        <f>HYPERLINK(O435)</f>
        <v>C:\Users\mbaptista\OneDrive - Biblioteca Nacional de Portugal\Documentos\python\camoniana\imagens\capas\2284\1\70.jpg</v>
      </c>
      <c r="Q435" s="12"/>
      <c r="R435" s="6"/>
      <c r="S435" s="4"/>
      <c r="T435" s="1"/>
      <c r="U435" s="13"/>
      <c r="V435" s="13"/>
      <c r="W435" s="5"/>
    </row>
    <row r="436" spans="1:23" ht="75">
      <c r="A436" s="1">
        <v>2284</v>
      </c>
      <c r="B436" s="1">
        <v>1</v>
      </c>
      <c r="C436" s="1">
        <v>71</v>
      </c>
      <c r="D436" s="2" t="s">
        <v>607</v>
      </c>
      <c r="E436" s="5" t="s">
        <v>607</v>
      </c>
      <c r="F436" s="5">
        <v>272627</v>
      </c>
      <c r="G436" s="2" t="s">
        <v>1494</v>
      </c>
      <c r="H436" s="2" t="s">
        <v>1495</v>
      </c>
      <c r="I436" s="2" t="s">
        <v>1496</v>
      </c>
      <c r="J436" s="2" t="str">
        <f t="shared" si="12"/>
        <v>https://permalinkbnd.bnportugal.gov.pt/viewer/272627/?offset=#page=71&amp;viewer=picture&amp;o=info&amp;n=0&amp;q=</v>
      </c>
      <c r="K436" s="1" t="s">
        <v>608</v>
      </c>
      <c r="L436" s="1" t="str">
        <f>VLOOKUP(A436,Folha2!$A$2:$B$2019,2,FALSE)</f>
        <v>Sem argumentos. Bibliografia crítica considerada separadamente [via PDF Miguel]</v>
      </c>
      <c r="M436" s="12" t="str">
        <f t="shared" si="13"/>
        <v>https://permalinkbnd.bnportugal.gov.pt/viewer/272627/?offset=#page=71&amp;viewer=picture&amp;o=info&amp;n=0&amp;q=</v>
      </c>
      <c r="N436" s="12" t="s">
        <v>1497</v>
      </c>
      <c r="O436" s="12" t="str">
        <f>CONCATENATE(N436,A436,"\",B436,"\",C436,".jpg")</f>
        <v>C:\Users\mbaptista\OneDrive - Biblioteca Nacional de Portugal\Documentos\python\camoniana\imagens\capas\2284\1\71.jpg</v>
      </c>
      <c r="P436" s="12" t="str">
        <f>HYPERLINK(O436)</f>
        <v>C:\Users\mbaptista\OneDrive - Biblioteca Nacional de Portugal\Documentos\python\camoniana\imagens\capas\2284\1\71.jpg</v>
      </c>
      <c r="Q436" s="12"/>
      <c r="R436" s="6" t="s">
        <v>611</v>
      </c>
      <c r="S436" s="4"/>
      <c r="T436" s="1" t="s">
        <v>609</v>
      </c>
      <c r="U436" s="13"/>
      <c r="V436" s="13"/>
      <c r="W436" s="5" t="s">
        <v>1491</v>
      </c>
    </row>
    <row r="437" spans="1:23" ht="75">
      <c r="A437" s="1">
        <v>2284</v>
      </c>
      <c r="B437" s="1">
        <v>1</v>
      </c>
      <c r="C437" s="1">
        <v>73</v>
      </c>
      <c r="D437" s="2" t="s">
        <v>607</v>
      </c>
      <c r="E437" s="11" t="s">
        <v>607</v>
      </c>
      <c r="F437" s="11">
        <v>272627</v>
      </c>
      <c r="G437" s="2" t="s">
        <v>1494</v>
      </c>
      <c r="H437" s="2" t="s">
        <v>1495</v>
      </c>
      <c r="I437" s="2" t="s">
        <v>1496</v>
      </c>
      <c r="J437" s="2" t="str">
        <f t="shared" si="12"/>
        <v>https://permalinkbnd.bnportugal.gov.pt/viewer/272627/?offset=#page=73&amp;viewer=picture&amp;o=info&amp;n=0&amp;q=</v>
      </c>
      <c r="K437" s="1" t="s">
        <v>608</v>
      </c>
      <c r="L437" s="1" t="str">
        <f>VLOOKUP(A437,Folha2!$A$2:$B$2019,2,FALSE)</f>
        <v>Sem argumentos. Bibliografia crítica considerada separadamente [via PDF Miguel]</v>
      </c>
      <c r="M437" s="12" t="str">
        <f t="shared" si="13"/>
        <v>https://permalinkbnd.bnportugal.gov.pt/viewer/272627/?offset=#page=73&amp;viewer=picture&amp;o=info&amp;n=0&amp;q=</v>
      </c>
      <c r="N437" s="12" t="s">
        <v>1497</v>
      </c>
      <c r="O437" s="12" t="str">
        <f>CONCATENATE(N437,A437,"\",B437,"\",C437,".jpg")</f>
        <v>C:\Users\mbaptista\OneDrive - Biblioteca Nacional de Portugal\Documentos\python\camoniana\imagens\capas\2284\1\73.jpg</v>
      </c>
      <c r="P437" s="12" t="str">
        <f>HYPERLINK(O437)</f>
        <v>C:\Users\mbaptista\OneDrive - Biblioteca Nacional de Portugal\Documentos\python\camoniana\imagens\capas\2284\1\73.jpg</v>
      </c>
      <c r="Q437" s="12"/>
      <c r="R437" s="6"/>
      <c r="S437" s="4"/>
      <c r="T437" s="1"/>
      <c r="U437" s="13"/>
      <c r="V437" s="13"/>
      <c r="W437" s="5"/>
    </row>
    <row r="438" spans="1:23" ht="75">
      <c r="A438" s="1">
        <v>2284</v>
      </c>
      <c r="B438" s="1">
        <v>1</v>
      </c>
      <c r="C438" s="1">
        <v>74</v>
      </c>
      <c r="D438" s="2" t="s">
        <v>607</v>
      </c>
      <c r="E438" s="5" t="s">
        <v>607</v>
      </c>
      <c r="F438" s="5">
        <v>272627</v>
      </c>
      <c r="G438" s="2" t="s">
        <v>1494</v>
      </c>
      <c r="H438" s="2" t="s">
        <v>1495</v>
      </c>
      <c r="I438" s="2" t="s">
        <v>1496</v>
      </c>
      <c r="J438" s="2" t="str">
        <f t="shared" si="12"/>
        <v>https://permalinkbnd.bnportugal.gov.pt/viewer/272627/?offset=#page=74&amp;viewer=picture&amp;o=info&amp;n=0&amp;q=</v>
      </c>
      <c r="K438" s="1" t="s">
        <v>608</v>
      </c>
      <c r="L438" s="1" t="str">
        <f>VLOOKUP(A438,Folha2!$A$2:$B$2019,2,FALSE)</f>
        <v>Sem argumentos. Bibliografia crítica considerada separadamente [via PDF Miguel]</v>
      </c>
      <c r="M438" s="12" t="str">
        <f t="shared" si="13"/>
        <v>https://permalinkbnd.bnportugal.gov.pt/viewer/272627/?offset=#page=74&amp;viewer=picture&amp;o=info&amp;n=0&amp;q=</v>
      </c>
      <c r="N438" s="12" t="s">
        <v>1497</v>
      </c>
      <c r="O438" s="12" t="str">
        <f>CONCATENATE(N438,A438,"\",B438,"\",C438,".jpg")</f>
        <v>C:\Users\mbaptista\OneDrive - Biblioteca Nacional de Portugal\Documentos\python\camoniana\imagens\capas\2284\1\74.jpg</v>
      </c>
      <c r="P438" s="12" t="str">
        <f>HYPERLINK(O438)</f>
        <v>C:\Users\mbaptista\OneDrive - Biblioteca Nacional de Portugal\Documentos\python\camoniana\imagens\capas\2284\1\74.jpg</v>
      </c>
      <c r="Q438" s="12"/>
      <c r="R438" s="6"/>
      <c r="S438" s="4"/>
      <c r="T438" s="1"/>
      <c r="U438" s="13"/>
      <c r="V438" s="13"/>
      <c r="W438" s="5"/>
    </row>
    <row r="439" spans="1:23" ht="75">
      <c r="A439" s="1">
        <v>2284</v>
      </c>
      <c r="B439" s="1">
        <v>1</v>
      </c>
      <c r="C439" s="1">
        <v>100</v>
      </c>
      <c r="D439" s="2" t="s">
        <v>607</v>
      </c>
      <c r="E439" s="11" t="s">
        <v>607</v>
      </c>
      <c r="F439" s="11">
        <v>272627</v>
      </c>
      <c r="G439" s="2" t="s">
        <v>1494</v>
      </c>
      <c r="H439" s="2" t="s">
        <v>1495</v>
      </c>
      <c r="I439" s="2" t="s">
        <v>1496</v>
      </c>
      <c r="J439" s="2" t="str">
        <f t="shared" si="12"/>
        <v>https://permalinkbnd.bnportugal.gov.pt/viewer/272627/?offset=#page=100&amp;viewer=picture&amp;o=info&amp;n=0&amp;q=</v>
      </c>
      <c r="K439" s="1" t="s">
        <v>608</v>
      </c>
      <c r="L439" s="1" t="str">
        <f>VLOOKUP(A439,Folha2!$A$2:$B$2019,2,FALSE)</f>
        <v>Sem argumentos. Bibliografia crítica considerada separadamente [via PDF Miguel]</v>
      </c>
      <c r="M439" s="12" t="str">
        <f t="shared" si="13"/>
        <v>https://permalinkbnd.bnportugal.gov.pt/viewer/272627/?offset=#page=100&amp;viewer=picture&amp;o=info&amp;n=0&amp;q=</v>
      </c>
      <c r="N439" s="12" t="s">
        <v>1497</v>
      </c>
      <c r="O439" s="12" t="str">
        <f>CONCATENATE(N439,A439,"\",B439,"\",C439,".jpg")</f>
        <v>C:\Users\mbaptista\OneDrive - Biblioteca Nacional de Portugal\Documentos\python\camoniana\imagens\capas\2284\1\100.jpg</v>
      </c>
      <c r="P439" s="12" t="str">
        <f>HYPERLINK(O439)</f>
        <v>C:\Users\mbaptista\OneDrive - Biblioteca Nacional de Portugal\Documentos\python\camoniana\imagens\capas\2284\1\100.jpg</v>
      </c>
      <c r="Q439" s="12"/>
      <c r="R439" s="6"/>
      <c r="S439" s="4"/>
      <c r="T439" s="1"/>
      <c r="U439" s="13"/>
      <c r="V439" s="13"/>
      <c r="W439" s="5"/>
    </row>
    <row r="440" spans="1:23" ht="75">
      <c r="A440" s="1">
        <v>2284</v>
      </c>
      <c r="B440" s="1">
        <v>1</v>
      </c>
      <c r="C440" s="1">
        <v>101</v>
      </c>
      <c r="D440" s="2" t="s">
        <v>607</v>
      </c>
      <c r="E440" s="5" t="s">
        <v>607</v>
      </c>
      <c r="F440" s="5">
        <v>272627</v>
      </c>
      <c r="G440" s="2" t="s">
        <v>1494</v>
      </c>
      <c r="H440" s="2" t="s">
        <v>1495</v>
      </c>
      <c r="I440" s="2" t="s">
        <v>1496</v>
      </c>
      <c r="J440" s="2" t="str">
        <f t="shared" si="12"/>
        <v>https://permalinkbnd.bnportugal.gov.pt/viewer/272627/?offset=#page=101&amp;viewer=picture&amp;o=info&amp;n=0&amp;q=</v>
      </c>
      <c r="K440" s="1" t="s">
        <v>608</v>
      </c>
      <c r="L440" s="1" t="str">
        <f>VLOOKUP(A440,Folha2!$A$2:$B$2019,2,FALSE)</f>
        <v>Sem argumentos. Bibliografia crítica considerada separadamente [via PDF Miguel]</v>
      </c>
      <c r="M440" s="12" t="str">
        <f t="shared" si="13"/>
        <v>https://permalinkbnd.bnportugal.gov.pt/viewer/272627/?offset=#page=101&amp;viewer=picture&amp;o=info&amp;n=0&amp;q=</v>
      </c>
      <c r="N440" s="12" t="s">
        <v>1497</v>
      </c>
      <c r="O440" s="12" t="str">
        <f>CONCATENATE(N440,A440,"\",B440,"\",C440,".jpg")</f>
        <v>C:\Users\mbaptista\OneDrive - Biblioteca Nacional de Portugal\Documentos\python\camoniana\imagens\capas\2284\1\101.jpg</v>
      </c>
      <c r="P440" s="12" t="str">
        <f>HYPERLINK(O440)</f>
        <v>C:\Users\mbaptista\OneDrive - Biblioteca Nacional de Portugal\Documentos\python\camoniana\imagens\capas\2284\1\101.jpg</v>
      </c>
      <c r="Q440" s="12"/>
      <c r="R440" s="6" t="s">
        <v>612</v>
      </c>
      <c r="S440" s="4"/>
      <c r="T440" s="1" t="s">
        <v>609</v>
      </c>
      <c r="U440" s="13"/>
      <c r="V440" s="13"/>
      <c r="W440" s="5" t="s">
        <v>1491</v>
      </c>
    </row>
    <row r="441" spans="1:23" ht="75">
      <c r="A441" s="1">
        <v>2284</v>
      </c>
      <c r="B441" s="1">
        <v>1</v>
      </c>
      <c r="C441" s="1">
        <v>133</v>
      </c>
      <c r="D441" s="2" t="s">
        <v>607</v>
      </c>
      <c r="E441" s="11" t="s">
        <v>607</v>
      </c>
      <c r="F441" s="11">
        <v>272627</v>
      </c>
      <c r="G441" s="2" t="s">
        <v>1494</v>
      </c>
      <c r="H441" s="2" t="s">
        <v>1495</v>
      </c>
      <c r="I441" s="2" t="s">
        <v>1496</v>
      </c>
      <c r="J441" s="2" t="str">
        <f t="shared" si="12"/>
        <v>https://permalinkbnd.bnportugal.gov.pt/viewer/272627/?offset=#page=133&amp;viewer=picture&amp;o=info&amp;n=0&amp;q=</v>
      </c>
      <c r="K441" s="1" t="s">
        <v>608</v>
      </c>
      <c r="L441" s="1" t="str">
        <f>VLOOKUP(A441,Folha2!$A$2:$B$2019,2,FALSE)</f>
        <v>Sem argumentos. Bibliografia crítica considerada separadamente [via PDF Miguel]</v>
      </c>
      <c r="M441" s="12" t="str">
        <f t="shared" si="13"/>
        <v>https://permalinkbnd.bnportugal.gov.pt/viewer/272627/?offset=#page=133&amp;viewer=picture&amp;o=info&amp;n=0&amp;q=</v>
      </c>
      <c r="N441" s="12" t="s">
        <v>1497</v>
      </c>
      <c r="O441" s="12" t="str">
        <f>CONCATENATE(N441,A441,"\",B441,"\",C441,".jpg")</f>
        <v>C:\Users\mbaptista\OneDrive - Biblioteca Nacional de Portugal\Documentos\python\camoniana\imagens\capas\2284\1\133.jpg</v>
      </c>
      <c r="P441" s="12" t="str">
        <f>HYPERLINK(O441)</f>
        <v>C:\Users\mbaptista\OneDrive - Biblioteca Nacional de Portugal\Documentos\python\camoniana\imagens\capas\2284\1\133.jpg</v>
      </c>
      <c r="Q441" s="12"/>
      <c r="R441" s="6" t="s">
        <v>613</v>
      </c>
      <c r="S441" s="4"/>
      <c r="T441" s="1" t="s">
        <v>609</v>
      </c>
      <c r="U441" s="13"/>
      <c r="V441" s="13"/>
      <c r="W441" s="5" t="s">
        <v>1491</v>
      </c>
    </row>
    <row r="442" spans="1:23" ht="75">
      <c r="A442" s="1">
        <v>2284</v>
      </c>
      <c r="B442" s="1">
        <v>1</v>
      </c>
      <c r="C442" s="1">
        <v>173</v>
      </c>
      <c r="D442" s="2" t="s">
        <v>607</v>
      </c>
      <c r="E442" s="5" t="s">
        <v>607</v>
      </c>
      <c r="F442" s="5">
        <v>272627</v>
      </c>
      <c r="G442" s="2" t="s">
        <v>1494</v>
      </c>
      <c r="H442" s="2" t="s">
        <v>1495</v>
      </c>
      <c r="I442" s="2" t="s">
        <v>1496</v>
      </c>
      <c r="J442" s="2" t="str">
        <f t="shared" si="12"/>
        <v>https://permalinkbnd.bnportugal.gov.pt/viewer/272627/?offset=#page=173&amp;viewer=picture&amp;o=info&amp;n=0&amp;q=</v>
      </c>
      <c r="K442" s="1" t="s">
        <v>608</v>
      </c>
      <c r="L442" s="1" t="str">
        <f>VLOOKUP(A442,Folha2!$A$2:$B$2019,2,FALSE)</f>
        <v>Sem argumentos. Bibliografia crítica considerada separadamente [via PDF Miguel]</v>
      </c>
      <c r="M442" s="12" t="str">
        <f t="shared" si="13"/>
        <v>https://permalinkbnd.bnportugal.gov.pt/viewer/272627/?offset=#page=173&amp;viewer=picture&amp;o=info&amp;n=0&amp;q=</v>
      </c>
      <c r="N442" s="12" t="s">
        <v>1497</v>
      </c>
      <c r="O442" s="12" t="str">
        <f>CONCATENATE(N442,A442,"\",B442,"\",C442,".jpg")</f>
        <v>C:\Users\mbaptista\OneDrive - Biblioteca Nacional de Portugal\Documentos\python\camoniana\imagens\capas\2284\1\173.jpg</v>
      </c>
      <c r="P442" s="12" t="str">
        <f>HYPERLINK(O442)</f>
        <v>C:\Users\mbaptista\OneDrive - Biblioteca Nacional de Portugal\Documentos\python\camoniana\imagens\capas\2284\1\173.jpg</v>
      </c>
      <c r="Q442" s="12"/>
      <c r="R442" s="6" t="s">
        <v>614</v>
      </c>
      <c r="S442" s="4"/>
      <c r="T442" s="1" t="s">
        <v>609</v>
      </c>
      <c r="U442" s="13"/>
      <c r="V442" s="13"/>
      <c r="W442" s="5" t="s">
        <v>1491</v>
      </c>
    </row>
    <row r="443" spans="1:23" ht="75">
      <c r="A443" s="1">
        <v>2284</v>
      </c>
      <c r="B443" s="1">
        <v>1</v>
      </c>
      <c r="C443" s="1">
        <v>203</v>
      </c>
      <c r="D443" s="2" t="s">
        <v>607</v>
      </c>
      <c r="E443" s="11" t="s">
        <v>607</v>
      </c>
      <c r="F443" s="11">
        <v>272627</v>
      </c>
      <c r="G443" s="2" t="s">
        <v>1494</v>
      </c>
      <c r="H443" s="2" t="s">
        <v>1495</v>
      </c>
      <c r="I443" s="2" t="s">
        <v>1496</v>
      </c>
      <c r="J443" s="2" t="str">
        <f t="shared" si="12"/>
        <v>https://permalinkbnd.bnportugal.gov.pt/viewer/272627/?offset=#page=203&amp;viewer=picture&amp;o=info&amp;n=0&amp;q=</v>
      </c>
      <c r="K443" s="1" t="s">
        <v>608</v>
      </c>
      <c r="L443" s="1" t="str">
        <f>VLOOKUP(A443,Folha2!$A$2:$B$2019,2,FALSE)</f>
        <v>Sem argumentos. Bibliografia crítica considerada separadamente [via PDF Miguel]</v>
      </c>
      <c r="M443" s="12" t="str">
        <f t="shared" si="13"/>
        <v>https://permalinkbnd.bnportugal.gov.pt/viewer/272627/?offset=#page=203&amp;viewer=picture&amp;o=info&amp;n=0&amp;q=</v>
      </c>
      <c r="N443" s="12" t="s">
        <v>1497</v>
      </c>
      <c r="O443" s="12" t="str">
        <f>CONCATENATE(N443,A443,"\",B443,"\",C443,".jpg")</f>
        <v>C:\Users\mbaptista\OneDrive - Biblioteca Nacional de Portugal\Documentos\python\camoniana\imagens\capas\2284\1\203.jpg</v>
      </c>
      <c r="P443" s="12" t="str">
        <f>HYPERLINK(O443)</f>
        <v>C:\Users\mbaptista\OneDrive - Biblioteca Nacional de Portugal\Documentos\python\camoniana\imagens\capas\2284\1\203.jpg</v>
      </c>
      <c r="Q443" s="12"/>
      <c r="R443" s="6" t="s">
        <v>615</v>
      </c>
      <c r="S443" s="4"/>
      <c r="T443" s="1" t="s">
        <v>609</v>
      </c>
      <c r="U443" s="13"/>
      <c r="V443" s="13"/>
      <c r="W443" s="5" t="s">
        <v>1491</v>
      </c>
    </row>
    <row r="444" spans="1:23" ht="75">
      <c r="A444" s="1">
        <v>2284</v>
      </c>
      <c r="B444" s="1">
        <v>1</v>
      </c>
      <c r="C444" s="1">
        <v>231</v>
      </c>
      <c r="D444" s="2" t="s">
        <v>607</v>
      </c>
      <c r="E444" s="5" t="s">
        <v>607</v>
      </c>
      <c r="F444" s="5">
        <v>272627</v>
      </c>
      <c r="G444" s="2" t="s">
        <v>1494</v>
      </c>
      <c r="H444" s="2" t="s">
        <v>1495</v>
      </c>
      <c r="I444" s="2" t="s">
        <v>1496</v>
      </c>
      <c r="J444" s="2" t="str">
        <f t="shared" si="12"/>
        <v>https://permalinkbnd.bnportugal.gov.pt/viewer/272627/?offset=#page=231&amp;viewer=picture&amp;o=info&amp;n=0&amp;q=</v>
      </c>
      <c r="K444" s="1" t="s">
        <v>608</v>
      </c>
      <c r="L444" s="1" t="str">
        <f>VLOOKUP(A444,Folha2!$A$2:$B$2019,2,FALSE)</f>
        <v>Sem argumentos. Bibliografia crítica considerada separadamente [via PDF Miguel]</v>
      </c>
      <c r="M444" s="12" t="str">
        <f t="shared" si="13"/>
        <v>https://permalinkbnd.bnportugal.gov.pt/viewer/272627/?offset=#page=231&amp;viewer=picture&amp;o=info&amp;n=0&amp;q=</v>
      </c>
      <c r="N444" s="12" t="s">
        <v>1497</v>
      </c>
      <c r="O444" s="12" t="str">
        <f>CONCATENATE(N444,A444,"\",B444,"\",C444,".jpg")</f>
        <v>C:\Users\mbaptista\OneDrive - Biblioteca Nacional de Portugal\Documentos\python\camoniana\imagens\capas\2284\1\231.jpg</v>
      </c>
      <c r="P444" s="12" t="str">
        <f>HYPERLINK(O444)</f>
        <v>C:\Users\mbaptista\OneDrive - Biblioteca Nacional de Portugal\Documentos\python\camoniana\imagens\capas\2284\1\231.jpg</v>
      </c>
      <c r="Q444" s="12"/>
      <c r="R444" s="6" t="s">
        <v>616</v>
      </c>
      <c r="S444" s="4"/>
      <c r="T444" s="1" t="s">
        <v>609</v>
      </c>
      <c r="U444" s="13"/>
      <c r="V444" s="13"/>
      <c r="W444" s="5" t="s">
        <v>1491</v>
      </c>
    </row>
    <row r="445" spans="1:23" ht="75">
      <c r="A445" s="1">
        <v>2284</v>
      </c>
      <c r="B445" s="1">
        <v>1</v>
      </c>
      <c r="C445" s="1">
        <v>259</v>
      </c>
      <c r="D445" s="2" t="s">
        <v>607</v>
      </c>
      <c r="E445" s="11" t="s">
        <v>607</v>
      </c>
      <c r="F445" s="11">
        <v>272627</v>
      </c>
      <c r="G445" s="2" t="s">
        <v>1494</v>
      </c>
      <c r="H445" s="2" t="s">
        <v>1495</v>
      </c>
      <c r="I445" s="2" t="s">
        <v>1496</v>
      </c>
      <c r="J445" s="2" t="str">
        <f t="shared" si="12"/>
        <v>https://permalinkbnd.bnportugal.gov.pt/viewer/272627/?offset=#page=259&amp;viewer=picture&amp;o=info&amp;n=0&amp;q=</v>
      </c>
      <c r="K445" s="1" t="s">
        <v>608</v>
      </c>
      <c r="L445" s="1" t="str">
        <f>VLOOKUP(A445,Folha2!$A$2:$B$2019,2,FALSE)</f>
        <v>Sem argumentos. Bibliografia crítica considerada separadamente [via PDF Miguel]</v>
      </c>
      <c r="M445" s="12" t="str">
        <f t="shared" si="13"/>
        <v>https://permalinkbnd.bnportugal.gov.pt/viewer/272627/?offset=#page=259&amp;viewer=picture&amp;o=info&amp;n=0&amp;q=</v>
      </c>
      <c r="N445" s="12" t="s">
        <v>1497</v>
      </c>
      <c r="O445" s="12" t="str">
        <f>CONCATENATE(N445,A445,"\",B445,"\",C445,".jpg")</f>
        <v>C:\Users\mbaptista\OneDrive - Biblioteca Nacional de Portugal\Documentos\python\camoniana\imagens\capas\2284\1\259.jpg</v>
      </c>
      <c r="P445" s="12" t="str">
        <f>HYPERLINK(O445)</f>
        <v>C:\Users\mbaptista\OneDrive - Biblioteca Nacional de Portugal\Documentos\python\camoniana\imagens\capas\2284\1\259.jpg</v>
      </c>
      <c r="Q445" s="12"/>
      <c r="R445" s="6" t="s">
        <v>617</v>
      </c>
      <c r="S445" s="4"/>
      <c r="T445" s="1" t="s">
        <v>609</v>
      </c>
      <c r="U445" s="13"/>
      <c r="V445" s="13"/>
      <c r="W445" s="5" t="s">
        <v>1491</v>
      </c>
    </row>
    <row r="446" spans="1:23" ht="75">
      <c r="A446" s="1">
        <v>2284</v>
      </c>
      <c r="B446" s="1">
        <v>1</v>
      </c>
      <c r="C446" s="1">
        <v>285</v>
      </c>
      <c r="D446" s="2" t="s">
        <v>607</v>
      </c>
      <c r="E446" s="5" t="s">
        <v>607</v>
      </c>
      <c r="F446" s="5">
        <v>272627</v>
      </c>
      <c r="G446" s="2" t="s">
        <v>1494</v>
      </c>
      <c r="H446" s="2" t="s">
        <v>1495</v>
      </c>
      <c r="I446" s="2" t="s">
        <v>1496</v>
      </c>
      <c r="J446" s="2" t="str">
        <f t="shared" si="12"/>
        <v>https://permalinkbnd.bnportugal.gov.pt/viewer/272627/?offset=#page=285&amp;viewer=picture&amp;o=info&amp;n=0&amp;q=</v>
      </c>
      <c r="K446" s="1" t="s">
        <v>608</v>
      </c>
      <c r="L446" s="1" t="str">
        <f>VLOOKUP(A446,Folha2!$A$2:$B$2019,2,FALSE)</f>
        <v>Sem argumentos. Bibliografia crítica considerada separadamente [via PDF Miguel]</v>
      </c>
      <c r="M446" s="12" t="str">
        <f t="shared" si="13"/>
        <v>https://permalinkbnd.bnportugal.gov.pt/viewer/272627/?offset=#page=285&amp;viewer=picture&amp;o=info&amp;n=0&amp;q=</v>
      </c>
      <c r="N446" s="12" t="s">
        <v>1497</v>
      </c>
      <c r="O446" s="12" t="str">
        <f>CONCATENATE(N446,A446,"\",B446,"\",C446,".jpg")</f>
        <v>C:\Users\mbaptista\OneDrive - Biblioteca Nacional de Portugal\Documentos\python\camoniana\imagens\capas\2284\1\285.jpg</v>
      </c>
      <c r="P446" s="12" t="str">
        <f>HYPERLINK(O446)</f>
        <v>C:\Users\mbaptista\OneDrive - Biblioteca Nacional de Portugal\Documentos\python\camoniana\imagens\capas\2284\1\285.jpg</v>
      </c>
      <c r="Q446" s="12"/>
      <c r="R446" s="6" t="s">
        <v>618</v>
      </c>
      <c r="S446" s="4"/>
      <c r="T446" s="1" t="s">
        <v>609</v>
      </c>
      <c r="U446" s="13"/>
      <c r="V446" s="13"/>
      <c r="W446" s="5" t="s">
        <v>1491</v>
      </c>
    </row>
    <row r="447" spans="1:23" ht="75">
      <c r="A447" s="1">
        <v>2284</v>
      </c>
      <c r="B447" s="1">
        <v>1</v>
      </c>
      <c r="C447" s="1">
        <v>313</v>
      </c>
      <c r="D447" s="2" t="s">
        <v>607</v>
      </c>
      <c r="E447" s="11" t="s">
        <v>607</v>
      </c>
      <c r="F447" s="11">
        <v>272627</v>
      </c>
      <c r="G447" s="2" t="s">
        <v>1494</v>
      </c>
      <c r="H447" s="2" t="s">
        <v>1495</v>
      </c>
      <c r="I447" s="2" t="s">
        <v>1496</v>
      </c>
      <c r="J447" s="2" t="str">
        <f t="shared" si="12"/>
        <v>https://permalinkbnd.bnportugal.gov.pt/viewer/272627/?offset=#page=313&amp;viewer=picture&amp;o=info&amp;n=0&amp;q=</v>
      </c>
      <c r="K447" s="1" t="s">
        <v>608</v>
      </c>
      <c r="L447" s="1" t="str">
        <f>VLOOKUP(A447,Folha2!$A$2:$B$2019,2,FALSE)</f>
        <v>Sem argumentos. Bibliografia crítica considerada separadamente [via PDF Miguel]</v>
      </c>
      <c r="M447" s="12" t="str">
        <f t="shared" si="13"/>
        <v>https://permalinkbnd.bnportugal.gov.pt/viewer/272627/?offset=#page=313&amp;viewer=picture&amp;o=info&amp;n=0&amp;q=</v>
      </c>
      <c r="N447" s="12" t="s">
        <v>1497</v>
      </c>
      <c r="O447" s="12" t="str">
        <f>CONCATENATE(N447,A447,"\",B447,"\",C447,".jpg")</f>
        <v>C:\Users\mbaptista\OneDrive - Biblioteca Nacional de Portugal\Documentos\python\camoniana\imagens\capas\2284\1\313.jpg</v>
      </c>
      <c r="P447" s="12" t="str">
        <f>HYPERLINK(O447)</f>
        <v>C:\Users\mbaptista\OneDrive - Biblioteca Nacional de Portugal\Documentos\python\camoniana\imagens\capas\2284\1\313.jpg</v>
      </c>
      <c r="Q447" s="12"/>
      <c r="R447" s="6" t="s">
        <v>619</v>
      </c>
      <c r="S447" s="4"/>
      <c r="T447" s="1" t="s">
        <v>609</v>
      </c>
      <c r="U447" s="13"/>
      <c r="V447" s="13"/>
      <c r="W447" s="5" t="s">
        <v>1491</v>
      </c>
    </row>
    <row r="448" spans="1:23" ht="75">
      <c r="A448" s="1">
        <v>2284</v>
      </c>
      <c r="B448" s="1">
        <v>1</v>
      </c>
      <c r="C448" s="1">
        <v>333</v>
      </c>
      <c r="D448" s="2" t="s">
        <v>607</v>
      </c>
      <c r="E448" s="5" t="s">
        <v>607</v>
      </c>
      <c r="F448" s="5">
        <v>272627</v>
      </c>
      <c r="G448" s="2" t="s">
        <v>1494</v>
      </c>
      <c r="H448" s="2" t="s">
        <v>1495</v>
      </c>
      <c r="I448" s="2" t="s">
        <v>1496</v>
      </c>
      <c r="J448" s="2" t="str">
        <f t="shared" si="12"/>
        <v>https://permalinkbnd.bnportugal.gov.pt/viewer/272627/?offset=#page=333&amp;viewer=picture&amp;o=info&amp;n=0&amp;q=</v>
      </c>
      <c r="K448" s="1" t="s">
        <v>608</v>
      </c>
      <c r="L448" s="1" t="str">
        <f>VLOOKUP(A448,Folha2!$A$2:$B$2019,2,FALSE)</f>
        <v>Sem argumentos. Bibliografia crítica considerada separadamente [via PDF Miguel]</v>
      </c>
      <c r="M448" s="12" t="str">
        <f t="shared" si="13"/>
        <v>https://permalinkbnd.bnportugal.gov.pt/viewer/272627/?offset=#page=333&amp;viewer=picture&amp;o=info&amp;n=0&amp;q=</v>
      </c>
      <c r="N448" s="12" t="s">
        <v>1497</v>
      </c>
      <c r="O448" s="12" t="str">
        <f>CONCATENATE(N448,A448,"\",B448,"\",C448,".jpg")</f>
        <v>C:\Users\mbaptista\OneDrive - Biblioteca Nacional de Portugal\Documentos\python\camoniana\imagens\capas\2284\1\333.jpg</v>
      </c>
      <c r="P448" s="12" t="str">
        <f>HYPERLINK(O448)</f>
        <v>C:\Users\mbaptista\OneDrive - Biblioteca Nacional de Portugal\Documentos\python\camoniana\imagens\capas\2284\1\333.jpg</v>
      </c>
      <c r="Q448" s="12"/>
      <c r="R448" s="6"/>
      <c r="S448" s="4"/>
      <c r="T448" s="1"/>
      <c r="U448" s="13"/>
      <c r="V448" s="13"/>
      <c r="W448" s="5"/>
    </row>
    <row r="449" spans="1:23" ht="75">
      <c r="A449" s="1">
        <v>2284</v>
      </c>
      <c r="B449" s="1">
        <v>1</v>
      </c>
      <c r="C449" s="1">
        <v>341</v>
      </c>
      <c r="D449" s="2" t="s">
        <v>607</v>
      </c>
      <c r="E449" s="11" t="s">
        <v>607</v>
      </c>
      <c r="F449" s="11">
        <v>272627</v>
      </c>
      <c r="G449" s="2" t="s">
        <v>1494</v>
      </c>
      <c r="H449" s="2" t="s">
        <v>1495</v>
      </c>
      <c r="I449" s="2" t="s">
        <v>1496</v>
      </c>
      <c r="J449" s="2" t="str">
        <f t="shared" si="12"/>
        <v>https://permalinkbnd.bnportugal.gov.pt/viewer/272627/?offset=#page=341&amp;viewer=picture&amp;o=info&amp;n=0&amp;q=</v>
      </c>
      <c r="K449" s="1" t="s">
        <v>608</v>
      </c>
      <c r="L449" s="1" t="str">
        <f>VLOOKUP(A449,Folha2!$A$2:$B$2019,2,FALSE)</f>
        <v>Sem argumentos. Bibliografia crítica considerada separadamente [via PDF Miguel]</v>
      </c>
      <c r="M449" s="12" t="str">
        <f t="shared" si="13"/>
        <v>https://permalinkbnd.bnportugal.gov.pt/viewer/272627/?offset=#page=341&amp;viewer=picture&amp;o=info&amp;n=0&amp;q=</v>
      </c>
      <c r="N449" s="12" t="s">
        <v>1497</v>
      </c>
      <c r="O449" s="12" t="str">
        <f>CONCATENATE(N449,A449,"\",B449,"\",C449,".jpg")</f>
        <v>C:\Users\mbaptista\OneDrive - Biblioteca Nacional de Portugal\Documentos\python\camoniana\imagens\capas\2284\1\341.jpg</v>
      </c>
      <c r="P449" s="12" t="str">
        <f>HYPERLINK(O449)</f>
        <v>C:\Users\mbaptista\OneDrive - Biblioteca Nacional de Portugal\Documentos\python\camoniana\imagens\capas\2284\1\341.jpg</v>
      </c>
      <c r="Q449" s="12"/>
      <c r="R449" s="6" t="s">
        <v>620</v>
      </c>
      <c r="S449" s="4"/>
      <c r="T449" s="1" t="s">
        <v>609</v>
      </c>
      <c r="U449" s="13"/>
      <c r="V449" s="13"/>
      <c r="W449" s="5" t="s">
        <v>1491</v>
      </c>
    </row>
    <row r="450" spans="1:23" ht="75">
      <c r="A450" s="1">
        <v>2284</v>
      </c>
      <c r="B450" s="1">
        <v>1</v>
      </c>
      <c r="C450" s="1">
        <v>390</v>
      </c>
      <c r="D450" s="2" t="s">
        <v>607</v>
      </c>
      <c r="E450" s="5" t="s">
        <v>607</v>
      </c>
      <c r="F450" s="5">
        <v>272627</v>
      </c>
      <c r="G450" s="2" t="s">
        <v>1494</v>
      </c>
      <c r="H450" s="2" t="s">
        <v>1495</v>
      </c>
      <c r="I450" s="2" t="s">
        <v>1496</v>
      </c>
      <c r="J450" s="2" t="str">
        <f t="shared" ref="J450:J513" si="14">CONCATENATE(G450,F450,H450,C450,I450)</f>
        <v>https://permalinkbnd.bnportugal.gov.pt/viewer/272627/?offset=#page=390&amp;viewer=picture&amp;o=info&amp;n=0&amp;q=</v>
      </c>
      <c r="K450" s="1" t="s">
        <v>608</v>
      </c>
      <c r="L450" s="1" t="str">
        <f>VLOOKUP(A450,Folha2!$A$2:$B$2019,2,FALSE)</f>
        <v>Sem argumentos. Bibliografia crítica considerada separadamente [via PDF Miguel]</v>
      </c>
      <c r="M450" s="12" t="str">
        <f t="shared" ref="M450:M513" si="15">HYPERLINK(J450)</f>
        <v>https://permalinkbnd.bnportugal.gov.pt/viewer/272627/?offset=#page=390&amp;viewer=picture&amp;o=info&amp;n=0&amp;q=</v>
      </c>
      <c r="N450" s="12" t="s">
        <v>1497</v>
      </c>
      <c r="O450" s="12" t="str">
        <f>CONCATENATE(N450,A450,"\",B450,"\",C450,".jpg")</f>
        <v>C:\Users\mbaptista\OneDrive - Biblioteca Nacional de Portugal\Documentos\python\camoniana\imagens\capas\2284\1\390.jpg</v>
      </c>
      <c r="P450" s="12" t="str">
        <f>HYPERLINK(O450)</f>
        <v>C:\Users\mbaptista\OneDrive - Biblioteca Nacional de Portugal\Documentos\python\camoniana\imagens\capas\2284\1\390.jpg</v>
      </c>
      <c r="Q450" s="12"/>
      <c r="R450" s="6"/>
      <c r="S450" s="4"/>
      <c r="T450" s="1"/>
      <c r="U450" s="13"/>
      <c r="V450" s="13"/>
      <c r="W450" s="5"/>
    </row>
    <row r="451" spans="1:23" ht="75">
      <c r="A451" s="1">
        <v>256560</v>
      </c>
      <c r="B451" s="1">
        <v>1</v>
      </c>
      <c r="C451" s="1">
        <v>8</v>
      </c>
      <c r="D451" s="2" t="s">
        <v>621</v>
      </c>
      <c r="E451" s="11" t="s">
        <v>621</v>
      </c>
      <c r="F451" s="11">
        <v>277151</v>
      </c>
      <c r="G451" s="2" t="s">
        <v>1494</v>
      </c>
      <c r="H451" s="2" t="s">
        <v>1495</v>
      </c>
      <c r="I451" s="2" t="s">
        <v>1496</v>
      </c>
      <c r="J451" s="2" t="str">
        <f t="shared" si="14"/>
        <v>https://permalinkbnd.bnportugal.gov.pt/viewer/277151/?offset=#page=8&amp;viewer=picture&amp;o=info&amp;n=0&amp;q=</v>
      </c>
      <c r="K451" s="1" t="s">
        <v>622</v>
      </c>
      <c r="L451" s="1" t="str">
        <f>VLOOKUP(A451,Folha2!$A$2:$B$2019,2,FALSE)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1" s="12" t="str">
        <f t="shared" si="15"/>
        <v>https://permalinkbnd.bnportugal.gov.pt/viewer/277151/?offset=#page=8&amp;viewer=picture&amp;o=info&amp;n=0&amp;q=</v>
      </c>
      <c r="N451" s="12" t="s">
        <v>1497</v>
      </c>
      <c r="O451" s="12" t="str">
        <f>CONCATENATE(N451,A451,"\",B451,"\",C451,".jpg")</f>
        <v>C:\Users\mbaptista\OneDrive - Biblioteca Nacional de Portugal\Documentos\python\camoniana\imagens\capas\256560\1\8.jpg</v>
      </c>
      <c r="P451" s="12" t="str">
        <f>HYPERLINK(O451)</f>
        <v>C:\Users\mbaptista\OneDrive - Biblioteca Nacional de Portugal\Documentos\python\camoniana\imagens\capas\256560\1\8.jpg</v>
      </c>
      <c r="Q451" s="12"/>
      <c r="R451" s="6" t="s">
        <v>624</v>
      </c>
      <c r="S451" s="4"/>
      <c r="T451" s="1" t="s">
        <v>623</v>
      </c>
      <c r="U451" s="13"/>
      <c r="V451" s="13"/>
      <c r="W451" s="5" t="s">
        <v>1491</v>
      </c>
    </row>
    <row r="452" spans="1:23" ht="75">
      <c r="A452" s="1">
        <v>256560</v>
      </c>
      <c r="B452" s="1">
        <v>1</v>
      </c>
      <c r="C452" s="1">
        <v>9</v>
      </c>
      <c r="D452" s="2" t="s">
        <v>621</v>
      </c>
      <c r="E452" s="5" t="s">
        <v>621</v>
      </c>
      <c r="F452" s="5">
        <v>277151</v>
      </c>
      <c r="G452" s="2" t="s">
        <v>1494</v>
      </c>
      <c r="H452" s="2" t="s">
        <v>1495</v>
      </c>
      <c r="I452" s="2" t="s">
        <v>1496</v>
      </c>
      <c r="J452" s="2" t="str">
        <f t="shared" si="14"/>
        <v>https://permalinkbnd.bnportugal.gov.pt/viewer/277151/?offset=#page=9&amp;viewer=picture&amp;o=info&amp;n=0&amp;q=</v>
      </c>
      <c r="K452" s="1" t="s">
        <v>622</v>
      </c>
      <c r="L452" s="1" t="str">
        <f>VLOOKUP(A452,Folha2!$A$2:$B$2019,2,FALSE)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2" s="12" t="str">
        <f t="shared" si="15"/>
        <v>https://permalinkbnd.bnportugal.gov.pt/viewer/277151/?offset=#page=9&amp;viewer=picture&amp;o=info&amp;n=0&amp;q=</v>
      </c>
      <c r="N452" s="12" t="s">
        <v>1497</v>
      </c>
      <c r="O452" s="12" t="str">
        <f>CONCATENATE(N452,A452,"\",B452,"\",C452,".jpg")</f>
        <v>C:\Users\mbaptista\OneDrive - Biblioteca Nacional de Portugal\Documentos\python\camoniana\imagens\capas\256560\1\9.jpg</v>
      </c>
      <c r="P452" s="12" t="str">
        <f>HYPERLINK(O452)</f>
        <v>C:\Users\mbaptista\OneDrive - Biblioteca Nacional de Portugal\Documentos\python\camoniana\imagens\capas\256560\1\9.jpg</v>
      </c>
      <c r="Q452" s="12"/>
      <c r="R452" s="6"/>
      <c r="S452" s="4"/>
      <c r="T452" s="1"/>
      <c r="U452" s="13"/>
      <c r="V452" s="13"/>
      <c r="W452" s="5"/>
    </row>
    <row r="453" spans="1:23" ht="75">
      <c r="A453" s="1">
        <v>256560</v>
      </c>
      <c r="B453" s="1">
        <v>1</v>
      </c>
      <c r="C453" s="1">
        <v>63</v>
      </c>
      <c r="D453" s="2" t="s">
        <v>621</v>
      </c>
      <c r="E453" s="11" t="s">
        <v>621</v>
      </c>
      <c r="F453" s="11">
        <v>277151</v>
      </c>
      <c r="G453" s="2" t="s">
        <v>1494</v>
      </c>
      <c r="H453" s="2" t="s">
        <v>1495</v>
      </c>
      <c r="I453" s="2" t="s">
        <v>1496</v>
      </c>
      <c r="J453" s="2" t="str">
        <f t="shared" si="14"/>
        <v>https://permalinkbnd.bnportugal.gov.pt/viewer/277151/?offset=#page=63&amp;viewer=picture&amp;o=info&amp;n=0&amp;q=</v>
      </c>
      <c r="K453" s="1" t="s">
        <v>622</v>
      </c>
      <c r="L453" s="1" t="str">
        <f>VLOOKUP(A453,Folha2!$A$2:$B$2019,2,FALSE)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3" s="12" t="str">
        <f t="shared" si="15"/>
        <v>https://permalinkbnd.bnportugal.gov.pt/viewer/277151/?offset=#page=63&amp;viewer=picture&amp;o=info&amp;n=0&amp;q=</v>
      </c>
      <c r="N453" s="12" t="s">
        <v>1497</v>
      </c>
      <c r="O453" s="12" t="str">
        <f>CONCATENATE(N453,A453,"\",B453,"\",C453,".jpg")</f>
        <v>C:\Users\mbaptista\OneDrive - Biblioteca Nacional de Portugal\Documentos\python\camoniana\imagens\capas\256560\1\63.jpg</v>
      </c>
      <c r="P453" s="12" t="str">
        <f>HYPERLINK(O453)</f>
        <v>C:\Users\mbaptista\OneDrive - Biblioteca Nacional de Portugal\Documentos\python\camoniana\imagens\capas\256560\1\63.jpg</v>
      </c>
      <c r="Q453" s="12"/>
      <c r="R453" s="6" t="s">
        <v>625</v>
      </c>
      <c r="S453" s="4"/>
      <c r="T453" s="1" t="s">
        <v>623</v>
      </c>
      <c r="U453" s="13"/>
      <c r="V453" s="13"/>
      <c r="W453" s="5" t="s">
        <v>1491</v>
      </c>
    </row>
    <row r="454" spans="1:23" ht="75">
      <c r="A454" s="1">
        <v>256560</v>
      </c>
      <c r="B454" s="1">
        <v>1</v>
      </c>
      <c r="C454" s="1">
        <v>101</v>
      </c>
      <c r="D454" s="2" t="s">
        <v>621</v>
      </c>
      <c r="E454" s="5" t="s">
        <v>621</v>
      </c>
      <c r="F454" s="5">
        <v>277151</v>
      </c>
      <c r="G454" s="2" t="s">
        <v>1494</v>
      </c>
      <c r="H454" s="2" t="s">
        <v>1495</v>
      </c>
      <c r="I454" s="2" t="s">
        <v>1496</v>
      </c>
      <c r="J454" s="2" t="str">
        <f t="shared" si="14"/>
        <v>https://permalinkbnd.bnportugal.gov.pt/viewer/277151/?offset=#page=101&amp;viewer=picture&amp;o=info&amp;n=0&amp;q=</v>
      </c>
      <c r="K454" s="1" t="s">
        <v>622</v>
      </c>
      <c r="L454" s="1" t="str">
        <f>VLOOKUP(A454,Folha2!$A$2:$B$2019,2,FALSE)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4" s="12" t="str">
        <f t="shared" si="15"/>
        <v>https://permalinkbnd.bnportugal.gov.pt/viewer/277151/?offset=#page=101&amp;viewer=picture&amp;o=info&amp;n=0&amp;q=</v>
      </c>
      <c r="N454" s="12" t="s">
        <v>1497</v>
      </c>
      <c r="O454" s="12" t="str">
        <f>CONCATENATE(N454,A454,"\",B454,"\",C454,".jpg")</f>
        <v>C:\Users\mbaptista\OneDrive - Biblioteca Nacional de Portugal\Documentos\python\camoniana\imagens\capas\256560\1\101.jpg</v>
      </c>
      <c r="P454" s="12" t="str">
        <f>HYPERLINK(O454)</f>
        <v>C:\Users\mbaptista\OneDrive - Biblioteca Nacional de Portugal\Documentos\python\camoniana\imagens\capas\256560\1\101.jpg</v>
      </c>
      <c r="Q454" s="12"/>
      <c r="R454" s="6" t="s">
        <v>626</v>
      </c>
      <c r="S454" s="4"/>
      <c r="T454" s="1" t="s">
        <v>623</v>
      </c>
      <c r="U454" s="13"/>
      <c r="V454" s="13"/>
      <c r="W454" s="5" t="s">
        <v>1491</v>
      </c>
    </row>
    <row r="455" spans="1:23" ht="75">
      <c r="A455" s="1">
        <v>256560</v>
      </c>
      <c r="B455" s="1">
        <v>1</v>
      </c>
      <c r="C455" s="1">
        <v>143</v>
      </c>
      <c r="D455" s="2" t="s">
        <v>621</v>
      </c>
      <c r="E455" s="11" t="s">
        <v>621</v>
      </c>
      <c r="F455" s="11">
        <v>277151</v>
      </c>
      <c r="G455" s="2" t="s">
        <v>1494</v>
      </c>
      <c r="H455" s="2" t="s">
        <v>1495</v>
      </c>
      <c r="I455" s="2" t="s">
        <v>1496</v>
      </c>
      <c r="J455" s="2" t="str">
        <f t="shared" si="14"/>
        <v>https://permalinkbnd.bnportugal.gov.pt/viewer/277151/?offset=#page=143&amp;viewer=picture&amp;o=info&amp;n=0&amp;q=</v>
      </c>
      <c r="K455" s="1" t="s">
        <v>622</v>
      </c>
      <c r="L455" s="1" t="str">
        <f>VLOOKUP(A455,Folha2!$A$2:$B$2019,2,FALSE)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5" s="12" t="str">
        <f t="shared" si="15"/>
        <v>https://permalinkbnd.bnportugal.gov.pt/viewer/277151/?offset=#page=143&amp;viewer=picture&amp;o=info&amp;n=0&amp;q=</v>
      </c>
      <c r="N455" s="12" t="s">
        <v>1497</v>
      </c>
      <c r="O455" s="12" t="str">
        <f>CONCATENATE(N455,A455,"\",B455,"\",C455,".jpg")</f>
        <v>C:\Users\mbaptista\OneDrive - Biblioteca Nacional de Portugal\Documentos\python\camoniana\imagens\capas\256560\1\143.jpg</v>
      </c>
      <c r="P455" s="12" t="str">
        <f>HYPERLINK(O455)</f>
        <v>C:\Users\mbaptista\OneDrive - Biblioteca Nacional de Portugal\Documentos\python\camoniana\imagens\capas\256560\1\143.jpg</v>
      </c>
      <c r="Q455" s="12"/>
      <c r="R455" s="6" t="s">
        <v>627</v>
      </c>
      <c r="S455" s="4"/>
      <c r="T455" s="1" t="s">
        <v>623</v>
      </c>
      <c r="U455" s="13"/>
      <c r="V455" s="13"/>
      <c r="W455" s="5" t="s">
        <v>1491</v>
      </c>
    </row>
    <row r="456" spans="1:23" ht="75">
      <c r="A456" s="1">
        <v>256560</v>
      </c>
      <c r="B456" s="1">
        <v>1</v>
      </c>
      <c r="C456" s="1">
        <v>195</v>
      </c>
      <c r="D456" s="2" t="s">
        <v>621</v>
      </c>
      <c r="E456" s="5" t="s">
        <v>621</v>
      </c>
      <c r="F456" s="5">
        <v>277151</v>
      </c>
      <c r="G456" s="2" t="s">
        <v>1494</v>
      </c>
      <c r="H456" s="2" t="s">
        <v>1495</v>
      </c>
      <c r="I456" s="2" t="s">
        <v>1496</v>
      </c>
      <c r="J456" s="2" t="str">
        <f t="shared" si="14"/>
        <v>https://permalinkbnd.bnportugal.gov.pt/viewer/277151/?offset=#page=195&amp;viewer=picture&amp;o=info&amp;n=0&amp;q=</v>
      </c>
      <c r="K456" s="1" t="s">
        <v>622</v>
      </c>
      <c r="L456" s="1" t="str">
        <f>VLOOKUP(A456,Folha2!$A$2:$B$2019,2,FALSE)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6" s="12" t="str">
        <f t="shared" si="15"/>
        <v>https://permalinkbnd.bnportugal.gov.pt/viewer/277151/?offset=#page=195&amp;viewer=picture&amp;o=info&amp;n=0&amp;q=</v>
      </c>
      <c r="N456" s="12" t="s">
        <v>1497</v>
      </c>
      <c r="O456" s="12" t="str">
        <f>CONCATENATE(N456,A456,"\",B456,"\",C456,".jpg")</f>
        <v>C:\Users\mbaptista\OneDrive - Biblioteca Nacional de Portugal\Documentos\python\camoniana\imagens\capas\256560\1\195.jpg</v>
      </c>
      <c r="P456" s="12" t="str">
        <f>HYPERLINK(O456)</f>
        <v>C:\Users\mbaptista\OneDrive - Biblioteca Nacional de Portugal\Documentos\python\camoniana\imagens\capas\256560\1\195.jpg</v>
      </c>
      <c r="Q456" s="12"/>
      <c r="R456" s="6" t="s">
        <v>628</v>
      </c>
      <c r="S456" s="4"/>
      <c r="T456" s="1" t="s">
        <v>623</v>
      </c>
      <c r="U456" s="13"/>
      <c r="V456" s="13"/>
      <c r="W456" s="5" t="s">
        <v>1491</v>
      </c>
    </row>
    <row r="457" spans="1:23" ht="75">
      <c r="A457" s="1">
        <v>256560</v>
      </c>
      <c r="B457" s="1">
        <v>1</v>
      </c>
      <c r="C457" s="1">
        <v>233</v>
      </c>
      <c r="D457" s="2" t="s">
        <v>621</v>
      </c>
      <c r="E457" s="11" t="s">
        <v>621</v>
      </c>
      <c r="F457" s="11">
        <v>277151</v>
      </c>
      <c r="G457" s="2" t="s">
        <v>1494</v>
      </c>
      <c r="H457" s="2" t="s">
        <v>1495</v>
      </c>
      <c r="I457" s="2" t="s">
        <v>1496</v>
      </c>
      <c r="J457" s="2" t="str">
        <f t="shared" si="14"/>
        <v>https://permalinkbnd.bnportugal.gov.pt/viewer/277151/?offset=#page=233&amp;viewer=picture&amp;o=info&amp;n=0&amp;q=</v>
      </c>
      <c r="K457" s="1" t="s">
        <v>622</v>
      </c>
      <c r="L457" s="1" t="str">
        <f>VLOOKUP(A457,Folha2!$A$2:$B$2019,2,FALSE)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7" s="12" t="str">
        <f t="shared" si="15"/>
        <v>https://permalinkbnd.bnportugal.gov.pt/viewer/277151/?offset=#page=233&amp;viewer=picture&amp;o=info&amp;n=0&amp;q=</v>
      </c>
      <c r="N457" s="12" t="s">
        <v>1497</v>
      </c>
      <c r="O457" s="12" t="str">
        <f>CONCATENATE(N457,A457,"\",B457,"\",C457,".jpg")</f>
        <v>C:\Users\mbaptista\OneDrive - Biblioteca Nacional de Portugal\Documentos\python\camoniana\imagens\capas\256560\1\233.jpg</v>
      </c>
      <c r="P457" s="12" t="str">
        <f>HYPERLINK(O457)</f>
        <v>C:\Users\mbaptista\OneDrive - Biblioteca Nacional de Portugal\Documentos\python\camoniana\imagens\capas\256560\1\233.jpg</v>
      </c>
      <c r="Q457" s="12"/>
      <c r="R457" s="6" t="s">
        <v>629</v>
      </c>
      <c r="S457" s="4"/>
      <c r="T457" s="1" t="s">
        <v>623</v>
      </c>
      <c r="U457" s="13"/>
      <c r="V457" s="13"/>
      <c r="W457" s="5" t="s">
        <v>1491</v>
      </c>
    </row>
    <row r="458" spans="1:23" ht="75">
      <c r="A458" s="1">
        <v>256560</v>
      </c>
      <c r="B458" s="1">
        <v>1</v>
      </c>
      <c r="C458" s="1">
        <v>269</v>
      </c>
      <c r="D458" s="2" t="s">
        <v>621</v>
      </c>
      <c r="E458" s="5" t="s">
        <v>621</v>
      </c>
      <c r="F458" s="5">
        <v>277151</v>
      </c>
      <c r="G458" s="2" t="s">
        <v>1494</v>
      </c>
      <c r="H458" s="2" t="s">
        <v>1495</v>
      </c>
      <c r="I458" s="2" t="s">
        <v>1496</v>
      </c>
      <c r="J458" s="2" t="str">
        <f t="shared" si="14"/>
        <v>https://permalinkbnd.bnportugal.gov.pt/viewer/277151/?offset=#page=269&amp;viewer=picture&amp;o=info&amp;n=0&amp;q=</v>
      </c>
      <c r="K458" s="1" t="s">
        <v>622</v>
      </c>
      <c r="L458" s="1" t="str">
        <f>VLOOKUP(A458,Folha2!$A$2:$B$2019,2,FALSE)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8" s="12" t="str">
        <f t="shared" si="15"/>
        <v>https://permalinkbnd.bnportugal.gov.pt/viewer/277151/?offset=#page=269&amp;viewer=picture&amp;o=info&amp;n=0&amp;q=</v>
      </c>
      <c r="N458" s="12" t="s">
        <v>1497</v>
      </c>
      <c r="O458" s="12" t="str">
        <f>CONCATENATE(N458,A458,"\",B458,"\",C458,".jpg")</f>
        <v>C:\Users\mbaptista\OneDrive - Biblioteca Nacional de Portugal\Documentos\python\camoniana\imagens\capas\256560\1\269.jpg</v>
      </c>
      <c r="P458" s="12" t="str">
        <f>HYPERLINK(O458)</f>
        <v>C:\Users\mbaptista\OneDrive - Biblioteca Nacional de Portugal\Documentos\python\camoniana\imagens\capas\256560\1\269.jpg</v>
      </c>
      <c r="Q458" s="12"/>
      <c r="R458" s="6" t="s">
        <v>630</v>
      </c>
      <c r="S458" s="4"/>
      <c r="T458" s="1" t="s">
        <v>623</v>
      </c>
      <c r="U458" s="13"/>
      <c r="V458" s="13"/>
      <c r="W458" s="5" t="s">
        <v>1491</v>
      </c>
    </row>
    <row r="459" spans="1:23" ht="75">
      <c r="A459" s="1">
        <v>256560</v>
      </c>
      <c r="B459" s="1">
        <v>1</v>
      </c>
      <c r="C459" s="1">
        <v>305</v>
      </c>
      <c r="D459" s="2" t="s">
        <v>621</v>
      </c>
      <c r="E459" s="11" t="s">
        <v>621</v>
      </c>
      <c r="F459" s="11">
        <v>277151</v>
      </c>
      <c r="G459" s="2" t="s">
        <v>1494</v>
      </c>
      <c r="H459" s="2" t="s">
        <v>1495</v>
      </c>
      <c r="I459" s="2" t="s">
        <v>1496</v>
      </c>
      <c r="J459" s="2" t="str">
        <f t="shared" si="14"/>
        <v>https://permalinkbnd.bnportugal.gov.pt/viewer/277151/?offset=#page=305&amp;viewer=picture&amp;o=info&amp;n=0&amp;q=</v>
      </c>
      <c r="K459" s="1" t="s">
        <v>622</v>
      </c>
      <c r="L459" s="1" t="str">
        <f>VLOOKUP(A459,Folha2!$A$2:$B$2019,2,FALSE)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9" s="12" t="str">
        <f t="shared" si="15"/>
        <v>https://permalinkbnd.bnportugal.gov.pt/viewer/277151/?offset=#page=305&amp;viewer=picture&amp;o=info&amp;n=0&amp;q=</v>
      </c>
      <c r="N459" s="12" t="s">
        <v>1497</v>
      </c>
      <c r="O459" s="12" t="str">
        <f>CONCATENATE(N459,A459,"\",B459,"\",C459,".jpg")</f>
        <v>C:\Users\mbaptista\OneDrive - Biblioteca Nacional de Portugal\Documentos\python\camoniana\imagens\capas\256560\1\305.jpg</v>
      </c>
      <c r="P459" s="12" t="str">
        <f>HYPERLINK(O459)</f>
        <v>C:\Users\mbaptista\OneDrive - Biblioteca Nacional de Portugal\Documentos\python\camoniana\imagens\capas\256560\1\305.jpg</v>
      </c>
      <c r="Q459" s="12"/>
      <c r="R459" s="6" t="s">
        <v>631</v>
      </c>
      <c r="S459" s="4"/>
      <c r="T459" s="1" t="s">
        <v>623</v>
      </c>
      <c r="U459" s="13"/>
      <c r="V459" s="13"/>
      <c r="W459" s="5" t="s">
        <v>1491</v>
      </c>
    </row>
    <row r="460" spans="1:23" ht="75">
      <c r="A460" s="1">
        <v>256560</v>
      </c>
      <c r="B460" s="1">
        <v>1</v>
      </c>
      <c r="C460" s="1">
        <v>337</v>
      </c>
      <c r="D460" s="2" t="s">
        <v>621</v>
      </c>
      <c r="E460" s="5" t="s">
        <v>621</v>
      </c>
      <c r="F460" s="5">
        <v>277151</v>
      </c>
      <c r="G460" s="2" t="s">
        <v>1494</v>
      </c>
      <c r="H460" s="2" t="s">
        <v>1495</v>
      </c>
      <c r="I460" s="2" t="s">
        <v>1496</v>
      </c>
      <c r="J460" s="2" t="str">
        <f t="shared" si="14"/>
        <v>https://permalinkbnd.bnportugal.gov.pt/viewer/277151/?offset=#page=337&amp;viewer=picture&amp;o=info&amp;n=0&amp;q=</v>
      </c>
      <c r="K460" s="1" t="s">
        <v>622</v>
      </c>
      <c r="L460" s="1" t="str">
        <f>VLOOKUP(A460,Folha2!$A$2:$B$2019,2,FALSE)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0" s="12" t="str">
        <f t="shared" si="15"/>
        <v>https://permalinkbnd.bnportugal.gov.pt/viewer/277151/?offset=#page=337&amp;viewer=picture&amp;o=info&amp;n=0&amp;q=</v>
      </c>
      <c r="N460" s="12" t="s">
        <v>1497</v>
      </c>
      <c r="O460" s="12" t="str">
        <f>CONCATENATE(N460,A460,"\",B460,"\",C460,".jpg")</f>
        <v>C:\Users\mbaptista\OneDrive - Biblioteca Nacional de Portugal\Documentos\python\camoniana\imagens\capas\256560\1\337.jpg</v>
      </c>
      <c r="P460" s="12" t="str">
        <f>HYPERLINK(O460)</f>
        <v>C:\Users\mbaptista\OneDrive - Biblioteca Nacional de Portugal\Documentos\python\camoniana\imagens\capas\256560\1\337.jpg</v>
      </c>
      <c r="Q460" s="12"/>
      <c r="R460" s="6" t="s">
        <v>632</v>
      </c>
      <c r="S460" s="4"/>
      <c r="T460" s="1" t="s">
        <v>623</v>
      </c>
      <c r="U460" s="13"/>
      <c r="V460" s="13"/>
      <c r="W460" s="5" t="s">
        <v>1491</v>
      </c>
    </row>
    <row r="461" spans="1:23" ht="75">
      <c r="A461" s="1">
        <v>256560</v>
      </c>
      <c r="B461" s="1">
        <v>1</v>
      </c>
      <c r="C461" s="1">
        <v>373</v>
      </c>
      <c r="D461" s="2" t="s">
        <v>621</v>
      </c>
      <c r="E461" s="11" t="s">
        <v>621</v>
      </c>
      <c r="F461" s="11">
        <v>277151</v>
      </c>
      <c r="G461" s="2" t="s">
        <v>1494</v>
      </c>
      <c r="H461" s="2" t="s">
        <v>1495</v>
      </c>
      <c r="I461" s="2" t="s">
        <v>1496</v>
      </c>
      <c r="J461" s="2" t="str">
        <f t="shared" si="14"/>
        <v>https://permalinkbnd.bnportugal.gov.pt/viewer/277151/?offset=#page=373&amp;viewer=picture&amp;o=info&amp;n=0&amp;q=</v>
      </c>
      <c r="K461" s="1" t="s">
        <v>622</v>
      </c>
      <c r="L461" s="1" t="str">
        <f>VLOOKUP(A461,Folha2!$A$2:$B$2019,2,FALSE)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1" s="12" t="str">
        <f t="shared" si="15"/>
        <v>https://permalinkbnd.bnportugal.gov.pt/viewer/277151/?offset=#page=373&amp;viewer=picture&amp;o=info&amp;n=0&amp;q=</v>
      </c>
      <c r="N461" s="12" t="s">
        <v>1497</v>
      </c>
      <c r="O461" s="12" t="str">
        <f>CONCATENATE(N461,A461,"\",B461,"\",C461,".jpg")</f>
        <v>C:\Users\mbaptista\OneDrive - Biblioteca Nacional de Portugal\Documentos\python\camoniana\imagens\capas\256560\1\373.jpg</v>
      </c>
      <c r="P461" s="12" t="str">
        <f>HYPERLINK(O461)</f>
        <v>C:\Users\mbaptista\OneDrive - Biblioteca Nacional de Portugal\Documentos\python\camoniana\imagens\capas\256560\1\373.jpg</v>
      </c>
      <c r="Q461" s="12"/>
      <c r="R461" s="6" t="s">
        <v>633</v>
      </c>
      <c r="S461" s="4"/>
      <c r="T461" s="1" t="s">
        <v>623</v>
      </c>
      <c r="U461" s="13"/>
      <c r="V461" s="13"/>
      <c r="W461" s="5" t="s">
        <v>1491</v>
      </c>
    </row>
    <row r="462" spans="1:23" ht="75">
      <c r="A462" s="1">
        <v>256560</v>
      </c>
      <c r="B462" s="1">
        <v>1</v>
      </c>
      <c r="C462" s="1">
        <v>409</v>
      </c>
      <c r="D462" s="2" t="s">
        <v>621</v>
      </c>
      <c r="E462" s="5" t="s">
        <v>621</v>
      </c>
      <c r="F462" s="5">
        <v>277151</v>
      </c>
      <c r="G462" s="2" t="s">
        <v>1494</v>
      </c>
      <c r="H462" s="2" t="s">
        <v>1495</v>
      </c>
      <c r="I462" s="2" t="s">
        <v>1496</v>
      </c>
      <c r="J462" s="2" t="str">
        <f t="shared" si="14"/>
        <v>https://permalinkbnd.bnportugal.gov.pt/viewer/277151/?offset=#page=409&amp;viewer=picture&amp;o=info&amp;n=0&amp;q=</v>
      </c>
      <c r="K462" s="1" t="s">
        <v>622</v>
      </c>
      <c r="L462" s="1" t="str">
        <f>VLOOKUP(A462,Folha2!$A$2:$B$2019,2,FALSE)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2" s="12" t="str">
        <f t="shared" si="15"/>
        <v>https://permalinkbnd.bnportugal.gov.pt/viewer/277151/?offset=#page=409&amp;viewer=picture&amp;o=info&amp;n=0&amp;q=</v>
      </c>
      <c r="N462" s="12" t="s">
        <v>1497</v>
      </c>
      <c r="O462" s="12" t="str">
        <f>CONCATENATE(N462,A462,"\",B462,"\",C462,".jpg")</f>
        <v>C:\Users\mbaptista\OneDrive - Biblioteca Nacional de Portugal\Documentos\python\camoniana\imagens\capas\256560\1\409.jpg</v>
      </c>
      <c r="P462" s="12" t="str">
        <f>HYPERLINK(O462)</f>
        <v>C:\Users\mbaptista\OneDrive - Biblioteca Nacional de Portugal\Documentos\python\camoniana\imagens\capas\256560\1\409.jpg</v>
      </c>
      <c r="Q462" s="12"/>
      <c r="R462" s="6" t="s">
        <v>634</v>
      </c>
      <c r="S462" s="4"/>
      <c r="T462" s="1" t="s">
        <v>623</v>
      </c>
      <c r="U462" s="13"/>
      <c r="V462" s="13"/>
      <c r="W462" s="5" t="s">
        <v>1491</v>
      </c>
    </row>
    <row r="463" spans="1:23" ht="75">
      <c r="A463" s="1">
        <v>852331</v>
      </c>
      <c r="B463" s="1">
        <v>1</v>
      </c>
      <c r="C463" s="1">
        <v>12</v>
      </c>
      <c r="D463" s="2" t="s">
        <v>635</v>
      </c>
      <c r="E463" s="11" t="s">
        <v>635</v>
      </c>
      <c r="F463" s="11">
        <v>277145</v>
      </c>
      <c r="G463" s="2" t="s">
        <v>1494</v>
      </c>
      <c r="H463" s="2" t="s">
        <v>1495</v>
      </c>
      <c r="I463" s="2" t="s">
        <v>1496</v>
      </c>
      <c r="J463" s="2" t="str">
        <f t="shared" si="14"/>
        <v>https://permalinkbnd.bnportugal.gov.pt/viewer/277145/?offset=#page=12&amp;viewer=picture&amp;o=info&amp;n=0&amp;q=</v>
      </c>
      <c r="K463" s="1" t="s">
        <v>636</v>
      </c>
      <c r="L463" s="1" t="str">
        <f>VLOOKUP(A463,Folha2!$A$2:$B$2019,2,FALSE)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3" s="12" t="str">
        <f t="shared" si="15"/>
        <v>https://permalinkbnd.bnportugal.gov.pt/viewer/277145/?offset=#page=12&amp;viewer=picture&amp;o=info&amp;n=0&amp;q=</v>
      </c>
      <c r="N463" s="12" t="s">
        <v>1497</v>
      </c>
      <c r="O463" s="12" t="str">
        <f>CONCATENATE(N463,A463,"\",B463,"\",C463,".jpg")</f>
        <v>C:\Users\mbaptista\OneDrive - Biblioteca Nacional de Portugal\Documentos\python\camoniana\imagens\capas\852331\1\12.jpg</v>
      </c>
      <c r="P463" s="12" t="str">
        <f>HYPERLINK(O463)</f>
        <v>C:\Users\mbaptista\OneDrive - Biblioteca Nacional de Portugal\Documentos\python\camoniana\imagens\capas\852331\1\12.jpg</v>
      </c>
      <c r="Q463" s="12"/>
      <c r="R463" s="6" t="s">
        <v>638</v>
      </c>
      <c r="S463" s="4"/>
      <c r="T463" s="1" t="s">
        <v>637</v>
      </c>
      <c r="U463" s="13"/>
      <c r="V463" s="13"/>
      <c r="W463" s="5" t="s">
        <v>1491</v>
      </c>
    </row>
    <row r="464" spans="1:23" ht="75">
      <c r="A464" s="1">
        <v>852331</v>
      </c>
      <c r="B464" s="1">
        <v>1</v>
      </c>
      <c r="C464" s="1">
        <v>110</v>
      </c>
      <c r="D464" s="2" t="s">
        <v>635</v>
      </c>
      <c r="E464" s="5" t="s">
        <v>635</v>
      </c>
      <c r="F464" s="5">
        <v>277145</v>
      </c>
      <c r="G464" s="2" t="s">
        <v>1494</v>
      </c>
      <c r="H464" s="2" t="s">
        <v>1495</v>
      </c>
      <c r="I464" s="2" t="s">
        <v>1496</v>
      </c>
      <c r="J464" s="2" t="str">
        <f t="shared" si="14"/>
        <v>https://permalinkbnd.bnportugal.gov.pt/viewer/277145/?offset=#page=110&amp;viewer=picture&amp;o=info&amp;n=0&amp;q=</v>
      </c>
      <c r="K464" s="1" t="s">
        <v>636</v>
      </c>
      <c r="L464" s="1" t="str">
        <f>VLOOKUP(A464,Folha2!$A$2:$B$2019,2,FALSE)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4" s="12" t="str">
        <f t="shared" si="15"/>
        <v>https://permalinkbnd.bnportugal.gov.pt/viewer/277145/?offset=#page=110&amp;viewer=picture&amp;o=info&amp;n=0&amp;q=</v>
      </c>
      <c r="N464" s="12" t="s">
        <v>1497</v>
      </c>
      <c r="O464" s="12" t="str">
        <f>CONCATENATE(N464,A464,"\",B464,"\",C464,".jpg")</f>
        <v>C:\Users\mbaptista\OneDrive - Biblioteca Nacional de Portugal\Documentos\python\camoniana\imagens\capas\852331\1\110.jpg</v>
      </c>
      <c r="P464" s="12" t="str">
        <f>HYPERLINK(O464)</f>
        <v>C:\Users\mbaptista\OneDrive - Biblioteca Nacional de Portugal\Documentos\python\camoniana\imagens\capas\852331\1\110.jpg</v>
      </c>
      <c r="Q464" s="12"/>
      <c r="R464" s="6" t="s">
        <v>639</v>
      </c>
      <c r="S464" s="4"/>
      <c r="T464" s="1" t="s">
        <v>637</v>
      </c>
      <c r="U464" s="13"/>
      <c r="V464" s="13"/>
      <c r="W464" s="5" t="s">
        <v>1491</v>
      </c>
    </row>
    <row r="465" spans="1:23" ht="75">
      <c r="A465" s="1">
        <v>852331</v>
      </c>
      <c r="B465" s="1">
        <v>1</v>
      </c>
      <c r="C465" s="1">
        <v>146</v>
      </c>
      <c r="D465" s="2" t="s">
        <v>635</v>
      </c>
      <c r="E465" s="11" t="s">
        <v>635</v>
      </c>
      <c r="F465" s="11">
        <v>277145</v>
      </c>
      <c r="G465" s="2" t="s">
        <v>1494</v>
      </c>
      <c r="H465" s="2" t="s">
        <v>1495</v>
      </c>
      <c r="I465" s="2" t="s">
        <v>1496</v>
      </c>
      <c r="J465" s="2" t="str">
        <f t="shared" si="14"/>
        <v>https://permalinkbnd.bnportugal.gov.pt/viewer/277145/?offset=#page=146&amp;viewer=picture&amp;o=info&amp;n=0&amp;q=</v>
      </c>
      <c r="K465" s="1" t="s">
        <v>636</v>
      </c>
      <c r="L465" s="1" t="str">
        <f>VLOOKUP(A465,Folha2!$A$2:$B$2019,2,FALSE)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5" s="12" t="str">
        <f t="shared" si="15"/>
        <v>https://permalinkbnd.bnportugal.gov.pt/viewer/277145/?offset=#page=146&amp;viewer=picture&amp;o=info&amp;n=0&amp;q=</v>
      </c>
      <c r="N465" s="12" t="s">
        <v>1497</v>
      </c>
      <c r="O465" s="12" t="str">
        <f>CONCATENATE(N465,A465,"\",B465,"\",C465,".jpg")</f>
        <v>C:\Users\mbaptista\OneDrive - Biblioteca Nacional de Portugal\Documentos\python\camoniana\imagens\capas\852331\1\146.jpg</v>
      </c>
      <c r="P465" s="12" t="str">
        <f>HYPERLINK(O465)</f>
        <v>C:\Users\mbaptista\OneDrive - Biblioteca Nacional de Portugal\Documentos\python\camoniana\imagens\capas\852331\1\146.jpg</v>
      </c>
      <c r="Q465" s="12"/>
      <c r="R465" s="6"/>
      <c r="S465" s="4"/>
      <c r="T465" s="1"/>
      <c r="U465" s="13"/>
      <c r="V465" s="13"/>
      <c r="W465" s="5"/>
    </row>
    <row r="466" spans="1:23" ht="75">
      <c r="A466" s="1">
        <v>852331</v>
      </c>
      <c r="B466" s="1">
        <v>1</v>
      </c>
      <c r="C466" s="1">
        <v>178</v>
      </c>
      <c r="D466" s="2" t="s">
        <v>635</v>
      </c>
      <c r="E466" s="5" t="s">
        <v>635</v>
      </c>
      <c r="F466" s="5">
        <v>277145</v>
      </c>
      <c r="G466" s="2" t="s">
        <v>1494</v>
      </c>
      <c r="H466" s="2" t="s">
        <v>1495</v>
      </c>
      <c r="I466" s="2" t="s">
        <v>1496</v>
      </c>
      <c r="J466" s="2" t="str">
        <f t="shared" si="14"/>
        <v>https://permalinkbnd.bnportugal.gov.pt/viewer/277145/?offset=#page=178&amp;viewer=picture&amp;o=info&amp;n=0&amp;q=</v>
      </c>
      <c r="K466" s="1" t="s">
        <v>636</v>
      </c>
      <c r="L466" s="1" t="str">
        <f>VLOOKUP(A466,Folha2!$A$2:$B$2019,2,FALSE)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6" s="12" t="str">
        <f t="shared" si="15"/>
        <v>https://permalinkbnd.bnportugal.gov.pt/viewer/277145/?offset=#page=178&amp;viewer=picture&amp;o=info&amp;n=0&amp;q=</v>
      </c>
      <c r="N466" s="12" t="s">
        <v>1497</v>
      </c>
      <c r="O466" s="12" t="str">
        <f>CONCATENATE(N466,A466,"\",B466,"\",C466,".jpg")</f>
        <v>C:\Users\mbaptista\OneDrive - Biblioteca Nacional de Portugal\Documentos\python\camoniana\imagens\capas\852331\1\178.jpg</v>
      </c>
      <c r="P466" s="12" t="str">
        <f>HYPERLINK(O466)</f>
        <v>C:\Users\mbaptista\OneDrive - Biblioteca Nacional de Portugal\Documentos\python\camoniana\imagens\capas\852331\1\178.jpg</v>
      </c>
      <c r="Q466" s="12"/>
      <c r="R466" s="6"/>
      <c r="S466" s="4"/>
      <c r="T466" s="1"/>
      <c r="U466" s="13"/>
      <c r="V466" s="13"/>
      <c r="W466" s="5"/>
    </row>
    <row r="467" spans="1:23" ht="75">
      <c r="A467" s="1">
        <v>852331</v>
      </c>
      <c r="B467" s="1">
        <v>1</v>
      </c>
      <c r="C467" s="1">
        <v>207</v>
      </c>
      <c r="D467" s="2" t="s">
        <v>635</v>
      </c>
      <c r="E467" s="11" t="s">
        <v>635</v>
      </c>
      <c r="F467" s="11">
        <v>277145</v>
      </c>
      <c r="G467" s="2" t="s">
        <v>1494</v>
      </c>
      <c r="H467" s="2" t="s">
        <v>1495</v>
      </c>
      <c r="I467" s="2" t="s">
        <v>1496</v>
      </c>
      <c r="J467" s="2" t="str">
        <f t="shared" si="14"/>
        <v>https://permalinkbnd.bnportugal.gov.pt/viewer/277145/?offset=#page=207&amp;viewer=picture&amp;o=info&amp;n=0&amp;q=</v>
      </c>
      <c r="K467" s="1" t="s">
        <v>636</v>
      </c>
      <c r="L467" s="1" t="str">
        <f>VLOOKUP(A467,Folha2!$A$2:$B$2019,2,FALSE)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7" s="12" t="str">
        <f t="shared" si="15"/>
        <v>https://permalinkbnd.bnportugal.gov.pt/viewer/277145/?offset=#page=207&amp;viewer=picture&amp;o=info&amp;n=0&amp;q=</v>
      </c>
      <c r="N467" s="12" t="s">
        <v>1497</v>
      </c>
      <c r="O467" s="12" t="str">
        <f>CONCATENATE(N467,A467,"\",B467,"\",C467,".jpg")</f>
        <v>C:\Users\mbaptista\OneDrive - Biblioteca Nacional de Portugal\Documentos\python\camoniana\imagens\capas\852331\1\207.jpg</v>
      </c>
      <c r="P467" s="12" t="str">
        <f>HYPERLINK(O467)</f>
        <v>C:\Users\mbaptista\OneDrive - Biblioteca Nacional de Portugal\Documentos\python\camoniana\imagens\capas\852331\1\207.jpg</v>
      </c>
      <c r="Q467" s="12"/>
      <c r="R467" s="6"/>
      <c r="S467" s="4"/>
      <c r="T467" s="1"/>
      <c r="U467" s="13"/>
      <c r="V467" s="13"/>
      <c r="W467" s="5"/>
    </row>
    <row r="468" spans="1:23" ht="75">
      <c r="A468" s="1">
        <v>852331</v>
      </c>
      <c r="B468" s="1">
        <v>1</v>
      </c>
      <c r="C468" s="1">
        <v>273</v>
      </c>
      <c r="D468" s="2" t="s">
        <v>635</v>
      </c>
      <c r="E468" s="5" t="s">
        <v>635</v>
      </c>
      <c r="F468" s="5">
        <v>277145</v>
      </c>
      <c r="G468" s="2" t="s">
        <v>1494</v>
      </c>
      <c r="H468" s="2" t="s">
        <v>1495</v>
      </c>
      <c r="I468" s="2" t="s">
        <v>1496</v>
      </c>
      <c r="J468" s="2" t="str">
        <f t="shared" si="14"/>
        <v>https://permalinkbnd.bnportugal.gov.pt/viewer/277145/?offset=#page=273&amp;viewer=picture&amp;o=info&amp;n=0&amp;q=</v>
      </c>
      <c r="K468" s="1" t="s">
        <v>636</v>
      </c>
      <c r="L468" s="1" t="str">
        <f>VLOOKUP(A468,Folha2!$A$2:$B$2019,2,FALSE)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8" s="12" t="str">
        <f t="shared" si="15"/>
        <v>https://permalinkbnd.bnportugal.gov.pt/viewer/277145/?offset=#page=273&amp;viewer=picture&amp;o=info&amp;n=0&amp;q=</v>
      </c>
      <c r="N468" s="12" t="s">
        <v>1497</v>
      </c>
      <c r="O468" s="12" t="str">
        <f>CONCATENATE(N468,A468,"\",B468,"\",C468,".jpg")</f>
        <v>C:\Users\mbaptista\OneDrive - Biblioteca Nacional de Portugal\Documentos\python\camoniana\imagens\capas\852331\1\273.jpg</v>
      </c>
      <c r="P468" s="12" t="str">
        <f>HYPERLINK(O468)</f>
        <v>C:\Users\mbaptista\OneDrive - Biblioteca Nacional de Portugal\Documentos\python\camoniana\imagens\capas\852331\1\273.jpg</v>
      </c>
      <c r="Q468" s="12"/>
      <c r="R468" s="6" t="s">
        <v>640</v>
      </c>
      <c r="S468" s="4"/>
      <c r="T468" s="1" t="s">
        <v>637</v>
      </c>
      <c r="U468" s="13"/>
      <c r="V468" s="13"/>
      <c r="W468" s="5" t="s">
        <v>1491</v>
      </c>
    </row>
    <row r="469" spans="1:23" ht="75">
      <c r="A469" s="1">
        <v>852331</v>
      </c>
      <c r="B469" s="1">
        <v>1</v>
      </c>
      <c r="C469" s="1">
        <v>287</v>
      </c>
      <c r="D469" s="2" t="s">
        <v>635</v>
      </c>
      <c r="E469" s="11" t="s">
        <v>635</v>
      </c>
      <c r="F469" s="11">
        <v>277145</v>
      </c>
      <c r="G469" s="2" t="s">
        <v>1494</v>
      </c>
      <c r="H469" s="2" t="s">
        <v>1495</v>
      </c>
      <c r="I469" s="2" t="s">
        <v>1496</v>
      </c>
      <c r="J469" s="2" t="str">
        <f t="shared" si="14"/>
        <v>https://permalinkbnd.bnportugal.gov.pt/viewer/277145/?offset=#page=287&amp;viewer=picture&amp;o=info&amp;n=0&amp;q=</v>
      </c>
      <c r="K469" s="1" t="s">
        <v>636</v>
      </c>
      <c r="L469" s="1" t="str">
        <f>VLOOKUP(A469,Folha2!$A$2:$B$2019,2,FALSE)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9" s="12" t="str">
        <f t="shared" si="15"/>
        <v>https://permalinkbnd.bnportugal.gov.pt/viewer/277145/?offset=#page=287&amp;viewer=picture&amp;o=info&amp;n=0&amp;q=</v>
      </c>
      <c r="N469" s="12" t="s">
        <v>1497</v>
      </c>
      <c r="O469" s="12" t="str">
        <f>CONCATENATE(N469,A469,"\",B469,"\",C469,".jpg")</f>
        <v>C:\Users\mbaptista\OneDrive - Biblioteca Nacional de Portugal\Documentos\python\camoniana\imagens\capas\852331\1\287.jpg</v>
      </c>
      <c r="P469" s="12" t="str">
        <f>HYPERLINK(O469)</f>
        <v>C:\Users\mbaptista\OneDrive - Biblioteca Nacional de Portugal\Documentos\python\camoniana\imagens\capas\852331\1\287.jpg</v>
      </c>
      <c r="Q469" s="12"/>
      <c r="R469" s="6"/>
      <c r="S469" s="4"/>
      <c r="T469" s="1"/>
      <c r="U469" s="13"/>
      <c r="V469" s="13"/>
      <c r="W469" s="5"/>
    </row>
    <row r="470" spans="1:23" ht="75">
      <c r="A470" s="1">
        <v>852331</v>
      </c>
      <c r="B470" s="1">
        <v>1</v>
      </c>
      <c r="C470" s="1">
        <v>352</v>
      </c>
      <c r="D470" s="2" t="s">
        <v>635</v>
      </c>
      <c r="E470" s="5" t="s">
        <v>635</v>
      </c>
      <c r="F470" s="5">
        <v>277145</v>
      </c>
      <c r="G470" s="2" t="s">
        <v>1494</v>
      </c>
      <c r="H470" s="2" t="s">
        <v>1495</v>
      </c>
      <c r="I470" s="2" t="s">
        <v>1496</v>
      </c>
      <c r="J470" s="2" t="str">
        <f t="shared" si="14"/>
        <v>https://permalinkbnd.bnportugal.gov.pt/viewer/277145/?offset=#page=352&amp;viewer=picture&amp;o=info&amp;n=0&amp;q=</v>
      </c>
      <c r="K470" s="1" t="s">
        <v>636</v>
      </c>
      <c r="L470" s="1" t="str">
        <f>VLOOKUP(A470,Folha2!$A$2:$B$2019,2,FALSE)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0" s="12" t="str">
        <f t="shared" si="15"/>
        <v>https://permalinkbnd.bnportugal.gov.pt/viewer/277145/?offset=#page=352&amp;viewer=picture&amp;o=info&amp;n=0&amp;q=</v>
      </c>
      <c r="N470" s="12" t="s">
        <v>1497</v>
      </c>
      <c r="O470" s="12" t="str">
        <f>CONCATENATE(N470,A470,"\",B470,"\",C470,".jpg")</f>
        <v>C:\Users\mbaptista\OneDrive - Biblioteca Nacional de Portugal\Documentos\python\camoniana\imagens\capas\852331\1\352.jpg</v>
      </c>
      <c r="P470" s="12" t="str">
        <f>HYPERLINK(O470)</f>
        <v>C:\Users\mbaptista\OneDrive - Biblioteca Nacional de Portugal\Documentos\python\camoniana\imagens\capas\852331\1\352.jpg</v>
      </c>
      <c r="Q470" s="12"/>
      <c r="R470" s="6"/>
      <c r="S470" s="4"/>
      <c r="T470" s="1"/>
      <c r="U470" s="13"/>
      <c r="V470" s="13"/>
      <c r="W470" s="5"/>
    </row>
    <row r="471" spans="1:23" ht="75">
      <c r="A471" s="1">
        <v>852331</v>
      </c>
      <c r="B471" s="1">
        <v>1</v>
      </c>
      <c r="C471" s="1">
        <v>355</v>
      </c>
      <c r="D471" s="2" t="s">
        <v>635</v>
      </c>
      <c r="E471" s="11" t="s">
        <v>635</v>
      </c>
      <c r="F471" s="11">
        <v>277145</v>
      </c>
      <c r="G471" s="2" t="s">
        <v>1494</v>
      </c>
      <c r="H471" s="2" t="s">
        <v>1495</v>
      </c>
      <c r="I471" s="2" t="s">
        <v>1496</v>
      </c>
      <c r="J471" s="2" t="str">
        <f t="shared" si="14"/>
        <v>https://permalinkbnd.bnportugal.gov.pt/viewer/277145/?offset=#page=355&amp;viewer=picture&amp;o=info&amp;n=0&amp;q=</v>
      </c>
      <c r="K471" s="1" t="s">
        <v>636</v>
      </c>
      <c r="L471" s="1" t="str">
        <f>VLOOKUP(A471,Folha2!$A$2:$B$2019,2,FALSE)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1" s="12" t="str">
        <f t="shared" si="15"/>
        <v>https://permalinkbnd.bnportugal.gov.pt/viewer/277145/?offset=#page=355&amp;viewer=picture&amp;o=info&amp;n=0&amp;q=</v>
      </c>
      <c r="N471" s="12" t="s">
        <v>1497</v>
      </c>
      <c r="O471" s="12" t="str">
        <f>CONCATENATE(N471,A471,"\",B471,"\",C471,".jpg")</f>
        <v>C:\Users\mbaptista\OneDrive - Biblioteca Nacional de Portugal\Documentos\python\camoniana\imagens\capas\852331\1\355.jpg</v>
      </c>
      <c r="P471" s="12" t="str">
        <f>HYPERLINK(O471)</f>
        <v>C:\Users\mbaptista\OneDrive - Biblioteca Nacional de Portugal\Documentos\python\camoniana\imagens\capas\852331\1\355.jpg</v>
      </c>
      <c r="Q471" s="12"/>
      <c r="R471" s="6"/>
      <c r="S471" s="4"/>
      <c r="T471" s="1"/>
      <c r="U471" s="13"/>
      <c r="V471" s="13"/>
      <c r="W471" s="5"/>
    </row>
    <row r="472" spans="1:23" ht="75">
      <c r="A472" s="1">
        <v>852331</v>
      </c>
      <c r="B472" s="1">
        <v>1</v>
      </c>
      <c r="C472" s="1">
        <v>438</v>
      </c>
      <c r="D472" s="2" t="s">
        <v>635</v>
      </c>
      <c r="E472" s="5" t="s">
        <v>635</v>
      </c>
      <c r="F472" s="5">
        <v>277145</v>
      </c>
      <c r="G472" s="2" t="s">
        <v>1494</v>
      </c>
      <c r="H472" s="2" t="s">
        <v>1495</v>
      </c>
      <c r="I472" s="2" t="s">
        <v>1496</v>
      </c>
      <c r="J472" s="2" t="str">
        <f t="shared" si="14"/>
        <v>https://permalinkbnd.bnportugal.gov.pt/viewer/277145/?offset=#page=438&amp;viewer=picture&amp;o=info&amp;n=0&amp;q=</v>
      </c>
      <c r="K472" s="1" t="s">
        <v>636</v>
      </c>
      <c r="L472" s="1" t="str">
        <f>VLOOKUP(A472,Folha2!$A$2:$B$2019,2,FALSE)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2" s="12" t="str">
        <f t="shared" si="15"/>
        <v>https://permalinkbnd.bnportugal.gov.pt/viewer/277145/?offset=#page=438&amp;viewer=picture&amp;o=info&amp;n=0&amp;q=</v>
      </c>
      <c r="N472" s="12" t="s">
        <v>1497</v>
      </c>
      <c r="O472" s="12" t="str">
        <f>CONCATENATE(N472,A472,"\",B472,"\",C472,".jpg")</f>
        <v>C:\Users\mbaptista\OneDrive - Biblioteca Nacional de Portugal\Documentos\python\camoniana\imagens\capas\852331\1\438.jpg</v>
      </c>
      <c r="P472" s="12" t="str">
        <f>HYPERLINK(O472)</f>
        <v>C:\Users\mbaptista\OneDrive - Biblioteca Nacional de Portugal\Documentos\python\camoniana\imagens\capas\852331\1\438.jpg</v>
      </c>
      <c r="Q472" s="12"/>
      <c r="R472" s="6"/>
      <c r="S472" s="4"/>
      <c r="T472" s="1"/>
      <c r="U472" s="13"/>
      <c r="V472" s="13"/>
      <c r="W472" s="5"/>
    </row>
    <row r="473" spans="1:23" ht="75">
      <c r="A473" s="1">
        <v>852140</v>
      </c>
      <c r="B473" s="1">
        <v>1</v>
      </c>
      <c r="C473" s="1">
        <v>23</v>
      </c>
      <c r="D473" s="2" t="s">
        <v>641</v>
      </c>
      <c r="E473" s="11" t="s">
        <v>641</v>
      </c>
      <c r="F473" s="11">
        <v>273814</v>
      </c>
      <c r="G473" s="2" t="s">
        <v>1494</v>
      </c>
      <c r="H473" s="2" t="s">
        <v>1495</v>
      </c>
      <c r="I473" s="2" t="s">
        <v>1496</v>
      </c>
      <c r="J473" s="2" t="str">
        <f t="shared" si="14"/>
        <v>https://permalinkbnd.bnportugal.gov.pt/viewer/273814/?offset=#page=23&amp;viewer=picture&amp;o=info&amp;n=0&amp;q=</v>
      </c>
      <c r="K473" s="1" t="s">
        <v>642</v>
      </c>
      <c r="L473" s="1" t="str">
        <f>VLOOKUP(A473,Folha2!$A$2:$B$2019,2,FALSE)</f>
        <v xml:space="preserve">António de Portugal Faria. Portugal e Itália: ensaio de dicionários bibliográficos. Roma. 1898.  [lista de obras, algumas sobre Camões. ex.: p. X, n.º 32; p. 106, n.os 512-515; imag. de um autógrafo do soneto de Tasso "Vasco da Gama"] </v>
      </c>
      <c r="M473" s="12" t="str">
        <f t="shared" si="15"/>
        <v>https://permalinkbnd.bnportugal.gov.pt/viewer/273814/?offset=#page=23&amp;viewer=picture&amp;o=info&amp;n=0&amp;q=</v>
      </c>
      <c r="N473" s="12" t="s">
        <v>1497</v>
      </c>
      <c r="O473" s="12" t="str">
        <f>CONCATENATE(N473,A473,"\",B473,"\",C473,".jpg")</f>
        <v>C:\Users\mbaptista\OneDrive - Biblioteca Nacional de Portugal\Documentos\python\camoniana\imagens\capas\852140\1\23.jpg</v>
      </c>
      <c r="P473" s="12" t="str">
        <f>HYPERLINK(O473)</f>
        <v>C:\Users\mbaptista\OneDrive - Biblioteca Nacional de Portugal\Documentos\python\camoniana\imagens\capas\852140\1\23.jpg</v>
      </c>
      <c r="Q473" s="12"/>
      <c r="R473" s="6" t="s">
        <v>644</v>
      </c>
      <c r="S473" s="4"/>
      <c r="T473" s="1" t="s">
        <v>643</v>
      </c>
      <c r="U473" s="13"/>
      <c r="V473" s="13"/>
      <c r="W473" s="5" t="s">
        <v>1491</v>
      </c>
    </row>
    <row r="474" spans="1:23" ht="75">
      <c r="A474" s="1">
        <v>852140</v>
      </c>
      <c r="B474" s="1">
        <v>1</v>
      </c>
      <c r="C474" s="1">
        <v>102</v>
      </c>
      <c r="D474" s="2" t="s">
        <v>641</v>
      </c>
      <c r="E474" s="5" t="s">
        <v>641</v>
      </c>
      <c r="F474" s="5">
        <v>273814</v>
      </c>
      <c r="G474" s="2" t="s">
        <v>1494</v>
      </c>
      <c r="H474" s="2" t="s">
        <v>1495</v>
      </c>
      <c r="I474" s="2" t="s">
        <v>1496</v>
      </c>
      <c r="J474" s="2" t="str">
        <f t="shared" si="14"/>
        <v>https://permalinkbnd.bnportugal.gov.pt/viewer/273814/?offset=#page=102&amp;viewer=picture&amp;o=info&amp;n=0&amp;q=</v>
      </c>
      <c r="K474" s="1" t="s">
        <v>642</v>
      </c>
      <c r="L474" s="1" t="str">
        <f>VLOOKUP(A474,Folha2!$A$2:$B$2019,2,FALSE)</f>
        <v xml:space="preserve">António de Portugal Faria. Portugal e Itália: ensaio de dicionários bibliográficos. Roma. 1898.  [lista de obras, algumas sobre Camões. ex.: p. X, n.º 32; p. 106, n.os 512-515; imag. de um autógrafo do soneto de Tasso "Vasco da Gama"] </v>
      </c>
      <c r="M474" s="12" t="str">
        <f t="shared" si="15"/>
        <v>https://permalinkbnd.bnportugal.gov.pt/viewer/273814/?offset=#page=102&amp;viewer=picture&amp;o=info&amp;n=0&amp;q=</v>
      </c>
      <c r="N474" s="12" t="s">
        <v>1497</v>
      </c>
      <c r="O474" s="12" t="str">
        <f>CONCATENATE(N474,A474,"\",B474,"\",C474,".jpg")</f>
        <v>C:\Users\mbaptista\OneDrive - Biblioteca Nacional de Portugal\Documentos\python\camoniana\imagens\capas\852140\1\102.jpg</v>
      </c>
      <c r="P474" s="12" t="str">
        <f>HYPERLINK(O474)</f>
        <v>C:\Users\mbaptista\OneDrive - Biblioteca Nacional de Portugal\Documentos\python\camoniana\imagens\capas\852140\1\102.jpg</v>
      </c>
      <c r="Q474" s="12"/>
      <c r="R474" s="6" t="s">
        <v>645</v>
      </c>
      <c r="S474" s="4"/>
      <c r="T474" s="1" t="s">
        <v>643</v>
      </c>
      <c r="U474" s="13"/>
      <c r="V474" s="13"/>
      <c r="W474" s="5" t="s">
        <v>1491</v>
      </c>
    </row>
    <row r="475" spans="1:23" ht="75">
      <c r="A475" s="1">
        <v>852140</v>
      </c>
      <c r="B475" s="1">
        <v>1</v>
      </c>
      <c r="C475" s="1">
        <v>135</v>
      </c>
      <c r="D475" s="2" t="s">
        <v>641</v>
      </c>
      <c r="E475" s="11" t="s">
        <v>641</v>
      </c>
      <c r="F475" s="11">
        <v>273814</v>
      </c>
      <c r="G475" s="2" t="s">
        <v>1494</v>
      </c>
      <c r="H475" s="2" t="s">
        <v>1495</v>
      </c>
      <c r="I475" s="2" t="s">
        <v>1496</v>
      </c>
      <c r="J475" s="2" t="str">
        <f t="shared" si="14"/>
        <v>https://permalinkbnd.bnportugal.gov.pt/viewer/273814/?offset=#page=135&amp;viewer=picture&amp;o=info&amp;n=0&amp;q=</v>
      </c>
      <c r="K475" s="1" t="s">
        <v>642</v>
      </c>
      <c r="L475" s="1" t="str">
        <f>VLOOKUP(A475,Folha2!$A$2:$B$2019,2,FALSE)</f>
        <v xml:space="preserve">António de Portugal Faria. Portugal e Itália: ensaio de dicionários bibliográficos. Roma. 1898.  [lista de obras, algumas sobre Camões. ex.: p. X, n.º 32; p. 106, n.os 512-515; imag. de um autógrafo do soneto de Tasso "Vasco da Gama"] </v>
      </c>
      <c r="M475" s="12" t="str">
        <f t="shared" si="15"/>
        <v>https://permalinkbnd.bnportugal.gov.pt/viewer/273814/?offset=#page=135&amp;viewer=picture&amp;o=info&amp;n=0&amp;q=</v>
      </c>
      <c r="N475" s="12" t="s">
        <v>1497</v>
      </c>
      <c r="O475" s="12" t="str">
        <f>CONCATENATE(N475,A475,"\",B475,"\",C475,".jpg")</f>
        <v>C:\Users\mbaptista\OneDrive - Biblioteca Nacional de Portugal\Documentos\python\camoniana\imagens\capas\852140\1\135.jpg</v>
      </c>
      <c r="P475" s="12" t="str">
        <f>HYPERLINK(O475)</f>
        <v>C:\Users\mbaptista\OneDrive - Biblioteca Nacional de Portugal\Documentos\python\camoniana\imagens\capas\852140\1\135.jpg</v>
      </c>
      <c r="Q475" s="12"/>
      <c r="R475" s="6"/>
      <c r="S475" s="4"/>
      <c r="T475" s="1"/>
      <c r="U475" s="13"/>
      <c r="V475" s="13"/>
      <c r="W475" s="5"/>
    </row>
    <row r="476" spans="1:23" ht="75">
      <c r="A476" s="1">
        <v>852140</v>
      </c>
      <c r="B476" s="1">
        <v>1</v>
      </c>
      <c r="C476" s="1">
        <v>138</v>
      </c>
      <c r="D476" s="2" t="s">
        <v>641</v>
      </c>
      <c r="E476" s="5" t="s">
        <v>641</v>
      </c>
      <c r="F476" s="5">
        <v>273814</v>
      </c>
      <c r="G476" s="2" t="s">
        <v>1494</v>
      </c>
      <c r="H476" s="2" t="s">
        <v>1495</v>
      </c>
      <c r="I476" s="2" t="s">
        <v>1496</v>
      </c>
      <c r="J476" s="2" t="str">
        <f t="shared" si="14"/>
        <v>https://permalinkbnd.bnportugal.gov.pt/viewer/273814/?offset=#page=138&amp;viewer=picture&amp;o=info&amp;n=0&amp;q=</v>
      </c>
      <c r="K476" s="1" t="s">
        <v>642</v>
      </c>
      <c r="L476" s="1" t="str">
        <f>VLOOKUP(A476,Folha2!$A$2:$B$2019,2,FALSE)</f>
        <v xml:space="preserve">António de Portugal Faria. Portugal e Itália: ensaio de dicionários bibliográficos. Roma. 1898.  [lista de obras, algumas sobre Camões. ex.: p. X, n.º 32; p. 106, n.os 512-515; imag. de um autógrafo do soneto de Tasso "Vasco da Gama"] </v>
      </c>
      <c r="M476" s="12" t="str">
        <f t="shared" si="15"/>
        <v>https://permalinkbnd.bnportugal.gov.pt/viewer/273814/?offset=#page=138&amp;viewer=picture&amp;o=info&amp;n=0&amp;q=</v>
      </c>
      <c r="N476" s="12" t="s">
        <v>1497</v>
      </c>
      <c r="O476" s="12" t="str">
        <f>CONCATENATE(N476,A476,"\",B476,"\",C476,".jpg")</f>
        <v>C:\Users\mbaptista\OneDrive - Biblioteca Nacional de Portugal\Documentos\python\camoniana\imagens\capas\852140\1\138.jpg</v>
      </c>
      <c r="P476" s="12" t="str">
        <f>HYPERLINK(O476)</f>
        <v>C:\Users\mbaptista\OneDrive - Biblioteca Nacional de Portugal\Documentos\python\camoniana\imagens\capas\852140\1\138.jpg</v>
      </c>
      <c r="Q476" s="12"/>
      <c r="R476" s="6"/>
      <c r="S476" s="4"/>
      <c r="T476" s="1"/>
      <c r="U476" s="13"/>
      <c r="V476" s="13"/>
      <c r="W476" s="5"/>
    </row>
    <row r="477" spans="1:23" ht="75">
      <c r="A477" s="1">
        <v>852140</v>
      </c>
      <c r="B477" s="1">
        <v>1</v>
      </c>
      <c r="C477" s="1">
        <v>143</v>
      </c>
      <c r="D477" s="2" t="s">
        <v>641</v>
      </c>
      <c r="E477" s="11" t="s">
        <v>641</v>
      </c>
      <c r="F477" s="11">
        <v>273814</v>
      </c>
      <c r="G477" s="2" t="s">
        <v>1494</v>
      </c>
      <c r="H477" s="2" t="s">
        <v>1495</v>
      </c>
      <c r="I477" s="2" t="s">
        <v>1496</v>
      </c>
      <c r="J477" s="2" t="str">
        <f t="shared" si="14"/>
        <v>https://permalinkbnd.bnportugal.gov.pt/viewer/273814/?offset=#page=143&amp;viewer=picture&amp;o=info&amp;n=0&amp;q=</v>
      </c>
      <c r="K477" s="1" t="s">
        <v>642</v>
      </c>
      <c r="L477" s="1" t="str">
        <f>VLOOKUP(A477,Folha2!$A$2:$B$2019,2,FALSE)</f>
        <v xml:space="preserve">António de Portugal Faria. Portugal e Itália: ensaio de dicionários bibliográficos. Roma. 1898.  [lista de obras, algumas sobre Camões. ex.: p. X, n.º 32; p. 106, n.os 512-515; imag. de um autógrafo do soneto de Tasso "Vasco da Gama"] </v>
      </c>
      <c r="M477" s="12" t="str">
        <f t="shared" si="15"/>
        <v>https://permalinkbnd.bnportugal.gov.pt/viewer/273814/?offset=#page=143&amp;viewer=picture&amp;o=info&amp;n=0&amp;q=</v>
      </c>
      <c r="N477" s="12" t="s">
        <v>1497</v>
      </c>
      <c r="O477" s="12" t="str">
        <f>CONCATENATE(N477,A477,"\",B477,"\",C477,".jpg")</f>
        <v>C:\Users\mbaptista\OneDrive - Biblioteca Nacional de Portugal\Documentos\python\camoniana\imagens\capas\852140\1\143.jpg</v>
      </c>
      <c r="P477" s="12" t="str">
        <f>HYPERLINK(O477)</f>
        <v>C:\Users\mbaptista\OneDrive - Biblioteca Nacional de Portugal\Documentos\python\camoniana\imagens\capas\852140\1\143.jpg</v>
      </c>
      <c r="Q477" s="12"/>
      <c r="R477" s="6"/>
      <c r="S477" s="4"/>
      <c r="T477" s="1"/>
      <c r="U477" s="13"/>
      <c r="V477" s="13"/>
      <c r="W477" s="5"/>
    </row>
    <row r="478" spans="1:23" ht="75">
      <c r="A478" s="1">
        <v>852140</v>
      </c>
      <c r="B478" s="1">
        <v>1</v>
      </c>
      <c r="C478" s="1">
        <v>146</v>
      </c>
      <c r="D478" s="2" t="s">
        <v>641</v>
      </c>
      <c r="E478" s="5" t="s">
        <v>641</v>
      </c>
      <c r="F478" s="5">
        <v>273814</v>
      </c>
      <c r="G478" s="2" t="s">
        <v>1494</v>
      </c>
      <c r="H478" s="2" t="s">
        <v>1495</v>
      </c>
      <c r="I478" s="2" t="s">
        <v>1496</v>
      </c>
      <c r="J478" s="2" t="str">
        <f t="shared" si="14"/>
        <v>https://permalinkbnd.bnportugal.gov.pt/viewer/273814/?offset=#page=146&amp;viewer=picture&amp;o=info&amp;n=0&amp;q=</v>
      </c>
      <c r="K478" s="1" t="s">
        <v>642</v>
      </c>
      <c r="L478" s="1" t="str">
        <f>VLOOKUP(A478,Folha2!$A$2:$B$2019,2,FALSE)</f>
        <v xml:space="preserve">António de Portugal Faria. Portugal e Itália: ensaio de dicionários bibliográficos. Roma. 1898.  [lista de obras, algumas sobre Camões. ex.: p. X, n.º 32; p. 106, n.os 512-515; imag. de um autógrafo do soneto de Tasso "Vasco da Gama"] </v>
      </c>
      <c r="M478" s="12" t="str">
        <f t="shared" si="15"/>
        <v>https://permalinkbnd.bnportugal.gov.pt/viewer/273814/?offset=#page=146&amp;viewer=picture&amp;o=info&amp;n=0&amp;q=</v>
      </c>
      <c r="N478" s="12" t="s">
        <v>1497</v>
      </c>
      <c r="O478" s="12" t="str">
        <f>CONCATENATE(N478,A478,"\",B478,"\",C478,".jpg")</f>
        <v>C:\Users\mbaptista\OneDrive - Biblioteca Nacional de Portugal\Documentos\python\camoniana\imagens\capas\852140\1\146.jpg</v>
      </c>
      <c r="P478" s="12" t="str">
        <f>HYPERLINK(O478)</f>
        <v>C:\Users\mbaptista\OneDrive - Biblioteca Nacional de Portugal\Documentos\python\camoniana\imagens\capas\852140\1\146.jpg</v>
      </c>
      <c r="Q478" s="12"/>
      <c r="R478" s="6"/>
      <c r="S478" s="4"/>
      <c r="T478" s="1"/>
      <c r="U478" s="13"/>
      <c r="V478" s="13"/>
      <c r="W478" s="5"/>
    </row>
    <row r="479" spans="1:23" ht="75">
      <c r="A479" s="1">
        <v>852140</v>
      </c>
      <c r="B479" s="1">
        <v>1</v>
      </c>
      <c r="C479" s="1">
        <v>194</v>
      </c>
      <c r="D479" s="2" t="s">
        <v>641</v>
      </c>
      <c r="E479" s="11" t="s">
        <v>641</v>
      </c>
      <c r="F479" s="11">
        <v>273814</v>
      </c>
      <c r="G479" s="2" t="s">
        <v>1494</v>
      </c>
      <c r="H479" s="2" t="s">
        <v>1495</v>
      </c>
      <c r="I479" s="2" t="s">
        <v>1496</v>
      </c>
      <c r="J479" s="2" t="str">
        <f t="shared" si="14"/>
        <v>https://permalinkbnd.bnportugal.gov.pt/viewer/273814/?offset=#page=194&amp;viewer=picture&amp;o=info&amp;n=0&amp;q=</v>
      </c>
      <c r="K479" s="1" t="s">
        <v>642</v>
      </c>
      <c r="L479" s="1" t="str">
        <f>VLOOKUP(A479,Folha2!$A$2:$B$2019,2,FALSE)</f>
        <v xml:space="preserve">António de Portugal Faria. Portugal e Itália: ensaio de dicionários bibliográficos. Roma. 1898.  [lista de obras, algumas sobre Camões. ex.: p. X, n.º 32; p. 106, n.os 512-515; imag. de um autógrafo do soneto de Tasso "Vasco da Gama"] </v>
      </c>
      <c r="M479" s="12" t="str">
        <f t="shared" si="15"/>
        <v>https://permalinkbnd.bnportugal.gov.pt/viewer/273814/?offset=#page=194&amp;viewer=picture&amp;o=info&amp;n=0&amp;q=</v>
      </c>
      <c r="N479" s="12" t="s">
        <v>1497</v>
      </c>
      <c r="O479" s="12" t="str">
        <f>CONCATENATE(N479,A479,"\",B479,"\",C479,".jpg")</f>
        <v>C:\Users\mbaptista\OneDrive - Biblioteca Nacional de Portugal\Documentos\python\camoniana\imagens\capas\852140\1\194.jpg</v>
      </c>
      <c r="P479" s="12" t="str">
        <f>HYPERLINK(O479)</f>
        <v>C:\Users\mbaptista\OneDrive - Biblioteca Nacional de Portugal\Documentos\python\camoniana\imagens\capas\852140\1\194.jpg</v>
      </c>
      <c r="Q479" s="12"/>
      <c r="R479" s="6"/>
      <c r="S479" s="4"/>
      <c r="T479" s="1"/>
      <c r="U479" s="13"/>
      <c r="V479" s="13"/>
      <c r="W479" s="5"/>
    </row>
    <row r="480" spans="1:23" ht="75">
      <c r="A480" s="1">
        <v>852140</v>
      </c>
      <c r="B480" s="1">
        <v>1</v>
      </c>
      <c r="C480" s="1">
        <v>198</v>
      </c>
      <c r="D480" s="2" t="s">
        <v>641</v>
      </c>
      <c r="E480" s="5" t="s">
        <v>641</v>
      </c>
      <c r="F480" s="5">
        <v>273814</v>
      </c>
      <c r="G480" s="2" t="s">
        <v>1494</v>
      </c>
      <c r="H480" s="2" t="s">
        <v>1495</v>
      </c>
      <c r="I480" s="2" t="s">
        <v>1496</v>
      </c>
      <c r="J480" s="2" t="str">
        <f t="shared" si="14"/>
        <v>https://permalinkbnd.bnportugal.gov.pt/viewer/273814/?offset=#page=198&amp;viewer=picture&amp;o=info&amp;n=0&amp;q=</v>
      </c>
      <c r="K480" s="1" t="s">
        <v>642</v>
      </c>
      <c r="L480" s="1" t="str">
        <f>VLOOKUP(A480,Folha2!$A$2:$B$2019,2,FALSE)</f>
        <v xml:space="preserve">António de Portugal Faria. Portugal e Itália: ensaio de dicionários bibliográficos. Roma. 1898.  [lista de obras, algumas sobre Camões. ex.: p. X, n.º 32; p. 106, n.os 512-515; imag. de um autógrafo do soneto de Tasso "Vasco da Gama"] </v>
      </c>
      <c r="M480" s="12" t="str">
        <f t="shared" si="15"/>
        <v>https://permalinkbnd.bnportugal.gov.pt/viewer/273814/?offset=#page=198&amp;viewer=picture&amp;o=info&amp;n=0&amp;q=</v>
      </c>
      <c r="N480" s="12" t="s">
        <v>1497</v>
      </c>
      <c r="O480" s="12" t="str">
        <f>CONCATENATE(N480,A480,"\",B480,"\",C480,".jpg")</f>
        <v>C:\Users\mbaptista\OneDrive - Biblioteca Nacional de Portugal\Documentos\python\camoniana\imagens\capas\852140\1\198.jpg</v>
      </c>
      <c r="P480" s="12" t="str">
        <f>HYPERLINK(O480)</f>
        <v>C:\Users\mbaptista\OneDrive - Biblioteca Nacional de Portugal\Documentos\python\camoniana\imagens\capas\852140\1\198.jpg</v>
      </c>
      <c r="Q480" s="12"/>
      <c r="R480" s="6" t="s">
        <v>646</v>
      </c>
      <c r="S480" s="4"/>
      <c r="T480" s="1" t="s">
        <v>643</v>
      </c>
      <c r="U480" s="13"/>
      <c r="V480" s="13"/>
      <c r="W480" s="5" t="s">
        <v>1491</v>
      </c>
    </row>
    <row r="481" spans="1:23" ht="75">
      <c r="A481" s="1">
        <v>256620</v>
      </c>
      <c r="B481" s="1">
        <v>1</v>
      </c>
      <c r="C481" s="1">
        <v>8</v>
      </c>
      <c r="D481" s="2" t="s">
        <v>647</v>
      </c>
      <c r="E481" s="11" t="s">
        <v>647</v>
      </c>
      <c r="F481" s="11">
        <v>277150</v>
      </c>
      <c r="G481" s="2" t="s">
        <v>1494</v>
      </c>
      <c r="H481" s="2" t="s">
        <v>1495</v>
      </c>
      <c r="I481" s="2" t="s">
        <v>1496</v>
      </c>
      <c r="J481" s="2" t="str">
        <f t="shared" si="14"/>
        <v>https://permalinkbnd.bnportugal.gov.pt/viewer/277150/?offset=#page=8&amp;viewer=picture&amp;o=info&amp;n=0&amp;q=</v>
      </c>
      <c r="K481" s="1" t="s">
        <v>648</v>
      </c>
      <c r="L481" s="1" t="str">
        <f>VLOOKUP(A481,Folha2!$A$2:$B$2019,2,FALSE)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1" s="12" t="str">
        <f t="shared" si="15"/>
        <v>https://permalinkbnd.bnportugal.gov.pt/viewer/277150/?offset=#page=8&amp;viewer=picture&amp;o=info&amp;n=0&amp;q=</v>
      </c>
      <c r="N481" s="12" t="s">
        <v>1497</v>
      </c>
      <c r="O481" s="12" t="str">
        <f>CONCATENATE(N481,A481,"\",B481,"\",C481,".jpg")</f>
        <v>C:\Users\mbaptista\OneDrive - Biblioteca Nacional de Portugal\Documentos\python\camoniana\imagens\capas\256620\1\8.jpg</v>
      </c>
      <c r="P481" s="12" t="str">
        <f>HYPERLINK(O481)</f>
        <v>C:\Users\mbaptista\OneDrive - Biblioteca Nacional de Portugal\Documentos\python\camoniana\imagens\capas\256620\1\8.jpg</v>
      </c>
      <c r="Q481" s="12"/>
      <c r="R481" s="6" t="s">
        <v>650</v>
      </c>
      <c r="S481" s="4"/>
      <c r="T481" s="1" t="s">
        <v>649</v>
      </c>
      <c r="U481" s="13"/>
      <c r="V481" s="13"/>
      <c r="W481" s="5" t="s">
        <v>1491</v>
      </c>
    </row>
    <row r="482" spans="1:23" ht="75">
      <c r="A482" s="1">
        <v>256620</v>
      </c>
      <c r="B482" s="1">
        <v>1</v>
      </c>
      <c r="C482" s="1">
        <v>9</v>
      </c>
      <c r="D482" s="2" t="s">
        <v>647</v>
      </c>
      <c r="E482" s="5" t="s">
        <v>647</v>
      </c>
      <c r="F482" s="5">
        <v>277150</v>
      </c>
      <c r="G482" s="2" t="s">
        <v>1494</v>
      </c>
      <c r="H482" s="2" t="s">
        <v>1495</v>
      </c>
      <c r="I482" s="2" t="s">
        <v>1496</v>
      </c>
      <c r="J482" s="2" t="str">
        <f t="shared" si="14"/>
        <v>https://permalinkbnd.bnportugal.gov.pt/viewer/277150/?offset=#page=9&amp;viewer=picture&amp;o=info&amp;n=0&amp;q=</v>
      </c>
      <c r="K482" s="1" t="s">
        <v>648</v>
      </c>
      <c r="L482" s="1" t="str">
        <f>VLOOKUP(A482,Folha2!$A$2:$B$2019,2,FALSE)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2" s="12" t="str">
        <f t="shared" si="15"/>
        <v>https://permalinkbnd.bnportugal.gov.pt/viewer/277150/?offset=#page=9&amp;viewer=picture&amp;o=info&amp;n=0&amp;q=</v>
      </c>
      <c r="N482" s="12" t="s">
        <v>1497</v>
      </c>
      <c r="O482" s="12" t="str">
        <f>CONCATENATE(N482,A482,"\",B482,"\",C482,".jpg")</f>
        <v>C:\Users\mbaptista\OneDrive - Biblioteca Nacional de Portugal\Documentos\python\camoniana\imagens\capas\256620\1\9.jpg</v>
      </c>
      <c r="P482" s="12" t="str">
        <f>HYPERLINK(O482)</f>
        <v>C:\Users\mbaptista\OneDrive - Biblioteca Nacional de Portugal\Documentos\python\camoniana\imagens\capas\256620\1\9.jpg</v>
      </c>
      <c r="Q482" s="12"/>
      <c r="R482" s="6"/>
      <c r="S482" s="4"/>
      <c r="T482" s="1"/>
      <c r="U482" s="13"/>
      <c r="V482" s="13"/>
      <c r="W482" s="5"/>
    </row>
    <row r="483" spans="1:23" ht="75">
      <c r="A483" s="1">
        <v>256620</v>
      </c>
      <c r="B483" s="1">
        <v>1</v>
      </c>
      <c r="C483" s="1">
        <v>59</v>
      </c>
      <c r="D483" s="2" t="s">
        <v>647</v>
      </c>
      <c r="E483" s="11" t="s">
        <v>647</v>
      </c>
      <c r="F483" s="11">
        <v>277150</v>
      </c>
      <c r="G483" s="2" t="s">
        <v>1494</v>
      </c>
      <c r="H483" s="2" t="s">
        <v>1495</v>
      </c>
      <c r="I483" s="2" t="s">
        <v>1496</v>
      </c>
      <c r="J483" s="2" t="str">
        <f t="shared" si="14"/>
        <v>https://permalinkbnd.bnportugal.gov.pt/viewer/277150/?offset=#page=59&amp;viewer=picture&amp;o=info&amp;n=0&amp;q=</v>
      </c>
      <c r="K483" s="1" t="s">
        <v>648</v>
      </c>
      <c r="L483" s="1" t="str">
        <f>VLOOKUP(A483,Folha2!$A$2:$B$2019,2,FALSE)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3" s="12" t="str">
        <f t="shared" si="15"/>
        <v>https://permalinkbnd.bnportugal.gov.pt/viewer/277150/?offset=#page=59&amp;viewer=picture&amp;o=info&amp;n=0&amp;q=</v>
      </c>
      <c r="N483" s="12" t="s">
        <v>1497</v>
      </c>
      <c r="O483" s="12" t="str">
        <f>CONCATENATE(N483,A483,"\",B483,"\",C483,".jpg")</f>
        <v>C:\Users\mbaptista\OneDrive - Biblioteca Nacional de Portugal\Documentos\python\camoniana\imagens\capas\256620\1\59.jpg</v>
      </c>
      <c r="P483" s="12" t="str">
        <f>HYPERLINK(O483)</f>
        <v>C:\Users\mbaptista\OneDrive - Biblioteca Nacional de Portugal\Documentos\python\camoniana\imagens\capas\256620\1\59.jpg</v>
      </c>
      <c r="Q483" s="12"/>
      <c r="R483" s="6" t="s">
        <v>651</v>
      </c>
      <c r="S483" s="4"/>
      <c r="T483" s="1" t="s">
        <v>649</v>
      </c>
      <c r="U483" s="13"/>
      <c r="V483" s="13"/>
      <c r="W483" s="5" t="s">
        <v>1491</v>
      </c>
    </row>
    <row r="484" spans="1:23" ht="75">
      <c r="A484" s="1">
        <v>256620</v>
      </c>
      <c r="B484" s="1">
        <v>1</v>
      </c>
      <c r="C484" s="1">
        <v>97</v>
      </c>
      <c r="D484" s="2" t="s">
        <v>647</v>
      </c>
      <c r="E484" s="5" t="s">
        <v>647</v>
      </c>
      <c r="F484" s="5">
        <v>277150</v>
      </c>
      <c r="G484" s="2" t="s">
        <v>1494</v>
      </c>
      <c r="H484" s="2" t="s">
        <v>1495</v>
      </c>
      <c r="I484" s="2" t="s">
        <v>1496</v>
      </c>
      <c r="J484" s="2" t="str">
        <f t="shared" si="14"/>
        <v>https://permalinkbnd.bnportugal.gov.pt/viewer/277150/?offset=#page=97&amp;viewer=picture&amp;o=info&amp;n=0&amp;q=</v>
      </c>
      <c r="K484" s="1" t="s">
        <v>648</v>
      </c>
      <c r="L484" s="1" t="str">
        <f>VLOOKUP(A484,Folha2!$A$2:$B$2019,2,FALSE)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4" s="12" t="str">
        <f t="shared" si="15"/>
        <v>https://permalinkbnd.bnportugal.gov.pt/viewer/277150/?offset=#page=97&amp;viewer=picture&amp;o=info&amp;n=0&amp;q=</v>
      </c>
      <c r="N484" s="12" t="s">
        <v>1497</v>
      </c>
      <c r="O484" s="12" t="str">
        <f>CONCATENATE(N484,A484,"\",B484,"\",C484,".jpg")</f>
        <v>C:\Users\mbaptista\OneDrive - Biblioteca Nacional de Portugal\Documentos\python\camoniana\imagens\capas\256620\1\97.jpg</v>
      </c>
      <c r="P484" s="12" t="str">
        <f>HYPERLINK(O484)</f>
        <v>C:\Users\mbaptista\OneDrive - Biblioteca Nacional de Portugal\Documentos\python\camoniana\imagens\capas\256620\1\97.jpg</v>
      </c>
      <c r="Q484" s="12"/>
      <c r="R484" s="6" t="s">
        <v>652</v>
      </c>
      <c r="S484" s="4"/>
      <c r="T484" s="1" t="s">
        <v>649</v>
      </c>
      <c r="U484" s="13"/>
      <c r="V484" s="13"/>
      <c r="W484" s="5" t="s">
        <v>1491</v>
      </c>
    </row>
    <row r="485" spans="1:23" ht="75">
      <c r="A485" s="1">
        <v>256620</v>
      </c>
      <c r="B485" s="1">
        <v>1</v>
      </c>
      <c r="C485" s="1">
        <v>139</v>
      </c>
      <c r="D485" s="2" t="s">
        <v>647</v>
      </c>
      <c r="E485" s="11" t="s">
        <v>647</v>
      </c>
      <c r="F485" s="11">
        <v>277150</v>
      </c>
      <c r="G485" s="2" t="s">
        <v>1494</v>
      </c>
      <c r="H485" s="2" t="s">
        <v>1495</v>
      </c>
      <c r="I485" s="2" t="s">
        <v>1496</v>
      </c>
      <c r="J485" s="2" t="str">
        <f t="shared" si="14"/>
        <v>https://permalinkbnd.bnportugal.gov.pt/viewer/277150/?offset=#page=139&amp;viewer=picture&amp;o=info&amp;n=0&amp;q=</v>
      </c>
      <c r="K485" s="1" t="s">
        <v>648</v>
      </c>
      <c r="L485" s="1" t="str">
        <f>VLOOKUP(A485,Folha2!$A$2:$B$2019,2,FALSE)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5" s="12" t="str">
        <f t="shared" si="15"/>
        <v>https://permalinkbnd.bnportugal.gov.pt/viewer/277150/?offset=#page=139&amp;viewer=picture&amp;o=info&amp;n=0&amp;q=</v>
      </c>
      <c r="N485" s="12" t="s">
        <v>1497</v>
      </c>
      <c r="O485" s="12" t="str">
        <f>CONCATENATE(N485,A485,"\",B485,"\",C485,".jpg")</f>
        <v>C:\Users\mbaptista\OneDrive - Biblioteca Nacional de Portugal\Documentos\python\camoniana\imagens\capas\256620\1\139.jpg</v>
      </c>
      <c r="P485" s="12" t="str">
        <f>HYPERLINK(O485)</f>
        <v>C:\Users\mbaptista\OneDrive - Biblioteca Nacional de Portugal\Documentos\python\camoniana\imagens\capas\256620\1\139.jpg</v>
      </c>
      <c r="Q485" s="12"/>
      <c r="R485" s="6" t="s">
        <v>653</v>
      </c>
      <c r="S485" s="4"/>
      <c r="T485" s="1" t="s">
        <v>649</v>
      </c>
      <c r="U485" s="13"/>
      <c r="V485" s="13"/>
      <c r="W485" s="5" t="s">
        <v>1491</v>
      </c>
    </row>
    <row r="486" spans="1:23" ht="75">
      <c r="A486" s="1">
        <v>256620</v>
      </c>
      <c r="B486" s="1">
        <v>1</v>
      </c>
      <c r="C486" s="1">
        <v>191</v>
      </c>
      <c r="D486" s="2" t="s">
        <v>647</v>
      </c>
      <c r="E486" s="5" t="s">
        <v>647</v>
      </c>
      <c r="F486" s="5">
        <v>277150</v>
      </c>
      <c r="G486" s="2" t="s">
        <v>1494</v>
      </c>
      <c r="H486" s="2" t="s">
        <v>1495</v>
      </c>
      <c r="I486" s="2" t="s">
        <v>1496</v>
      </c>
      <c r="J486" s="2" t="str">
        <f t="shared" si="14"/>
        <v>https://permalinkbnd.bnportugal.gov.pt/viewer/277150/?offset=#page=191&amp;viewer=picture&amp;o=info&amp;n=0&amp;q=</v>
      </c>
      <c r="K486" s="1" t="s">
        <v>648</v>
      </c>
      <c r="L486" s="1" t="str">
        <f>VLOOKUP(A486,Folha2!$A$2:$B$2019,2,FALSE)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6" s="12" t="str">
        <f t="shared" si="15"/>
        <v>https://permalinkbnd.bnportugal.gov.pt/viewer/277150/?offset=#page=191&amp;viewer=picture&amp;o=info&amp;n=0&amp;q=</v>
      </c>
      <c r="N486" s="12" t="s">
        <v>1497</v>
      </c>
      <c r="O486" s="12" t="str">
        <f>CONCATENATE(N486,A486,"\",B486,"\",C486,".jpg")</f>
        <v>C:\Users\mbaptista\OneDrive - Biblioteca Nacional de Portugal\Documentos\python\camoniana\imagens\capas\256620\1\191.jpg</v>
      </c>
      <c r="P486" s="12" t="str">
        <f>HYPERLINK(O486)</f>
        <v>C:\Users\mbaptista\OneDrive - Biblioteca Nacional de Portugal\Documentos\python\camoniana\imagens\capas\256620\1\191.jpg</v>
      </c>
      <c r="Q486" s="12"/>
      <c r="R486" s="6" t="s">
        <v>654</v>
      </c>
      <c r="S486" s="4"/>
      <c r="T486" s="1" t="s">
        <v>649</v>
      </c>
      <c r="U486" s="13"/>
      <c r="V486" s="13"/>
      <c r="W486" s="5" t="s">
        <v>1491</v>
      </c>
    </row>
    <row r="487" spans="1:23" ht="75">
      <c r="A487" s="1">
        <v>256620</v>
      </c>
      <c r="B487" s="1">
        <v>1</v>
      </c>
      <c r="C487" s="1">
        <v>229</v>
      </c>
      <c r="D487" s="2" t="s">
        <v>647</v>
      </c>
      <c r="E487" s="11" t="s">
        <v>647</v>
      </c>
      <c r="F487" s="11">
        <v>277150</v>
      </c>
      <c r="G487" s="2" t="s">
        <v>1494</v>
      </c>
      <c r="H487" s="2" t="s">
        <v>1495</v>
      </c>
      <c r="I487" s="2" t="s">
        <v>1496</v>
      </c>
      <c r="J487" s="2" t="str">
        <f t="shared" si="14"/>
        <v>https://permalinkbnd.bnportugal.gov.pt/viewer/277150/?offset=#page=229&amp;viewer=picture&amp;o=info&amp;n=0&amp;q=</v>
      </c>
      <c r="K487" s="1" t="s">
        <v>648</v>
      </c>
      <c r="L487" s="1" t="str">
        <f>VLOOKUP(A487,Folha2!$A$2:$B$2019,2,FALSE)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7" s="12" t="str">
        <f t="shared" si="15"/>
        <v>https://permalinkbnd.bnportugal.gov.pt/viewer/277150/?offset=#page=229&amp;viewer=picture&amp;o=info&amp;n=0&amp;q=</v>
      </c>
      <c r="N487" s="12" t="s">
        <v>1497</v>
      </c>
      <c r="O487" s="12" t="str">
        <f>CONCATENATE(N487,A487,"\",B487,"\",C487,".jpg")</f>
        <v>C:\Users\mbaptista\OneDrive - Biblioteca Nacional de Portugal\Documentos\python\camoniana\imagens\capas\256620\1\229.jpg</v>
      </c>
      <c r="P487" s="12" t="str">
        <f>HYPERLINK(O487)</f>
        <v>C:\Users\mbaptista\OneDrive - Biblioteca Nacional de Portugal\Documentos\python\camoniana\imagens\capas\256620\1\229.jpg</v>
      </c>
      <c r="Q487" s="12"/>
      <c r="R487" s="6" t="s">
        <v>655</v>
      </c>
      <c r="S487" s="4"/>
      <c r="T487" s="1" t="s">
        <v>649</v>
      </c>
      <c r="U487" s="13"/>
      <c r="V487" s="13"/>
      <c r="W487" s="5" t="s">
        <v>1491</v>
      </c>
    </row>
    <row r="488" spans="1:23" ht="75">
      <c r="A488" s="1">
        <v>256620</v>
      </c>
      <c r="B488" s="1">
        <v>1</v>
      </c>
      <c r="C488" s="1">
        <v>265</v>
      </c>
      <c r="D488" s="2" t="s">
        <v>647</v>
      </c>
      <c r="E488" s="5" t="s">
        <v>647</v>
      </c>
      <c r="F488" s="5">
        <v>277150</v>
      </c>
      <c r="G488" s="2" t="s">
        <v>1494</v>
      </c>
      <c r="H488" s="2" t="s">
        <v>1495</v>
      </c>
      <c r="I488" s="2" t="s">
        <v>1496</v>
      </c>
      <c r="J488" s="2" t="str">
        <f t="shared" si="14"/>
        <v>https://permalinkbnd.bnportugal.gov.pt/viewer/277150/?offset=#page=265&amp;viewer=picture&amp;o=info&amp;n=0&amp;q=</v>
      </c>
      <c r="K488" s="1" t="s">
        <v>648</v>
      </c>
      <c r="L488" s="1" t="str">
        <f>VLOOKUP(A488,Folha2!$A$2:$B$2019,2,FALSE)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8" s="12" t="str">
        <f t="shared" si="15"/>
        <v>https://permalinkbnd.bnportugal.gov.pt/viewer/277150/?offset=#page=265&amp;viewer=picture&amp;o=info&amp;n=0&amp;q=</v>
      </c>
      <c r="N488" s="12" t="s">
        <v>1497</v>
      </c>
      <c r="O488" s="12" t="str">
        <f>CONCATENATE(N488,A488,"\",B488,"\",C488,".jpg")</f>
        <v>C:\Users\mbaptista\OneDrive - Biblioteca Nacional de Portugal\Documentos\python\camoniana\imagens\capas\256620\1\265.jpg</v>
      </c>
      <c r="P488" s="12" t="str">
        <f>HYPERLINK(O488)</f>
        <v>C:\Users\mbaptista\OneDrive - Biblioteca Nacional de Portugal\Documentos\python\camoniana\imagens\capas\256620\1\265.jpg</v>
      </c>
      <c r="Q488" s="12"/>
      <c r="R488" s="6" t="s">
        <v>656</v>
      </c>
      <c r="S488" s="4"/>
      <c r="T488" s="1" t="s">
        <v>649</v>
      </c>
      <c r="U488" s="13"/>
      <c r="V488" s="13"/>
      <c r="W488" s="5" t="s">
        <v>1491</v>
      </c>
    </row>
    <row r="489" spans="1:23" ht="75">
      <c r="A489" s="1">
        <v>256620</v>
      </c>
      <c r="B489" s="1">
        <v>1</v>
      </c>
      <c r="C489" s="1">
        <v>301</v>
      </c>
      <c r="D489" s="2" t="s">
        <v>647</v>
      </c>
      <c r="E489" s="11" t="s">
        <v>647</v>
      </c>
      <c r="F489" s="11">
        <v>277150</v>
      </c>
      <c r="G489" s="2" t="s">
        <v>1494</v>
      </c>
      <c r="H489" s="2" t="s">
        <v>1495</v>
      </c>
      <c r="I489" s="2" t="s">
        <v>1496</v>
      </c>
      <c r="J489" s="2" t="str">
        <f t="shared" si="14"/>
        <v>https://permalinkbnd.bnportugal.gov.pt/viewer/277150/?offset=#page=301&amp;viewer=picture&amp;o=info&amp;n=0&amp;q=</v>
      </c>
      <c r="K489" s="1" t="s">
        <v>648</v>
      </c>
      <c r="L489" s="1" t="str">
        <f>VLOOKUP(A489,Folha2!$A$2:$B$2019,2,FALSE)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9" s="12" t="str">
        <f t="shared" si="15"/>
        <v>https://permalinkbnd.bnportugal.gov.pt/viewer/277150/?offset=#page=301&amp;viewer=picture&amp;o=info&amp;n=0&amp;q=</v>
      </c>
      <c r="N489" s="12" t="s">
        <v>1497</v>
      </c>
      <c r="O489" s="12" t="str">
        <f>CONCATENATE(N489,A489,"\",B489,"\",C489,".jpg")</f>
        <v>C:\Users\mbaptista\OneDrive - Biblioteca Nacional de Portugal\Documentos\python\camoniana\imagens\capas\256620\1\301.jpg</v>
      </c>
      <c r="P489" s="12" t="str">
        <f>HYPERLINK(O489)</f>
        <v>C:\Users\mbaptista\OneDrive - Biblioteca Nacional de Portugal\Documentos\python\camoniana\imagens\capas\256620\1\301.jpg</v>
      </c>
      <c r="Q489" s="12"/>
      <c r="R489" s="6" t="s">
        <v>657</v>
      </c>
      <c r="S489" s="4"/>
      <c r="T489" s="1" t="s">
        <v>649</v>
      </c>
      <c r="U489" s="13"/>
      <c r="V489" s="13"/>
      <c r="W489" s="5" t="s">
        <v>1491</v>
      </c>
    </row>
    <row r="490" spans="1:23" ht="75">
      <c r="A490" s="1">
        <v>256620</v>
      </c>
      <c r="B490" s="1">
        <v>1</v>
      </c>
      <c r="C490" s="1">
        <v>333</v>
      </c>
      <c r="D490" s="2" t="s">
        <v>647</v>
      </c>
      <c r="E490" s="5" t="s">
        <v>647</v>
      </c>
      <c r="F490" s="5">
        <v>277150</v>
      </c>
      <c r="G490" s="2" t="s">
        <v>1494</v>
      </c>
      <c r="H490" s="2" t="s">
        <v>1495</v>
      </c>
      <c r="I490" s="2" t="s">
        <v>1496</v>
      </c>
      <c r="J490" s="2" t="str">
        <f t="shared" si="14"/>
        <v>https://permalinkbnd.bnportugal.gov.pt/viewer/277150/?offset=#page=333&amp;viewer=picture&amp;o=info&amp;n=0&amp;q=</v>
      </c>
      <c r="K490" s="1" t="s">
        <v>648</v>
      </c>
      <c r="L490" s="1" t="str">
        <f>VLOOKUP(A490,Folha2!$A$2:$B$2019,2,FALSE)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0" s="12" t="str">
        <f t="shared" si="15"/>
        <v>https://permalinkbnd.bnportugal.gov.pt/viewer/277150/?offset=#page=333&amp;viewer=picture&amp;o=info&amp;n=0&amp;q=</v>
      </c>
      <c r="N490" s="12" t="s">
        <v>1497</v>
      </c>
      <c r="O490" s="12" t="str">
        <f>CONCATENATE(N490,A490,"\",B490,"\",C490,".jpg")</f>
        <v>C:\Users\mbaptista\OneDrive - Biblioteca Nacional de Portugal\Documentos\python\camoniana\imagens\capas\256620\1\333.jpg</v>
      </c>
      <c r="P490" s="12" t="str">
        <f>HYPERLINK(O490)</f>
        <v>C:\Users\mbaptista\OneDrive - Biblioteca Nacional de Portugal\Documentos\python\camoniana\imagens\capas\256620\1\333.jpg</v>
      </c>
      <c r="Q490" s="12"/>
      <c r="R490" s="6" t="s">
        <v>658</v>
      </c>
      <c r="S490" s="4"/>
      <c r="T490" s="1" t="s">
        <v>649</v>
      </c>
      <c r="U490" s="13"/>
      <c r="V490" s="13"/>
      <c r="W490" s="5" t="s">
        <v>1491</v>
      </c>
    </row>
    <row r="491" spans="1:23" ht="75">
      <c r="A491" s="1">
        <v>256620</v>
      </c>
      <c r="B491" s="1">
        <v>1</v>
      </c>
      <c r="C491" s="1">
        <v>369</v>
      </c>
      <c r="D491" s="2" t="s">
        <v>647</v>
      </c>
      <c r="E491" s="11" t="s">
        <v>647</v>
      </c>
      <c r="F491" s="11">
        <v>277150</v>
      </c>
      <c r="G491" s="2" t="s">
        <v>1494</v>
      </c>
      <c r="H491" s="2" t="s">
        <v>1495</v>
      </c>
      <c r="I491" s="2" t="s">
        <v>1496</v>
      </c>
      <c r="J491" s="2" t="str">
        <f t="shared" si="14"/>
        <v>https://permalinkbnd.bnportugal.gov.pt/viewer/277150/?offset=#page=369&amp;viewer=picture&amp;o=info&amp;n=0&amp;q=</v>
      </c>
      <c r="K491" s="1" t="s">
        <v>648</v>
      </c>
      <c r="L491" s="1" t="str">
        <f>VLOOKUP(A491,Folha2!$A$2:$B$2019,2,FALSE)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1" s="12" t="str">
        <f t="shared" si="15"/>
        <v>https://permalinkbnd.bnportugal.gov.pt/viewer/277150/?offset=#page=369&amp;viewer=picture&amp;o=info&amp;n=0&amp;q=</v>
      </c>
      <c r="N491" s="12" t="s">
        <v>1497</v>
      </c>
      <c r="O491" s="12" t="str">
        <f>CONCATENATE(N491,A491,"\",B491,"\",C491,".jpg")</f>
        <v>C:\Users\mbaptista\OneDrive - Biblioteca Nacional de Portugal\Documentos\python\camoniana\imagens\capas\256620\1\369.jpg</v>
      </c>
      <c r="P491" s="12" t="str">
        <f>HYPERLINK(O491)</f>
        <v>C:\Users\mbaptista\OneDrive - Biblioteca Nacional de Portugal\Documentos\python\camoniana\imagens\capas\256620\1\369.jpg</v>
      </c>
      <c r="Q491" s="12"/>
      <c r="R491" s="6" t="s">
        <v>659</v>
      </c>
      <c r="S491" s="4"/>
      <c r="T491" s="1" t="s">
        <v>649</v>
      </c>
      <c r="U491" s="13"/>
      <c r="V491" s="13"/>
      <c r="W491" s="5" t="s">
        <v>1491</v>
      </c>
    </row>
    <row r="492" spans="1:23" ht="75">
      <c r="A492" s="1">
        <v>256620</v>
      </c>
      <c r="B492" s="1">
        <v>1</v>
      </c>
      <c r="C492" s="1">
        <v>405</v>
      </c>
      <c r="D492" s="2" t="s">
        <v>647</v>
      </c>
      <c r="E492" s="5" t="s">
        <v>647</v>
      </c>
      <c r="F492" s="5">
        <v>277150</v>
      </c>
      <c r="G492" s="2" t="s">
        <v>1494</v>
      </c>
      <c r="H492" s="2" t="s">
        <v>1495</v>
      </c>
      <c r="I492" s="2" t="s">
        <v>1496</v>
      </c>
      <c r="J492" s="2" t="str">
        <f t="shared" si="14"/>
        <v>https://permalinkbnd.bnportugal.gov.pt/viewer/277150/?offset=#page=405&amp;viewer=picture&amp;o=info&amp;n=0&amp;q=</v>
      </c>
      <c r="K492" s="1" t="s">
        <v>648</v>
      </c>
      <c r="L492" s="1" t="str">
        <f>VLOOKUP(A492,Folha2!$A$2:$B$2019,2,FALSE)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2" s="12" t="str">
        <f t="shared" si="15"/>
        <v>https://permalinkbnd.bnportugal.gov.pt/viewer/277150/?offset=#page=405&amp;viewer=picture&amp;o=info&amp;n=0&amp;q=</v>
      </c>
      <c r="N492" s="12" t="s">
        <v>1497</v>
      </c>
      <c r="O492" s="12" t="str">
        <f>CONCATENATE(N492,A492,"\",B492,"\",C492,".jpg")</f>
        <v>C:\Users\mbaptista\OneDrive - Biblioteca Nacional de Portugal\Documentos\python\camoniana\imagens\capas\256620\1\405.jpg</v>
      </c>
      <c r="P492" s="12" t="str">
        <f>HYPERLINK(O492)</f>
        <v>C:\Users\mbaptista\OneDrive - Biblioteca Nacional de Portugal\Documentos\python\camoniana\imagens\capas\256620\1\405.jpg</v>
      </c>
      <c r="Q492" s="12"/>
      <c r="R492" s="6" t="s">
        <v>660</v>
      </c>
      <c r="S492" s="4"/>
      <c r="T492" s="1" t="s">
        <v>649</v>
      </c>
      <c r="U492" s="13"/>
      <c r="V492" s="13"/>
      <c r="W492" s="5" t="s">
        <v>1491</v>
      </c>
    </row>
    <row r="493" spans="1:23" ht="135">
      <c r="A493" s="1">
        <v>257364</v>
      </c>
      <c r="B493" s="1">
        <v>1</v>
      </c>
      <c r="C493" s="1">
        <v>6</v>
      </c>
      <c r="D493" s="2" t="s">
        <v>661</v>
      </c>
      <c r="E493" s="11" t="s">
        <v>661</v>
      </c>
      <c r="F493" s="11">
        <v>281138</v>
      </c>
      <c r="G493" s="2" t="s">
        <v>1494</v>
      </c>
      <c r="H493" s="2" t="s">
        <v>1495</v>
      </c>
      <c r="I493" s="2" t="s">
        <v>1496</v>
      </c>
      <c r="J493" s="2" t="str">
        <f t="shared" si="14"/>
        <v>https://permalinkbnd.bnportugal.gov.pt/viewer/281138/?offset=#page=6&amp;viewer=picture&amp;o=info&amp;n=0&amp;q=</v>
      </c>
      <c r="K493" s="1" t="s">
        <v>662</v>
      </c>
      <c r="L493" s="1" t="str">
        <f>VLOOKUP(A493,Folha2!$A$2:$B$2019,2,FALSE)</f>
        <v>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v>
      </c>
      <c r="M493" s="12" t="str">
        <f t="shared" si="15"/>
        <v>https://permalinkbnd.bnportugal.gov.pt/viewer/281138/?offset=#page=6&amp;viewer=picture&amp;o=info&amp;n=0&amp;q=</v>
      </c>
      <c r="N493" s="12" t="s">
        <v>1497</v>
      </c>
      <c r="O493" s="12" t="str">
        <f>CONCATENATE(N493,A493,"\",B493,"\",C493,".jpg")</f>
        <v>C:\Users\mbaptista\OneDrive - Biblioteca Nacional de Portugal\Documentos\python\camoniana\imagens\capas\257364\1\6.jpg</v>
      </c>
      <c r="P493" s="12" t="str">
        <f>HYPERLINK(O493)</f>
        <v>C:\Users\mbaptista\OneDrive - Biblioteca Nacional de Portugal\Documentos\python\camoniana\imagens\capas\257364\1\6.jpg</v>
      </c>
      <c r="Q493" s="12"/>
      <c r="R493" s="6" t="s">
        <v>663</v>
      </c>
      <c r="S493" s="4"/>
      <c r="T493" s="1">
        <v>6</v>
      </c>
      <c r="U493" s="13"/>
      <c r="V493" s="13"/>
      <c r="W493" s="5" t="s">
        <v>1491</v>
      </c>
    </row>
    <row r="494" spans="1:23" ht="75">
      <c r="A494" s="1">
        <v>196562</v>
      </c>
      <c r="B494" s="1">
        <v>1</v>
      </c>
      <c r="C494" s="1">
        <v>11</v>
      </c>
      <c r="D494" s="2" t="s">
        <v>664</v>
      </c>
      <c r="E494" s="5" t="s">
        <v>664</v>
      </c>
      <c r="F494" s="5">
        <v>1892</v>
      </c>
      <c r="G494" s="2" t="s">
        <v>1494</v>
      </c>
      <c r="H494" s="2" t="s">
        <v>1495</v>
      </c>
      <c r="I494" s="2" t="s">
        <v>1496</v>
      </c>
      <c r="J494" s="2" t="str">
        <f t="shared" si="14"/>
        <v>https://permalinkbnd.bnportugal.gov.pt/viewer/1892/?offset=#page=11&amp;viewer=picture&amp;o=info&amp;n=0&amp;q=</v>
      </c>
      <c r="K494" s="1">
        <v>11</v>
      </c>
      <c r="L494" s="1" t="str">
        <f>VLOOKUP(A494,Folha2!$A$2:$B$2019,2,FALSE)</f>
        <v>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v>
      </c>
      <c r="M494" s="12" t="str">
        <f t="shared" si="15"/>
        <v>https://permalinkbnd.bnportugal.gov.pt/viewer/1892/?offset=#page=11&amp;viewer=picture&amp;o=info&amp;n=0&amp;q=</v>
      </c>
      <c r="N494" s="12" t="s">
        <v>1497</v>
      </c>
      <c r="O494" s="12" t="str">
        <f>CONCATENATE(N494,A494,"\",B494,"\",C494,".jpg")</f>
        <v>C:\Users\mbaptista\OneDrive - Biblioteca Nacional de Portugal\Documentos\python\camoniana\imagens\capas\196562\1\11.jpg</v>
      </c>
      <c r="P494" s="12" t="str">
        <f>HYPERLINK(O494)</f>
        <v>C:\Users\mbaptista\OneDrive - Biblioteca Nacional de Portugal\Documentos\python\camoniana\imagens\capas\196562\1\11.jpg</v>
      </c>
      <c r="Q494" s="12"/>
      <c r="R494" s="6" t="s">
        <v>665</v>
      </c>
      <c r="S494" s="4"/>
      <c r="T494" s="1">
        <v>11</v>
      </c>
      <c r="U494" s="13"/>
      <c r="V494" s="13"/>
      <c r="W494" s="5" t="s">
        <v>1491</v>
      </c>
    </row>
    <row r="495" spans="1:23" ht="75">
      <c r="A495" s="1">
        <v>257368</v>
      </c>
      <c r="B495" s="1">
        <v>1</v>
      </c>
      <c r="C495" s="1">
        <v>6</v>
      </c>
      <c r="D495" s="2" t="s">
        <v>666</v>
      </c>
      <c r="E495" s="11" t="s">
        <v>666</v>
      </c>
      <c r="F495" s="11">
        <v>277143</v>
      </c>
      <c r="G495" s="2" t="s">
        <v>1494</v>
      </c>
      <c r="H495" s="2" t="s">
        <v>1495</v>
      </c>
      <c r="I495" s="2" t="s">
        <v>1496</v>
      </c>
      <c r="J495" s="2" t="str">
        <f t="shared" si="14"/>
        <v>https://permalinkbnd.bnportugal.gov.pt/viewer/277143/?offset=#page=6&amp;viewer=picture&amp;o=info&amp;n=0&amp;q=</v>
      </c>
      <c r="K495" s="1" t="s">
        <v>667</v>
      </c>
      <c r="L495" s="1" t="str">
        <f>VLOOKUP(A495,Folha2!$A$2:$B$2019,2,FALSE)</f>
        <v>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v>
      </c>
      <c r="M495" s="12" t="str">
        <f t="shared" si="15"/>
        <v>https://permalinkbnd.bnportugal.gov.pt/viewer/277143/?offset=#page=6&amp;viewer=picture&amp;o=info&amp;n=0&amp;q=</v>
      </c>
      <c r="N495" s="12" t="s">
        <v>1497</v>
      </c>
      <c r="O495" s="12" t="str">
        <f>CONCATENATE(N495,A495,"\",B495,"\",C495,".jpg")</f>
        <v>C:\Users\mbaptista\OneDrive - Biblioteca Nacional de Portugal\Documentos\python\camoniana\imagens\capas\257368\1\6.jpg</v>
      </c>
      <c r="P495" s="12" t="str">
        <f>HYPERLINK(O495)</f>
        <v>C:\Users\mbaptista\OneDrive - Biblioteca Nacional de Portugal\Documentos\python\camoniana\imagens\capas\257368\1\6.jpg</v>
      </c>
      <c r="Q495" s="12"/>
      <c r="R495" s="6" t="s">
        <v>668</v>
      </c>
      <c r="S495" s="4"/>
      <c r="T495" s="1">
        <v>6</v>
      </c>
      <c r="U495" s="13"/>
      <c r="V495" s="13"/>
      <c r="W495" s="5" t="s">
        <v>1491</v>
      </c>
    </row>
    <row r="496" spans="1:23" ht="75">
      <c r="A496" s="1">
        <v>257404</v>
      </c>
      <c r="B496" s="1">
        <v>1</v>
      </c>
      <c r="C496" s="1">
        <v>6</v>
      </c>
      <c r="D496" s="2" t="s">
        <v>669</v>
      </c>
      <c r="E496" s="5" t="s">
        <v>669</v>
      </c>
      <c r="F496" s="5">
        <v>277149</v>
      </c>
      <c r="G496" s="2" t="s">
        <v>1494</v>
      </c>
      <c r="H496" s="2" t="s">
        <v>1495</v>
      </c>
      <c r="I496" s="2" t="s">
        <v>1496</v>
      </c>
      <c r="J496" s="2" t="str">
        <f t="shared" si="14"/>
        <v>https://permalinkbnd.bnportugal.gov.pt/viewer/277149/?offset=#page=6&amp;viewer=picture&amp;o=info&amp;n=0&amp;q=</v>
      </c>
      <c r="K496" s="1" t="s">
        <v>670</v>
      </c>
      <c r="L496" s="1" t="str">
        <f>VLOOKUP(A496,Folha2!$A$2:$B$2019,2,FALSE)</f>
        <v>Os Lusiadas / poema epico de Luiz de Camões. - Nova edição com um Diccionario dos nomes proprios usados no mesmo poema. - Porto : em Casa de A. R. da Cruz Coutinho, 1880. Paratextos vida e Paratextos argumentos.</v>
      </c>
      <c r="M496" s="12" t="str">
        <f t="shared" si="15"/>
        <v>https://permalinkbnd.bnportugal.gov.pt/viewer/277149/?offset=#page=6&amp;viewer=picture&amp;o=info&amp;n=0&amp;q=</v>
      </c>
      <c r="N496" s="12" t="s">
        <v>1497</v>
      </c>
      <c r="O496" s="12" t="str">
        <f>CONCATENATE(N496,A496,"\",B496,"\",C496,".jpg")</f>
        <v>C:\Users\mbaptista\OneDrive - Biblioteca Nacional de Portugal\Documentos\python\camoniana\imagens\capas\257404\1\6.jpg</v>
      </c>
      <c r="P496" s="12" t="str">
        <f>HYPERLINK(O496)</f>
        <v>C:\Users\mbaptista\OneDrive - Biblioteca Nacional de Portugal\Documentos\python\camoniana\imagens\capas\257404\1\6.jpg</v>
      </c>
      <c r="Q496" s="12"/>
      <c r="R496" s="6" t="s">
        <v>672</v>
      </c>
      <c r="S496" s="4"/>
      <c r="T496" s="1" t="s">
        <v>671</v>
      </c>
      <c r="U496" s="13"/>
      <c r="V496" s="13"/>
      <c r="W496" s="5" t="s">
        <v>1491</v>
      </c>
    </row>
    <row r="497" spans="1:23" ht="75">
      <c r="A497" s="1">
        <v>257404</v>
      </c>
      <c r="B497" s="1">
        <v>1</v>
      </c>
      <c r="C497" s="1">
        <v>250</v>
      </c>
      <c r="D497" s="2" t="s">
        <v>669</v>
      </c>
      <c r="E497" s="11" t="s">
        <v>669</v>
      </c>
      <c r="F497" s="11">
        <v>277149</v>
      </c>
      <c r="G497" s="2" t="s">
        <v>1494</v>
      </c>
      <c r="H497" s="2" t="s">
        <v>1495</v>
      </c>
      <c r="I497" s="2" t="s">
        <v>1496</v>
      </c>
      <c r="J497" s="2" t="str">
        <f t="shared" si="14"/>
        <v>https://permalinkbnd.bnportugal.gov.pt/viewer/277149/?offset=#page=250&amp;viewer=picture&amp;o=info&amp;n=0&amp;q=</v>
      </c>
      <c r="K497" s="1" t="s">
        <v>670</v>
      </c>
      <c r="L497" s="1" t="str">
        <f>VLOOKUP(A497,Folha2!$A$2:$B$2019,2,FALSE)</f>
        <v>Os Lusiadas / poema epico de Luiz de Camões. - Nova edição com um Diccionario dos nomes proprios usados no mesmo poema. - Porto : em Casa de A. R. da Cruz Coutinho, 1880. Paratextos vida e Paratextos argumentos.</v>
      </c>
      <c r="M497" s="12" t="str">
        <f t="shared" si="15"/>
        <v>https://permalinkbnd.bnportugal.gov.pt/viewer/277149/?offset=#page=250&amp;viewer=picture&amp;o=info&amp;n=0&amp;q=</v>
      </c>
      <c r="N497" s="12" t="s">
        <v>1497</v>
      </c>
      <c r="O497" s="12" t="str">
        <f>CONCATENATE(N497,A497,"\",B497,"\",C497,".jpg")</f>
        <v>C:\Users\mbaptista\OneDrive - Biblioteca Nacional de Portugal\Documentos\python\camoniana\imagens\capas\257404\1\250.jpg</v>
      </c>
      <c r="P497" s="12" t="str">
        <f>HYPERLINK(O497)</f>
        <v>C:\Users\mbaptista\OneDrive - Biblioteca Nacional de Portugal\Documentos\python\camoniana\imagens\capas\257404\1\250.jpg</v>
      </c>
      <c r="Q497" s="12"/>
      <c r="R497" s="6"/>
      <c r="S497" s="4"/>
      <c r="T497" s="1"/>
      <c r="U497" s="13"/>
      <c r="V497" s="13"/>
      <c r="W497" s="5"/>
    </row>
    <row r="498" spans="1:23" ht="75">
      <c r="A498" s="1">
        <v>257404</v>
      </c>
      <c r="B498" s="1">
        <v>1</v>
      </c>
      <c r="C498" s="1">
        <v>282</v>
      </c>
      <c r="D498" s="2" t="s">
        <v>669</v>
      </c>
      <c r="E498" s="5" t="s">
        <v>669</v>
      </c>
      <c r="F498" s="5">
        <v>277149</v>
      </c>
      <c r="G498" s="2" t="s">
        <v>1494</v>
      </c>
      <c r="H498" s="2" t="s">
        <v>1495</v>
      </c>
      <c r="I498" s="2" t="s">
        <v>1496</v>
      </c>
      <c r="J498" s="2" t="str">
        <f t="shared" si="14"/>
        <v>https://permalinkbnd.bnportugal.gov.pt/viewer/277149/?offset=#page=282&amp;viewer=picture&amp;o=info&amp;n=0&amp;q=</v>
      </c>
      <c r="K498" s="1" t="s">
        <v>670</v>
      </c>
      <c r="L498" s="1" t="str">
        <f>VLOOKUP(A498,Folha2!$A$2:$B$2019,2,FALSE)</f>
        <v>Os Lusiadas / poema epico de Luiz de Camões. - Nova edição com um Diccionario dos nomes proprios usados no mesmo poema. - Porto : em Casa de A. R. da Cruz Coutinho, 1880. Paratextos vida e Paratextos argumentos.</v>
      </c>
      <c r="M498" s="12" t="str">
        <f t="shared" si="15"/>
        <v>https://permalinkbnd.bnportugal.gov.pt/viewer/277149/?offset=#page=282&amp;viewer=picture&amp;o=info&amp;n=0&amp;q=</v>
      </c>
      <c r="N498" s="12" t="s">
        <v>1497</v>
      </c>
      <c r="O498" s="12" t="str">
        <f>CONCATENATE(N498,A498,"\",B498,"\",C498,".jpg")</f>
        <v>C:\Users\mbaptista\OneDrive - Biblioteca Nacional de Portugal\Documentos\python\camoniana\imagens\capas\257404\1\282.jpg</v>
      </c>
      <c r="P498" s="12" t="str">
        <f>HYPERLINK(O498)</f>
        <v>C:\Users\mbaptista\OneDrive - Biblioteca Nacional de Portugal\Documentos\python\camoniana\imagens\capas\257404\1\282.jpg</v>
      </c>
      <c r="Q498" s="12"/>
      <c r="R498" s="6" t="s">
        <v>673</v>
      </c>
      <c r="S498" s="4"/>
      <c r="T498" s="1" t="s">
        <v>671</v>
      </c>
      <c r="U498" s="13"/>
      <c r="V498" s="13"/>
      <c r="W498" s="5" t="s">
        <v>1491</v>
      </c>
    </row>
    <row r="499" spans="1:23" ht="75">
      <c r="A499" s="1">
        <v>257404</v>
      </c>
      <c r="B499" s="1">
        <v>1</v>
      </c>
      <c r="C499" s="1">
        <v>318</v>
      </c>
      <c r="D499" s="2" t="s">
        <v>669</v>
      </c>
      <c r="E499" s="11" t="s">
        <v>669</v>
      </c>
      <c r="F499" s="11">
        <v>277149</v>
      </c>
      <c r="G499" s="2" t="s">
        <v>1494</v>
      </c>
      <c r="H499" s="2" t="s">
        <v>1495</v>
      </c>
      <c r="I499" s="2" t="s">
        <v>1496</v>
      </c>
      <c r="J499" s="2" t="str">
        <f t="shared" si="14"/>
        <v>https://permalinkbnd.bnportugal.gov.pt/viewer/277149/?offset=#page=318&amp;viewer=picture&amp;o=info&amp;n=0&amp;q=</v>
      </c>
      <c r="K499" s="1" t="s">
        <v>670</v>
      </c>
      <c r="L499" s="1" t="str">
        <f>VLOOKUP(A499,Folha2!$A$2:$B$2019,2,FALSE)</f>
        <v>Os Lusiadas / poema epico de Luiz de Camões. - Nova edição com um Diccionario dos nomes proprios usados no mesmo poema. - Porto : em Casa de A. R. da Cruz Coutinho, 1880. Paratextos vida e Paratextos argumentos.</v>
      </c>
      <c r="M499" s="12" t="str">
        <f t="shared" si="15"/>
        <v>https://permalinkbnd.bnportugal.gov.pt/viewer/277149/?offset=#page=318&amp;viewer=picture&amp;o=info&amp;n=0&amp;q=</v>
      </c>
      <c r="N499" s="12" t="s">
        <v>1497</v>
      </c>
      <c r="O499" s="12" t="str">
        <f>CONCATENATE(N499,A499,"\",B499,"\",C499,".jpg")</f>
        <v>C:\Users\mbaptista\OneDrive - Biblioteca Nacional de Portugal\Documentos\python\camoniana\imagens\capas\257404\1\318.jpg</v>
      </c>
      <c r="P499" s="12" t="str">
        <f>HYPERLINK(O499)</f>
        <v>C:\Users\mbaptista\OneDrive - Biblioteca Nacional de Portugal\Documentos\python\camoniana\imagens\capas\257404\1\318.jpg</v>
      </c>
      <c r="Q499" s="12"/>
      <c r="R499" s="6" t="s">
        <v>674</v>
      </c>
      <c r="S499" s="4"/>
      <c r="T499" s="1" t="s">
        <v>671</v>
      </c>
      <c r="U499" s="13"/>
      <c r="V499" s="13"/>
      <c r="W499" s="5" t="s">
        <v>1491</v>
      </c>
    </row>
    <row r="500" spans="1:23" ht="75">
      <c r="A500" s="1">
        <v>220128</v>
      </c>
      <c r="B500" s="1">
        <v>1</v>
      </c>
      <c r="C500" s="1">
        <v>63</v>
      </c>
      <c r="D500" s="2" t="s">
        <v>675</v>
      </c>
      <c r="E500" s="5" t="s">
        <v>675</v>
      </c>
      <c r="F500" s="5">
        <v>272672</v>
      </c>
      <c r="G500" s="2" t="s">
        <v>1494</v>
      </c>
      <c r="H500" s="2" t="s">
        <v>1495</v>
      </c>
      <c r="I500" s="2" t="s">
        <v>1496</v>
      </c>
      <c r="J500" s="2" t="str">
        <f t="shared" si="14"/>
        <v>https://permalinkbnd.bnportugal.gov.pt/viewer/272672/?offset=#page=63&amp;viewer=picture&amp;o=info&amp;n=0&amp;q=</v>
      </c>
      <c r="K500" s="1" t="s">
        <v>676</v>
      </c>
      <c r="L500" s="1" t="str">
        <f>VLOOKUP(A500,Folha2!$A$2:$B$2019,2,FALSE)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0" s="12" t="str">
        <f t="shared" si="15"/>
        <v>https://permalinkbnd.bnportugal.gov.pt/viewer/272672/?offset=#page=63&amp;viewer=picture&amp;o=info&amp;n=0&amp;q=</v>
      </c>
      <c r="N500" s="12" t="s">
        <v>1497</v>
      </c>
      <c r="O500" s="12" t="str">
        <f>CONCATENATE(N500,A500,"\",B500,"\",C500,".jpg")</f>
        <v>C:\Users\mbaptista\OneDrive - Biblioteca Nacional de Portugal\Documentos\python\camoniana\imagens\capas\220128\1\63.jpg</v>
      </c>
      <c r="P500" s="12" t="str">
        <f>HYPERLINK(O500)</f>
        <v>C:\Users\mbaptista\OneDrive - Biblioteca Nacional de Portugal\Documentos\python\camoniana\imagens\capas\220128\1\63.jpg</v>
      </c>
      <c r="Q500" s="12"/>
      <c r="R500" s="6"/>
      <c r="S500" s="4"/>
      <c r="T500" s="1"/>
      <c r="U500" s="13"/>
      <c r="V500" s="13"/>
      <c r="W500" s="5"/>
    </row>
    <row r="501" spans="1:23" ht="75">
      <c r="A501" s="1">
        <v>220128</v>
      </c>
      <c r="B501" s="1">
        <v>1</v>
      </c>
      <c r="C501" s="1">
        <v>101</v>
      </c>
      <c r="D501" s="2" t="s">
        <v>675</v>
      </c>
      <c r="E501" s="11" t="s">
        <v>675</v>
      </c>
      <c r="F501" s="11">
        <v>272672</v>
      </c>
      <c r="G501" s="2" t="s">
        <v>1494</v>
      </c>
      <c r="H501" s="2" t="s">
        <v>1495</v>
      </c>
      <c r="I501" s="2" t="s">
        <v>1496</v>
      </c>
      <c r="J501" s="2" t="str">
        <f t="shared" si="14"/>
        <v>https://permalinkbnd.bnportugal.gov.pt/viewer/272672/?offset=#page=101&amp;viewer=picture&amp;o=info&amp;n=0&amp;q=</v>
      </c>
      <c r="K501" s="1" t="s">
        <v>676</v>
      </c>
      <c r="L501" s="1" t="str">
        <f>VLOOKUP(A501,Folha2!$A$2:$B$2019,2,FALSE)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1" s="12" t="str">
        <f t="shared" si="15"/>
        <v>https://permalinkbnd.bnportugal.gov.pt/viewer/272672/?offset=#page=101&amp;viewer=picture&amp;o=info&amp;n=0&amp;q=</v>
      </c>
      <c r="N501" s="12" t="s">
        <v>1497</v>
      </c>
      <c r="O501" s="12" t="str">
        <f>CONCATENATE(N501,A501,"\",B501,"\",C501,".jpg")</f>
        <v>C:\Users\mbaptista\OneDrive - Biblioteca Nacional de Portugal\Documentos\python\camoniana\imagens\capas\220128\1\101.jpg</v>
      </c>
      <c r="P501" s="12" t="str">
        <f>HYPERLINK(O501)</f>
        <v>C:\Users\mbaptista\OneDrive - Biblioteca Nacional de Portugal\Documentos\python\camoniana\imagens\capas\220128\1\101.jpg</v>
      </c>
      <c r="Q501" s="12"/>
      <c r="R501" s="6" t="s">
        <v>678</v>
      </c>
      <c r="S501" s="4"/>
      <c r="T501" s="1" t="s">
        <v>677</v>
      </c>
      <c r="U501" s="13"/>
      <c r="V501" s="13"/>
      <c r="W501" s="5" t="s">
        <v>1491</v>
      </c>
    </row>
    <row r="502" spans="1:23" ht="75">
      <c r="A502" s="1">
        <v>220128</v>
      </c>
      <c r="B502" s="1">
        <v>1</v>
      </c>
      <c r="C502" s="1">
        <v>159</v>
      </c>
      <c r="D502" s="2" t="s">
        <v>675</v>
      </c>
      <c r="E502" s="5" t="s">
        <v>675</v>
      </c>
      <c r="F502" s="5">
        <v>272672</v>
      </c>
      <c r="G502" s="2" t="s">
        <v>1494</v>
      </c>
      <c r="H502" s="2" t="s">
        <v>1495</v>
      </c>
      <c r="I502" s="2" t="s">
        <v>1496</v>
      </c>
      <c r="J502" s="2" t="str">
        <f t="shared" si="14"/>
        <v>https://permalinkbnd.bnportugal.gov.pt/viewer/272672/?offset=#page=159&amp;viewer=picture&amp;o=info&amp;n=0&amp;q=</v>
      </c>
      <c r="K502" s="1" t="s">
        <v>676</v>
      </c>
      <c r="L502" s="1" t="str">
        <f>VLOOKUP(A502,Folha2!$A$2:$B$2019,2,FALSE)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2" s="12" t="str">
        <f t="shared" si="15"/>
        <v>https://permalinkbnd.bnportugal.gov.pt/viewer/272672/?offset=#page=159&amp;viewer=picture&amp;o=info&amp;n=0&amp;q=</v>
      </c>
      <c r="N502" s="12" t="s">
        <v>1497</v>
      </c>
      <c r="O502" s="12" t="str">
        <f>CONCATENATE(N502,A502,"\",B502,"\",C502,".jpg")</f>
        <v>C:\Users\mbaptista\OneDrive - Biblioteca Nacional de Portugal\Documentos\python\camoniana\imagens\capas\220128\1\159.jpg</v>
      </c>
      <c r="P502" s="12" t="str">
        <f>HYPERLINK(O502)</f>
        <v>C:\Users\mbaptista\OneDrive - Biblioteca Nacional de Portugal\Documentos\python\camoniana\imagens\capas\220128\1\159.jpg</v>
      </c>
      <c r="Q502" s="12"/>
      <c r="R502" s="6" t="s">
        <v>679</v>
      </c>
      <c r="S502" s="4"/>
      <c r="T502" s="1" t="s">
        <v>677</v>
      </c>
      <c r="U502" s="13"/>
      <c r="V502" s="13"/>
      <c r="W502" s="5" t="s">
        <v>1491</v>
      </c>
    </row>
    <row r="503" spans="1:23" ht="75">
      <c r="A503" s="1">
        <v>220128</v>
      </c>
      <c r="B503" s="1">
        <v>1</v>
      </c>
      <c r="C503" s="1">
        <v>201</v>
      </c>
      <c r="D503" s="2" t="s">
        <v>675</v>
      </c>
      <c r="E503" s="11" t="s">
        <v>675</v>
      </c>
      <c r="F503" s="11">
        <v>272672</v>
      </c>
      <c r="G503" s="2" t="s">
        <v>1494</v>
      </c>
      <c r="H503" s="2" t="s">
        <v>1495</v>
      </c>
      <c r="I503" s="2" t="s">
        <v>1496</v>
      </c>
      <c r="J503" s="2" t="str">
        <f t="shared" si="14"/>
        <v>https://permalinkbnd.bnportugal.gov.pt/viewer/272672/?offset=#page=201&amp;viewer=picture&amp;o=info&amp;n=0&amp;q=</v>
      </c>
      <c r="K503" s="1" t="s">
        <v>676</v>
      </c>
      <c r="L503" s="1" t="str">
        <f>VLOOKUP(A503,Folha2!$A$2:$B$2019,2,FALSE)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3" s="12" t="str">
        <f t="shared" si="15"/>
        <v>https://permalinkbnd.bnportugal.gov.pt/viewer/272672/?offset=#page=201&amp;viewer=picture&amp;o=info&amp;n=0&amp;q=</v>
      </c>
      <c r="N503" s="12" t="s">
        <v>1497</v>
      </c>
      <c r="O503" s="12" t="str">
        <f>CONCATENATE(N503,A503,"\",B503,"\",C503,".jpg")</f>
        <v>C:\Users\mbaptista\OneDrive - Biblioteca Nacional de Portugal\Documentos\python\camoniana\imagens\capas\220128\1\201.jpg</v>
      </c>
      <c r="P503" s="12" t="str">
        <f>HYPERLINK(O503)</f>
        <v>C:\Users\mbaptista\OneDrive - Biblioteca Nacional de Portugal\Documentos\python\camoniana\imagens\capas\220128\1\201.jpg</v>
      </c>
      <c r="Q503" s="12"/>
      <c r="R503" s="6" t="s">
        <v>680</v>
      </c>
      <c r="S503" s="4"/>
      <c r="T503" s="1" t="s">
        <v>677</v>
      </c>
      <c r="U503" s="13"/>
      <c r="V503" s="13"/>
      <c r="W503" s="5" t="s">
        <v>1491</v>
      </c>
    </row>
    <row r="504" spans="1:23" ht="75">
      <c r="A504" s="1">
        <v>220128</v>
      </c>
      <c r="B504" s="1">
        <v>1</v>
      </c>
      <c r="C504" s="1">
        <v>307</v>
      </c>
      <c r="D504" s="2" t="s">
        <v>675</v>
      </c>
      <c r="E504" s="5" t="s">
        <v>675</v>
      </c>
      <c r="F504" s="5">
        <v>272672</v>
      </c>
      <c r="G504" s="2" t="s">
        <v>1494</v>
      </c>
      <c r="H504" s="2" t="s">
        <v>1495</v>
      </c>
      <c r="I504" s="2" t="s">
        <v>1496</v>
      </c>
      <c r="J504" s="2" t="str">
        <f t="shared" si="14"/>
        <v>https://permalinkbnd.bnportugal.gov.pt/viewer/272672/?offset=#page=307&amp;viewer=picture&amp;o=info&amp;n=0&amp;q=</v>
      </c>
      <c r="K504" s="1" t="s">
        <v>676</v>
      </c>
      <c r="L504" s="1" t="str">
        <f>VLOOKUP(A504,Folha2!$A$2:$B$2019,2,FALSE)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4" s="12" t="str">
        <f t="shared" si="15"/>
        <v>https://permalinkbnd.bnportugal.gov.pt/viewer/272672/?offset=#page=307&amp;viewer=picture&amp;o=info&amp;n=0&amp;q=</v>
      </c>
      <c r="N504" s="12" t="s">
        <v>1497</v>
      </c>
      <c r="O504" s="12" t="str">
        <f>CONCATENATE(N504,A504,"\",B504,"\",C504,".jpg")</f>
        <v>C:\Users\mbaptista\OneDrive - Biblioteca Nacional de Portugal\Documentos\python\camoniana\imagens\capas\220128\1\307.jpg</v>
      </c>
      <c r="P504" s="12" t="str">
        <f>HYPERLINK(O504)</f>
        <v>C:\Users\mbaptista\OneDrive - Biblioteca Nacional de Portugal\Documentos\python\camoniana\imagens\capas\220128\1\307.jpg</v>
      </c>
      <c r="Q504" s="12"/>
      <c r="R504" s="6" t="s">
        <v>681</v>
      </c>
      <c r="S504" s="4"/>
      <c r="T504" s="1" t="s">
        <v>677</v>
      </c>
      <c r="U504" s="13"/>
      <c r="V504" s="13"/>
      <c r="W504" s="5" t="s">
        <v>1491</v>
      </c>
    </row>
    <row r="505" spans="1:23" ht="90">
      <c r="A505" s="1">
        <v>453095</v>
      </c>
      <c r="B505" s="1">
        <v>1</v>
      </c>
      <c r="C505" s="1">
        <v>5</v>
      </c>
      <c r="D505" s="2" t="s">
        <v>682</v>
      </c>
      <c r="E505" s="11" t="s">
        <v>682</v>
      </c>
      <c r="F505" s="11">
        <v>272668</v>
      </c>
      <c r="G505" s="2" t="s">
        <v>1494</v>
      </c>
      <c r="H505" s="2" t="s">
        <v>1495</v>
      </c>
      <c r="I505" s="2" t="s">
        <v>1496</v>
      </c>
      <c r="J505" s="2" t="str">
        <f t="shared" si="14"/>
        <v>https://permalinkbnd.bnportugal.gov.pt/viewer/272668/?offset=#page=5&amp;viewer=picture&amp;o=info&amp;n=0&amp;q=</v>
      </c>
      <c r="K505" s="1" t="s">
        <v>683</v>
      </c>
      <c r="L505" s="1" t="str">
        <f>VLOOKUP(A505,Folha2!$A$2:$B$2019,2,FALSE)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5" s="12" t="str">
        <f t="shared" si="15"/>
        <v>https://permalinkbnd.bnportugal.gov.pt/viewer/272668/?offset=#page=5&amp;viewer=picture&amp;o=info&amp;n=0&amp;q=</v>
      </c>
      <c r="N505" s="12" t="s">
        <v>1497</v>
      </c>
      <c r="O505" s="12" t="str">
        <f>CONCATENATE(N505,A505,"\",B505,"\",C505,".jpg")</f>
        <v>C:\Users\mbaptista\OneDrive - Biblioteca Nacional de Portugal\Documentos\python\camoniana\imagens\capas\453095\1\5.jpg</v>
      </c>
      <c r="P505" s="12" t="str">
        <f>HYPERLINK(O505)</f>
        <v>C:\Users\mbaptista\OneDrive - Biblioteca Nacional de Portugal\Documentos\python\camoniana\imagens\capas\453095\1\5.jpg</v>
      </c>
      <c r="Q505" s="12"/>
      <c r="R505" s="6" t="s">
        <v>685</v>
      </c>
      <c r="S505" s="4"/>
      <c r="T505" s="1" t="s">
        <v>684</v>
      </c>
      <c r="U505" s="13"/>
      <c r="V505" s="13"/>
      <c r="W505" s="5" t="s">
        <v>1491</v>
      </c>
    </row>
    <row r="506" spans="1:23" ht="90">
      <c r="A506" s="1">
        <v>453095</v>
      </c>
      <c r="B506" s="1">
        <v>1</v>
      </c>
      <c r="C506" s="1">
        <v>63</v>
      </c>
      <c r="D506" s="2" t="s">
        <v>682</v>
      </c>
      <c r="E506" s="5" t="s">
        <v>682</v>
      </c>
      <c r="F506" s="5">
        <v>272668</v>
      </c>
      <c r="G506" s="2" t="s">
        <v>1494</v>
      </c>
      <c r="H506" s="2" t="s">
        <v>1495</v>
      </c>
      <c r="I506" s="2" t="s">
        <v>1496</v>
      </c>
      <c r="J506" s="2" t="str">
        <f t="shared" si="14"/>
        <v>https://permalinkbnd.bnportugal.gov.pt/viewer/272668/?offset=#page=63&amp;viewer=picture&amp;o=info&amp;n=0&amp;q=</v>
      </c>
      <c r="K506" s="1" t="s">
        <v>683</v>
      </c>
      <c r="L506" s="1" t="str">
        <f>VLOOKUP(A506,Folha2!$A$2:$B$2019,2,FALSE)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6" s="12" t="str">
        <f t="shared" si="15"/>
        <v>https://permalinkbnd.bnportugal.gov.pt/viewer/272668/?offset=#page=63&amp;viewer=picture&amp;o=info&amp;n=0&amp;q=</v>
      </c>
      <c r="N506" s="12" t="s">
        <v>1497</v>
      </c>
      <c r="O506" s="12" t="str">
        <f>CONCATENATE(N506,A506,"\",B506,"\",C506,".jpg")</f>
        <v>C:\Users\mbaptista\OneDrive - Biblioteca Nacional de Portugal\Documentos\python\camoniana\imagens\capas\453095\1\63.jpg</v>
      </c>
      <c r="P506" s="12" t="str">
        <f>HYPERLINK(O506)</f>
        <v>C:\Users\mbaptista\OneDrive - Biblioteca Nacional de Portugal\Documentos\python\camoniana\imagens\capas\453095\1\63.jpg</v>
      </c>
      <c r="Q506" s="12"/>
      <c r="R506" s="6" t="s">
        <v>686</v>
      </c>
      <c r="S506" s="4"/>
      <c r="T506" s="1" t="s">
        <v>684</v>
      </c>
      <c r="U506" s="13"/>
      <c r="V506" s="13"/>
      <c r="W506" s="5" t="s">
        <v>1491</v>
      </c>
    </row>
    <row r="507" spans="1:23" ht="90">
      <c r="A507" s="1">
        <v>453095</v>
      </c>
      <c r="B507" s="1">
        <v>1</v>
      </c>
      <c r="C507" s="1">
        <v>65</v>
      </c>
      <c r="D507" s="2" t="s">
        <v>682</v>
      </c>
      <c r="E507" s="11" t="s">
        <v>682</v>
      </c>
      <c r="F507" s="11">
        <v>272668</v>
      </c>
      <c r="G507" s="2" t="s">
        <v>1494</v>
      </c>
      <c r="H507" s="2" t="s">
        <v>1495</v>
      </c>
      <c r="I507" s="2" t="s">
        <v>1496</v>
      </c>
      <c r="J507" s="2" t="str">
        <f t="shared" si="14"/>
        <v>https://permalinkbnd.bnportugal.gov.pt/viewer/272668/?offset=#page=65&amp;viewer=picture&amp;o=info&amp;n=0&amp;q=</v>
      </c>
      <c r="K507" s="1" t="s">
        <v>683</v>
      </c>
      <c r="L507" s="1" t="str">
        <f>VLOOKUP(A507,Folha2!$A$2:$B$2019,2,FALSE)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7" s="12" t="str">
        <f t="shared" si="15"/>
        <v>https://permalinkbnd.bnportugal.gov.pt/viewer/272668/?offset=#page=65&amp;viewer=picture&amp;o=info&amp;n=0&amp;q=</v>
      </c>
      <c r="N507" s="12" t="s">
        <v>1497</v>
      </c>
      <c r="O507" s="12" t="str">
        <f>CONCATENATE(N507,A507,"\",B507,"\",C507,".jpg")</f>
        <v>C:\Users\mbaptista\OneDrive - Biblioteca Nacional de Portugal\Documentos\python\camoniana\imagens\capas\453095\1\65.jpg</v>
      </c>
      <c r="P507" s="12" t="str">
        <f>HYPERLINK(O507)</f>
        <v>C:\Users\mbaptista\OneDrive - Biblioteca Nacional de Portugal\Documentos\python\camoniana\imagens\capas\453095\1\65.jpg</v>
      </c>
      <c r="Q507" s="12"/>
      <c r="R507" s="6" t="s">
        <v>687</v>
      </c>
      <c r="S507" s="4"/>
      <c r="T507" s="1" t="s">
        <v>684</v>
      </c>
      <c r="U507" s="13"/>
      <c r="V507" s="13"/>
      <c r="W507" s="5" t="s">
        <v>1491</v>
      </c>
    </row>
    <row r="508" spans="1:23" ht="90">
      <c r="A508" s="1">
        <v>453095</v>
      </c>
      <c r="B508" s="1">
        <v>1</v>
      </c>
      <c r="C508" s="1">
        <v>203</v>
      </c>
      <c r="D508" s="2" t="s">
        <v>682</v>
      </c>
      <c r="E508" s="5" t="s">
        <v>682</v>
      </c>
      <c r="F508" s="5">
        <v>272668</v>
      </c>
      <c r="G508" s="2" t="s">
        <v>1494</v>
      </c>
      <c r="H508" s="2" t="s">
        <v>1495</v>
      </c>
      <c r="I508" s="2" t="s">
        <v>1496</v>
      </c>
      <c r="J508" s="2" t="str">
        <f t="shared" si="14"/>
        <v>https://permalinkbnd.bnportugal.gov.pt/viewer/272668/?offset=#page=203&amp;viewer=picture&amp;o=info&amp;n=0&amp;q=</v>
      </c>
      <c r="K508" s="1" t="s">
        <v>683</v>
      </c>
      <c r="L508" s="1" t="str">
        <f>VLOOKUP(A508,Folha2!$A$2:$B$2019,2,FALSE)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8" s="12" t="str">
        <f t="shared" si="15"/>
        <v>https://permalinkbnd.bnportugal.gov.pt/viewer/272668/?offset=#page=203&amp;viewer=picture&amp;o=info&amp;n=0&amp;q=</v>
      </c>
      <c r="N508" s="12" t="s">
        <v>1497</v>
      </c>
      <c r="O508" s="12" t="str">
        <f>CONCATENATE(N508,A508,"\",B508,"\",C508,".jpg")</f>
        <v>C:\Users\mbaptista\OneDrive - Biblioteca Nacional de Portugal\Documentos\python\camoniana\imagens\capas\453095\1\203.jpg</v>
      </c>
      <c r="P508" s="12" t="str">
        <f>HYPERLINK(O508)</f>
        <v>C:\Users\mbaptista\OneDrive - Biblioteca Nacional de Portugal\Documentos\python\camoniana\imagens\capas\453095\1\203.jpg</v>
      </c>
      <c r="Q508" s="12"/>
      <c r="R508" s="6" t="s">
        <v>688</v>
      </c>
      <c r="S508" s="4"/>
      <c r="T508" s="1" t="s">
        <v>684</v>
      </c>
      <c r="U508" s="13"/>
      <c r="V508" s="13"/>
      <c r="W508" s="5" t="s">
        <v>1491</v>
      </c>
    </row>
    <row r="509" spans="1:23" ht="90">
      <c r="A509" s="1">
        <v>453095</v>
      </c>
      <c r="B509" s="1">
        <v>1</v>
      </c>
      <c r="C509" s="1">
        <v>291</v>
      </c>
      <c r="D509" s="2" t="s">
        <v>682</v>
      </c>
      <c r="E509" s="11" t="s">
        <v>682</v>
      </c>
      <c r="F509" s="11">
        <v>272668</v>
      </c>
      <c r="G509" s="2" t="s">
        <v>1494</v>
      </c>
      <c r="H509" s="2" t="s">
        <v>1495</v>
      </c>
      <c r="I509" s="2" t="s">
        <v>1496</v>
      </c>
      <c r="J509" s="2" t="str">
        <f t="shared" si="14"/>
        <v>https://permalinkbnd.bnportugal.gov.pt/viewer/272668/?offset=#page=291&amp;viewer=picture&amp;o=info&amp;n=0&amp;q=</v>
      </c>
      <c r="K509" s="1" t="s">
        <v>683</v>
      </c>
      <c r="L509" s="1" t="str">
        <f>VLOOKUP(A509,Folha2!$A$2:$B$2019,2,FALSE)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9" s="12" t="str">
        <f t="shared" si="15"/>
        <v>https://permalinkbnd.bnportugal.gov.pt/viewer/272668/?offset=#page=291&amp;viewer=picture&amp;o=info&amp;n=0&amp;q=</v>
      </c>
      <c r="N509" s="12" t="s">
        <v>1497</v>
      </c>
      <c r="O509" s="12" t="str">
        <f>CONCATENATE(N509,A509,"\",B509,"\",C509,".jpg")</f>
        <v>C:\Users\mbaptista\OneDrive - Biblioteca Nacional de Portugal\Documentos\python\camoniana\imagens\capas\453095\1\291.jpg</v>
      </c>
      <c r="P509" s="12" t="str">
        <f>HYPERLINK(O509)</f>
        <v>C:\Users\mbaptista\OneDrive - Biblioteca Nacional de Portugal\Documentos\python\camoniana\imagens\capas\453095\1\291.jpg</v>
      </c>
      <c r="Q509" s="12"/>
      <c r="R509" s="6" t="s">
        <v>689</v>
      </c>
      <c r="S509" s="4"/>
      <c r="T509" s="1" t="s">
        <v>684</v>
      </c>
      <c r="U509" s="13"/>
      <c r="V509" s="13"/>
      <c r="W509" s="5" t="s">
        <v>1491</v>
      </c>
    </row>
    <row r="510" spans="1:23" ht="90">
      <c r="A510" s="1">
        <v>453095</v>
      </c>
      <c r="B510" s="1">
        <v>1</v>
      </c>
      <c r="C510" s="1">
        <v>397</v>
      </c>
      <c r="D510" s="2" t="s">
        <v>682</v>
      </c>
      <c r="E510" s="5" t="s">
        <v>682</v>
      </c>
      <c r="F510" s="5">
        <v>272668</v>
      </c>
      <c r="G510" s="2" t="s">
        <v>1494</v>
      </c>
      <c r="H510" s="2" t="s">
        <v>1495</v>
      </c>
      <c r="I510" s="2" t="s">
        <v>1496</v>
      </c>
      <c r="J510" s="2" t="str">
        <f t="shared" si="14"/>
        <v>https://permalinkbnd.bnportugal.gov.pt/viewer/272668/?offset=#page=397&amp;viewer=picture&amp;o=info&amp;n=0&amp;q=</v>
      </c>
      <c r="K510" s="1" t="s">
        <v>683</v>
      </c>
      <c r="L510" s="1" t="str">
        <f>VLOOKUP(A510,Folha2!$A$2:$B$2019,2,FALSE)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10" s="12" t="str">
        <f t="shared" si="15"/>
        <v>https://permalinkbnd.bnportugal.gov.pt/viewer/272668/?offset=#page=397&amp;viewer=picture&amp;o=info&amp;n=0&amp;q=</v>
      </c>
      <c r="N510" s="12" t="s">
        <v>1497</v>
      </c>
      <c r="O510" s="12" t="str">
        <f>CONCATENATE(N510,A510,"\",B510,"\",C510,".jpg")</f>
        <v>C:\Users\mbaptista\OneDrive - Biblioteca Nacional de Portugal\Documentos\python\camoniana\imagens\capas\453095\1\397.jpg</v>
      </c>
      <c r="P510" s="12" t="str">
        <f>HYPERLINK(O510)</f>
        <v>C:\Users\mbaptista\OneDrive - Biblioteca Nacional de Portugal\Documentos\python\camoniana\imagens\capas\453095\1\397.jpg</v>
      </c>
      <c r="Q510" s="12"/>
      <c r="R510" s="6" t="s">
        <v>690</v>
      </c>
      <c r="S510" s="4"/>
      <c r="T510" s="1" t="s">
        <v>684</v>
      </c>
      <c r="U510" s="13"/>
      <c r="V510" s="13"/>
      <c r="W510" s="5" t="s">
        <v>1491</v>
      </c>
    </row>
    <row r="511" spans="1:23" ht="90">
      <c r="A511" s="1">
        <v>258477</v>
      </c>
      <c r="B511" s="1">
        <v>1</v>
      </c>
      <c r="C511" s="1">
        <v>10</v>
      </c>
      <c r="D511" s="2" t="s">
        <v>691</v>
      </c>
      <c r="E511" s="11" t="s">
        <v>691</v>
      </c>
      <c r="F511" s="11">
        <v>277147</v>
      </c>
      <c r="G511" s="2" t="s">
        <v>1494</v>
      </c>
      <c r="H511" s="2" t="s">
        <v>1495</v>
      </c>
      <c r="I511" s="2" t="s">
        <v>1496</v>
      </c>
      <c r="J511" s="2" t="str">
        <f t="shared" si="14"/>
        <v>https://permalinkbnd.bnportugal.gov.pt/viewer/277147/?offset=#page=10&amp;viewer=picture&amp;o=info&amp;n=0&amp;q=</v>
      </c>
      <c r="K511" s="1" t="s">
        <v>692</v>
      </c>
      <c r="L511" s="1" t="str">
        <f>VLOOKUP(A511,Folha2!$A$2:$B$2019,2,FALSE)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1" s="12" t="str">
        <f t="shared" si="15"/>
        <v>https://permalinkbnd.bnportugal.gov.pt/viewer/277147/?offset=#page=10&amp;viewer=picture&amp;o=info&amp;n=0&amp;q=</v>
      </c>
      <c r="N511" s="12" t="s">
        <v>1497</v>
      </c>
      <c r="O511" s="12" t="str">
        <f>CONCATENATE(N511,A511,"\",B511,"\",C511,".jpg")</f>
        <v>C:\Users\mbaptista\OneDrive - Biblioteca Nacional de Portugal\Documentos\python\camoniana\imagens\capas\258477\1\10.jpg</v>
      </c>
      <c r="P511" s="12" t="str">
        <f>HYPERLINK(O511)</f>
        <v>C:\Users\mbaptista\OneDrive - Biblioteca Nacional de Portugal\Documentos\python\camoniana\imagens\capas\258477\1\10.jpg</v>
      </c>
      <c r="Q511" s="12"/>
      <c r="R511" s="6" t="s">
        <v>693</v>
      </c>
      <c r="S511" s="4"/>
      <c r="T511" s="1">
        <v>10</v>
      </c>
      <c r="U511" s="13"/>
      <c r="V511" s="13"/>
      <c r="W511" s="5" t="s">
        <v>1491</v>
      </c>
    </row>
    <row r="512" spans="1:23" ht="90">
      <c r="A512" s="1">
        <v>258477</v>
      </c>
      <c r="B512" s="1">
        <v>1</v>
      </c>
      <c r="C512" s="1">
        <v>398</v>
      </c>
      <c r="D512" s="2" t="s">
        <v>691</v>
      </c>
      <c r="E512" s="5" t="s">
        <v>691</v>
      </c>
      <c r="F512" s="5">
        <v>277147</v>
      </c>
      <c r="G512" s="2" t="s">
        <v>1494</v>
      </c>
      <c r="H512" s="2" t="s">
        <v>1495</v>
      </c>
      <c r="I512" s="2" t="s">
        <v>1496</v>
      </c>
      <c r="J512" s="2" t="str">
        <f t="shared" si="14"/>
        <v>https://permalinkbnd.bnportugal.gov.pt/viewer/277147/?offset=#page=398&amp;viewer=picture&amp;o=info&amp;n=0&amp;q=</v>
      </c>
      <c r="K512" s="1" t="s">
        <v>692</v>
      </c>
      <c r="L512" s="1" t="str">
        <f>VLOOKUP(A512,Folha2!$A$2:$B$2019,2,FALSE)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2" s="12" t="str">
        <f t="shared" si="15"/>
        <v>https://permalinkbnd.bnportugal.gov.pt/viewer/277147/?offset=#page=398&amp;viewer=picture&amp;o=info&amp;n=0&amp;q=</v>
      </c>
      <c r="N512" s="12" t="s">
        <v>1497</v>
      </c>
      <c r="O512" s="12" t="str">
        <f>CONCATENATE(N512,A512,"\",B512,"\",C512,".jpg")</f>
        <v>C:\Users\mbaptista\OneDrive - Biblioteca Nacional de Portugal\Documentos\python\camoniana\imagens\capas\258477\1\398.jpg</v>
      </c>
      <c r="P512" s="12" t="str">
        <f>HYPERLINK(O512)</f>
        <v>C:\Users\mbaptista\OneDrive - Biblioteca Nacional de Portugal\Documentos\python\camoniana\imagens\capas\258477\1\398.jpg</v>
      </c>
      <c r="Q512" s="12"/>
      <c r="R512" s="6"/>
      <c r="S512" s="4"/>
      <c r="T512" s="1"/>
      <c r="U512" s="13"/>
      <c r="V512" s="13"/>
      <c r="W512" s="5"/>
    </row>
    <row r="513" spans="1:23" ht="90">
      <c r="A513" s="1">
        <v>258477</v>
      </c>
      <c r="B513" s="1">
        <v>1</v>
      </c>
      <c r="C513" s="1">
        <v>434</v>
      </c>
      <c r="D513" s="2" t="s">
        <v>691</v>
      </c>
      <c r="E513" s="11" t="s">
        <v>691</v>
      </c>
      <c r="F513" s="11">
        <v>277147</v>
      </c>
      <c r="G513" s="2" t="s">
        <v>1494</v>
      </c>
      <c r="H513" s="2" t="s">
        <v>1495</v>
      </c>
      <c r="I513" s="2" t="s">
        <v>1496</v>
      </c>
      <c r="J513" s="2" t="str">
        <f t="shared" si="14"/>
        <v>https://permalinkbnd.bnportugal.gov.pt/viewer/277147/?offset=#page=434&amp;viewer=picture&amp;o=info&amp;n=0&amp;q=</v>
      </c>
      <c r="K513" s="1" t="s">
        <v>692</v>
      </c>
      <c r="L513" s="1" t="str">
        <f>VLOOKUP(A513,Folha2!$A$2:$B$2019,2,FALSE)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3" s="12" t="str">
        <f t="shared" si="15"/>
        <v>https://permalinkbnd.bnportugal.gov.pt/viewer/277147/?offset=#page=434&amp;viewer=picture&amp;o=info&amp;n=0&amp;q=</v>
      </c>
      <c r="N513" s="12" t="s">
        <v>1497</v>
      </c>
      <c r="O513" s="12" t="str">
        <f>CONCATENATE(N513,A513,"\",B513,"\",C513,".jpg")</f>
        <v>C:\Users\mbaptista\OneDrive - Biblioteca Nacional de Portugal\Documentos\python\camoniana\imagens\capas\258477\1\434.jpg</v>
      </c>
      <c r="P513" s="12" t="str">
        <f>HYPERLINK(O513)</f>
        <v>C:\Users\mbaptista\OneDrive - Biblioteca Nacional de Portugal\Documentos\python\camoniana\imagens\capas\258477\1\434.jpg</v>
      </c>
      <c r="Q513" s="12"/>
      <c r="R513" s="6"/>
      <c r="S513" s="4"/>
      <c r="T513" s="1"/>
      <c r="U513" s="13"/>
      <c r="V513" s="13"/>
      <c r="W513" s="5"/>
    </row>
    <row r="514" spans="1:23" ht="75">
      <c r="A514" s="1">
        <v>258485</v>
      </c>
      <c r="B514" s="1">
        <v>1</v>
      </c>
      <c r="C514" s="1">
        <v>11</v>
      </c>
      <c r="D514" s="2" t="s">
        <v>694</v>
      </c>
      <c r="E514" s="5" t="s">
        <v>694</v>
      </c>
      <c r="F514" s="5">
        <v>276783</v>
      </c>
      <c r="G514" s="2" t="s">
        <v>1494</v>
      </c>
      <c r="H514" s="2" t="s">
        <v>1495</v>
      </c>
      <c r="I514" s="2" t="s">
        <v>1496</v>
      </c>
      <c r="J514" s="2" t="str">
        <f t="shared" ref="J514:J577" si="16">CONCATENATE(G514,F514,H514,C514,I514)</f>
        <v>https://permalinkbnd.bnportugal.gov.pt/viewer/276783/?offset=#page=11&amp;viewer=picture&amp;o=info&amp;n=0&amp;q=</v>
      </c>
      <c r="K514" s="1" t="s">
        <v>695</v>
      </c>
      <c r="L514" s="1" t="str">
        <f>VLOOKUP(A514,Folha2!$A$2:$B$2019,2,FALSE)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4" s="12" t="str">
        <f t="shared" ref="M514:M577" si="17">HYPERLINK(J514)</f>
        <v>https://permalinkbnd.bnportugal.gov.pt/viewer/276783/?offset=#page=11&amp;viewer=picture&amp;o=info&amp;n=0&amp;q=</v>
      </c>
      <c r="N514" s="12" t="s">
        <v>1497</v>
      </c>
      <c r="O514" s="12" t="str">
        <f>CONCATENATE(N514,A514,"\",B514,"\",C514,".jpg")</f>
        <v>C:\Users\mbaptista\OneDrive - Biblioteca Nacional de Portugal\Documentos\python\camoniana\imagens\capas\258485\1\11.jpg</v>
      </c>
      <c r="P514" s="12" t="str">
        <f>HYPERLINK(O514)</f>
        <v>C:\Users\mbaptista\OneDrive - Biblioteca Nacional de Portugal\Documentos\python\camoniana\imagens\capas\258485\1\11.jpg</v>
      </c>
      <c r="Q514" s="12"/>
      <c r="R514" s="6" t="s">
        <v>697</v>
      </c>
      <c r="S514" s="4"/>
      <c r="T514" s="1" t="s">
        <v>696</v>
      </c>
      <c r="U514" s="13"/>
      <c r="V514" s="13"/>
      <c r="W514" s="5" t="s">
        <v>1491</v>
      </c>
    </row>
    <row r="515" spans="1:23" ht="75">
      <c r="A515" s="1">
        <v>258485</v>
      </c>
      <c r="B515" s="1">
        <v>1</v>
      </c>
      <c r="C515" s="1">
        <v>180</v>
      </c>
      <c r="D515" s="2" t="s">
        <v>694</v>
      </c>
      <c r="E515" s="11" t="s">
        <v>694</v>
      </c>
      <c r="F515" s="11">
        <v>276783</v>
      </c>
      <c r="G515" s="2" t="s">
        <v>1494</v>
      </c>
      <c r="H515" s="2" t="s">
        <v>1495</v>
      </c>
      <c r="I515" s="2" t="s">
        <v>1496</v>
      </c>
      <c r="J515" s="2" t="str">
        <f t="shared" si="16"/>
        <v>https://permalinkbnd.bnportugal.gov.pt/viewer/276783/?offset=#page=180&amp;viewer=picture&amp;o=info&amp;n=0&amp;q=</v>
      </c>
      <c r="K515" s="1" t="s">
        <v>695</v>
      </c>
      <c r="L515" s="1" t="str">
        <f>VLOOKUP(A515,Folha2!$A$2:$B$2019,2,FALSE)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5" s="12" t="str">
        <f t="shared" si="17"/>
        <v>https://permalinkbnd.bnportugal.gov.pt/viewer/276783/?offset=#page=180&amp;viewer=picture&amp;o=info&amp;n=0&amp;q=</v>
      </c>
      <c r="N515" s="12" t="s">
        <v>1497</v>
      </c>
      <c r="O515" s="12" t="str">
        <f>CONCATENATE(N515,A515,"\",B515,"\",C515,".jpg")</f>
        <v>C:\Users\mbaptista\OneDrive - Biblioteca Nacional de Portugal\Documentos\python\camoniana\imagens\capas\258485\1\180.jpg</v>
      </c>
      <c r="P515" s="12" t="str">
        <f>HYPERLINK(O515)</f>
        <v>C:\Users\mbaptista\OneDrive - Biblioteca Nacional de Portugal\Documentos\python\camoniana\imagens\capas\258485\1\180.jpg</v>
      </c>
      <c r="Q515" s="12"/>
      <c r="R515" s="6" t="s">
        <v>698</v>
      </c>
      <c r="S515" s="4"/>
      <c r="T515" s="1" t="s">
        <v>696</v>
      </c>
      <c r="U515" s="13"/>
      <c r="V515" s="13"/>
      <c r="W515" s="5" t="s">
        <v>1491</v>
      </c>
    </row>
    <row r="516" spans="1:23" ht="75">
      <c r="A516" s="1">
        <v>258492</v>
      </c>
      <c r="B516" s="1">
        <v>1</v>
      </c>
      <c r="C516" s="1">
        <v>5</v>
      </c>
      <c r="D516" s="2" t="s">
        <v>699</v>
      </c>
      <c r="E516" s="5" t="s">
        <v>699</v>
      </c>
      <c r="F516" s="5">
        <v>276790</v>
      </c>
      <c r="G516" s="2" t="s">
        <v>1494</v>
      </c>
      <c r="H516" s="2" t="s">
        <v>1495</v>
      </c>
      <c r="I516" s="2" t="s">
        <v>1496</v>
      </c>
      <c r="J516" s="2" t="str">
        <f t="shared" si="16"/>
        <v>https://permalinkbnd.bnportugal.gov.pt/viewer/276790/?offset=#page=5&amp;viewer=picture&amp;o=info&amp;n=0&amp;q=</v>
      </c>
      <c r="K516" s="1" t="s">
        <v>700</v>
      </c>
      <c r="L516" s="1" t="str">
        <f>VLOOKUP(A516,Folha2!$A$2:$B$2019,2,FALSE)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6" s="12" t="str">
        <f t="shared" si="17"/>
        <v>https://permalinkbnd.bnportugal.gov.pt/viewer/276790/?offset=#page=5&amp;viewer=picture&amp;o=info&amp;n=0&amp;q=</v>
      </c>
      <c r="N516" s="12" t="s">
        <v>1497</v>
      </c>
      <c r="O516" s="12" t="str">
        <f>CONCATENATE(N516,A516,"\",B516,"\",C516,".jpg")</f>
        <v>C:\Users\mbaptista\OneDrive - Biblioteca Nacional de Portugal\Documentos\python\camoniana\imagens\capas\258492\1\5.jpg</v>
      </c>
      <c r="P516" s="12" t="str">
        <f>HYPERLINK(O516)</f>
        <v>C:\Users\mbaptista\OneDrive - Biblioteca Nacional de Portugal\Documentos\python\camoniana\imagens\capas\258492\1\5.jpg</v>
      </c>
      <c r="Q516" s="12"/>
      <c r="R516" s="6" t="s">
        <v>702</v>
      </c>
      <c r="S516" s="4"/>
      <c r="T516" s="1" t="s">
        <v>701</v>
      </c>
      <c r="U516" s="13"/>
      <c r="V516" s="13"/>
      <c r="W516" s="5" t="s">
        <v>1491</v>
      </c>
    </row>
    <row r="517" spans="1:23" ht="75">
      <c r="A517" s="1">
        <v>258492</v>
      </c>
      <c r="B517" s="1">
        <v>1</v>
      </c>
      <c r="C517" s="1">
        <v>6</v>
      </c>
      <c r="D517" s="2" t="s">
        <v>699</v>
      </c>
      <c r="E517" s="11" t="s">
        <v>699</v>
      </c>
      <c r="F517" s="11">
        <v>276790</v>
      </c>
      <c r="G517" s="2" t="s">
        <v>1494</v>
      </c>
      <c r="H517" s="2" t="s">
        <v>1495</v>
      </c>
      <c r="I517" s="2" t="s">
        <v>1496</v>
      </c>
      <c r="J517" s="2" t="str">
        <f t="shared" si="16"/>
        <v>https://permalinkbnd.bnportugal.gov.pt/viewer/276790/?offset=#page=6&amp;viewer=picture&amp;o=info&amp;n=0&amp;q=</v>
      </c>
      <c r="K517" s="1" t="s">
        <v>700</v>
      </c>
      <c r="L517" s="1" t="str">
        <f>VLOOKUP(A517,Folha2!$A$2:$B$2019,2,FALSE)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7" s="12" t="str">
        <f t="shared" si="17"/>
        <v>https://permalinkbnd.bnportugal.gov.pt/viewer/276790/?offset=#page=6&amp;viewer=picture&amp;o=info&amp;n=0&amp;q=</v>
      </c>
      <c r="N517" s="12" t="s">
        <v>1497</v>
      </c>
      <c r="O517" s="12" t="str">
        <f>CONCATENATE(N517,A517,"\",B517,"\",C517,".jpg")</f>
        <v>C:\Users\mbaptista\OneDrive - Biblioteca Nacional de Portugal\Documentos\python\camoniana\imagens\capas\258492\1\6.jpg</v>
      </c>
      <c r="P517" s="12" t="str">
        <f>HYPERLINK(O517)</f>
        <v>C:\Users\mbaptista\OneDrive - Biblioteca Nacional de Portugal\Documentos\python\camoniana\imagens\capas\258492\1\6.jpg</v>
      </c>
      <c r="Q517" s="12"/>
      <c r="R517" s="6" t="s">
        <v>703</v>
      </c>
      <c r="S517" s="4"/>
      <c r="T517" s="1" t="s">
        <v>701</v>
      </c>
      <c r="U517" s="13"/>
      <c r="V517" s="13"/>
      <c r="W517" s="5" t="s">
        <v>1491</v>
      </c>
    </row>
    <row r="518" spans="1:23" ht="75">
      <c r="A518" s="1">
        <v>258492</v>
      </c>
      <c r="B518" s="1">
        <v>1</v>
      </c>
      <c r="C518" s="1">
        <v>53</v>
      </c>
      <c r="D518" s="2" t="s">
        <v>699</v>
      </c>
      <c r="E518" s="5" t="s">
        <v>699</v>
      </c>
      <c r="F518" s="5">
        <v>276790</v>
      </c>
      <c r="G518" s="2" t="s">
        <v>1494</v>
      </c>
      <c r="H518" s="2" t="s">
        <v>1495</v>
      </c>
      <c r="I518" s="2" t="s">
        <v>1496</v>
      </c>
      <c r="J518" s="2" t="str">
        <f t="shared" si="16"/>
        <v>https://permalinkbnd.bnportugal.gov.pt/viewer/276790/?offset=#page=53&amp;viewer=picture&amp;o=info&amp;n=0&amp;q=</v>
      </c>
      <c r="K518" s="1" t="s">
        <v>700</v>
      </c>
      <c r="L518" s="1" t="str">
        <f>VLOOKUP(A518,Folha2!$A$2:$B$2019,2,FALSE)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8" s="12" t="str">
        <f t="shared" si="17"/>
        <v>https://permalinkbnd.bnportugal.gov.pt/viewer/276790/?offset=#page=53&amp;viewer=picture&amp;o=info&amp;n=0&amp;q=</v>
      </c>
      <c r="N518" s="12" t="s">
        <v>1497</v>
      </c>
      <c r="O518" s="12" t="str">
        <f>CONCATENATE(N518,A518,"\",B518,"\",C518,".jpg")</f>
        <v>C:\Users\mbaptista\OneDrive - Biblioteca Nacional de Portugal\Documentos\python\camoniana\imagens\capas\258492\1\53.jpg</v>
      </c>
      <c r="P518" s="12" t="str">
        <f>HYPERLINK(O518)</f>
        <v>C:\Users\mbaptista\OneDrive - Biblioteca Nacional de Portugal\Documentos\python\camoniana\imagens\capas\258492\1\53.jpg</v>
      </c>
      <c r="Q518" s="12"/>
      <c r="R518" s="6"/>
      <c r="S518" s="4"/>
      <c r="T518" s="1"/>
      <c r="U518" s="13"/>
      <c r="V518" s="13"/>
      <c r="W518" s="5"/>
    </row>
    <row r="519" spans="1:23" ht="75">
      <c r="A519" s="1">
        <v>258492</v>
      </c>
      <c r="B519" s="1">
        <v>1</v>
      </c>
      <c r="C519" s="1">
        <v>133</v>
      </c>
      <c r="D519" s="2" t="s">
        <v>699</v>
      </c>
      <c r="E519" s="11" t="s">
        <v>699</v>
      </c>
      <c r="F519" s="11">
        <v>276790</v>
      </c>
      <c r="G519" s="2" t="s">
        <v>1494</v>
      </c>
      <c r="H519" s="2" t="s">
        <v>1495</v>
      </c>
      <c r="I519" s="2" t="s">
        <v>1496</v>
      </c>
      <c r="J519" s="2" t="str">
        <f t="shared" si="16"/>
        <v>https://permalinkbnd.bnportugal.gov.pt/viewer/276790/?offset=#page=133&amp;viewer=picture&amp;o=info&amp;n=0&amp;q=</v>
      </c>
      <c r="K519" s="1" t="s">
        <v>700</v>
      </c>
      <c r="L519" s="1" t="str">
        <f>VLOOKUP(A519,Folha2!$A$2:$B$2019,2,FALSE)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9" s="12" t="str">
        <f t="shared" si="17"/>
        <v>https://permalinkbnd.bnportugal.gov.pt/viewer/276790/?offset=#page=133&amp;viewer=picture&amp;o=info&amp;n=0&amp;q=</v>
      </c>
      <c r="N519" s="12" t="s">
        <v>1497</v>
      </c>
      <c r="O519" s="12" t="str">
        <f>CONCATENATE(N519,A519,"\",B519,"\",C519,".jpg")</f>
        <v>C:\Users\mbaptista\OneDrive - Biblioteca Nacional de Portugal\Documentos\python\camoniana\imagens\capas\258492\1\133.jpg</v>
      </c>
      <c r="P519" s="12" t="str">
        <f>HYPERLINK(O519)</f>
        <v>C:\Users\mbaptista\OneDrive - Biblioteca Nacional de Portugal\Documentos\python\camoniana\imagens\capas\258492\1\133.jpg</v>
      </c>
      <c r="Q519" s="12"/>
      <c r="R519" s="6"/>
      <c r="S519" s="4"/>
      <c r="T519" s="1"/>
      <c r="U519" s="13"/>
      <c r="V519" s="13"/>
      <c r="W519" s="5"/>
    </row>
    <row r="520" spans="1:23" ht="75">
      <c r="A520" s="1">
        <v>258492</v>
      </c>
      <c r="B520" s="1">
        <v>1</v>
      </c>
      <c r="C520" s="1">
        <v>185</v>
      </c>
      <c r="D520" s="2" t="s">
        <v>699</v>
      </c>
      <c r="E520" s="5" t="s">
        <v>699</v>
      </c>
      <c r="F520" s="5">
        <v>276790</v>
      </c>
      <c r="G520" s="2" t="s">
        <v>1494</v>
      </c>
      <c r="H520" s="2" t="s">
        <v>1495</v>
      </c>
      <c r="I520" s="2" t="s">
        <v>1496</v>
      </c>
      <c r="J520" s="2" t="str">
        <f t="shared" si="16"/>
        <v>https://permalinkbnd.bnportugal.gov.pt/viewer/276790/?offset=#page=185&amp;viewer=picture&amp;o=info&amp;n=0&amp;q=</v>
      </c>
      <c r="K520" s="1" t="s">
        <v>700</v>
      </c>
      <c r="L520" s="1" t="str">
        <f>VLOOKUP(A520,Folha2!$A$2:$B$2019,2,FALSE)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0" s="12" t="str">
        <f t="shared" si="17"/>
        <v>https://permalinkbnd.bnportugal.gov.pt/viewer/276790/?offset=#page=185&amp;viewer=picture&amp;o=info&amp;n=0&amp;q=</v>
      </c>
      <c r="N520" s="12" t="s">
        <v>1497</v>
      </c>
      <c r="O520" s="12" t="str">
        <f>CONCATENATE(N520,A520,"\",B520,"\",C520,".jpg")</f>
        <v>C:\Users\mbaptista\OneDrive - Biblioteca Nacional de Portugal\Documentos\python\camoniana\imagens\capas\258492\1\185.jpg</v>
      </c>
      <c r="P520" s="12" t="str">
        <f>HYPERLINK(O520)</f>
        <v>C:\Users\mbaptista\OneDrive - Biblioteca Nacional de Portugal\Documentos\python\camoniana\imagens\capas\258492\1\185.jpg</v>
      </c>
      <c r="Q520" s="12"/>
      <c r="R520" s="6"/>
      <c r="S520" s="4"/>
      <c r="T520" s="1"/>
      <c r="U520" s="13"/>
      <c r="V520" s="13"/>
      <c r="W520" s="5"/>
    </row>
    <row r="521" spans="1:23" ht="75">
      <c r="A521" s="1">
        <v>258492</v>
      </c>
      <c r="B521" s="1">
        <v>1</v>
      </c>
      <c r="C521" s="1">
        <v>363</v>
      </c>
      <c r="D521" s="2" t="s">
        <v>699</v>
      </c>
      <c r="E521" s="11" t="s">
        <v>699</v>
      </c>
      <c r="F521" s="11">
        <v>276790</v>
      </c>
      <c r="G521" s="2" t="s">
        <v>1494</v>
      </c>
      <c r="H521" s="2" t="s">
        <v>1495</v>
      </c>
      <c r="I521" s="2" t="s">
        <v>1496</v>
      </c>
      <c r="J521" s="2" t="str">
        <f t="shared" si="16"/>
        <v>https://permalinkbnd.bnportugal.gov.pt/viewer/276790/?offset=#page=363&amp;viewer=picture&amp;o=info&amp;n=0&amp;q=</v>
      </c>
      <c r="K521" s="1" t="s">
        <v>700</v>
      </c>
      <c r="L521" s="1" t="str">
        <f>VLOOKUP(A521,Folha2!$A$2:$B$2019,2,FALSE)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1" s="12" t="str">
        <f t="shared" si="17"/>
        <v>https://permalinkbnd.bnportugal.gov.pt/viewer/276790/?offset=#page=363&amp;viewer=picture&amp;o=info&amp;n=0&amp;q=</v>
      </c>
      <c r="N521" s="12" t="s">
        <v>1497</v>
      </c>
      <c r="O521" s="12" t="str">
        <f>CONCATENATE(N521,A521,"\",B521,"\",C521,".jpg")</f>
        <v>C:\Users\mbaptista\OneDrive - Biblioteca Nacional de Portugal\Documentos\python\camoniana\imagens\capas\258492\1\363.jpg</v>
      </c>
      <c r="P521" s="12" t="str">
        <f>HYPERLINK(O521)</f>
        <v>C:\Users\mbaptista\OneDrive - Biblioteca Nacional de Portugal\Documentos\python\camoniana\imagens\capas\258492\1\363.jpg</v>
      </c>
      <c r="Q521" s="12"/>
      <c r="R521" s="6"/>
      <c r="S521" s="4"/>
      <c r="T521" s="1"/>
      <c r="U521" s="13"/>
      <c r="V521" s="13"/>
      <c r="W521" s="5"/>
    </row>
    <row r="522" spans="1:23" ht="105">
      <c r="A522" s="1">
        <v>252303</v>
      </c>
      <c r="B522" s="1">
        <v>1</v>
      </c>
      <c r="C522" s="1">
        <v>4</v>
      </c>
      <c r="D522" s="2" t="s">
        <v>704</v>
      </c>
      <c r="E522" s="5" t="s">
        <v>704</v>
      </c>
      <c r="F522" s="5">
        <v>276785</v>
      </c>
      <c r="G522" s="2" t="s">
        <v>1494</v>
      </c>
      <c r="H522" s="2" t="s">
        <v>1495</v>
      </c>
      <c r="I522" s="2" t="s">
        <v>1496</v>
      </c>
      <c r="J522" s="2" t="str">
        <f t="shared" si="16"/>
        <v>https://permalinkbnd.bnportugal.gov.pt/viewer/276785/?offset=#page=4&amp;viewer=picture&amp;o=info&amp;n=0&amp;q=</v>
      </c>
      <c r="K522" s="1" t="s">
        <v>705</v>
      </c>
      <c r="L522" s="1" t="str">
        <f>VLOOKUP(A522,Folha2!$A$2:$B$2019,2,FALSE)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2" s="12" t="str">
        <f t="shared" si="17"/>
        <v>https://permalinkbnd.bnportugal.gov.pt/viewer/276785/?offset=#page=4&amp;viewer=picture&amp;o=info&amp;n=0&amp;q=</v>
      </c>
      <c r="N522" s="12" t="s">
        <v>1497</v>
      </c>
      <c r="O522" s="12" t="str">
        <f>CONCATENATE(N522,A522,"\",B522,"\",C522,".jpg")</f>
        <v>C:\Users\mbaptista\OneDrive - Biblioteca Nacional de Portugal\Documentos\python\camoniana\imagens\capas\252303\1\4.jpg</v>
      </c>
      <c r="P522" s="12" t="str">
        <f>HYPERLINK(O522)</f>
        <v>C:\Users\mbaptista\OneDrive - Biblioteca Nacional de Portugal\Documentos\python\camoniana\imagens\capas\252303\1\4.jpg</v>
      </c>
      <c r="Q522" s="12"/>
      <c r="R522" s="6" t="s">
        <v>707</v>
      </c>
      <c r="S522" s="4"/>
      <c r="T522" s="1" t="s">
        <v>706</v>
      </c>
      <c r="U522" s="13"/>
      <c r="V522" s="13"/>
      <c r="W522" s="5" t="s">
        <v>1491</v>
      </c>
    </row>
    <row r="523" spans="1:23" ht="105">
      <c r="A523" s="1">
        <v>252303</v>
      </c>
      <c r="B523" s="1">
        <v>1</v>
      </c>
      <c r="C523" s="1">
        <v>162</v>
      </c>
      <c r="D523" s="2" t="s">
        <v>704</v>
      </c>
      <c r="E523" s="11" t="s">
        <v>704</v>
      </c>
      <c r="F523" s="11">
        <v>276785</v>
      </c>
      <c r="G523" s="2" t="s">
        <v>1494</v>
      </c>
      <c r="H523" s="2" t="s">
        <v>1495</v>
      </c>
      <c r="I523" s="2" t="s">
        <v>1496</v>
      </c>
      <c r="J523" s="2" t="str">
        <f t="shared" si="16"/>
        <v>https://permalinkbnd.bnportugal.gov.pt/viewer/276785/?offset=#page=162&amp;viewer=picture&amp;o=info&amp;n=0&amp;q=</v>
      </c>
      <c r="K523" s="1" t="s">
        <v>705</v>
      </c>
      <c r="L523" s="1" t="str">
        <f>VLOOKUP(A523,Folha2!$A$2:$B$2019,2,FALSE)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3" s="12" t="str">
        <f t="shared" si="17"/>
        <v>https://permalinkbnd.bnportugal.gov.pt/viewer/276785/?offset=#page=162&amp;viewer=picture&amp;o=info&amp;n=0&amp;q=</v>
      </c>
      <c r="N523" s="12" t="s">
        <v>1497</v>
      </c>
      <c r="O523" s="12" t="str">
        <f>CONCATENATE(N523,A523,"\",B523,"\",C523,".jpg")</f>
        <v>C:\Users\mbaptista\OneDrive - Biblioteca Nacional de Portugal\Documentos\python\camoniana\imagens\capas\252303\1\162.jpg</v>
      </c>
      <c r="P523" s="12" t="str">
        <f>HYPERLINK(O523)</f>
        <v>C:\Users\mbaptista\OneDrive - Biblioteca Nacional de Portugal\Documentos\python\camoniana\imagens\capas\252303\1\162.jpg</v>
      </c>
      <c r="Q523" s="12"/>
      <c r="R523" s="6" t="s">
        <v>708</v>
      </c>
      <c r="S523" s="4"/>
      <c r="T523" s="1" t="s">
        <v>706</v>
      </c>
      <c r="U523" s="13"/>
      <c r="V523" s="13"/>
      <c r="W523" s="5" t="s">
        <v>1491</v>
      </c>
    </row>
    <row r="524" spans="1:23" ht="105">
      <c r="A524" s="1">
        <v>258529</v>
      </c>
      <c r="B524" s="1">
        <v>1</v>
      </c>
      <c r="C524" s="1">
        <v>6</v>
      </c>
      <c r="D524" s="2" t="s">
        <v>709</v>
      </c>
      <c r="E524" s="5" t="s">
        <v>709</v>
      </c>
      <c r="F524" s="5">
        <v>276792</v>
      </c>
      <c r="G524" s="2" t="s">
        <v>1494</v>
      </c>
      <c r="H524" s="2" t="s">
        <v>1495</v>
      </c>
      <c r="I524" s="2" t="s">
        <v>1496</v>
      </c>
      <c r="J524" s="2" t="str">
        <f t="shared" si="16"/>
        <v>https://permalinkbnd.bnportugal.gov.pt/viewer/276792/?offset=#page=6&amp;viewer=picture&amp;o=info&amp;n=0&amp;q=</v>
      </c>
      <c r="K524" s="1" t="s">
        <v>710</v>
      </c>
      <c r="L524" s="1" t="str">
        <f>VLOOKUP(A524,Folha2!$A$2:$B$2019,2,FALSE)</f>
        <v>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v>
      </c>
      <c r="M524" s="12" t="str">
        <f t="shared" si="17"/>
        <v>https://permalinkbnd.bnportugal.gov.pt/viewer/276792/?offset=#page=6&amp;viewer=picture&amp;o=info&amp;n=0&amp;q=</v>
      </c>
      <c r="N524" s="12" t="s">
        <v>1497</v>
      </c>
      <c r="O524" s="12" t="str">
        <f>CONCATENATE(N524,A524,"\",B524,"\",C524,".jpg")</f>
        <v>C:\Users\mbaptista\OneDrive - Biblioteca Nacional de Portugal\Documentos\python\camoniana\imagens\capas\258529\1\6.jpg</v>
      </c>
      <c r="P524" s="12" t="str">
        <f>HYPERLINK(O524)</f>
        <v>C:\Users\mbaptista\OneDrive - Biblioteca Nacional de Portugal\Documentos\python\camoniana\imagens\capas\258529\1\6.jpg</v>
      </c>
      <c r="Q524" s="12"/>
      <c r="R524" s="6" t="s">
        <v>711</v>
      </c>
      <c r="S524" s="4"/>
      <c r="T524" s="1">
        <v>6</v>
      </c>
      <c r="U524" s="13"/>
      <c r="V524" s="13"/>
      <c r="W524" s="5" t="s">
        <v>1491</v>
      </c>
    </row>
    <row r="525" spans="1:23" ht="75">
      <c r="A525" s="1">
        <v>397744</v>
      </c>
      <c r="B525" s="1">
        <v>1</v>
      </c>
      <c r="C525" s="1">
        <v>10</v>
      </c>
      <c r="D525" s="2" t="s">
        <v>712</v>
      </c>
      <c r="E525" s="11" t="s">
        <v>712</v>
      </c>
      <c r="F525" s="11">
        <v>279509</v>
      </c>
      <c r="G525" s="2" t="s">
        <v>1494</v>
      </c>
      <c r="H525" s="2" t="s">
        <v>1495</v>
      </c>
      <c r="I525" s="2" t="s">
        <v>1496</v>
      </c>
      <c r="J525" s="2" t="str">
        <f t="shared" si="16"/>
        <v>https://permalinkbnd.bnportugal.gov.pt/viewer/279509/?offset=#page=10&amp;viewer=picture&amp;o=info&amp;n=0&amp;q=</v>
      </c>
      <c r="K525" s="1" t="s">
        <v>713</v>
      </c>
      <c r="L525" s="1" t="str">
        <f>VLOOKUP(A525,Folha2!$A$2:$B$2019,2,FALSE)</f>
        <v>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v>
      </c>
      <c r="M525" s="12" t="str">
        <f t="shared" si="17"/>
        <v>https://permalinkbnd.bnportugal.gov.pt/viewer/279509/?offset=#page=10&amp;viewer=picture&amp;o=info&amp;n=0&amp;q=</v>
      </c>
      <c r="N525" s="12" t="s">
        <v>1497</v>
      </c>
      <c r="O525" s="12" t="str">
        <f>CONCATENATE(N525,A525,"\",B525,"\",C525,".jpg")</f>
        <v>C:\Users\mbaptista\OneDrive - Biblioteca Nacional de Portugal\Documentos\python\camoniana\imagens\capas\397744\1\10.jpg</v>
      </c>
      <c r="P525" s="12" t="str">
        <f>HYPERLINK(O525)</f>
        <v>C:\Users\mbaptista\OneDrive - Biblioteca Nacional de Portugal\Documentos\python\camoniana\imagens\capas\397744\1\10.jpg</v>
      </c>
      <c r="Q525" s="12"/>
      <c r="R525" s="6" t="s">
        <v>714</v>
      </c>
      <c r="S525" s="4"/>
      <c r="T525" s="1">
        <v>10</v>
      </c>
      <c r="U525" s="13"/>
      <c r="V525" s="13"/>
      <c r="W525" s="5" t="s">
        <v>1491</v>
      </c>
    </row>
    <row r="526" spans="1:23" ht="75">
      <c r="A526" s="1">
        <v>382847</v>
      </c>
      <c r="B526" s="1">
        <v>1</v>
      </c>
      <c r="C526" s="1">
        <v>10</v>
      </c>
      <c r="D526" s="2" t="s">
        <v>715</v>
      </c>
      <c r="E526" s="5" t="s">
        <v>715</v>
      </c>
      <c r="F526" s="5">
        <v>279502</v>
      </c>
      <c r="G526" s="2" t="s">
        <v>1494</v>
      </c>
      <c r="H526" s="2" t="s">
        <v>1495</v>
      </c>
      <c r="I526" s="2" t="s">
        <v>1496</v>
      </c>
      <c r="J526" s="2" t="str">
        <f t="shared" si="16"/>
        <v>https://permalinkbnd.bnportugal.gov.pt/viewer/279502/?offset=#page=10&amp;viewer=picture&amp;o=info&amp;n=0&amp;q=</v>
      </c>
      <c r="K526" s="1" t="s">
        <v>255</v>
      </c>
      <c r="L526" s="1" t="str">
        <f>VLOOKUP(A526,Folha2!$A$2:$B$2019,2,FALSE)</f>
        <v>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v>
      </c>
      <c r="M526" s="12" t="str">
        <f t="shared" si="17"/>
        <v>https://permalinkbnd.bnportugal.gov.pt/viewer/279502/?offset=#page=10&amp;viewer=picture&amp;o=info&amp;n=0&amp;q=</v>
      </c>
      <c r="N526" s="12" t="s">
        <v>1497</v>
      </c>
      <c r="O526" s="12" t="str">
        <f>CONCATENATE(N526,A526,"\",B526,"\",C526,".jpg")</f>
        <v>C:\Users\mbaptista\OneDrive - Biblioteca Nacional de Portugal\Documentos\python\camoniana\imagens\capas\382847\1\10.jpg</v>
      </c>
      <c r="P526" s="12" t="str">
        <f>HYPERLINK(O526)</f>
        <v>C:\Users\mbaptista\OneDrive - Biblioteca Nacional de Portugal\Documentos\python\camoniana\imagens\capas\382847\1\10.jpg</v>
      </c>
      <c r="Q526" s="12"/>
      <c r="R526" s="6" t="s">
        <v>716</v>
      </c>
      <c r="S526" s="4"/>
      <c r="T526" s="1">
        <v>10</v>
      </c>
      <c r="U526" s="13"/>
      <c r="V526" s="13"/>
      <c r="W526" s="5" t="s">
        <v>1491</v>
      </c>
    </row>
    <row r="527" spans="1:23" ht="75">
      <c r="A527" s="1">
        <v>1072941</v>
      </c>
      <c r="B527" s="1">
        <v>1</v>
      </c>
      <c r="C527" s="1">
        <v>11</v>
      </c>
      <c r="D527" s="2" t="s">
        <v>717</v>
      </c>
      <c r="E527" s="11" t="s">
        <v>717</v>
      </c>
      <c r="F527" s="11">
        <v>279513</v>
      </c>
      <c r="G527" s="2" t="s">
        <v>1494</v>
      </c>
      <c r="H527" s="2" t="s">
        <v>1495</v>
      </c>
      <c r="I527" s="2" t="s">
        <v>1496</v>
      </c>
      <c r="J527" s="2" t="str">
        <f t="shared" si="16"/>
        <v>https://permalinkbnd.bnportugal.gov.pt/viewer/279513/?offset=#page=11&amp;viewer=picture&amp;o=info&amp;n=0&amp;q=</v>
      </c>
      <c r="K527" s="1" t="s">
        <v>718</v>
      </c>
      <c r="L527" s="1" t="str">
        <f>VLOOKUP(A527,Folha2!$A$2:$B$2019,2,FALSE)</f>
        <v>Ines de Castro : treurspel / Mr. Rhijnuis Feith. - Amsterdam : Johannes Allart, 1793.</v>
      </c>
      <c r="M527" s="12" t="str">
        <f t="shared" si="17"/>
        <v>https://permalinkbnd.bnportugal.gov.pt/viewer/279513/?offset=#page=11&amp;viewer=picture&amp;o=info&amp;n=0&amp;q=</v>
      </c>
      <c r="N527" s="12" t="s">
        <v>1497</v>
      </c>
      <c r="O527" s="12" t="str">
        <f>CONCATENATE(N527,A527,"\",B527,"\",C527,".jpg")</f>
        <v>C:\Users\mbaptista\OneDrive - Biblioteca Nacional de Portugal\Documentos\python\camoniana\imagens\capas\1072941\1\11.jpg</v>
      </c>
      <c r="P527" s="12" t="str">
        <f>HYPERLINK(O527)</f>
        <v>C:\Users\mbaptista\OneDrive - Biblioteca Nacional de Portugal\Documentos\python\camoniana\imagens\capas\1072941\1\11.jpg</v>
      </c>
      <c r="Q527" s="12"/>
      <c r="R527" s="6" t="s">
        <v>719</v>
      </c>
      <c r="S527" s="4"/>
      <c r="T527" s="1" t="s">
        <v>718</v>
      </c>
      <c r="U527" s="13"/>
      <c r="V527" s="13"/>
      <c r="W527" s="5" t="s">
        <v>1491</v>
      </c>
    </row>
    <row r="528" spans="1:23" ht="75">
      <c r="A528" s="1">
        <v>1072941</v>
      </c>
      <c r="B528" s="1">
        <v>1</v>
      </c>
      <c r="C528" s="1">
        <v>21</v>
      </c>
      <c r="D528" s="2" t="s">
        <v>717</v>
      </c>
      <c r="E528" s="5" t="s">
        <v>717</v>
      </c>
      <c r="F528" s="5">
        <v>279513</v>
      </c>
      <c r="G528" s="2" t="s">
        <v>1494</v>
      </c>
      <c r="H528" s="2" t="s">
        <v>1495</v>
      </c>
      <c r="I528" s="2" t="s">
        <v>1496</v>
      </c>
      <c r="J528" s="2" t="str">
        <f t="shared" si="16"/>
        <v>https://permalinkbnd.bnportugal.gov.pt/viewer/279513/?offset=#page=21&amp;viewer=picture&amp;o=info&amp;n=0&amp;q=</v>
      </c>
      <c r="K528" s="1" t="s">
        <v>718</v>
      </c>
      <c r="L528" s="1" t="str">
        <f>VLOOKUP(A528,Folha2!$A$2:$B$2019,2,FALSE)</f>
        <v>Ines de Castro : treurspel / Mr. Rhijnuis Feith. - Amsterdam : Johannes Allart, 1793.</v>
      </c>
      <c r="M528" s="12" t="str">
        <f t="shared" si="17"/>
        <v>https://permalinkbnd.bnportugal.gov.pt/viewer/279513/?offset=#page=21&amp;viewer=picture&amp;o=info&amp;n=0&amp;q=</v>
      </c>
      <c r="N528" s="12" t="s">
        <v>1497</v>
      </c>
      <c r="O528" s="12" t="str">
        <f>CONCATENATE(N528,A528,"\",B528,"\",C528,".jpg")</f>
        <v>C:\Users\mbaptista\OneDrive - Biblioteca Nacional de Portugal\Documentos\python\camoniana\imagens\capas\1072941\1\21.jpg</v>
      </c>
      <c r="P528" s="12" t="str">
        <f>HYPERLINK(O528)</f>
        <v>C:\Users\mbaptista\OneDrive - Biblioteca Nacional de Portugal\Documentos\python\camoniana\imagens\capas\1072941\1\21.jpg</v>
      </c>
      <c r="Q528" s="12"/>
      <c r="R528" s="6" t="s">
        <v>720</v>
      </c>
      <c r="S528" s="4"/>
      <c r="T528" s="1" t="s">
        <v>718</v>
      </c>
      <c r="U528" s="13"/>
      <c r="V528" s="13"/>
      <c r="W528" s="5" t="s">
        <v>1491</v>
      </c>
    </row>
    <row r="529" spans="1:23" ht="75">
      <c r="A529" s="1">
        <v>1073970</v>
      </c>
      <c r="B529" s="1">
        <v>1</v>
      </c>
      <c r="C529" s="1">
        <v>7</v>
      </c>
      <c r="D529" s="2" t="s">
        <v>721</v>
      </c>
      <c r="E529" s="11" t="s">
        <v>721</v>
      </c>
      <c r="F529" s="11">
        <v>279512</v>
      </c>
      <c r="G529" s="2" t="s">
        <v>1494</v>
      </c>
      <c r="H529" s="2" t="s">
        <v>1495</v>
      </c>
      <c r="I529" s="2" t="s">
        <v>1496</v>
      </c>
      <c r="J529" s="2" t="str">
        <f t="shared" si="16"/>
        <v>https://permalinkbnd.bnportugal.gov.pt/viewer/279512/?offset=#page=7&amp;viewer=picture&amp;o=info&amp;n=0&amp;q=</v>
      </c>
      <c r="K529" s="1">
        <v>7</v>
      </c>
      <c r="L529" s="1" t="str">
        <f>VLOOKUP(A529,Folha2!$A$2:$B$2019,2,FALSE)</f>
        <v>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v>
      </c>
      <c r="M529" s="12" t="str">
        <f t="shared" si="17"/>
        <v>https://permalinkbnd.bnportugal.gov.pt/viewer/279512/?offset=#page=7&amp;viewer=picture&amp;o=info&amp;n=0&amp;q=</v>
      </c>
      <c r="N529" s="12" t="s">
        <v>1497</v>
      </c>
      <c r="O529" s="12" t="str">
        <f>CONCATENATE(N529,A529,"\",B529,"\",C529,".jpg")</f>
        <v>C:\Users\mbaptista\OneDrive - Biblioteca Nacional de Portugal\Documentos\python\camoniana\imagens\capas\1073970\1\7.jpg</v>
      </c>
      <c r="P529" s="12" t="str">
        <f>HYPERLINK(O529)</f>
        <v>C:\Users\mbaptista\OneDrive - Biblioteca Nacional de Portugal\Documentos\python\camoniana\imagens\capas\1073970\1\7.jpg</v>
      </c>
      <c r="Q529" s="12"/>
      <c r="R529" s="6" t="s">
        <v>722</v>
      </c>
      <c r="S529" s="4"/>
      <c r="T529" s="1">
        <v>7</v>
      </c>
      <c r="U529" s="13"/>
      <c r="V529" s="13"/>
      <c r="W529" s="5" t="s">
        <v>1491</v>
      </c>
    </row>
    <row r="530" spans="1:23" ht="75">
      <c r="A530" s="1">
        <v>258643</v>
      </c>
      <c r="B530" s="1">
        <v>1</v>
      </c>
      <c r="C530" s="1">
        <v>10</v>
      </c>
      <c r="D530" s="2" t="s">
        <v>723</v>
      </c>
      <c r="E530" s="5" t="s">
        <v>723</v>
      </c>
      <c r="F530" s="5">
        <v>276787</v>
      </c>
      <c r="G530" s="2" t="s">
        <v>1494</v>
      </c>
      <c r="H530" s="2" t="s">
        <v>1495</v>
      </c>
      <c r="I530" s="2" t="s">
        <v>1496</v>
      </c>
      <c r="J530" s="2" t="str">
        <f t="shared" si="16"/>
        <v>https://permalinkbnd.bnportugal.gov.pt/viewer/276787/?offset=#page=10&amp;viewer=picture&amp;o=info&amp;n=0&amp;q=</v>
      </c>
      <c r="K530" s="1" t="s">
        <v>724</v>
      </c>
      <c r="L530" s="1" t="str">
        <f>VLOOKUP(A530,Folha2!$A$2:$B$2019,2,FALSE)</f>
        <v>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v>
      </c>
      <c r="M530" s="12" t="str">
        <f t="shared" si="17"/>
        <v>https://permalinkbnd.bnportugal.gov.pt/viewer/276787/?offset=#page=10&amp;viewer=picture&amp;o=info&amp;n=0&amp;q=</v>
      </c>
      <c r="N530" s="12" t="s">
        <v>1497</v>
      </c>
      <c r="O530" s="12" t="str">
        <f>CONCATENATE(N530,A530,"\",B530,"\",C530,".jpg")</f>
        <v>C:\Users\mbaptista\OneDrive - Biblioteca Nacional de Portugal\Documentos\python\camoniana\imagens\capas\258643\1\10.jpg</v>
      </c>
      <c r="P530" s="12" t="str">
        <f>HYPERLINK(O530)</f>
        <v>C:\Users\mbaptista\OneDrive - Biblioteca Nacional de Portugal\Documentos\python\camoniana\imagens\capas\258643\1\10.jpg</v>
      </c>
      <c r="Q530" s="12"/>
      <c r="R530" s="6" t="s">
        <v>725</v>
      </c>
      <c r="S530" s="4"/>
      <c r="T530" s="1">
        <v>10</v>
      </c>
      <c r="U530" s="13"/>
      <c r="V530" s="13"/>
      <c r="W530" s="5" t="s">
        <v>1491</v>
      </c>
    </row>
    <row r="531" spans="1:23" ht="75">
      <c r="A531" s="1">
        <v>1725327</v>
      </c>
      <c r="B531" s="1">
        <v>1</v>
      </c>
      <c r="C531" s="1">
        <v>1</v>
      </c>
      <c r="D531" s="2" t="s">
        <v>726</v>
      </c>
      <c r="E531" s="11" t="s">
        <v>726</v>
      </c>
      <c r="F531" s="11">
        <v>275409</v>
      </c>
      <c r="G531" s="2" t="s">
        <v>1494</v>
      </c>
      <c r="H531" s="2" t="s">
        <v>1495</v>
      </c>
      <c r="I531" s="2" t="s">
        <v>1496</v>
      </c>
      <c r="J531" s="2" t="str">
        <f t="shared" si="16"/>
        <v>https://permalinkbnd.bnportugal.gov.pt/viewer/275409/?offset=#page=1&amp;viewer=picture&amp;o=info&amp;n=0&amp;q=</v>
      </c>
      <c r="K531" s="1" t="s">
        <v>727</v>
      </c>
      <c r="L531" s="1" t="str">
        <f>VLOOKUP(A531,Folha2!$A$2:$B$2019,2,FALSE)</f>
        <v>Giacomo Riccio. Luigi Camoens: dramma in quattro atti. Napoli. [1842].</v>
      </c>
      <c r="M531" s="12" t="str">
        <f t="shared" si="17"/>
        <v>https://permalinkbnd.bnportugal.gov.pt/viewer/275409/?offset=#page=1&amp;viewer=picture&amp;o=info&amp;n=0&amp;q=</v>
      </c>
      <c r="N531" s="12" t="s">
        <v>1497</v>
      </c>
      <c r="O531" s="12" t="str">
        <f>CONCATENATE(N531,A531,"\",B531,"\",C531,".jpg")</f>
        <v>C:\Users\mbaptista\OneDrive - Biblioteca Nacional de Portugal\Documentos\python\camoniana\imagens\capas\1725327\1\1.jpg</v>
      </c>
      <c r="P531" s="12" t="str">
        <f>HYPERLINK(O531)</f>
        <v>C:\Users\mbaptista\OneDrive - Biblioteca Nacional de Portugal\Documentos\python\camoniana\imagens\capas\1725327\1\1.jpg</v>
      </c>
      <c r="Q531" s="12"/>
      <c r="R531" s="6" t="s">
        <v>728</v>
      </c>
      <c r="S531" s="4"/>
      <c r="T531" s="1">
        <v>1</v>
      </c>
      <c r="U531" s="13"/>
      <c r="V531" s="13"/>
      <c r="W531" s="5" t="s">
        <v>1491</v>
      </c>
    </row>
    <row r="532" spans="1:23" ht="75">
      <c r="A532" s="1">
        <v>388329</v>
      </c>
      <c r="B532" s="1">
        <v>1</v>
      </c>
      <c r="C532" s="1">
        <v>14</v>
      </c>
      <c r="D532" s="2" t="s">
        <v>729</v>
      </c>
      <c r="E532" s="5" t="s">
        <v>729</v>
      </c>
      <c r="F532" s="5">
        <v>273746</v>
      </c>
      <c r="G532" s="2" t="s">
        <v>1494</v>
      </c>
      <c r="H532" s="2" t="s">
        <v>1495</v>
      </c>
      <c r="I532" s="2" t="s">
        <v>1496</v>
      </c>
      <c r="J532" s="2" t="str">
        <f t="shared" si="16"/>
        <v>https://permalinkbnd.bnportugal.gov.pt/viewer/273746/?offset=#page=14&amp;viewer=picture&amp;o=info&amp;n=0&amp;q=</v>
      </c>
      <c r="K532" s="1" t="s">
        <v>730</v>
      </c>
      <c r="L532" s="1" t="str">
        <f>VLOOKUP(A532,Folha2!$A$2:$B$2019,2,FALSE)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2" s="12" t="str">
        <f t="shared" si="17"/>
        <v>https://permalinkbnd.bnportugal.gov.pt/viewer/273746/?offset=#page=14&amp;viewer=picture&amp;o=info&amp;n=0&amp;q=</v>
      </c>
      <c r="N532" s="12" t="s">
        <v>1497</v>
      </c>
      <c r="O532" s="12" t="str">
        <f>CONCATENATE(N532,A532,"\",B532,"\",C532,".jpg")</f>
        <v>C:\Users\mbaptista\OneDrive - Biblioteca Nacional de Portugal\Documentos\python\camoniana\imagens\capas\388329\1\14.jpg</v>
      </c>
      <c r="P532" s="12" t="str">
        <f>HYPERLINK(O532)</f>
        <v>C:\Users\mbaptista\OneDrive - Biblioteca Nacional de Portugal\Documentos\python\camoniana\imagens\capas\388329\1\14.jpg</v>
      </c>
      <c r="Q532" s="12"/>
      <c r="R532" s="6" t="s">
        <v>732</v>
      </c>
      <c r="S532" s="4"/>
      <c r="T532" s="1" t="s">
        <v>731</v>
      </c>
      <c r="U532" s="13"/>
      <c r="V532" s="13"/>
      <c r="W532" s="5" t="s">
        <v>1491</v>
      </c>
    </row>
    <row r="533" spans="1:23" ht="75">
      <c r="A533" s="1">
        <v>388329</v>
      </c>
      <c r="B533" s="1">
        <v>1</v>
      </c>
      <c r="C533" s="1">
        <v>74</v>
      </c>
      <c r="D533" s="2" t="s">
        <v>729</v>
      </c>
      <c r="E533" s="11" t="s">
        <v>729</v>
      </c>
      <c r="F533" s="11">
        <v>273746</v>
      </c>
      <c r="G533" s="2" t="s">
        <v>1494</v>
      </c>
      <c r="H533" s="2" t="s">
        <v>1495</v>
      </c>
      <c r="I533" s="2" t="s">
        <v>1496</v>
      </c>
      <c r="J533" s="2" t="str">
        <f t="shared" si="16"/>
        <v>https://permalinkbnd.bnportugal.gov.pt/viewer/273746/?offset=#page=74&amp;viewer=picture&amp;o=info&amp;n=0&amp;q=</v>
      </c>
      <c r="K533" s="1" t="s">
        <v>730</v>
      </c>
      <c r="L533" s="1" t="str">
        <f>VLOOKUP(A533,Folha2!$A$2:$B$2019,2,FALSE)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3" s="12" t="str">
        <f t="shared" si="17"/>
        <v>https://permalinkbnd.bnportugal.gov.pt/viewer/273746/?offset=#page=74&amp;viewer=picture&amp;o=info&amp;n=0&amp;q=</v>
      </c>
      <c r="N533" s="12" t="s">
        <v>1497</v>
      </c>
      <c r="O533" s="12" t="str">
        <f>CONCATENATE(N533,A533,"\",B533,"\",C533,".jpg")</f>
        <v>C:\Users\mbaptista\OneDrive - Biblioteca Nacional de Portugal\Documentos\python\camoniana\imagens\capas\388329\1\74.jpg</v>
      </c>
      <c r="P533" s="12" t="str">
        <f>HYPERLINK(O533)</f>
        <v>C:\Users\mbaptista\OneDrive - Biblioteca Nacional de Portugal\Documentos\python\camoniana\imagens\capas\388329\1\74.jpg</v>
      </c>
      <c r="Q533" s="12"/>
      <c r="R533" s="6" t="s">
        <v>733</v>
      </c>
      <c r="S533" s="4"/>
      <c r="T533" s="1" t="s">
        <v>731</v>
      </c>
      <c r="U533" s="13"/>
      <c r="V533" s="13"/>
      <c r="W533" s="5" t="s">
        <v>1491</v>
      </c>
    </row>
    <row r="534" spans="1:23" ht="75">
      <c r="A534" s="1">
        <v>388329</v>
      </c>
      <c r="B534" s="1">
        <v>1</v>
      </c>
      <c r="C534" s="1">
        <v>89</v>
      </c>
      <c r="D534" s="2" t="s">
        <v>729</v>
      </c>
      <c r="E534" s="5" t="s">
        <v>729</v>
      </c>
      <c r="F534" s="5">
        <v>273746</v>
      </c>
      <c r="G534" s="2" t="s">
        <v>1494</v>
      </c>
      <c r="H534" s="2" t="s">
        <v>1495</v>
      </c>
      <c r="I534" s="2" t="s">
        <v>1496</v>
      </c>
      <c r="J534" s="2" t="str">
        <f t="shared" si="16"/>
        <v>https://permalinkbnd.bnportugal.gov.pt/viewer/273746/?offset=#page=89&amp;viewer=picture&amp;o=info&amp;n=0&amp;q=</v>
      </c>
      <c r="K534" s="1" t="s">
        <v>730</v>
      </c>
      <c r="L534" s="1" t="str">
        <f>VLOOKUP(A534,Folha2!$A$2:$B$2019,2,FALSE)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4" s="12" t="str">
        <f t="shared" si="17"/>
        <v>https://permalinkbnd.bnportugal.gov.pt/viewer/273746/?offset=#page=89&amp;viewer=picture&amp;o=info&amp;n=0&amp;q=</v>
      </c>
      <c r="N534" s="12" t="s">
        <v>1497</v>
      </c>
      <c r="O534" s="12" t="str">
        <f>CONCATENATE(N534,A534,"\",B534,"\",C534,".jpg")</f>
        <v>C:\Users\mbaptista\OneDrive - Biblioteca Nacional de Portugal\Documentos\python\camoniana\imagens\capas\388329\1\89.jpg</v>
      </c>
      <c r="P534" s="12" t="str">
        <f>HYPERLINK(O534)</f>
        <v>C:\Users\mbaptista\OneDrive - Biblioteca Nacional de Portugal\Documentos\python\camoniana\imagens\capas\388329\1\89.jpg</v>
      </c>
      <c r="Q534" s="12"/>
      <c r="R534" s="6" t="s">
        <v>734</v>
      </c>
      <c r="S534" s="4"/>
      <c r="T534" s="1" t="s">
        <v>731</v>
      </c>
      <c r="U534" s="13"/>
      <c r="V534" s="13"/>
      <c r="W534" s="5" t="s">
        <v>1491</v>
      </c>
    </row>
    <row r="535" spans="1:23" ht="75">
      <c r="A535" s="1">
        <v>388329</v>
      </c>
      <c r="B535" s="1">
        <v>1</v>
      </c>
      <c r="C535" s="1">
        <v>103</v>
      </c>
      <c r="D535" s="2" t="s">
        <v>729</v>
      </c>
      <c r="E535" s="11" t="s">
        <v>729</v>
      </c>
      <c r="F535" s="11">
        <v>273746</v>
      </c>
      <c r="G535" s="2" t="s">
        <v>1494</v>
      </c>
      <c r="H535" s="2" t="s">
        <v>1495</v>
      </c>
      <c r="I535" s="2" t="s">
        <v>1496</v>
      </c>
      <c r="J535" s="2" t="str">
        <f t="shared" si="16"/>
        <v>https://permalinkbnd.bnportugal.gov.pt/viewer/273746/?offset=#page=103&amp;viewer=picture&amp;o=info&amp;n=0&amp;q=</v>
      </c>
      <c r="K535" s="1" t="s">
        <v>730</v>
      </c>
      <c r="L535" s="1" t="str">
        <f>VLOOKUP(A535,Folha2!$A$2:$B$2019,2,FALSE)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5" s="12" t="str">
        <f t="shared" si="17"/>
        <v>https://permalinkbnd.bnportugal.gov.pt/viewer/273746/?offset=#page=103&amp;viewer=picture&amp;o=info&amp;n=0&amp;q=</v>
      </c>
      <c r="N535" s="12" t="s">
        <v>1497</v>
      </c>
      <c r="O535" s="12" t="str">
        <f>CONCATENATE(N535,A535,"\",B535,"\",C535,".jpg")</f>
        <v>C:\Users\mbaptista\OneDrive - Biblioteca Nacional de Portugal\Documentos\python\camoniana\imagens\capas\388329\1\103.jpg</v>
      </c>
      <c r="P535" s="12" t="str">
        <f>HYPERLINK(O535)</f>
        <v>C:\Users\mbaptista\OneDrive - Biblioteca Nacional de Portugal\Documentos\python\camoniana\imagens\capas\388329\1\103.jpg</v>
      </c>
      <c r="Q535" s="12"/>
      <c r="R535" s="6" t="s">
        <v>735</v>
      </c>
      <c r="S535" s="4"/>
      <c r="T535" s="1" t="s">
        <v>731</v>
      </c>
      <c r="U535" s="13"/>
      <c r="V535" s="13"/>
      <c r="W535" s="5" t="s">
        <v>1491</v>
      </c>
    </row>
    <row r="536" spans="1:23" ht="75">
      <c r="A536" s="1">
        <v>388329</v>
      </c>
      <c r="B536" s="1">
        <v>1</v>
      </c>
      <c r="C536" s="1">
        <v>210</v>
      </c>
      <c r="D536" s="2" t="s">
        <v>729</v>
      </c>
      <c r="E536" s="5" t="s">
        <v>729</v>
      </c>
      <c r="F536" s="5">
        <v>273746</v>
      </c>
      <c r="G536" s="2" t="s">
        <v>1494</v>
      </c>
      <c r="H536" s="2" t="s">
        <v>1495</v>
      </c>
      <c r="I536" s="2" t="s">
        <v>1496</v>
      </c>
      <c r="J536" s="2" t="str">
        <f t="shared" si="16"/>
        <v>https://permalinkbnd.bnportugal.gov.pt/viewer/273746/?offset=#page=210&amp;viewer=picture&amp;o=info&amp;n=0&amp;q=</v>
      </c>
      <c r="K536" s="1" t="s">
        <v>730</v>
      </c>
      <c r="L536" s="1" t="str">
        <f>VLOOKUP(A536,Folha2!$A$2:$B$2019,2,FALSE)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6" s="12" t="str">
        <f t="shared" si="17"/>
        <v>https://permalinkbnd.bnportugal.gov.pt/viewer/273746/?offset=#page=210&amp;viewer=picture&amp;o=info&amp;n=0&amp;q=</v>
      </c>
      <c r="N536" s="12" t="s">
        <v>1497</v>
      </c>
      <c r="O536" s="12" t="str">
        <f>CONCATENATE(N536,A536,"\",B536,"\",C536,".jpg")</f>
        <v>C:\Users\mbaptista\OneDrive - Biblioteca Nacional de Portugal\Documentos\python\camoniana\imagens\capas\388329\1\210.jpg</v>
      </c>
      <c r="P536" s="12" t="str">
        <f>HYPERLINK(O536)</f>
        <v>C:\Users\mbaptista\OneDrive - Biblioteca Nacional de Portugal\Documentos\python\camoniana\imagens\capas\388329\1\210.jpg</v>
      </c>
      <c r="Q536" s="12"/>
      <c r="R536" s="6"/>
      <c r="S536" s="4"/>
      <c r="T536" s="1"/>
      <c r="U536" s="13"/>
      <c r="V536" s="13"/>
      <c r="W536" s="5"/>
    </row>
    <row r="537" spans="1:23" ht="75">
      <c r="A537" s="1">
        <v>388329</v>
      </c>
      <c r="B537" s="1">
        <v>1</v>
      </c>
      <c r="C537" s="1">
        <v>221</v>
      </c>
      <c r="D537" s="2" t="s">
        <v>729</v>
      </c>
      <c r="E537" s="11" t="s">
        <v>729</v>
      </c>
      <c r="F537" s="11">
        <v>273746</v>
      </c>
      <c r="G537" s="2" t="s">
        <v>1494</v>
      </c>
      <c r="H537" s="2" t="s">
        <v>1495</v>
      </c>
      <c r="I537" s="2" t="s">
        <v>1496</v>
      </c>
      <c r="J537" s="2" t="str">
        <f t="shared" si="16"/>
        <v>https://permalinkbnd.bnportugal.gov.pt/viewer/273746/?offset=#page=221&amp;viewer=picture&amp;o=info&amp;n=0&amp;q=</v>
      </c>
      <c r="K537" s="1" t="s">
        <v>730</v>
      </c>
      <c r="L537" s="1" t="str">
        <f>VLOOKUP(A537,Folha2!$A$2:$B$2019,2,FALSE)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7" s="12" t="str">
        <f t="shared" si="17"/>
        <v>https://permalinkbnd.bnportugal.gov.pt/viewer/273746/?offset=#page=221&amp;viewer=picture&amp;o=info&amp;n=0&amp;q=</v>
      </c>
      <c r="N537" s="12" t="s">
        <v>1497</v>
      </c>
      <c r="O537" s="12" t="str">
        <f>CONCATENATE(N537,A537,"\",B537,"\",C537,".jpg")</f>
        <v>C:\Users\mbaptista\OneDrive - Biblioteca Nacional de Portugal\Documentos\python\camoniana\imagens\capas\388329\1\221.jpg</v>
      </c>
      <c r="P537" s="12" t="str">
        <f>HYPERLINK(O537)</f>
        <v>C:\Users\mbaptista\OneDrive - Biblioteca Nacional de Portugal\Documentos\python\camoniana\imagens\capas\388329\1\221.jpg</v>
      </c>
      <c r="Q537" s="12"/>
      <c r="R537" s="6"/>
      <c r="S537" s="4"/>
      <c r="T537" s="1"/>
      <c r="U537" s="13"/>
      <c r="V537" s="13"/>
      <c r="W537" s="5"/>
    </row>
    <row r="538" spans="1:23" ht="75">
      <c r="A538" s="1">
        <v>388329</v>
      </c>
      <c r="B538" s="1">
        <v>1</v>
      </c>
      <c r="C538" s="1">
        <v>232</v>
      </c>
      <c r="D538" s="2" t="s">
        <v>729</v>
      </c>
      <c r="E538" s="5" t="s">
        <v>729</v>
      </c>
      <c r="F538" s="5">
        <v>273746</v>
      </c>
      <c r="G538" s="2" t="s">
        <v>1494</v>
      </c>
      <c r="H538" s="2" t="s">
        <v>1495</v>
      </c>
      <c r="I538" s="2" t="s">
        <v>1496</v>
      </c>
      <c r="J538" s="2" t="str">
        <f t="shared" si="16"/>
        <v>https://permalinkbnd.bnportugal.gov.pt/viewer/273746/?offset=#page=232&amp;viewer=picture&amp;o=info&amp;n=0&amp;q=</v>
      </c>
      <c r="K538" s="1" t="s">
        <v>730</v>
      </c>
      <c r="L538" s="1" t="str">
        <f>VLOOKUP(A538,Folha2!$A$2:$B$2019,2,FALSE)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8" s="12" t="str">
        <f t="shared" si="17"/>
        <v>https://permalinkbnd.bnportugal.gov.pt/viewer/273746/?offset=#page=232&amp;viewer=picture&amp;o=info&amp;n=0&amp;q=</v>
      </c>
      <c r="N538" s="12" t="s">
        <v>1497</v>
      </c>
      <c r="O538" s="12" t="str">
        <f>CONCATENATE(N538,A538,"\",B538,"\",C538,".jpg")</f>
        <v>C:\Users\mbaptista\OneDrive - Biblioteca Nacional de Portugal\Documentos\python\camoniana\imagens\capas\388329\1\232.jpg</v>
      </c>
      <c r="P538" s="12" t="str">
        <f>HYPERLINK(O538)</f>
        <v>C:\Users\mbaptista\OneDrive - Biblioteca Nacional de Portugal\Documentos\python\camoniana\imagens\capas\388329\1\232.jpg</v>
      </c>
      <c r="Q538" s="12"/>
      <c r="R538" s="6"/>
      <c r="S538" s="4"/>
      <c r="T538" s="1"/>
      <c r="U538" s="13"/>
      <c r="V538" s="13"/>
      <c r="W538" s="5"/>
    </row>
    <row r="539" spans="1:23" ht="75">
      <c r="A539" s="1">
        <v>388329</v>
      </c>
      <c r="B539" s="1">
        <v>1</v>
      </c>
      <c r="C539" s="1">
        <v>241</v>
      </c>
      <c r="D539" s="2" t="s">
        <v>729</v>
      </c>
      <c r="E539" s="11" t="s">
        <v>729</v>
      </c>
      <c r="F539" s="11">
        <v>273746</v>
      </c>
      <c r="G539" s="2" t="s">
        <v>1494</v>
      </c>
      <c r="H539" s="2" t="s">
        <v>1495</v>
      </c>
      <c r="I539" s="2" t="s">
        <v>1496</v>
      </c>
      <c r="J539" s="2" t="str">
        <f t="shared" si="16"/>
        <v>https://permalinkbnd.bnportugal.gov.pt/viewer/273746/?offset=#page=241&amp;viewer=picture&amp;o=info&amp;n=0&amp;q=</v>
      </c>
      <c r="K539" s="1" t="s">
        <v>730</v>
      </c>
      <c r="L539" s="1" t="str">
        <f>VLOOKUP(A539,Folha2!$A$2:$B$2019,2,FALSE)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9" s="12" t="str">
        <f t="shared" si="17"/>
        <v>https://permalinkbnd.bnportugal.gov.pt/viewer/273746/?offset=#page=241&amp;viewer=picture&amp;o=info&amp;n=0&amp;q=</v>
      </c>
      <c r="N539" s="12" t="s">
        <v>1497</v>
      </c>
      <c r="O539" s="12" t="str">
        <f>CONCATENATE(N539,A539,"\",B539,"\",C539,".jpg")</f>
        <v>C:\Users\mbaptista\OneDrive - Biblioteca Nacional de Portugal\Documentos\python\camoniana\imagens\capas\388329\1\241.jpg</v>
      </c>
      <c r="P539" s="12" t="str">
        <f>HYPERLINK(O539)</f>
        <v>C:\Users\mbaptista\OneDrive - Biblioteca Nacional de Portugal\Documentos\python\camoniana\imagens\capas\388329\1\241.jpg</v>
      </c>
      <c r="Q539" s="12"/>
      <c r="R539" s="6"/>
      <c r="S539" s="4"/>
      <c r="T539" s="1"/>
      <c r="U539" s="13"/>
      <c r="V539" s="13"/>
      <c r="W539" s="5"/>
    </row>
    <row r="540" spans="1:23" ht="75">
      <c r="A540" s="1">
        <v>388329</v>
      </c>
      <c r="B540" s="1">
        <v>1</v>
      </c>
      <c r="C540" s="1">
        <v>256</v>
      </c>
      <c r="D540" s="2" t="s">
        <v>729</v>
      </c>
      <c r="E540" s="5" t="s">
        <v>729</v>
      </c>
      <c r="F540" s="5">
        <v>273746</v>
      </c>
      <c r="G540" s="2" t="s">
        <v>1494</v>
      </c>
      <c r="H540" s="2" t="s">
        <v>1495</v>
      </c>
      <c r="I540" s="2" t="s">
        <v>1496</v>
      </c>
      <c r="J540" s="2" t="str">
        <f t="shared" si="16"/>
        <v>https://permalinkbnd.bnportugal.gov.pt/viewer/273746/?offset=#page=256&amp;viewer=picture&amp;o=info&amp;n=0&amp;q=</v>
      </c>
      <c r="K540" s="1" t="s">
        <v>730</v>
      </c>
      <c r="L540" s="1" t="str">
        <f>VLOOKUP(A540,Folha2!$A$2:$B$2019,2,FALSE)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40" s="12" t="str">
        <f t="shared" si="17"/>
        <v>https://permalinkbnd.bnportugal.gov.pt/viewer/273746/?offset=#page=256&amp;viewer=picture&amp;o=info&amp;n=0&amp;q=</v>
      </c>
      <c r="N540" s="12" t="s">
        <v>1497</v>
      </c>
      <c r="O540" s="12" t="str">
        <f>CONCATENATE(N540,A540,"\",B540,"\",C540,".jpg")</f>
        <v>C:\Users\mbaptista\OneDrive - Biblioteca Nacional de Portugal\Documentos\python\camoniana\imagens\capas\388329\1\256.jpg</v>
      </c>
      <c r="P540" s="12" t="str">
        <f>HYPERLINK(O540)</f>
        <v>C:\Users\mbaptista\OneDrive - Biblioteca Nacional de Portugal\Documentos\python\camoniana\imagens\capas\388329\1\256.jpg</v>
      </c>
      <c r="Q540" s="12"/>
      <c r="R540" s="6"/>
      <c r="S540" s="4"/>
      <c r="T540" s="1"/>
      <c r="U540" s="13"/>
      <c r="V540" s="13"/>
      <c r="W540" s="5"/>
    </row>
    <row r="541" spans="1:23" ht="75">
      <c r="A541" s="1">
        <v>1951715</v>
      </c>
      <c r="B541" s="1">
        <v>1</v>
      </c>
      <c r="C541" s="1">
        <v>10</v>
      </c>
      <c r="D541" s="2" t="s">
        <v>736</v>
      </c>
      <c r="E541" s="11" t="s">
        <v>736</v>
      </c>
      <c r="F541" s="11">
        <v>275415</v>
      </c>
      <c r="G541" s="2" t="s">
        <v>1494</v>
      </c>
      <c r="H541" s="2" t="s">
        <v>1495</v>
      </c>
      <c r="I541" s="2" t="s">
        <v>1496</v>
      </c>
      <c r="J541" s="2" t="str">
        <f t="shared" si="16"/>
        <v>https://permalinkbnd.bnportugal.gov.pt/viewer/275415/?offset=#page=10&amp;viewer=picture&amp;o=info&amp;n=0&amp;q=</v>
      </c>
      <c r="K541" s="1" t="s">
        <v>737</v>
      </c>
      <c r="L541" s="1" t="str">
        <f>VLOOKUP(A541,Folha2!$A$2:$B$2019,2,FALSE)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1" s="12" t="str">
        <f t="shared" si="17"/>
        <v>https://permalinkbnd.bnportugal.gov.pt/viewer/275415/?offset=#page=10&amp;viewer=picture&amp;o=info&amp;n=0&amp;q=</v>
      </c>
      <c r="N541" s="12" t="s">
        <v>1497</v>
      </c>
      <c r="O541" s="12" t="str">
        <f>CONCATENATE(N541,A541,"\",B541,"\",C541,".jpg")</f>
        <v>C:\Users\mbaptista\OneDrive - Biblioteca Nacional de Portugal\Documentos\python\camoniana\imagens\capas\1951715\1\10.jpg</v>
      </c>
      <c r="P541" s="12" t="str">
        <f>HYPERLINK(O541)</f>
        <v>C:\Users\mbaptista\OneDrive - Biblioteca Nacional de Portugal\Documentos\python\camoniana\imagens\capas\1951715\1\10.jpg</v>
      </c>
      <c r="Q541" s="12"/>
      <c r="R541" s="6" t="s">
        <v>738</v>
      </c>
      <c r="S541" s="4"/>
      <c r="T541" s="1">
        <v>10</v>
      </c>
      <c r="U541" s="13"/>
      <c r="V541" s="13"/>
      <c r="W541" s="5" t="s">
        <v>1491</v>
      </c>
    </row>
    <row r="542" spans="1:23" ht="75">
      <c r="A542" s="1">
        <v>1951715</v>
      </c>
      <c r="B542" s="1">
        <v>1</v>
      </c>
      <c r="C542" s="1">
        <v>13</v>
      </c>
      <c r="D542" s="2" t="s">
        <v>736</v>
      </c>
      <c r="E542" s="5" t="s">
        <v>736</v>
      </c>
      <c r="F542" s="5">
        <v>275415</v>
      </c>
      <c r="G542" s="2" t="s">
        <v>1494</v>
      </c>
      <c r="H542" s="2" t="s">
        <v>1495</v>
      </c>
      <c r="I542" s="2" t="s">
        <v>1496</v>
      </c>
      <c r="J542" s="2" t="str">
        <f t="shared" si="16"/>
        <v>https://permalinkbnd.bnportugal.gov.pt/viewer/275415/?offset=#page=13&amp;viewer=picture&amp;o=info&amp;n=0&amp;q=</v>
      </c>
      <c r="K542" s="1" t="s">
        <v>737</v>
      </c>
      <c r="L542" s="1" t="str">
        <f>VLOOKUP(A542,Folha2!$A$2:$B$2019,2,FALSE)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2" s="12" t="str">
        <f t="shared" si="17"/>
        <v>https://permalinkbnd.bnportugal.gov.pt/viewer/275415/?offset=#page=13&amp;viewer=picture&amp;o=info&amp;n=0&amp;q=</v>
      </c>
      <c r="N542" s="12" t="s">
        <v>1497</v>
      </c>
      <c r="O542" s="12" t="str">
        <f>CONCATENATE(N542,A542,"\",B542,"\",C542,".jpg")</f>
        <v>C:\Users\mbaptista\OneDrive - Biblioteca Nacional de Portugal\Documentos\python\camoniana\imagens\capas\1951715\1\13.jpg</v>
      </c>
      <c r="P542" s="12" t="str">
        <f>HYPERLINK(O542)</f>
        <v>C:\Users\mbaptista\OneDrive - Biblioteca Nacional de Portugal\Documentos\python\camoniana\imagens\capas\1951715\1\13.jpg</v>
      </c>
      <c r="Q542" s="12"/>
      <c r="R542" s="6"/>
      <c r="S542" s="4"/>
      <c r="T542" s="1"/>
      <c r="U542" s="13"/>
      <c r="V542" s="13"/>
      <c r="W542" s="5"/>
    </row>
    <row r="543" spans="1:23" ht="90">
      <c r="A543" s="1">
        <v>252438</v>
      </c>
      <c r="B543" s="1">
        <v>1</v>
      </c>
      <c r="C543" s="1">
        <v>5</v>
      </c>
      <c r="D543" s="2" t="s">
        <v>739</v>
      </c>
      <c r="E543" s="11" t="s">
        <v>739</v>
      </c>
      <c r="F543" s="11">
        <v>277335</v>
      </c>
      <c r="G543" s="2" t="s">
        <v>1494</v>
      </c>
      <c r="H543" s="2" t="s">
        <v>1495</v>
      </c>
      <c r="I543" s="2" t="s">
        <v>1496</v>
      </c>
      <c r="J543" s="2" t="str">
        <f t="shared" si="16"/>
        <v>https://permalinkbnd.bnportugal.gov.pt/viewer/277335/?offset=#page=5&amp;viewer=picture&amp;o=info&amp;n=0&amp;q=</v>
      </c>
      <c r="K543" s="1">
        <v>5</v>
      </c>
      <c r="L543" s="1" t="str">
        <f>VLOOKUP(A543,Folha2!$A$2:$B$2019,2,FALSE)</f>
        <v>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v>
      </c>
      <c r="M543" s="12" t="str">
        <f t="shared" si="17"/>
        <v>https://permalinkbnd.bnportugal.gov.pt/viewer/277335/?offset=#page=5&amp;viewer=picture&amp;o=info&amp;n=0&amp;q=</v>
      </c>
      <c r="N543" s="12" t="s">
        <v>1497</v>
      </c>
      <c r="O543" s="12" t="str">
        <f>CONCATENATE(N543,A543,"\",B543,"\",C543,".jpg")</f>
        <v>C:\Users\mbaptista\OneDrive - Biblioteca Nacional de Portugal\Documentos\python\camoniana\imagens\capas\252438\1\5.jpg</v>
      </c>
      <c r="P543" s="12" t="str">
        <f>HYPERLINK(O543)</f>
        <v>C:\Users\mbaptista\OneDrive - Biblioteca Nacional de Portugal\Documentos\python\camoniana\imagens\capas\252438\1\5.jpg</v>
      </c>
      <c r="Q543" s="12"/>
      <c r="R543" s="6" t="s">
        <v>740</v>
      </c>
      <c r="S543" s="4"/>
      <c r="T543" s="1">
        <v>5</v>
      </c>
      <c r="U543" s="13"/>
      <c r="V543" s="13"/>
      <c r="W543" s="5" t="s">
        <v>1491</v>
      </c>
    </row>
    <row r="544" spans="1:23" ht="75">
      <c r="A544" s="1">
        <v>259140</v>
      </c>
      <c r="B544" s="1">
        <v>1</v>
      </c>
      <c r="C544" s="1">
        <v>8</v>
      </c>
      <c r="D544" s="2" t="s">
        <v>741</v>
      </c>
      <c r="E544" s="5" t="s">
        <v>741</v>
      </c>
      <c r="F544" s="5">
        <v>273811</v>
      </c>
      <c r="G544" s="2" t="s">
        <v>1494</v>
      </c>
      <c r="H544" s="2" t="s">
        <v>1495</v>
      </c>
      <c r="I544" s="2" t="s">
        <v>1496</v>
      </c>
      <c r="J544" s="2" t="str">
        <f t="shared" si="16"/>
        <v>https://permalinkbnd.bnportugal.gov.pt/viewer/273811/?offset=#page=8&amp;viewer=picture&amp;o=info&amp;n=0&amp;q=</v>
      </c>
      <c r="K544" s="1" t="s">
        <v>742</v>
      </c>
      <c r="L544" s="1" t="str">
        <f>VLOOKUP(A544,Folha2!$A$2:$B$2019,2,FALSE)</f>
        <v>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v>
      </c>
      <c r="M544" s="12" t="str">
        <f t="shared" si="17"/>
        <v>https://permalinkbnd.bnportugal.gov.pt/viewer/273811/?offset=#page=8&amp;viewer=picture&amp;o=info&amp;n=0&amp;q=</v>
      </c>
      <c r="N544" s="12" t="s">
        <v>1497</v>
      </c>
      <c r="O544" s="12" t="str">
        <f>CONCATENATE(N544,A544,"\",B544,"\",C544,".jpg")</f>
        <v>C:\Users\mbaptista\OneDrive - Biblioteca Nacional de Portugal\Documentos\python\camoniana\imagens\capas\259140\1\8.jpg</v>
      </c>
      <c r="P544" s="12" t="str">
        <f>HYPERLINK(O544)</f>
        <v>C:\Users\mbaptista\OneDrive - Biblioteca Nacional de Portugal\Documentos\python\camoniana\imagens\capas\259140\1\8.jpg</v>
      </c>
      <c r="Q544" s="12"/>
      <c r="R544" s="6" t="s">
        <v>743</v>
      </c>
      <c r="S544" s="4"/>
      <c r="T544" s="1">
        <v>8</v>
      </c>
      <c r="U544" s="13"/>
      <c r="V544" s="13"/>
      <c r="W544" s="5" t="s">
        <v>1491</v>
      </c>
    </row>
    <row r="545" spans="1:23" ht="105">
      <c r="A545" s="1">
        <v>855528</v>
      </c>
      <c r="B545" s="1">
        <v>1</v>
      </c>
      <c r="C545" s="1">
        <v>13</v>
      </c>
      <c r="D545" s="2" t="s">
        <v>744</v>
      </c>
      <c r="E545" s="11" t="s">
        <v>744</v>
      </c>
      <c r="F545" s="11">
        <v>273796</v>
      </c>
      <c r="G545" s="2" t="s">
        <v>1494</v>
      </c>
      <c r="H545" s="2" t="s">
        <v>1495</v>
      </c>
      <c r="I545" s="2" t="s">
        <v>1496</v>
      </c>
      <c r="J545" s="2" t="str">
        <f t="shared" si="16"/>
        <v>https://permalinkbnd.bnportugal.gov.pt/viewer/273796/?offset=#page=13&amp;viewer=picture&amp;o=info&amp;n=0&amp;q=</v>
      </c>
      <c r="K545" s="1" t="s">
        <v>745</v>
      </c>
      <c r="L545" s="1" t="str">
        <f>VLOOKUP(A545,Folha2!$A$2:$B$2019,2,FALSE)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5" s="12" t="str">
        <f t="shared" si="17"/>
        <v>https://permalinkbnd.bnportugal.gov.pt/viewer/273796/?offset=#page=13&amp;viewer=picture&amp;o=info&amp;n=0&amp;q=</v>
      </c>
      <c r="N545" s="12" t="s">
        <v>1497</v>
      </c>
      <c r="O545" s="12" t="str">
        <f>CONCATENATE(N545,A545,"\",B545,"\",C545,".jpg")</f>
        <v>C:\Users\mbaptista\OneDrive - Biblioteca Nacional de Portugal\Documentos\python\camoniana\imagens\capas\855528\1\13.jpg</v>
      </c>
      <c r="P545" s="12" t="str">
        <f>HYPERLINK(O545)</f>
        <v>C:\Users\mbaptista\OneDrive - Biblioteca Nacional de Portugal\Documentos\python\camoniana\imagens\capas\855528\1\13.jpg</v>
      </c>
      <c r="Q545" s="12"/>
      <c r="R545" s="6"/>
      <c r="S545" s="4"/>
      <c r="T545" s="1"/>
      <c r="U545" s="13"/>
      <c r="V545" s="13"/>
      <c r="W545" s="5"/>
    </row>
    <row r="546" spans="1:23" ht="105">
      <c r="A546" s="1">
        <v>855528</v>
      </c>
      <c r="B546" s="1">
        <v>1</v>
      </c>
      <c r="C546" s="1">
        <v>49</v>
      </c>
      <c r="D546" s="2" t="s">
        <v>744</v>
      </c>
      <c r="E546" s="5" t="s">
        <v>744</v>
      </c>
      <c r="F546" s="5">
        <v>273796</v>
      </c>
      <c r="G546" s="2" t="s">
        <v>1494</v>
      </c>
      <c r="H546" s="2" t="s">
        <v>1495</v>
      </c>
      <c r="I546" s="2" t="s">
        <v>1496</v>
      </c>
      <c r="J546" s="2" t="str">
        <f t="shared" si="16"/>
        <v>https://permalinkbnd.bnportugal.gov.pt/viewer/273796/?offset=#page=49&amp;viewer=picture&amp;o=info&amp;n=0&amp;q=</v>
      </c>
      <c r="K546" s="1" t="s">
        <v>745</v>
      </c>
      <c r="L546" s="1" t="str">
        <f>VLOOKUP(A546,Folha2!$A$2:$B$2019,2,FALSE)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6" s="12" t="str">
        <f t="shared" si="17"/>
        <v>https://permalinkbnd.bnportugal.gov.pt/viewer/273796/?offset=#page=49&amp;viewer=picture&amp;o=info&amp;n=0&amp;q=</v>
      </c>
      <c r="N546" s="12" t="s">
        <v>1497</v>
      </c>
      <c r="O546" s="12" t="str">
        <f>CONCATENATE(N546,A546,"\",B546,"\",C546,".jpg")</f>
        <v>C:\Users\mbaptista\OneDrive - Biblioteca Nacional de Portugal\Documentos\python\camoniana\imagens\capas\855528\1\49.jpg</v>
      </c>
      <c r="P546" s="12" t="str">
        <f>HYPERLINK(O546)</f>
        <v>C:\Users\mbaptista\OneDrive - Biblioteca Nacional de Portugal\Documentos\python\camoniana\imagens\capas\855528\1\49.jpg</v>
      </c>
      <c r="Q546" s="12"/>
      <c r="R546" s="6" t="s">
        <v>747</v>
      </c>
      <c r="S546" s="4"/>
      <c r="T546" s="1" t="s">
        <v>746</v>
      </c>
      <c r="U546" s="13"/>
      <c r="V546" s="13"/>
      <c r="W546" s="5" t="s">
        <v>1491</v>
      </c>
    </row>
    <row r="547" spans="1:23" ht="105">
      <c r="A547" s="1">
        <v>855528</v>
      </c>
      <c r="B547" s="1">
        <v>1</v>
      </c>
      <c r="C547" s="1">
        <v>51</v>
      </c>
      <c r="D547" s="2" t="s">
        <v>744</v>
      </c>
      <c r="E547" s="11" t="s">
        <v>744</v>
      </c>
      <c r="F547" s="11">
        <v>273796</v>
      </c>
      <c r="G547" s="2" t="s">
        <v>1494</v>
      </c>
      <c r="H547" s="2" t="s">
        <v>1495</v>
      </c>
      <c r="I547" s="2" t="s">
        <v>1496</v>
      </c>
      <c r="J547" s="2" t="str">
        <f t="shared" si="16"/>
        <v>https://permalinkbnd.bnportugal.gov.pt/viewer/273796/?offset=#page=51&amp;viewer=picture&amp;o=info&amp;n=0&amp;q=</v>
      </c>
      <c r="K547" s="1" t="s">
        <v>745</v>
      </c>
      <c r="L547" s="1" t="str">
        <f>VLOOKUP(A547,Folha2!$A$2:$B$2019,2,FALSE)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7" s="12" t="str">
        <f t="shared" si="17"/>
        <v>https://permalinkbnd.bnportugal.gov.pt/viewer/273796/?offset=#page=51&amp;viewer=picture&amp;o=info&amp;n=0&amp;q=</v>
      </c>
      <c r="N547" s="12" t="s">
        <v>1497</v>
      </c>
      <c r="O547" s="12" t="str">
        <f>CONCATENATE(N547,A547,"\",B547,"\",C547,".jpg")</f>
        <v>C:\Users\mbaptista\OneDrive - Biblioteca Nacional de Portugal\Documentos\python\camoniana\imagens\capas\855528\1\51.jpg</v>
      </c>
      <c r="P547" s="12" t="str">
        <f>HYPERLINK(O547)</f>
        <v>C:\Users\mbaptista\OneDrive - Biblioteca Nacional de Portugal\Documentos\python\camoniana\imagens\capas\855528\1\51.jpg</v>
      </c>
      <c r="Q547" s="12"/>
      <c r="R547" s="6" t="s">
        <v>748</v>
      </c>
      <c r="S547" s="4"/>
      <c r="T547" s="1" t="s">
        <v>746</v>
      </c>
      <c r="U547" s="13"/>
      <c r="V547" s="13"/>
      <c r="W547" s="5" t="s">
        <v>1491</v>
      </c>
    </row>
    <row r="548" spans="1:23" ht="75">
      <c r="A548" s="1">
        <v>381381</v>
      </c>
      <c r="B548" s="1">
        <v>1</v>
      </c>
      <c r="C548" s="1">
        <v>10</v>
      </c>
      <c r="D548" s="2" t="s">
        <v>749</v>
      </c>
      <c r="E548" s="5" t="s">
        <v>749</v>
      </c>
      <c r="F548" s="5">
        <v>273101</v>
      </c>
      <c r="G548" s="2" t="s">
        <v>1494</v>
      </c>
      <c r="H548" s="2" t="s">
        <v>1495</v>
      </c>
      <c r="I548" s="2" t="s">
        <v>1496</v>
      </c>
      <c r="J548" s="2" t="str">
        <f t="shared" si="16"/>
        <v>https://permalinkbnd.bnportugal.gov.pt/viewer/273101/?offset=#page=10&amp;viewer=picture&amp;o=info&amp;n=0&amp;q=</v>
      </c>
      <c r="K548" s="1" t="s">
        <v>750</v>
      </c>
      <c r="L548" s="1" t="str">
        <f>VLOOKUP(A548,Folha2!$A$2:$B$2019,2,FALSE)</f>
        <v xml:space="preserve">Luís de Camões. Os Lusíadas. Juízo crítico por José Maria Latino Coelho, sem argumentos. Edição comemorativa do Terceiro Centenário do Poeta. Lisboa. 1880. </v>
      </c>
      <c r="M548" s="12" t="str">
        <f t="shared" si="17"/>
        <v>https://permalinkbnd.bnportugal.gov.pt/viewer/273101/?offset=#page=10&amp;viewer=picture&amp;o=info&amp;n=0&amp;q=</v>
      </c>
      <c r="N548" s="12" t="s">
        <v>1497</v>
      </c>
      <c r="O548" s="12" t="str">
        <f>CONCATENATE(N548,A548,"\",B548,"\",C548,".jpg")</f>
        <v>C:\Users\mbaptista\OneDrive - Biblioteca Nacional de Portugal\Documentos\python\camoniana\imagens\capas\381381\1\10.jpg</v>
      </c>
      <c r="P548" s="12" t="str">
        <f>HYPERLINK(O548)</f>
        <v>C:\Users\mbaptista\OneDrive - Biblioteca Nacional de Portugal\Documentos\python\camoniana\imagens\capas\381381\1\10.jpg</v>
      </c>
      <c r="Q548" s="12"/>
      <c r="R548" s="6" t="s">
        <v>751</v>
      </c>
      <c r="S548" s="4"/>
      <c r="T548" s="1">
        <v>10</v>
      </c>
      <c r="U548" s="13"/>
      <c r="V548" s="13"/>
      <c r="W548" s="5" t="s">
        <v>1491</v>
      </c>
    </row>
    <row r="549" spans="1:23" ht="75">
      <c r="A549" s="1">
        <v>381381</v>
      </c>
      <c r="B549" s="1">
        <v>1</v>
      </c>
      <c r="C549" s="1">
        <v>13</v>
      </c>
      <c r="D549" s="2" t="s">
        <v>749</v>
      </c>
      <c r="E549" s="11" t="s">
        <v>749</v>
      </c>
      <c r="F549" s="11">
        <v>273101</v>
      </c>
      <c r="G549" s="2" t="s">
        <v>1494</v>
      </c>
      <c r="H549" s="2" t="s">
        <v>1495</v>
      </c>
      <c r="I549" s="2" t="s">
        <v>1496</v>
      </c>
      <c r="J549" s="2" t="str">
        <f t="shared" si="16"/>
        <v>https://permalinkbnd.bnportugal.gov.pt/viewer/273101/?offset=#page=13&amp;viewer=picture&amp;o=info&amp;n=0&amp;q=</v>
      </c>
      <c r="K549" s="1" t="s">
        <v>750</v>
      </c>
      <c r="L549" s="1" t="str">
        <f>VLOOKUP(A549,Folha2!$A$2:$B$2019,2,FALSE)</f>
        <v xml:space="preserve">Luís de Camões. Os Lusíadas. Juízo crítico por José Maria Latino Coelho, sem argumentos. Edição comemorativa do Terceiro Centenário do Poeta. Lisboa. 1880. </v>
      </c>
      <c r="M549" s="12" t="str">
        <f t="shared" si="17"/>
        <v>https://permalinkbnd.bnportugal.gov.pt/viewer/273101/?offset=#page=13&amp;viewer=picture&amp;o=info&amp;n=0&amp;q=</v>
      </c>
      <c r="N549" s="12" t="s">
        <v>1497</v>
      </c>
      <c r="O549" s="12" t="str">
        <f>CONCATENATE(N549,A549,"\",B549,"\",C549,".jpg")</f>
        <v>C:\Users\mbaptista\OneDrive - Biblioteca Nacional de Portugal\Documentos\python\camoniana\imagens\capas\381381\1\13.jpg</v>
      </c>
      <c r="P549" s="12" t="str">
        <f>HYPERLINK(O549)</f>
        <v>C:\Users\mbaptista\OneDrive - Biblioteca Nacional de Portugal\Documentos\python\camoniana\imagens\capas\381381\1\13.jpg</v>
      </c>
      <c r="Q549" s="12"/>
      <c r="R549" s="6"/>
      <c r="S549" s="4"/>
      <c r="T549" s="1"/>
      <c r="U549" s="13"/>
      <c r="V549" s="13"/>
      <c r="W549" s="5"/>
    </row>
    <row r="550" spans="1:23" ht="75">
      <c r="A550" s="1">
        <v>381381</v>
      </c>
      <c r="B550" s="1">
        <v>1</v>
      </c>
      <c r="C550" s="1">
        <v>39</v>
      </c>
      <c r="D550" s="2" t="s">
        <v>749</v>
      </c>
      <c r="E550" s="5" t="s">
        <v>749</v>
      </c>
      <c r="F550" s="5">
        <v>273101</v>
      </c>
      <c r="G550" s="2" t="s">
        <v>1494</v>
      </c>
      <c r="H550" s="2" t="s">
        <v>1495</v>
      </c>
      <c r="I550" s="2" t="s">
        <v>1496</v>
      </c>
      <c r="J550" s="2" t="str">
        <f t="shared" si="16"/>
        <v>https://permalinkbnd.bnportugal.gov.pt/viewer/273101/?offset=#page=39&amp;viewer=picture&amp;o=info&amp;n=0&amp;q=</v>
      </c>
      <c r="K550" s="1" t="s">
        <v>750</v>
      </c>
      <c r="L550" s="1" t="str">
        <f>VLOOKUP(A550,Folha2!$A$2:$B$2019,2,FALSE)</f>
        <v xml:space="preserve">Luís de Camões. Os Lusíadas. Juízo crítico por José Maria Latino Coelho, sem argumentos. Edição comemorativa do Terceiro Centenário do Poeta. Lisboa. 1880. </v>
      </c>
      <c r="M550" s="12" t="str">
        <f t="shared" si="17"/>
        <v>https://permalinkbnd.bnportugal.gov.pt/viewer/273101/?offset=#page=39&amp;viewer=picture&amp;o=info&amp;n=0&amp;q=</v>
      </c>
      <c r="N550" s="12" t="s">
        <v>1497</v>
      </c>
      <c r="O550" s="12" t="str">
        <f>CONCATENATE(N550,A550,"\",B550,"\",C550,".jpg")</f>
        <v>C:\Users\mbaptista\OneDrive - Biblioteca Nacional de Portugal\Documentos\python\camoniana\imagens\capas\381381\1\39.jpg</v>
      </c>
      <c r="P550" s="12" t="str">
        <f>HYPERLINK(O550)</f>
        <v>C:\Users\mbaptista\OneDrive - Biblioteca Nacional de Portugal\Documentos\python\camoniana\imagens\capas\381381\1\39.jpg</v>
      </c>
      <c r="Q550" s="12"/>
      <c r="R550" s="6"/>
      <c r="S550" s="4"/>
      <c r="T550" s="1"/>
      <c r="U550" s="13"/>
      <c r="V550" s="13"/>
      <c r="W550" s="5"/>
    </row>
    <row r="551" spans="1:23" ht="75">
      <c r="A551" s="1">
        <v>381381</v>
      </c>
      <c r="B551" s="1">
        <v>1</v>
      </c>
      <c r="C551" s="1">
        <v>115</v>
      </c>
      <c r="D551" s="2" t="s">
        <v>749</v>
      </c>
      <c r="E551" s="11" t="s">
        <v>749</v>
      </c>
      <c r="F551" s="11">
        <v>273101</v>
      </c>
      <c r="G551" s="2" t="s">
        <v>1494</v>
      </c>
      <c r="H551" s="2" t="s">
        <v>1495</v>
      </c>
      <c r="I551" s="2" t="s">
        <v>1496</v>
      </c>
      <c r="J551" s="2" t="str">
        <f t="shared" si="16"/>
        <v>https://permalinkbnd.bnportugal.gov.pt/viewer/273101/?offset=#page=115&amp;viewer=picture&amp;o=info&amp;n=0&amp;q=</v>
      </c>
      <c r="K551" s="1" t="s">
        <v>750</v>
      </c>
      <c r="L551" s="1" t="str">
        <f>VLOOKUP(A551,Folha2!$A$2:$B$2019,2,FALSE)</f>
        <v xml:space="preserve">Luís de Camões. Os Lusíadas. Juízo crítico por José Maria Latino Coelho, sem argumentos. Edição comemorativa do Terceiro Centenário do Poeta. Lisboa. 1880. </v>
      </c>
      <c r="M551" s="12" t="str">
        <f t="shared" si="17"/>
        <v>https://permalinkbnd.bnportugal.gov.pt/viewer/273101/?offset=#page=115&amp;viewer=picture&amp;o=info&amp;n=0&amp;q=</v>
      </c>
      <c r="N551" s="12" t="s">
        <v>1497</v>
      </c>
      <c r="O551" s="12" t="str">
        <f>CONCATENATE(N551,A551,"\",B551,"\",C551,".jpg")</f>
        <v>C:\Users\mbaptista\OneDrive - Biblioteca Nacional de Portugal\Documentos\python\camoniana\imagens\capas\381381\1\115.jpg</v>
      </c>
      <c r="P551" s="12" t="str">
        <f>HYPERLINK(O551)</f>
        <v>C:\Users\mbaptista\OneDrive - Biblioteca Nacional de Portugal\Documentos\python\camoniana\imagens\capas\381381\1\115.jpg</v>
      </c>
      <c r="Q551" s="12"/>
      <c r="R551" s="6"/>
      <c r="S551" s="4"/>
      <c r="T551" s="1"/>
      <c r="U551" s="13"/>
      <c r="V551" s="13"/>
      <c r="W551" s="5"/>
    </row>
    <row r="552" spans="1:23" ht="75">
      <c r="A552" s="1">
        <v>381381</v>
      </c>
      <c r="B552" s="1">
        <v>1</v>
      </c>
      <c r="C552" s="1">
        <v>206</v>
      </c>
      <c r="D552" s="2" t="s">
        <v>749</v>
      </c>
      <c r="E552" s="5" t="s">
        <v>749</v>
      </c>
      <c r="F552" s="5">
        <v>273101</v>
      </c>
      <c r="G552" s="2" t="s">
        <v>1494</v>
      </c>
      <c r="H552" s="2" t="s">
        <v>1495</v>
      </c>
      <c r="I552" s="2" t="s">
        <v>1496</v>
      </c>
      <c r="J552" s="2" t="str">
        <f t="shared" si="16"/>
        <v>https://permalinkbnd.bnportugal.gov.pt/viewer/273101/?offset=#page=206&amp;viewer=picture&amp;o=info&amp;n=0&amp;q=</v>
      </c>
      <c r="K552" s="1" t="s">
        <v>750</v>
      </c>
      <c r="L552" s="1" t="str">
        <f>VLOOKUP(A552,Folha2!$A$2:$B$2019,2,FALSE)</f>
        <v xml:space="preserve">Luís de Camões. Os Lusíadas. Juízo crítico por José Maria Latino Coelho, sem argumentos. Edição comemorativa do Terceiro Centenário do Poeta. Lisboa. 1880. </v>
      </c>
      <c r="M552" s="12" t="str">
        <f t="shared" si="17"/>
        <v>https://permalinkbnd.bnportugal.gov.pt/viewer/273101/?offset=#page=206&amp;viewer=picture&amp;o=info&amp;n=0&amp;q=</v>
      </c>
      <c r="N552" s="12" t="s">
        <v>1497</v>
      </c>
      <c r="O552" s="12" t="str">
        <f>CONCATENATE(N552,A552,"\",B552,"\",C552,".jpg")</f>
        <v>C:\Users\mbaptista\OneDrive - Biblioteca Nacional de Portugal\Documentos\python\camoniana\imagens\capas\381381\1\206.jpg</v>
      </c>
      <c r="P552" s="12" t="str">
        <f>HYPERLINK(O552)</f>
        <v>C:\Users\mbaptista\OneDrive - Biblioteca Nacional de Portugal\Documentos\python\camoniana\imagens\capas\381381\1\206.jpg</v>
      </c>
      <c r="Q552" s="12"/>
      <c r="R552" s="6"/>
      <c r="S552" s="4"/>
      <c r="T552" s="1"/>
      <c r="U552" s="13"/>
      <c r="V552" s="13"/>
      <c r="W552" s="5"/>
    </row>
    <row r="553" spans="1:23" ht="75">
      <c r="A553" s="1">
        <v>259434</v>
      </c>
      <c r="B553" s="1">
        <v>1</v>
      </c>
      <c r="C553" s="1">
        <v>10</v>
      </c>
      <c r="D553" s="2" t="s">
        <v>752</v>
      </c>
      <c r="E553" s="11" t="s">
        <v>752</v>
      </c>
      <c r="F553" s="11">
        <v>277366</v>
      </c>
      <c r="G553" s="2" t="s">
        <v>1494</v>
      </c>
      <c r="H553" s="2" t="s">
        <v>1495</v>
      </c>
      <c r="I553" s="2" t="s">
        <v>1496</v>
      </c>
      <c r="J553" s="2" t="str">
        <f t="shared" si="16"/>
        <v>https://permalinkbnd.bnportugal.gov.pt/viewer/277366/?offset=#page=10&amp;viewer=picture&amp;o=info&amp;n=0&amp;q=</v>
      </c>
      <c r="K553" s="1" t="s">
        <v>753</v>
      </c>
      <c r="L553" s="1" t="str">
        <f>VLOOKUP(A553,Folha2!$A$2:$B$2019,2,FALSE)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3" s="12" t="str">
        <f t="shared" si="17"/>
        <v>https://permalinkbnd.bnportugal.gov.pt/viewer/277366/?offset=#page=10&amp;viewer=picture&amp;o=info&amp;n=0&amp;q=</v>
      </c>
      <c r="N553" s="12" t="s">
        <v>1497</v>
      </c>
      <c r="O553" s="12" t="str">
        <f>CONCATENATE(N553,A553,"\",B553,"\",C553,".jpg")</f>
        <v>C:\Users\mbaptista\OneDrive - Biblioteca Nacional de Portugal\Documentos\python\camoniana\imagens\capas\259434\1\10.jpg</v>
      </c>
      <c r="P553" s="12" t="str">
        <f>HYPERLINK(O553)</f>
        <v>C:\Users\mbaptista\OneDrive - Biblioteca Nacional de Portugal\Documentos\python\camoniana\imagens\capas\259434\1\10.jpg</v>
      </c>
      <c r="Q553" s="12"/>
      <c r="R553" s="6" t="s">
        <v>754</v>
      </c>
      <c r="S553" s="4"/>
      <c r="T553" s="1">
        <v>10</v>
      </c>
      <c r="U553" s="13"/>
      <c r="V553" s="13"/>
      <c r="W553" s="5" t="s">
        <v>1491</v>
      </c>
    </row>
    <row r="554" spans="1:23" ht="75">
      <c r="A554" s="1">
        <v>259434</v>
      </c>
      <c r="B554" s="1">
        <v>1</v>
      </c>
      <c r="C554" s="1">
        <v>11</v>
      </c>
      <c r="D554" s="2" t="s">
        <v>752</v>
      </c>
      <c r="E554" s="5" t="s">
        <v>752</v>
      </c>
      <c r="F554" s="5">
        <v>277366</v>
      </c>
      <c r="G554" s="2" t="s">
        <v>1494</v>
      </c>
      <c r="H554" s="2" t="s">
        <v>1495</v>
      </c>
      <c r="I554" s="2" t="s">
        <v>1496</v>
      </c>
      <c r="J554" s="2" t="str">
        <f t="shared" si="16"/>
        <v>https://permalinkbnd.bnportugal.gov.pt/viewer/277366/?offset=#page=11&amp;viewer=picture&amp;o=info&amp;n=0&amp;q=</v>
      </c>
      <c r="K554" s="1" t="s">
        <v>753</v>
      </c>
      <c r="L554" s="1" t="str">
        <f>VLOOKUP(A554,Folha2!$A$2:$B$2019,2,FALSE)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4" s="12" t="str">
        <f t="shared" si="17"/>
        <v>https://permalinkbnd.bnportugal.gov.pt/viewer/277366/?offset=#page=11&amp;viewer=picture&amp;o=info&amp;n=0&amp;q=</v>
      </c>
      <c r="N554" s="12" t="s">
        <v>1497</v>
      </c>
      <c r="O554" s="12" t="str">
        <f>CONCATENATE(N554,A554,"\",B554,"\",C554,".jpg")</f>
        <v>C:\Users\mbaptista\OneDrive - Biblioteca Nacional de Portugal\Documentos\python\camoniana\imagens\capas\259434\1\11.jpg</v>
      </c>
      <c r="P554" s="12" t="str">
        <f>HYPERLINK(O554)</f>
        <v>C:\Users\mbaptista\OneDrive - Biblioteca Nacional de Portugal\Documentos\python\camoniana\imagens\capas\259434\1\11.jpg</v>
      </c>
      <c r="Q554" s="12"/>
      <c r="R554" s="6"/>
      <c r="S554" s="4"/>
      <c r="T554" s="1"/>
      <c r="U554" s="13"/>
      <c r="V554" s="13"/>
      <c r="W554" s="5"/>
    </row>
    <row r="555" spans="1:23" ht="75">
      <c r="A555" s="1">
        <v>913393</v>
      </c>
      <c r="B555" s="1">
        <v>1</v>
      </c>
      <c r="C555" s="1">
        <v>9</v>
      </c>
      <c r="D555" s="2" t="s">
        <v>755</v>
      </c>
      <c r="E555" s="11" t="s">
        <v>755</v>
      </c>
      <c r="F555" s="11">
        <v>277369</v>
      </c>
      <c r="G555" s="2" t="s">
        <v>1494</v>
      </c>
      <c r="H555" s="2" t="s">
        <v>1495</v>
      </c>
      <c r="I555" s="2" t="s">
        <v>1496</v>
      </c>
      <c r="J555" s="2" t="str">
        <f t="shared" si="16"/>
        <v>https://permalinkbnd.bnportugal.gov.pt/viewer/277369/?offset=#page=9&amp;viewer=picture&amp;o=info&amp;n=0&amp;q=</v>
      </c>
      <c r="K555" s="1" t="s">
        <v>756</v>
      </c>
      <c r="L555" s="1" t="str">
        <f>VLOOKUP(A555,Folha2!$A$2:$B$2019,2,FALSE)</f>
        <v>Retrato de Luís de Camões [reprodução litográfica da gravura]. Edição comemorativa do terceiro aniversário do mesmo tricentenário (10 de junho de 1883). Lisboa.1883. </v>
      </c>
      <c r="M555" s="12" t="str">
        <f t="shared" si="17"/>
        <v>https://permalinkbnd.bnportugal.gov.pt/viewer/277369/?offset=#page=9&amp;viewer=picture&amp;o=info&amp;n=0&amp;q=</v>
      </c>
      <c r="N555" s="12" t="s">
        <v>1497</v>
      </c>
      <c r="O555" s="12" t="str">
        <f>CONCATENATE(N555,A555,"\",B555,"\",C555,".jpg")</f>
        <v>C:\Users\mbaptista\OneDrive - Biblioteca Nacional de Portugal\Documentos\python\camoniana\imagens\capas\913393\1\9.jpg</v>
      </c>
      <c r="P555" s="12" t="str">
        <f>HYPERLINK(O555)</f>
        <v>C:\Users\mbaptista\OneDrive - Biblioteca Nacional de Portugal\Documentos\python\camoniana\imagens\capas\913393\1\9.jpg</v>
      </c>
      <c r="Q555" s="12"/>
      <c r="R555" s="6" t="s">
        <v>757</v>
      </c>
      <c r="S555" s="4"/>
      <c r="T555" s="1">
        <v>9</v>
      </c>
      <c r="U555" s="13"/>
      <c r="V555" s="13"/>
      <c r="W555" s="5" t="s">
        <v>1491</v>
      </c>
    </row>
    <row r="556" spans="1:23" ht="75">
      <c r="A556" s="1">
        <v>857274</v>
      </c>
      <c r="B556" s="1">
        <v>1</v>
      </c>
      <c r="C556" s="1">
        <v>5</v>
      </c>
      <c r="D556" s="2" t="s">
        <v>758</v>
      </c>
      <c r="E556" s="5" t="s">
        <v>758</v>
      </c>
      <c r="F556" s="5">
        <v>277364</v>
      </c>
      <c r="G556" s="2" t="s">
        <v>1494</v>
      </c>
      <c r="H556" s="2" t="s">
        <v>1495</v>
      </c>
      <c r="I556" s="2" t="s">
        <v>1496</v>
      </c>
      <c r="J556" s="2" t="str">
        <f t="shared" si="16"/>
        <v>https://permalinkbnd.bnportugal.gov.pt/viewer/277364/?offset=#page=5&amp;viewer=picture&amp;o=info&amp;n=0&amp;q=</v>
      </c>
      <c r="K556" s="1" t="s">
        <v>759</v>
      </c>
      <c r="L556" s="1" t="str">
        <f>VLOOKUP(A556,Folha2!$A$2:$B$2019,2,FALSE)</f>
        <v>Os Lusiadas / de Luiz de Camões ; com um pref. do Dr. Theophilo Braga. - Facsimile da 1ª ed. - Lisboa : [Joaquim Eusébio dos Santos], 1898. Sem argumentos.</v>
      </c>
      <c r="M556" s="12" t="str">
        <f t="shared" si="17"/>
        <v>https://permalinkbnd.bnportugal.gov.pt/viewer/277364/?offset=#page=5&amp;viewer=picture&amp;o=info&amp;n=0&amp;q=</v>
      </c>
      <c r="N556" s="12" t="s">
        <v>1497</v>
      </c>
      <c r="O556" s="12" t="str">
        <f>CONCATENATE(N556,A556,"\",B556,"\",C556,".jpg")</f>
        <v>C:\Users\mbaptista\OneDrive - Biblioteca Nacional de Portugal\Documentos\python\camoniana\imagens\capas\857274\1\5.jpg</v>
      </c>
      <c r="P556" s="12" t="str">
        <f>HYPERLINK(O556)</f>
        <v>C:\Users\mbaptista\OneDrive - Biblioteca Nacional de Portugal\Documentos\python\camoniana\imagens\capas\857274\1\5.jpg</v>
      </c>
      <c r="Q556" s="12"/>
      <c r="R556" s="6"/>
      <c r="S556" s="4"/>
      <c r="T556" s="1"/>
      <c r="U556" s="13"/>
      <c r="V556" s="13"/>
      <c r="W556" s="5"/>
    </row>
    <row r="557" spans="1:23" ht="75">
      <c r="A557" s="1">
        <v>857274</v>
      </c>
      <c r="B557" s="1">
        <v>1</v>
      </c>
      <c r="C557" s="1">
        <v>15</v>
      </c>
      <c r="D557" s="2" t="s">
        <v>758</v>
      </c>
      <c r="E557" s="11" t="s">
        <v>758</v>
      </c>
      <c r="F557" s="11">
        <v>277364</v>
      </c>
      <c r="G557" s="2" t="s">
        <v>1494</v>
      </c>
      <c r="H557" s="2" t="s">
        <v>1495</v>
      </c>
      <c r="I557" s="2" t="s">
        <v>1496</v>
      </c>
      <c r="J557" s="2" t="str">
        <f t="shared" si="16"/>
        <v>https://permalinkbnd.bnportugal.gov.pt/viewer/277364/?offset=#page=15&amp;viewer=picture&amp;o=info&amp;n=0&amp;q=</v>
      </c>
      <c r="K557" s="1" t="s">
        <v>759</v>
      </c>
      <c r="L557" s="1" t="str">
        <f>VLOOKUP(A557,Folha2!$A$2:$B$2019,2,FALSE)</f>
        <v>Os Lusiadas / de Luiz de Camões ; com um pref. do Dr. Theophilo Braga. - Facsimile da 1ª ed. - Lisboa : [Joaquim Eusébio dos Santos], 1898. Sem argumentos.</v>
      </c>
      <c r="M557" s="12" t="str">
        <f t="shared" si="17"/>
        <v>https://permalinkbnd.bnportugal.gov.pt/viewer/277364/?offset=#page=15&amp;viewer=picture&amp;o=info&amp;n=0&amp;q=</v>
      </c>
      <c r="N557" s="12" t="s">
        <v>1497</v>
      </c>
      <c r="O557" s="12" t="str">
        <f>CONCATENATE(N557,A557,"\",B557,"\",C557,".jpg")</f>
        <v>C:\Users\mbaptista\OneDrive - Biblioteca Nacional de Portugal\Documentos\python\camoniana\imagens\capas\857274\1\15.jpg</v>
      </c>
      <c r="P557" s="12" t="str">
        <f>HYPERLINK(O557)</f>
        <v>C:\Users\mbaptista\OneDrive - Biblioteca Nacional de Portugal\Documentos\python\camoniana\imagens\capas\857274\1\15.jpg</v>
      </c>
      <c r="Q557" s="12"/>
      <c r="R557" s="6" t="s">
        <v>760</v>
      </c>
      <c r="S557" s="4"/>
      <c r="T557" s="1">
        <v>15</v>
      </c>
      <c r="U557" s="13"/>
      <c r="V557" s="13"/>
      <c r="W557" s="5" t="s">
        <v>1491</v>
      </c>
    </row>
    <row r="558" spans="1:23" ht="75">
      <c r="A558" s="1">
        <v>259614</v>
      </c>
      <c r="B558" s="1">
        <v>1</v>
      </c>
      <c r="C558" s="1">
        <v>8</v>
      </c>
      <c r="D558" s="2" t="s">
        <v>761</v>
      </c>
      <c r="E558" s="5" t="s">
        <v>761</v>
      </c>
      <c r="F558" s="5">
        <v>277455</v>
      </c>
      <c r="G558" s="2" t="s">
        <v>1494</v>
      </c>
      <c r="H558" s="2" t="s">
        <v>1495</v>
      </c>
      <c r="I558" s="2" t="s">
        <v>1496</v>
      </c>
      <c r="J558" s="2" t="str">
        <f t="shared" si="16"/>
        <v>https://permalinkbnd.bnportugal.gov.pt/viewer/277455/?offset=#page=8&amp;viewer=picture&amp;o=info&amp;n=0&amp;q=</v>
      </c>
      <c r="K558" s="1" t="s">
        <v>762</v>
      </c>
      <c r="L558" s="1" t="str">
        <f>VLOOKUP(A558,Folha2!$A$2:$B$2019,2,FALSE)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8" s="12" t="str">
        <f t="shared" si="17"/>
        <v>https://permalinkbnd.bnportugal.gov.pt/viewer/277455/?offset=#page=8&amp;viewer=picture&amp;o=info&amp;n=0&amp;q=</v>
      </c>
      <c r="N558" s="12" t="s">
        <v>1497</v>
      </c>
      <c r="O558" s="12" t="str">
        <f>CONCATENATE(N558,A558,"\",B558,"\",C558,".jpg")</f>
        <v>C:\Users\mbaptista\OneDrive - Biblioteca Nacional de Portugal\Documentos\python\camoniana\imagens\capas\259614\1\8.jpg</v>
      </c>
      <c r="P558" s="12" t="str">
        <f>HYPERLINK(O558)</f>
        <v>C:\Users\mbaptista\OneDrive - Biblioteca Nacional de Portugal\Documentos\python\camoniana\imagens\capas\259614\1\8.jpg</v>
      </c>
      <c r="Q558" s="12"/>
      <c r="R558" s="6" t="s">
        <v>763</v>
      </c>
      <c r="S558" s="4"/>
      <c r="T558" s="1" t="s">
        <v>762</v>
      </c>
      <c r="U558" s="13"/>
      <c r="V558" s="13"/>
      <c r="W558" s="5" t="s">
        <v>1491</v>
      </c>
    </row>
    <row r="559" spans="1:23" ht="75">
      <c r="A559" s="1">
        <v>259614</v>
      </c>
      <c r="B559" s="1">
        <v>1</v>
      </c>
      <c r="C559" s="1">
        <v>77</v>
      </c>
      <c r="D559" s="2" t="s">
        <v>761</v>
      </c>
      <c r="E559" s="11" t="s">
        <v>761</v>
      </c>
      <c r="F559" s="11">
        <v>277455</v>
      </c>
      <c r="G559" s="2" t="s">
        <v>1494</v>
      </c>
      <c r="H559" s="2" t="s">
        <v>1495</v>
      </c>
      <c r="I559" s="2" t="s">
        <v>1496</v>
      </c>
      <c r="J559" s="2" t="str">
        <f t="shared" si="16"/>
        <v>https://permalinkbnd.bnportugal.gov.pt/viewer/277455/?offset=#page=77&amp;viewer=picture&amp;o=info&amp;n=0&amp;q=</v>
      </c>
      <c r="K559" s="1" t="s">
        <v>762</v>
      </c>
      <c r="L559" s="1" t="str">
        <f>VLOOKUP(A559,Folha2!$A$2:$B$2019,2,FALSE)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9" s="12" t="str">
        <f t="shared" si="17"/>
        <v>https://permalinkbnd.bnportugal.gov.pt/viewer/277455/?offset=#page=77&amp;viewer=picture&amp;o=info&amp;n=0&amp;q=</v>
      </c>
      <c r="N559" s="12" t="s">
        <v>1497</v>
      </c>
      <c r="O559" s="12" t="str">
        <f>CONCATENATE(N559,A559,"\",B559,"\",C559,".jpg")</f>
        <v>C:\Users\mbaptista\OneDrive - Biblioteca Nacional de Portugal\Documentos\python\camoniana\imagens\capas\259614\1\77.jpg</v>
      </c>
      <c r="P559" s="12" t="str">
        <f>HYPERLINK(O559)</f>
        <v>C:\Users\mbaptista\OneDrive - Biblioteca Nacional de Portugal\Documentos\python\camoniana\imagens\capas\259614\1\77.jpg</v>
      </c>
      <c r="Q559" s="12"/>
      <c r="R559" s="6" t="s">
        <v>764</v>
      </c>
      <c r="S559" s="4"/>
      <c r="T559" s="1" t="s">
        <v>762</v>
      </c>
      <c r="U559" s="13"/>
      <c r="V559" s="13"/>
      <c r="W559" s="5" t="s">
        <v>1491</v>
      </c>
    </row>
    <row r="560" spans="1:23" ht="150">
      <c r="A560" s="1">
        <v>381386</v>
      </c>
      <c r="B560" s="1">
        <v>1</v>
      </c>
      <c r="C560" s="1">
        <v>9</v>
      </c>
      <c r="D560" s="2" t="s">
        <v>765</v>
      </c>
      <c r="E560" s="5" t="s">
        <v>765</v>
      </c>
      <c r="F560" s="5">
        <v>273117</v>
      </c>
      <c r="G560" s="2" t="s">
        <v>1494</v>
      </c>
      <c r="H560" s="2" t="s">
        <v>1495</v>
      </c>
      <c r="I560" s="2" t="s">
        <v>1496</v>
      </c>
      <c r="J560" s="2" t="str">
        <f t="shared" si="16"/>
        <v>https://permalinkbnd.bnportugal.gov.pt/viewer/273117/?offset=#page=9&amp;viewer=picture&amp;o=info&amp;n=0&amp;q=</v>
      </c>
      <c r="K560" s="1" t="s">
        <v>766</v>
      </c>
      <c r="L560" s="1" t="str">
        <f>VLOOKUP(A560,Folha2!$A$2:$B$2019,2,FALSE)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0" s="12" t="str">
        <f t="shared" si="17"/>
        <v>https://permalinkbnd.bnportugal.gov.pt/viewer/273117/?offset=#page=9&amp;viewer=picture&amp;o=info&amp;n=0&amp;q=</v>
      </c>
      <c r="N560" s="12" t="s">
        <v>1497</v>
      </c>
      <c r="O560" s="12" t="str">
        <f>CONCATENATE(N560,A560,"\",B560,"\",C560,".jpg")</f>
        <v>C:\Users\mbaptista\OneDrive - Biblioteca Nacional de Portugal\Documentos\python\camoniana\imagens\capas\381386\1\9.jpg</v>
      </c>
      <c r="P560" s="12" t="str">
        <f>HYPERLINK(O560)</f>
        <v>C:\Users\mbaptista\OneDrive - Biblioteca Nacional de Portugal\Documentos\python\camoniana\imagens\capas\381386\1\9.jpg</v>
      </c>
      <c r="Q560" s="12"/>
      <c r="R560" s="6"/>
      <c r="S560" s="4"/>
      <c r="T560" s="1"/>
      <c r="U560" s="13"/>
      <c r="V560" s="13"/>
      <c r="W560" s="5"/>
    </row>
    <row r="561" spans="1:23" ht="150">
      <c r="A561" s="1">
        <v>381386</v>
      </c>
      <c r="B561" s="1">
        <v>1</v>
      </c>
      <c r="C561" s="1">
        <v>11</v>
      </c>
      <c r="D561" s="2" t="s">
        <v>765</v>
      </c>
      <c r="E561" s="11" t="s">
        <v>765</v>
      </c>
      <c r="F561" s="11">
        <v>273117</v>
      </c>
      <c r="G561" s="2" t="s">
        <v>1494</v>
      </c>
      <c r="H561" s="2" t="s">
        <v>1495</v>
      </c>
      <c r="I561" s="2" t="s">
        <v>1496</v>
      </c>
      <c r="J561" s="2" t="str">
        <f t="shared" si="16"/>
        <v>https://permalinkbnd.bnportugal.gov.pt/viewer/273117/?offset=#page=11&amp;viewer=picture&amp;o=info&amp;n=0&amp;q=</v>
      </c>
      <c r="K561" s="1" t="s">
        <v>766</v>
      </c>
      <c r="L561" s="1" t="str">
        <f>VLOOKUP(A561,Folha2!$A$2:$B$2019,2,FALSE)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1" s="12" t="str">
        <f t="shared" si="17"/>
        <v>https://permalinkbnd.bnportugal.gov.pt/viewer/273117/?offset=#page=11&amp;viewer=picture&amp;o=info&amp;n=0&amp;q=</v>
      </c>
      <c r="N561" s="12" t="s">
        <v>1497</v>
      </c>
      <c r="O561" s="12" t="str">
        <f>CONCATENATE(N561,A561,"\",B561,"\",C561,".jpg")</f>
        <v>C:\Users\mbaptista\OneDrive - Biblioteca Nacional de Portugal\Documentos\python\camoniana\imagens\capas\381386\1\11.jpg</v>
      </c>
      <c r="P561" s="12" t="str">
        <f>HYPERLINK(O561)</f>
        <v>C:\Users\mbaptista\OneDrive - Biblioteca Nacional de Portugal\Documentos\python\camoniana\imagens\capas\381386\1\11.jpg</v>
      </c>
      <c r="Q561" s="12"/>
      <c r="R561" s="6"/>
      <c r="S561" s="4"/>
      <c r="T561" s="1"/>
      <c r="U561" s="13"/>
      <c r="V561" s="13"/>
      <c r="W561" s="5"/>
    </row>
    <row r="562" spans="1:23" ht="150">
      <c r="A562" s="1">
        <v>381386</v>
      </c>
      <c r="B562" s="1">
        <v>1</v>
      </c>
      <c r="C562" s="1">
        <v>21</v>
      </c>
      <c r="D562" s="2" t="s">
        <v>765</v>
      </c>
      <c r="E562" s="5" t="s">
        <v>765</v>
      </c>
      <c r="F562" s="5">
        <v>273117</v>
      </c>
      <c r="G562" s="2" t="s">
        <v>1494</v>
      </c>
      <c r="H562" s="2" t="s">
        <v>1495</v>
      </c>
      <c r="I562" s="2" t="s">
        <v>1496</v>
      </c>
      <c r="J562" s="2" t="str">
        <f t="shared" si="16"/>
        <v>https://permalinkbnd.bnportugal.gov.pt/viewer/273117/?offset=#page=21&amp;viewer=picture&amp;o=info&amp;n=0&amp;q=</v>
      </c>
      <c r="K562" s="1" t="s">
        <v>766</v>
      </c>
      <c r="L562" s="1" t="str">
        <f>VLOOKUP(A562,Folha2!$A$2:$B$2019,2,FALSE)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2" s="12" t="str">
        <f t="shared" si="17"/>
        <v>https://permalinkbnd.bnportugal.gov.pt/viewer/273117/?offset=#page=21&amp;viewer=picture&amp;o=info&amp;n=0&amp;q=</v>
      </c>
      <c r="N562" s="12" t="s">
        <v>1497</v>
      </c>
      <c r="O562" s="12" t="str">
        <f>CONCATENATE(N562,A562,"\",B562,"\",C562,".jpg")</f>
        <v>C:\Users\mbaptista\OneDrive - Biblioteca Nacional de Portugal\Documentos\python\camoniana\imagens\capas\381386\1\21.jpg</v>
      </c>
      <c r="P562" s="12" t="str">
        <f>HYPERLINK(O562)</f>
        <v>C:\Users\mbaptista\OneDrive - Biblioteca Nacional de Portugal\Documentos\python\camoniana\imagens\capas\381386\1\21.jpg</v>
      </c>
      <c r="Q562" s="12"/>
      <c r="R562" s="6"/>
      <c r="S562" s="4"/>
      <c r="T562" s="1"/>
      <c r="U562" s="13"/>
      <c r="V562" s="13"/>
      <c r="W562" s="5"/>
    </row>
    <row r="563" spans="1:23" ht="150">
      <c r="A563" s="1">
        <v>381386</v>
      </c>
      <c r="B563" s="1">
        <v>1</v>
      </c>
      <c r="C563" s="1">
        <v>23</v>
      </c>
      <c r="D563" s="2" t="s">
        <v>765</v>
      </c>
      <c r="E563" s="11" t="s">
        <v>765</v>
      </c>
      <c r="F563" s="11">
        <v>273117</v>
      </c>
      <c r="G563" s="2" t="s">
        <v>1494</v>
      </c>
      <c r="H563" s="2" t="s">
        <v>1495</v>
      </c>
      <c r="I563" s="2" t="s">
        <v>1496</v>
      </c>
      <c r="J563" s="2" t="str">
        <f t="shared" si="16"/>
        <v>https://permalinkbnd.bnportugal.gov.pt/viewer/273117/?offset=#page=23&amp;viewer=picture&amp;o=info&amp;n=0&amp;q=</v>
      </c>
      <c r="K563" s="1" t="s">
        <v>766</v>
      </c>
      <c r="L563" s="1" t="str">
        <f>VLOOKUP(A563,Folha2!$A$2:$B$2019,2,FALSE)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3" s="12" t="str">
        <f t="shared" si="17"/>
        <v>https://permalinkbnd.bnportugal.gov.pt/viewer/273117/?offset=#page=23&amp;viewer=picture&amp;o=info&amp;n=0&amp;q=</v>
      </c>
      <c r="N563" s="12" t="s">
        <v>1497</v>
      </c>
      <c r="O563" s="12" t="str">
        <f>CONCATENATE(N563,A563,"\",B563,"\",C563,".jpg")</f>
        <v>C:\Users\mbaptista\OneDrive - Biblioteca Nacional de Portugal\Documentos\python\camoniana\imagens\capas\381386\1\23.jpg</v>
      </c>
      <c r="P563" s="12" t="str">
        <f>HYPERLINK(O563)</f>
        <v>C:\Users\mbaptista\OneDrive - Biblioteca Nacional de Portugal\Documentos\python\camoniana\imagens\capas\381386\1\23.jpg</v>
      </c>
      <c r="Q563" s="12"/>
      <c r="R563" s="6" t="s">
        <v>768</v>
      </c>
      <c r="S563" s="4"/>
      <c r="T563" s="1" t="s">
        <v>767</v>
      </c>
      <c r="U563" s="13"/>
      <c r="V563" s="13"/>
      <c r="W563" s="5" t="s">
        <v>1491</v>
      </c>
    </row>
    <row r="564" spans="1:23" ht="150">
      <c r="A564" s="1">
        <v>381386</v>
      </c>
      <c r="B564" s="1">
        <v>1</v>
      </c>
      <c r="C564" s="1">
        <v>79</v>
      </c>
      <c r="D564" s="2" t="s">
        <v>765</v>
      </c>
      <c r="E564" s="5" t="s">
        <v>765</v>
      </c>
      <c r="F564" s="5">
        <v>273117</v>
      </c>
      <c r="G564" s="2" t="s">
        <v>1494</v>
      </c>
      <c r="H564" s="2" t="s">
        <v>1495</v>
      </c>
      <c r="I564" s="2" t="s">
        <v>1496</v>
      </c>
      <c r="J564" s="2" t="str">
        <f t="shared" si="16"/>
        <v>https://permalinkbnd.bnportugal.gov.pt/viewer/273117/?offset=#page=79&amp;viewer=picture&amp;o=info&amp;n=0&amp;q=</v>
      </c>
      <c r="K564" s="1" t="s">
        <v>766</v>
      </c>
      <c r="L564" s="1" t="str">
        <f>VLOOKUP(A564,Folha2!$A$2:$B$2019,2,FALSE)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4" s="12" t="str">
        <f t="shared" si="17"/>
        <v>https://permalinkbnd.bnportugal.gov.pt/viewer/273117/?offset=#page=79&amp;viewer=picture&amp;o=info&amp;n=0&amp;q=</v>
      </c>
      <c r="N564" s="12" t="s">
        <v>1497</v>
      </c>
      <c r="O564" s="12" t="str">
        <f>CONCATENATE(N564,A564,"\",B564,"\",C564,".jpg")</f>
        <v>C:\Users\mbaptista\OneDrive - Biblioteca Nacional de Portugal\Documentos\python\camoniana\imagens\capas\381386\1\79.jpg</v>
      </c>
      <c r="P564" s="12" t="str">
        <f>HYPERLINK(O564)</f>
        <v>C:\Users\mbaptista\OneDrive - Biblioteca Nacional de Portugal\Documentos\python\camoniana\imagens\capas\381386\1\79.jpg</v>
      </c>
      <c r="Q564" s="12"/>
      <c r="R564" s="6" t="s">
        <v>769</v>
      </c>
      <c r="S564" s="4"/>
      <c r="T564" s="1" t="s">
        <v>767</v>
      </c>
      <c r="U564" s="13"/>
      <c r="V564" s="13"/>
      <c r="W564" s="5" t="s">
        <v>1491</v>
      </c>
    </row>
    <row r="565" spans="1:23" ht="150">
      <c r="A565" s="1">
        <v>381386</v>
      </c>
      <c r="B565" s="1">
        <v>1</v>
      </c>
      <c r="C565" s="1">
        <v>139</v>
      </c>
      <c r="D565" s="2" t="s">
        <v>765</v>
      </c>
      <c r="E565" s="11" t="s">
        <v>765</v>
      </c>
      <c r="F565" s="11">
        <v>273117</v>
      </c>
      <c r="G565" s="2" t="s">
        <v>1494</v>
      </c>
      <c r="H565" s="2" t="s">
        <v>1495</v>
      </c>
      <c r="I565" s="2" t="s">
        <v>1496</v>
      </c>
      <c r="J565" s="2" t="str">
        <f t="shared" si="16"/>
        <v>https://permalinkbnd.bnportugal.gov.pt/viewer/273117/?offset=#page=139&amp;viewer=picture&amp;o=info&amp;n=0&amp;q=</v>
      </c>
      <c r="K565" s="1" t="s">
        <v>766</v>
      </c>
      <c r="L565" s="1" t="str">
        <f>VLOOKUP(A565,Folha2!$A$2:$B$2019,2,FALSE)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5" s="12" t="str">
        <f t="shared" si="17"/>
        <v>https://permalinkbnd.bnportugal.gov.pt/viewer/273117/?offset=#page=139&amp;viewer=picture&amp;o=info&amp;n=0&amp;q=</v>
      </c>
      <c r="N565" s="12" t="s">
        <v>1497</v>
      </c>
      <c r="O565" s="12" t="str">
        <f>CONCATENATE(N565,A565,"\",B565,"\",C565,".jpg")</f>
        <v>C:\Users\mbaptista\OneDrive - Biblioteca Nacional de Portugal\Documentos\python\camoniana\imagens\capas\381386\1\139.jpg</v>
      </c>
      <c r="P565" s="12" t="str">
        <f>HYPERLINK(O565)</f>
        <v>C:\Users\mbaptista\OneDrive - Biblioteca Nacional de Portugal\Documentos\python\camoniana\imagens\capas\381386\1\139.jpg</v>
      </c>
      <c r="Q565" s="12"/>
      <c r="R565" s="6" t="s">
        <v>770</v>
      </c>
      <c r="S565" s="4"/>
      <c r="T565" s="1" t="s">
        <v>767</v>
      </c>
      <c r="U565" s="13"/>
      <c r="V565" s="13"/>
      <c r="W565" s="5" t="s">
        <v>1491</v>
      </c>
    </row>
    <row r="566" spans="1:23" ht="150">
      <c r="A566" s="1">
        <v>381386</v>
      </c>
      <c r="B566" s="1">
        <v>1</v>
      </c>
      <c r="C566" s="1">
        <v>141</v>
      </c>
      <c r="D566" s="2" t="s">
        <v>765</v>
      </c>
      <c r="E566" s="5" t="s">
        <v>765</v>
      </c>
      <c r="F566" s="5">
        <v>273117</v>
      </c>
      <c r="G566" s="2" t="s">
        <v>1494</v>
      </c>
      <c r="H566" s="2" t="s">
        <v>1495</v>
      </c>
      <c r="I566" s="2" t="s">
        <v>1496</v>
      </c>
      <c r="J566" s="2" t="str">
        <f t="shared" si="16"/>
        <v>https://permalinkbnd.bnportugal.gov.pt/viewer/273117/?offset=#page=141&amp;viewer=picture&amp;o=info&amp;n=0&amp;q=</v>
      </c>
      <c r="K566" s="1" t="s">
        <v>766</v>
      </c>
      <c r="L566" s="1" t="str">
        <f>VLOOKUP(A566,Folha2!$A$2:$B$2019,2,FALSE)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6" s="12" t="str">
        <f t="shared" si="17"/>
        <v>https://permalinkbnd.bnportugal.gov.pt/viewer/273117/?offset=#page=141&amp;viewer=picture&amp;o=info&amp;n=0&amp;q=</v>
      </c>
      <c r="N566" s="12" t="s">
        <v>1497</v>
      </c>
      <c r="O566" s="12" t="str">
        <f>CONCATENATE(N566,A566,"\",B566,"\",C566,".jpg")</f>
        <v>C:\Users\mbaptista\OneDrive - Biblioteca Nacional de Portugal\Documentos\python\camoniana\imagens\capas\381386\1\141.jpg</v>
      </c>
      <c r="P566" s="12" t="str">
        <f>HYPERLINK(O566)</f>
        <v>C:\Users\mbaptista\OneDrive - Biblioteca Nacional de Portugal\Documentos\python\camoniana\imagens\capas\381386\1\141.jpg</v>
      </c>
      <c r="Q566" s="12"/>
      <c r="R566" s="6" t="s">
        <v>771</v>
      </c>
      <c r="S566" s="4"/>
      <c r="T566" s="1" t="s">
        <v>767</v>
      </c>
      <c r="U566" s="13"/>
      <c r="V566" s="13"/>
      <c r="W566" s="5" t="s">
        <v>1491</v>
      </c>
    </row>
    <row r="567" spans="1:23" ht="150">
      <c r="A567" s="1">
        <v>381386</v>
      </c>
      <c r="B567" s="1">
        <v>1</v>
      </c>
      <c r="C567" s="1">
        <v>213</v>
      </c>
      <c r="D567" s="2" t="s">
        <v>765</v>
      </c>
      <c r="E567" s="11" t="s">
        <v>765</v>
      </c>
      <c r="F567" s="11">
        <v>273117</v>
      </c>
      <c r="G567" s="2" t="s">
        <v>1494</v>
      </c>
      <c r="H567" s="2" t="s">
        <v>1495</v>
      </c>
      <c r="I567" s="2" t="s">
        <v>1496</v>
      </c>
      <c r="J567" s="2" t="str">
        <f t="shared" si="16"/>
        <v>https://permalinkbnd.bnportugal.gov.pt/viewer/273117/?offset=#page=213&amp;viewer=picture&amp;o=info&amp;n=0&amp;q=</v>
      </c>
      <c r="K567" s="1" t="s">
        <v>766</v>
      </c>
      <c r="L567" s="1" t="str">
        <f>VLOOKUP(A567,Folha2!$A$2:$B$2019,2,FALSE)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7" s="12" t="str">
        <f t="shared" si="17"/>
        <v>https://permalinkbnd.bnportugal.gov.pt/viewer/273117/?offset=#page=213&amp;viewer=picture&amp;o=info&amp;n=0&amp;q=</v>
      </c>
      <c r="N567" s="12" t="s">
        <v>1497</v>
      </c>
      <c r="O567" s="12" t="str">
        <f>CONCATENATE(N567,A567,"\",B567,"\",C567,".jpg")</f>
        <v>C:\Users\mbaptista\OneDrive - Biblioteca Nacional de Portugal\Documentos\python\camoniana\imagens\capas\381386\1\213.jpg</v>
      </c>
      <c r="P567" s="12" t="str">
        <f>HYPERLINK(O567)</f>
        <v>C:\Users\mbaptista\OneDrive - Biblioteca Nacional de Portugal\Documentos\python\camoniana\imagens\capas\381386\1\213.jpg</v>
      </c>
      <c r="Q567" s="12"/>
      <c r="R567" s="6" t="s">
        <v>772</v>
      </c>
      <c r="S567" s="4"/>
      <c r="T567" s="1" t="s">
        <v>767</v>
      </c>
      <c r="U567" s="13"/>
      <c r="V567" s="13"/>
      <c r="W567" s="5" t="s">
        <v>1491</v>
      </c>
    </row>
    <row r="568" spans="1:23" ht="150">
      <c r="A568" s="1">
        <v>381386</v>
      </c>
      <c r="B568" s="1">
        <v>1</v>
      </c>
      <c r="C568" s="1">
        <v>215</v>
      </c>
      <c r="D568" s="2" t="s">
        <v>765</v>
      </c>
      <c r="E568" s="5" t="s">
        <v>765</v>
      </c>
      <c r="F568" s="5">
        <v>273117</v>
      </c>
      <c r="G568" s="2" t="s">
        <v>1494</v>
      </c>
      <c r="H568" s="2" t="s">
        <v>1495</v>
      </c>
      <c r="I568" s="2" t="s">
        <v>1496</v>
      </c>
      <c r="J568" s="2" t="str">
        <f t="shared" si="16"/>
        <v>https://permalinkbnd.bnportugal.gov.pt/viewer/273117/?offset=#page=215&amp;viewer=picture&amp;o=info&amp;n=0&amp;q=</v>
      </c>
      <c r="K568" s="1" t="s">
        <v>766</v>
      </c>
      <c r="L568" s="1" t="str">
        <f>VLOOKUP(A568,Folha2!$A$2:$B$2019,2,FALSE)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8" s="12" t="str">
        <f t="shared" si="17"/>
        <v>https://permalinkbnd.bnportugal.gov.pt/viewer/273117/?offset=#page=215&amp;viewer=picture&amp;o=info&amp;n=0&amp;q=</v>
      </c>
      <c r="N568" s="12" t="s">
        <v>1497</v>
      </c>
      <c r="O568" s="12" t="str">
        <f>CONCATENATE(N568,A568,"\",B568,"\",C568,".jpg")</f>
        <v>C:\Users\mbaptista\OneDrive - Biblioteca Nacional de Portugal\Documentos\python\camoniana\imagens\capas\381386\1\215.jpg</v>
      </c>
      <c r="P568" s="12" t="str">
        <f>HYPERLINK(O568)</f>
        <v>C:\Users\mbaptista\OneDrive - Biblioteca Nacional de Portugal\Documentos\python\camoniana\imagens\capas\381386\1\215.jpg</v>
      </c>
      <c r="Q568" s="12"/>
      <c r="R568" s="6" t="s">
        <v>773</v>
      </c>
      <c r="S568" s="4"/>
      <c r="T568" s="1" t="s">
        <v>767</v>
      </c>
      <c r="U568" s="13"/>
      <c r="V568" s="13"/>
      <c r="W568" s="5" t="s">
        <v>1491</v>
      </c>
    </row>
    <row r="569" spans="1:23" ht="150">
      <c r="A569" s="1">
        <v>381386</v>
      </c>
      <c r="B569" s="1">
        <v>1</v>
      </c>
      <c r="C569" s="1">
        <v>269</v>
      </c>
      <c r="D569" s="2" t="s">
        <v>765</v>
      </c>
      <c r="E569" s="11" t="s">
        <v>765</v>
      </c>
      <c r="F569" s="11">
        <v>273117</v>
      </c>
      <c r="G569" s="2" t="s">
        <v>1494</v>
      </c>
      <c r="H569" s="2" t="s">
        <v>1495</v>
      </c>
      <c r="I569" s="2" t="s">
        <v>1496</v>
      </c>
      <c r="J569" s="2" t="str">
        <f t="shared" si="16"/>
        <v>https://permalinkbnd.bnportugal.gov.pt/viewer/273117/?offset=#page=269&amp;viewer=picture&amp;o=info&amp;n=0&amp;q=</v>
      </c>
      <c r="K569" s="1" t="s">
        <v>766</v>
      </c>
      <c r="L569" s="1" t="str">
        <f>VLOOKUP(A569,Folha2!$A$2:$B$2019,2,FALSE)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9" s="12" t="str">
        <f t="shared" si="17"/>
        <v>https://permalinkbnd.bnportugal.gov.pt/viewer/273117/?offset=#page=269&amp;viewer=picture&amp;o=info&amp;n=0&amp;q=</v>
      </c>
      <c r="N569" s="12" t="s">
        <v>1497</v>
      </c>
      <c r="O569" s="12" t="str">
        <f>CONCATENATE(N569,A569,"\",B569,"\",C569,".jpg")</f>
        <v>C:\Users\mbaptista\OneDrive - Biblioteca Nacional de Portugal\Documentos\python\camoniana\imagens\capas\381386\1\269.jpg</v>
      </c>
      <c r="P569" s="12" t="str">
        <f>HYPERLINK(O569)</f>
        <v>C:\Users\mbaptista\OneDrive - Biblioteca Nacional de Portugal\Documentos\python\camoniana\imagens\capas\381386\1\269.jpg</v>
      </c>
      <c r="Q569" s="12"/>
      <c r="R569" s="6" t="s">
        <v>774</v>
      </c>
      <c r="S569" s="4"/>
      <c r="T569" s="1" t="s">
        <v>767</v>
      </c>
      <c r="U569" s="13"/>
      <c r="V569" s="13"/>
      <c r="W569" s="5" t="s">
        <v>1491</v>
      </c>
    </row>
    <row r="570" spans="1:23" ht="150">
      <c r="A570" s="1">
        <v>381386</v>
      </c>
      <c r="B570" s="1">
        <v>1</v>
      </c>
      <c r="C570" s="1">
        <v>271</v>
      </c>
      <c r="D570" s="2" t="s">
        <v>765</v>
      </c>
      <c r="E570" s="5" t="s">
        <v>765</v>
      </c>
      <c r="F570" s="5">
        <v>273117</v>
      </c>
      <c r="G570" s="2" t="s">
        <v>1494</v>
      </c>
      <c r="H570" s="2" t="s">
        <v>1495</v>
      </c>
      <c r="I570" s="2" t="s">
        <v>1496</v>
      </c>
      <c r="J570" s="2" t="str">
        <f t="shared" si="16"/>
        <v>https://permalinkbnd.bnportugal.gov.pt/viewer/273117/?offset=#page=271&amp;viewer=picture&amp;o=info&amp;n=0&amp;q=</v>
      </c>
      <c r="K570" s="1" t="s">
        <v>766</v>
      </c>
      <c r="L570" s="1" t="str">
        <f>VLOOKUP(A570,Folha2!$A$2:$B$2019,2,FALSE)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70" s="12" t="str">
        <f t="shared" si="17"/>
        <v>https://permalinkbnd.bnportugal.gov.pt/viewer/273117/?offset=#page=271&amp;viewer=picture&amp;o=info&amp;n=0&amp;q=</v>
      </c>
      <c r="N570" s="12" t="s">
        <v>1497</v>
      </c>
      <c r="O570" s="12" t="str">
        <f>CONCATENATE(N570,A570,"\",B570,"\",C570,".jpg")</f>
        <v>C:\Users\mbaptista\OneDrive - Biblioteca Nacional de Portugal\Documentos\python\camoniana\imagens\capas\381386\1\271.jpg</v>
      </c>
      <c r="P570" s="12" t="str">
        <f>HYPERLINK(O570)</f>
        <v>C:\Users\mbaptista\OneDrive - Biblioteca Nacional de Portugal\Documentos\python\camoniana\imagens\capas\381386\1\271.jpg</v>
      </c>
      <c r="Q570" s="12"/>
      <c r="R570" s="6" t="s">
        <v>775</v>
      </c>
      <c r="S570" s="4"/>
      <c r="T570" s="1" t="s">
        <v>767</v>
      </c>
      <c r="U570" s="13"/>
      <c r="V570" s="13"/>
      <c r="W570" s="5" t="s">
        <v>1491</v>
      </c>
    </row>
    <row r="571" spans="1:23" ht="75">
      <c r="A571" s="1">
        <v>804973</v>
      </c>
      <c r="B571" s="1">
        <v>1</v>
      </c>
      <c r="C571" s="1">
        <v>10</v>
      </c>
      <c r="D571" s="2" t="s">
        <v>776</v>
      </c>
      <c r="E571" s="11" t="s">
        <v>776</v>
      </c>
      <c r="F571" s="11">
        <v>273120</v>
      </c>
      <c r="G571" s="2" t="s">
        <v>1494</v>
      </c>
      <c r="H571" s="2" t="s">
        <v>1495</v>
      </c>
      <c r="I571" s="2" t="s">
        <v>1496</v>
      </c>
      <c r="J571" s="2" t="str">
        <f t="shared" si="16"/>
        <v>https://permalinkbnd.bnportugal.gov.pt/viewer/273120/?offset=#page=10&amp;viewer=picture&amp;o=info&amp;n=0&amp;q=</v>
      </c>
      <c r="K571" s="1" t="s">
        <v>777</v>
      </c>
      <c r="L571" s="1" t="str">
        <f>VLOOKUP(A571,Folha2!$A$2:$B$2019,2,FALSE)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1" s="12" t="str">
        <f t="shared" si="17"/>
        <v>https://permalinkbnd.bnportugal.gov.pt/viewer/273120/?offset=#page=10&amp;viewer=picture&amp;o=info&amp;n=0&amp;q=</v>
      </c>
      <c r="N571" s="12" t="s">
        <v>1497</v>
      </c>
      <c r="O571" s="12" t="str">
        <f>CONCATENATE(N571,A571,"\",B571,"\",C571,".jpg")</f>
        <v>C:\Users\mbaptista\OneDrive - Biblioteca Nacional de Portugal\Documentos\python\camoniana\imagens\capas\804973\1\10.jpg</v>
      </c>
      <c r="P571" s="12" t="str">
        <f>HYPERLINK(O571)</f>
        <v>C:\Users\mbaptista\OneDrive - Biblioteca Nacional de Portugal\Documentos\python\camoniana\imagens\capas\804973\1\10.jpg</v>
      </c>
      <c r="Q571" s="12"/>
      <c r="R571" s="6" t="s">
        <v>778</v>
      </c>
      <c r="S571" s="4"/>
      <c r="T571" s="1">
        <v>10</v>
      </c>
      <c r="U571" s="13"/>
      <c r="V571" s="13"/>
      <c r="W571" s="5" t="s">
        <v>1491</v>
      </c>
    </row>
    <row r="572" spans="1:23" ht="75">
      <c r="A572" s="1">
        <v>804973</v>
      </c>
      <c r="B572" s="1">
        <v>1</v>
      </c>
      <c r="C572" s="1">
        <v>345</v>
      </c>
      <c r="D572" s="2" t="s">
        <v>776</v>
      </c>
      <c r="E572" s="5" t="s">
        <v>776</v>
      </c>
      <c r="F572" s="5">
        <v>273120</v>
      </c>
      <c r="G572" s="2" t="s">
        <v>1494</v>
      </c>
      <c r="H572" s="2" t="s">
        <v>1495</v>
      </c>
      <c r="I572" s="2" t="s">
        <v>1496</v>
      </c>
      <c r="J572" s="2" t="str">
        <f t="shared" si="16"/>
        <v>https://permalinkbnd.bnportugal.gov.pt/viewer/273120/?offset=#page=345&amp;viewer=picture&amp;o=info&amp;n=0&amp;q=</v>
      </c>
      <c r="K572" s="1" t="s">
        <v>777</v>
      </c>
      <c r="L572" s="1" t="str">
        <f>VLOOKUP(A572,Folha2!$A$2:$B$2019,2,FALSE)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2" s="12" t="str">
        <f t="shared" si="17"/>
        <v>https://permalinkbnd.bnportugal.gov.pt/viewer/273120/?offset=#page=345&amp;viewer=picture&amp;o=info&amp;n=0&amp;q=</v>
      </c>
      <c r="N572" s="12" t="s">
        <v>1497</v>
      </c>
      <c r="O572" s="12" t="str">
        <f>CONCATENATE(N572,A572,"\",B572,"\",C572,".jpg")</f>
        <v>C:\Users\mbaptista\OneDrive - Biblioteca Nacional de Portugal\Documentos\python\camoniana\imagens\capas\804973\1\345.jpg</v>
      </c>
      <c r="P572" s="12" t="str">
        <f>HYPERLINK(O572)</f>
        <v>C:\Users\mbaptista\OneDrive - Biblioteca Nacional de Portugal\Documentos\python\camoniana\imagens\capas\804973\1\345.jpg</v>
      </c>
      <c r="Q572" s="12"/>
      <c r="R572" s="6"/>
      <c r="S572" s="4"/>
      <c r="T572" s="1"/>
      <c r="U572" s="13"/>
      <c r="V572" s="13"/>
      <c r="W572" s="5"/>
    </row>
    <row r="573" spans="1:23" ht="75">
      <c r="A573" s="1">
        <v>252299</v>
      </c>
      <c r="B573" s="1">
        <v>1</v>
      </c>
      <c r="C573" s="1">
        <v>2</v>
      </c>
      <c r="D573" s="2" t="s">
        <v>779</v>
      </c>
      <c r="E573" s="11" t="s">
        <v>779</v>
      </c>
      <c r="F573" s="11">
        <v>277449</v>
      </c>
      <c r="G573" s="2" t="s">
        <v>1494</v>
      </c>
      <c r="H573" s="2" t="s">
        <v>1495</v>
      </c>
      <c r="I573" s="2" t="s">
        <v>1496</v>
      </c>
      <c r="J573" s="2" t="str">
        <f t="shared" si="16"/>
        <v>https://permalinkbnd.bnportugal.gov.pt/viewer/277449/?offset=#page=2&amp;viewer=picture&amp;o=info&amp;n=0&amp;q=</v>
      </c>
      <c r="K573" s="1" t="s">
        <v>780</v>
      </c>
      <c r="L573" s="1" t="str">
        <f>VLOOKUP(A573,Folha2!$A$2:$B$2019,2,FALSE)</f>
        <v>Die Lusiaden / von Luís de Camoens ; uebersetzt von J.J.C. Donner ; mit einer Einleitung von Otto von Leimer. - Stuttgart : Verlag von W. Spemann, [1883]</v>
      </c>
      <c r="M573" s="12" t="str">
        <f t="shared" si="17"/>
        <v>https://permalinkbnd.bnportugal.gov.pt/viewer/277449/?offset=#page=2&amp;viewer=picture&amp;o=info&amp;n=0&amp;q=</v>
      </c>
      <c r="N573" s="12" t="s">
        <v>1497</v>
      </c>
      <c r="O573" s="12" t="str">
        <f>CONCATENATE(N573,A573,"\",B573,"\",C573,".jpg")</f>
        <v>C:\Users\mbaptista\OneDrive - Biblioteca Nacional de Portugal\Documentos\python\camoniana\imagens\capas\252299\1\2.jpg</v>
      </c>
      <c r="P573" s="12" t="str">
        <f>HYPERLINK(O573)</f>
        <v>C:\Users\mbaptista\OneDrive - Biblioteca Nacional de Portugal\Documentos\python\camoniana\imagens\capas\252299\1\2.jpg</v>
      </c>
      <c r="Q573" s="12"/>
      <c r="R573" s="6"/>
      <c r="S573" s="4"/>
      <c r="T573" s="1"/>
      <c r="U573" s="13"/>
      <c r="V573" s="13"/>
      <c r="W573" s="5"/>
    </row>
    <row r="574" spans="1:23" ht="75">
      <c r="A574" s="1">
        <v>252299</v>
      </c>
      <c r="B574" s="1">
        <v>1</v>
      </c>
      <c r="C574" s="1">
        <v>7</v>
      </c>
      <c r="D574" s="2" t="s">
        <v>779</v>
      </c>
      <c r="E574" s="5" t="s">
        <v>779</v>
      </c>
      <c r="F574" s="5">
        <v>277449</v>
      </c>
      <c r="G574" s="2" t="s">
        <v>1494</v>
      </c>
      <c r="H574" s="2" t="s">
        <v>1495</v>
      </c>
      <c r="I574" s="2" t="s">
        <v>1496</v>
      </c>
      <c r="J574" s="2" t="str">
        <f t="shared" si="16"/>
        <v>https://permalinkbnd.bnportugal.gov.pt/viewer/277449/?offset=#page=7&amp;viewer=picture&amp;o=info&amp;n=0&amp;q=</v>
      </c>
      <c r="K574" s="1" t="s">
        <v>780</v>
      </c>
      <c r="L574" s="1" t="str">
        <f>VLOOKUP(A574,Folha2!$A$2:$B$2019,2,FALSE)</f>
        <v>Die Lusiaden / von Luís de Camoens ; uebersetzt von J.J.C. Donner ; mit einer Einleitung von Otto von Leimer. - Stuttgart : Verlag von W. Spemann, [1883]</v>
      </c>
      <c r="M574" s="12" t="str">
        <f t="shared" si="17"/>
        <v>https://permalinkbnd.bnportugal.gov.pt/viewer/277449/?offset=#page=7&amp;viewer=picture&amp;o=info&amp;n=0&amp;q=</v>
      </c>
      <c r="N574" s="12" t="s">
        <v>1497</v>
      </c>
      <c r="O574" s="12" t="str">
        <f>CONCATENATE(N574,A574,"\",B574,"\",C574,".jpg")</f>
        <v>C:\Users\mbaptista\OneDrive - Biblioteca Nacional de Portugal\Documentos\python\camoniana\imagens\capas\252299\1\7.jpg</v>
      </c>
      <c r="P574" s="12" t="str">
        <f>HYPERLINK(O574)</f>
        <v>C:\Users\mbaptista\OneDrive - Biblioteca Nacional de Portugal\Documentos\python\camoniana\imagens\capas\252299\1\7.jpg</v>
      </c>
      <c r="Q574" s="12"/>
      <c r="R574" s="6" t="s">
        <v>781</v>
      </c>
      <c r="S574" s="4"/>
      <c r="T574" s="1">
        <v>7</v>
      </c>
      <c r="U574" s="13"/>
      <c r="V574" s="13"/>
      <c r="W574" s="5" t="s">
        <v>1491</v>
      </c>
    </row>
    <row r="575" spans="1:23" ht="75">
      <c r="A575" s="1">
        <v>860111</v>
      </c>
      <c r="B575" s="1">
        <v>1</v>
      </c>
      <c r="C575" s="1">
        <v>45</v>
      </c>
      <c r="D575" s="2" t="s">
        <v>782</v>
      </c>
      <c r="E575" s="11" t="s">
        <v>782</v>
      </c>
      <c r="F575" s="11">
        <v>277452</v>
      </c>
      <c r="G575" s="2" t="s">
        <v>1494</v>
      </c>
      <c r="H575" s="2" t="s">
        <v>1495</v>
      </c>
      <c r="I575" s="2" t="s">
        <v>1496</v>
      </c>
      <c r="J575" s="2" t="str">
        <f t="shared" si="16"/>
        <v>https://permalinkbnd.bnportugal.gov.pt/viewer/277452/?offset=#page=45&amp;viewer=picture&amp;o=info&amp;n=0&amp;q=</v>
      </c>
      <c r="K575" s="1" t="s">
        <v>783</v>
      </c>
      <c r="L575" s="1" t="str">
        <f>VLOOKUP(A575,Folha2!$A$2:$B$2019,2,FALSE)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5" s="12" t="str">
        <f t="shared" si="17"/>
        <v>https://permalinkbnd.bnportugal.gov.pt/viewer/277452/?offset=#page=45&amp;viewer=picture&amp;o=info&amp;n=0&amp;q=</v>
      </c>
      <c r="N575" s="12" t="s">
        <v>1497</v>
      </c>
      <c r="O575" s="12" t="str">
        <f>CONCATENATE(N575,A575,"\",B575,"\",C575,".jpg")</f>
        <v>C:\Users\mbaptista\OneDrive - Biblioteca Nacional de Portugal\Documentos\python\camoniana\imagens\capas\860111\1\45.jpg</v>
      </c>
      <c r="P575" s="12" t="str">
        <f>HYPERLINK(O575)</f>
        <v>C:\Users\mbaptista\OneDrive - Biblioteca Nacional de Portugal\Documentos\python\camoniana\imagens\capas\860111\1\45.jpg</v>
      </c>
      <c r="Q575" s="12"/>
      <c r="R575" s="6" t="s">
        <v>785</v>
      </c>
      <c r="S575" s="4"/>
      <c r="T575" s="1" t="s">
        <v>784</v>
      </c>
      <c r="U575" s="13"/>
      <c r="V575" s="13"/>
      <c r="W575" s="5" t="s">
        <v>1491</v>
      </c>
    </row>
    <row r="576" spans="1:23" ht="75">
      <c r="A576" s="1">
        <v>860111</v>
      </c>
      <c r="B576" s="1">
        <v>1</v>
      </c>
      <c r="C576" s="1">
        <v>47</v>
      </c>
      <c r="D576" s="2" t="s">
        <v>782</v>
      </c>
      <c r="E576" s="5" t="s">
        <v>782</v>
      </c>
      <c r="F576" s="5">
        <v>277452</v>
      </c>
      <c r="G576" s="2" t="s">
        <v>1494</v>
      </c>
      <c r="H576" s="2" t="s">
        <v>1495</v>
      </c>
      <c r="I576" s="2" t="s">
        <v>1496</v>
      </c>
      <c r="J576" s="2" t="str">
        <f t="shared" si="16"/>
        <v>https://permalinkbnd.bnportugal.gov.pt/viewer/277452/?offset=#page=47&amp;viewer=picture&amp;o=info&amp;n=0&amp;q=</v>
      </c>
      <c r="K576" s="1" t="s">
        <v>783</v>
      </c>
      <c r="L576" s="1" t="str">
        <f>VLOOKUP(A576,Folha2!$A$2:$B$2019,2,FALSE)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6" s="12" t="str">
        <f t="shared" si="17"/>
        <v>https://permalinkbnd.bnportugal.gov.pt/viewer/277452/?offset=#page=47&amp;viewer=picture&amp;o=info&amp;n=0&amp;q=</v>
      </c>
      <c r="N576" s="12" t="s">
        <v>1497</v>
      </c>
      <c r="O576" s="12" t="str">
        <f>CONCATENATE(N576,A576,"\",B576,"\",C576,".jpg")</f>
        <v>C:\Users\mbaptista\OneDrive - Biblioteca Nacional de Portugal\Documentos\python\camoniana\imagens\capas\860111\1\47.jpg</v>
      </c>
      <c r="P576" s="12" t="str">
        <f>HYPERLINK(O576)</f>
        <v>C:\Users\mbaptista\OneDrive - Biblioteca Nacional de Portugal\Documentos\python\camoniana\imagens\capas\860111\1\47.jpg</v>
      </c>
      <c r="Q576" s="12"/>
      <c r="R576" s="6" t="s">
        <v>786</v>
      </c>
      <c r="S576" s="4"/>
      <c r="T576" s="1" t="s">
        <v>784</v>
      </c>
      <c r="U576" s="13"/>
      <c r="V576" s="13"/>
      <c r="W576" s="5" t="s">
        <v>1491</v>
      </c>
    </row>
    <row r="577" spans="1:23" ht="75">
      <c r="A577" s="1">
        <v>860111</v>
      </c>
      <c r="B577" s="1">
        <v>1</v>
      </c>
      <c r="C577" s="1">
        <v>49</v>
      </c>
      <c r="D577" s="2" t="s">
        <v>782</v>
      </c>
      <c r="E577" s="11" t="s">
        <v>782</v>
      </c>
      <c r="F577" s="11">
        <v>277452</v>
      </c>
      <c r="G577" s="2" t="s">
        <v>1494</v>
      </c>
      <c r="H577" s="2" t="s">
        <v>1495</v>
      </c>
      <c r="I577" s="2" t="s">
        <v>1496</v>
      </c>
      <c r="J577" s="2" t="str">
        <f t="shared" si="16"/>
        <v>https://permalinkbnd.bnportugal.gov.pt/viewer/277452/?offset=#page=49&amp;viewer=picture&amp;o=info&amp;n=0&amp;q=</v>
      </c>
      <c r="K577" s="1" t="s">
        <v>783</v>
      </c>
      <c r="L577" s="1" t="str">
        <f>VLOOKUP(A577,Folha2!$A$2:$B$2019,2,FALSE)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7" s="12" t="str">
        <f t="shared" si="17"/>
        <v>https://permalinkbnd.bnportugal.gov.pt/viewer/277452/?offset=#page=49&amp;viewer=picture&amp;o=info&amp;n=0&amp;q=</v>
      </c>
      <c r="N577" s="12" t="s">
        <v>1497</v>
      </c>
      <c r="O577" s="12" t="str">
        <f>CONCATENATE(N577,A577,"\",B577,"\",C577,".jpg")</f>
        <v>C:\Users\mbaptista\OneDrive - Biblioteca Nacional de Portugal\Documentos\python\camoniana\imagens\capas\860111\1\49.jpg</v>
      </c>
      <c r="P577" s="12" t="str">
        <f>HYPERLINK(O577)</f>
        <v>C:\Users\mbaptista\OneDrive - Biblioteca Nacional de Portugal\Documentos\python\camoniana\imagens\capas\860111\1\49.jpg</v>
      </c>
      <c r="Q577" s="12"/>
      <c r="R577" s="6"/>
      <c r="S577" s="4"/>
      <c r="T577" s="1"/>
      <c r="U577" s="13"/>
      <c r="V577" s="13"/>
      <c r="W577" s="5"/>
    </row>
    <row r="578" spans="1:23" ht="75">
      <c r="A578" s="1">
        <v>860111</v>
      </c>
      <c r="B578" s="1">
        <v>1</v>
      </c>
      <c r="C578" s="1">
        <v>77</v>
      </c>
      <c r="D578" s="2" t="s">
        <v>782</v>
      </c>
      <c r="E578" s="5" t="s">
        <v>782</v>
      </c>
      <c r="F578" s="5">
        <v>277452</v>
      </c>
      <c r="G578" s="2" t="s">
        <v>1494</v>
      </c>
      <c r="H578" s="2" t="s">
        <v>1495</v>
      </c>
      <c r="I578" s="2" t="s">
        <v>1496</v>
      </c>
      <c r="J578" s="2" t="str">
        <f t="shared" ref="J578:J641" si="18">CONCATENATE(G578,F578,H578,C578,I578)</f>
        <v>https://permalinkbnd.bnportugal.gov.pt/viewer/277452/?offset=#page=77&amp;viewer=picture&amp;o=info&amp;n=0&amp;q=</v>
      </c>
      <c r="K578" s="1" t="s">
        <v>783</v>
      </c>
      <c r="L578" s="1" t="str">
        <f>VLOOKUP(A578,Folha2!$A$2:$B$2019,2,FALSE)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8" s="12" t="str">
        <f t="shared" ref="M578:M641" si="19">HYPERLINK(J578)</f>
        <v>https://permalinkbnd.bnportugal.gov.pt/viewer/277452/?offset=#page=77&amp;viewer=picture&amp;o=info&amp;n=0&amp;q=</v>
      </c>
      <c r="N578" s="12" t="s">
        <v>1497</v>
      </c>
      <c r="O578" s="12" t="str">
        <f>CONCATENATE(N578,A578,"\",B578,"\",C578,".jpg")</f>
        <v>C:\Users\mbaptista\OneDrive - Biblioteca Nacional de Portugal\Documentos\python\camoniana\imagens\capas\860111\1\77.jpg</v>
      </c>
      <c r="P578" s="12" t="str">
        <f>HYPERLINK(O578)</f>
        <v>C:\Users\mbaptista\OneDrive - Biblioteca Nacional de Portugal\Documentos\python\camoniana\imagens\capas\860111\1\77.jpg</v>
      </c>
      <c r="Q578" s="12"/>
      <c r="R578" s="6" t="s">
        <v>787</v>
      </c>
      <c r="S578" s="4"/>
      <c r="T578" s="1" t="s">
        <v>784</v>
      </c>
      <c r="U578" s="13"/>
      <c r="V578" s="13"/>
      <c r="W578" s="5" t="s">
        <v>1491</v>
      </c>
    </row>
    <row r="579" spans="1:23" ht="75">
      <c r="A579" s="1">
        <v>860111</v>
      </c>
      <c r="B579" s="1">
        <v>1</v>
      </c>
      <c r="C579" s="1">
        <v>105</v>
      </c>
      <c r="D579" s="2" t="s">
        <v>782</v>
      </c>
      <c r="E579" s="11" t="s">
        <v>782</v>
      </c>
      <c r="F579" s="11">
        <v>277452</v>
      </c>
      <c r="G579" s="2" t="s">
        <v>1494</v>
      </c>
      <c r="H579" s="2" t="s">
        <v>1495</v>
      </c>
      <c r="I579" s="2" t="s">
        <v>1496</v>
      </c>
      <c r="J579" s="2" t="str">
        <f t="shared" si="18"/>
        <v>https://permalinkbnd.bnportugal.gov.pt/viewer/277452/?offset=#page=105&amp;viewer=picture&amp;o=info&amp;n=0&amp;q=</v>
      </c>
      <c r="K579" s="1" t="s">
        <v>783</v>
      </c>
      <c r="L579" s="1" t="str">
        <f>VLOOKUP(A579,Folha2!$A$2:$B$2019,2,FALSE)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9" s="12" t="str">
        <f t="shared" si="19"/>
        <v>https://permalinkbnd.bnportugal.gov.pt/viewer/277452/?offset=#page=105&amp;viewer=picture&amp;o=info&amp;n=0&amp;q=</v>
      </c>
      <c r="N579" s="12" t="s">
        <v>1497</v>
      </c>
      <c r="O579" s="12" t="str">
        <f>CONCATENATE(N579,A579,"\",B579,"\",C579,".jpg")</f>
        <v>C:\Users\mbaptista\OneDrive - Biblioteca Nacional de Portugal\Documentos\python\camoniana\imagens\capas\860111\1\105.jpg</v>
      </c>
      <c r="P579" s="12" t="str">
        <f>HYPERLINK(O579)</f>
        <v>C:\Users\mbaptista\OneDrive - Biblioteca Nacional de Portugal\Documentos\python\camoniana\imagens\capas\860111\1\105.jpg</v>
      </c>
      <c r="Q579" s="12"/>
      <c r="R579" s="6" t="s">
        <v>788</v>
      </c>
      <c r="S579" s="4"/>
      <c r="T579" s="1" t="s">
        <v>784</v>
      </c>
      <c r="U579" s="13"/>
      <c r="V579" s="13"/>
      <c r="W579" s="5" t="s">
        <v>1491</v>
      </c>
    </row>
    <row r="580" spans="1:23" ht="75">
      <c r="A580" s="1">
        <v>860111</v>
      </c>
      <c r="B580" s="1">
        <v>1</v>
      </c>
      <c r="C580" s="1">
        <v>131</v>
      </c>
      <c r="D580" s="2" t="s">
        <v>782</v>
      </c>
      <c r="E580" s="5" t="s">
        <v>782</v>
      </c>
      <c r="F580" s="5">
        <v>277452</v>
      </c>
      <c r="G580" s="2" t="s">
        <v>1494</v>
      </c>
      <c r="H580" s="2" t="s">
        <v>1495</v>
      </c>
      <c r="I580" s="2" t="s">
        <v>1496</v>
      </c>
      <c r="J580" s="2" t="str">
        <f t="shared" si="18"/>
        <v>https://permalinkbnd.bnportugal.gov.pt/viewer/277452/?offset=#page=131&amp;viewer=picture&amp;o=info&amp;n=0&amp;q=</v>
      </c>
      <c r="K580" s="1" t="s">
        <v>783</v>
      </c>
      <c r="L580" s="1" t="str">
        <f>VLOOKUP(A580,Folha2!$A$2:$B$2019,2,FALSE)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0" s="12" t="str">
        <f t="shared" si="19"/>
        <v>https://permalinkbnd.bnportugal.gov.pt/viewer/277452/?offset=#page=131&amp;viewer=picture&amp;o=info&amp;n=0&amp;q=</v>
      </c>
      <c r="N580" s="12" t="s">
        <v>1497</v>
      </c>
      <c r="O580" s="12" t="str">
        <f>CONCATENATE(N580,A580,"\",B580,"\",C580,".jpg")</f>
        <v>C:\Users\mbaptista\OneDrive - Biblioteca Nacional de Portugal\Documentos\python\camoniana\imagens\capas\860111\1\131.jpg</v>
      </c>
      <c r="P580" s="12" t="str">
        <f>HYPERLINK(O580)</f>
        <v>C:\Users\mbaptista\OneDrive - Biblioteca Nacional de Portugal\Documentos\python\camoniana\imagens\capas\860111\1\131.jpg</v>
      </c>
      <c r="Q580" s="12"/>
      <c r="R580" s="6" t="s">
        <v>789</v>
      </c>
      <c r="S580" s="4"/>
      <c r="T580" s="1" t="s">
        <v>784</v>
      </c>
      <c r="U580" s="13"/>
      <c r="V580" s="13"/>
      <c r="W580" s="5" t="s">
        <v>1491</v>
      </c>
    </row>
    <row r="581" spans="1:23" ht="75">
      <c r="A581" s="1">
        <v>860111</v>
      </c>
      <c r="B581" s="1">
        <v>1</v>
      </c>
      <c r="C581" s="1">
        <v>227</v>
      </c>
      <c r="D581" s="2" t="s">
        <v>782</v>
      </c>
      <c r="E581" s="11" t="s">
        <v>782</v>
      </c>
      <c r="F581" s="11">
        <v>277452</v>
      </c>
      <c r="G581" s="2" t="s">
        <v>1494</v>
      </c>
      <c r="H581" s="2" t="s">
        <v>1495</v>
      </c>
      <c r="I581" s="2" t="s">
        <v>1496</v>
      </c>
      <c r="J581" s="2" t="str">
        <f t="shared" si="18"/>
        <v>https://permalinkbnd.bnportugal.gov.pt/viewer/277452/?offset=#page=227&amp;viewer=picture&amp;o=info&amp;n=0&amp;q=</v>
      </c>
      <c r="K581" s="1" t="s">
        <v>783</v>
      </c>
      <c r="L581" s="1" t="str">
        <f>VLOOKUP(A581,Folha2!$A$2:$B$2019,2,FALSE)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1" s="12" t="str">
        <f t="shared" si="19"/>
        <v>https://permalinkbnd.bnportugal.gov.pt/viewer/277452/?offset=#page=227&amp;viewer=picture&amp;o=info&amp;n=0&amp;q=</v>
      </c>
      <c r="N581" s="12" t="s">
        <v>1497</v>
      </c>
      <c r="O581" s="12" t="str">
        <f>CONCATENATE(N581,A581,"\",B581,"\",C581,".jpg")</f>
        <v>C:\Users\mbaptista\OneDrive - Biblioteca Nacional de Portugal\Documentos\python\camoniana\imagens\capas\860111\1\227.jpg</v>
      </c>
      <c r="P581" s="12" t="str">
        <f>HYPERLINK(O581)</f>
        <v>C:\Users\mbaptista\OneDrive - Biblioteca Nacional de Portugal\Documentos\python\camoniana\imagens\capas\860111\1\227.jpg</v>
      </c>
      <c r="Q581" s="12"/>
      <c r="R581" s="6" t="s">
        <v>790</v>
      </c>
      <c r="S581" s="4"/>
      <c r="T581" s="1" t="s">
        <v>784</v>
      </c>
      <c r="U581" s="13"/>
      <c r="V581" s="13"/>
      <c r="W581" s="5" t="s">
        <v>1491</v>
      </c>
    </row>
    <row r="582" spans="1:23" ht="75">
      <c r="A582" s="1">
        <v>860111</v>
      </c>
      <c r="B582" s="1">
        <v>1</v>
      </c>
      <c r="C582" s="1">
        <v>473</v>
      </c>
      <c r="D582" s="2" t="s">
        <v>782</v>
      </c>
      <c r="E582" s="5" t="s">
        <v>782</v>
      </c>
      <c r="F582" s="5">
        <v>277452</v>
      </c>
      <c r="G582" s="2" t="s">
        <v>1494</v>
      </c>
      <c r="H582" s="2" t="s">
        <v>1495</v>
      </c>
      <c r="I582" s="2" t="s">
        <v>1496</v>
      </c>
      <c r="J582" s="2" t="str">
        <f t="shared" si="18"/>
        <v>https://permalinkbnd.bnportugal.gov.pt/viewer/277452/?offset=#page=473&amp;viewer=picture&amp;o=info&amp;n=0&amp;q=</v>
      </c>
      <c r="K582" s="1" t="s">
        <v>783</v>
      </c>
      <c r="L582" s="1" t="str">
        <f>VLOOKUP(A582,Folha2!$A$2:$B$2019,2,FALSE)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2" s="12" t="str">
        <f t="shared" si="19"/>
        <v>https://permalinkbnd.bnportugal.gov.pt/viewer/277452/?offset=#page=473&amp;viewer=picture&amp;o=info&amp;n=0&amp;q=</v>
      </c>
      <c r="N582" s="12" t="s">
        <v>1497</v>
      </c>
      <c r="O582" s="12" t="str">
        <f>CONCATENATE(N582,A582,"\",B582,"\",C582,".jpg")</f>
        <v>C:\Users\mbaptista\OneDrive - Biblioteca Nacional de Portugal\Documentos\python\camoniana\imagens\capas\860111\1\473.jpg</v>
      </c>
      <c r="P582" s="12" t="str">
        <f>HYPERLINK(O582)</f>
        <v>C:\Users\mbaptista\OneDrive - Biblioteca Nacional de Portugal\Documentos\python\camoniana\imagens\capas\860111\1\473.jpg</v>
      </c>
      <c r="Q582" s="12"/>
      <c r="R582" s="6" t="s">
        <v>791</v>
      </c>
      <c r="S582" s="4"/>
      <c r="T582" s="1" t="s">
        <v>784</v>
      </c>
      <c r="U582" s="13"/>
      <c r="V582" s="13"/>
      <c r="W582" s="5" t="s">
        <v>1491</v>
      </c>
    </row>
    <row r="583" spans="1:23" ht="75">
      <c r="A583" s="1">
        <v>860111</v>
      </c>
      <c r="B583" s="1">
        <v>1</v>
      </c>
      <c r="C583" s="1">
        <v>493</v>
      </c>
      <c r="D583" s="2" t="s">
        <v>782</v>
      </c>
      <c r="E583" s="11" t="s">
        <v>782</v>
      </c>
      <c r="F583" s="11">
        <v>277452</v>
      </c>
      <c r="G583" s="2" t="s">
        <v>1494</v>
      </c>
      <c r="H583" s="2" t="s">
        <v>1495</v>
      </c>
      <c r="I583" s="2" t="s">
        <v>1496</v>
      </c>
      <c r="J583" s="2" t="str">
        <f t="shared" si="18"/>
        <v>https://permalinkbnd.bnportugal.gov.pt/viewer/277452/?offset=#page=493&amp;viewer=picture&amp;o=info&amp;n=0&amp;q=</v>
      </c>
      <c r="K583" s="1" t="s">
        <v>783</v>
      </c>
      <c r="L583" s="1" t="str">
        <f>VLOOKUP(A583,Folha2!$A$2:$B$2019,2,FALSE)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3" s="12" t="str">
        <f t="shared" si="19"/>
        <v>https://permalinkbnd.bnportugal.gov.pt/viewer/277452/?offset=#page=493&amp;viewer=picture&amp;o=info&amp;n=0&amp;q=</v>
      </c>
      <c r="N583" s="12" t="s">
        <v>1497</v>
      </c>
      <c r="O583" s="12" t="str">
        <f>CONCATENATE(N583,A583,"\",B583,"\",C583,".jpg")</f>
        <v>C:\Users\mbaptista\OneDrive - Biblioteca Nacional de Portugal\Documentos\python\camoniana\imagens\capas\860111\1\493.jpg</v>
      </c>
      <c r="P583" s="12" t="str">
        <f>HYPERLINK(O583)</f>
        <v>C:\Users\mbaptista\OneDrive - Biblioteca Nacional de Portugal\Documentos\python\camoniana\imagens\capas\860111\1\493.jpg</v>
      </c>
      <c r="Q583" s="12"/>
      <c r="R583" s="6" t="s">
        <v>792</v>
      </c>
      <c r="S583" s="4"/>
      <c r="T583" s="1" t="s">
        <v>784</v>
      </c>
      <c r="U583" s="13"/>
      <c r="V583" s="13"/>
      <c r="W583" s="5" t="s">
        <v>1491</v>
      </c>
    </row>
    <row r="584" spans="1:23" ht="75">
      <c r="A584" s="1">
        <v>259979</v>
      </c>
      <c r="B584" s="1">
        <v>1</v>
      </c>
      <c r="C584" s="1">
        <v>10</v>
      </c>
      <c r="D584" s="2" t="s">
        <v>793</v>
      </c>
      <c r="E584" s="5" t="s">
        <v>793</v>
      </c>
      <c r="F584" s="5">
        <v>277482</v>
      </c>
      <c r="G584" s="2" t="s">
        <v>1494</v>
      </c>
      <c r="H584" s="2" t="s">
        <v>1495</v>
      </c>
      <c r="I584" s="2" t="s">
        <v>1496</v>
      </c>
      <c r="J584" s="2" t="str">
        <f t="shared" si="18"/>
        <v>https://permalinkbnd.bnportugal.gov.pt/viewer/277482/?offset=#page=10&amp;viewer=picture&amp;o=info&amp;n=0&amp;q=</v>
      </c>
      <c r="K584" s="1">
        <v>10</v>
      </c>
      <c r="L584" s="1" t="str">
        <f>VLOOKUP(A584,Folha2!$A$2:$B$2019,2,FALSE)</f>
        <v>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v>
      </c>
      <c r="M584" s="12" t="str">
        <f t="shared" si="19"/>
        <v>https://permalinkbnd.bnportugal.gov.pt/viewer/277482/?offset=#page=10&amp;viewer=picture&amp;o=info&amp;n=0&amp;q=</v>
      </c>
      <c r="N584" s="12" t="s">
        <v>1497</v>
      </c>
      <c r="O584" s="12" t="str">
        <f>CONCATENATE(N584,A584,"\",B584,"\",C584,".jpg")</f>
        <v>C:\Users\mbaptista\OneDrive - Biblioteca Nacional de Portugal\Documentos\python\camoniana\imagens\capas\259979\1\10.jpg</v>
      </c>
      <c r="P584" s="12" t="str">
        <f>HYPERLINK(O584)</f>
        <v>C:\Users\mbaptista\OneDrive - Biblioteca Nacional de Portugal\Documentos\python\camoniana\imagens\capas\259979\1\10.jpg</v>
      </c>
      <c r="Q584" s="12"/>
      <c r="R584" s="6" t="s">
        <v>794</v>
      </c>
      <c r="S584" s="4"/>
      <c r="T584" s="1">
        <v>10</v>
      </c>
      <c r="U584" s="13"/>
      <c r="V584" s="13"/>
      <c r="W584" s="5" t="s">
        <v>1491</v>
      </c>
    </row>
    <row r="585" spans="1:23" ht="75">
      <c r="A585" s="1">
        <v>865247</v>
      </c>
      <c r="B585" s="1">
        <v>1</v>
      </c>
      <c r="C585" s="1">
        <v>12</v>
      </c>
      <c r="D585" s="2" t="s">
        <v>795</v>
      </c>
      <c r="E585" s="11" t="s">
        <v>795</v>
      </c>
      <c r="F585" s="11">
        <v>277488</v>
      </c>
      <c r="G585" s="2" t="s">
        <v>1494</v>
      </c>
      <c r="H585" s="2" t="s">
        <v>1495</v>
      </c>
      <c r="I585" s="2" t="s">
        <v>1496</v>
      </c>
      <c r="J585" s="2" t="str">
        <f t="shared" si="18"/>
        <v>https://permalinkbnd.bnportugal.gov.pt/viewer/277488/?offset=#page=12&amp;viewer=picture&amp;o=info&amp;n=0&amp;q=</v>
      </c>
      <c r="K585" s="1">
        <v>12</v>
      </c>
      <c r="L585" s="1" t="str">
        <f>VLOOKUP(A585,Folha2!$A$2:$B$2019,2,FALSE)</f>
        <v>Intorno al genovese Carlo Antonio Paggi : cenni / Joaquim de Araujo. - Genova : Tip. R. Istituto Sordo-muti, 1899</v>
      </c>
      <c r="M585" s="12" t="str">
        <f t="shared" si="19"/>
        <v>https://permalinkbnd.bnportugal.gov.pt/viewer/277488/?offset=#page=12&amp;viewer=picture&amp;o=info&amp;n=0&amp;q=</v>
      </c>
      <c r="N585" s="12" t="s">
        <v>1497</v>
      </c>
      <c r="O585" s="12" t="str">
        <f>CONCATENATE(N585,A585,"\",B585,"\",C585,".jpg")</f>
        <v>C:\Users\mbaptista\OneDrive - Biblioteca Nacional de Portugal\Documentos\python\camoniana\imagens\capas\865247\1\12.jpg</v>
      </c>
      <c r="P585" s="12" t="str">
        <f>HYPERLINK(O585)</f>
        <v>C:\Users\mbaptista\OneDrive - Biblioteca Nacional de Portugal\Documentos\python\camoniana\imagens\capas\865247\1\12.jpg</v>
      </c>
      <c r="Q585" s="12"/>
      <c r="R585" s="6" t="s">
        <v>796</v>
      </c>
      <c r="S585" s="4"/>
      <c r="T585" s="1">
        <v>12</v>
      </c>
      <c r="U585" s="13"/>
      <c r="V585" s="13"/>
      <c r="W585" s="5" t="s">
        <v>1491</v>
      </c>
    </row>
    <row r="586" spans="1:23" ht="75">
      <c r="A586" s="1">
        <v>397837</v>
      </c>
      <c r="B586" s="1">
        <v>1</v>
      </c>
      <c r="C586" s="1">
        <v>9</v>
      </c>
      <c r="D586" s="2" t="s">
        <v>797</v>
      </c>
      <c r="E586" s="5" t="s">
        <v>797</v>
      </c>
      <c r="F586" s="5">
        <v>272638</v>
      </c>
      <c r="G586" s="2" t="s">
        <v>1494</v>
      </c>
      <c r="H586" s="2" t="s">
        <v>1495</v>
      </c>
      <c r="I586" s="2" t="s">
        <v>1496</v>
      </c>
      <c r="J586" s="2" t="str">
        <f t="shared" si="18"/>
        <v>https://permalinkbnd.bnportugal.gov.pt/viewer/272638/?offset=#page=9&amp;viewer=picture&amp;o=info&amp;n=0&amp;q=</v>
      </c>
      <c r="K586" s="1" t="s">
        <v>798</v>
      </c>
      <c r="L586" s="1" t="str">
        <f>VLOOKUP(A586,Folha2!$A$2:$B$2019,2,FALSE)</f>
        <v>Os Lusíadas : segundo o texto da primeira edição de 1572, com as variantes da 2ª edição 1584. - Coimbra : Imprensa da Universidade. - Braga : Livraria Cruz, 1923. Épica, sem argumentos, com variantes. Um ano antes da celebração: não agregar.</v>
      </c>
      <c r="M586" s="12" t="str">
        <f t="shared" si="19"/>
        <v>https://permalinkbnd.bnportugal.gov.pt/viewer/272638/?offset=#page=9&amp;viewer=picture&amp;o=info&amp;n=0&amp;q=</v>
      </c>
      <c r="N586" s="12" t="s">
        <v>1497</v>
      </c>
      <c r="O586" s="12" t="str">
        <f>CONCATENATE(N586,A586,"\",B586,"\",C586,".jpg")</f>
        <v>C:\Users\mbaptista\OneDrive - Biblioteca Nacional de Portugal\Documentos\python\camoniana\imagens\capas\397837\1\9.jpg</v>
      </c>
      <c r="P586" s="12" t="str">
        <f>HYPERLINK(O586)</f>
        <v>C:\Users\mbaptista\OneDrive - Biblioteca Nacional de Portugal\Documentos\python\camoniana\imagens\capas\397837\1\9.jpg</v>
      </c>
      <c r="Q586" s="12"/>
      <c r="R586" s="6" t="s">
        <v>799</v>
      </c>
      <c r="S586" s="4"/>
      <c r="T586" s="1"/>
      <c r="U586" s="13"/>
      <c r="V586" s="13"/>
      <c r="W586" s="5" t="s">
        <v>1491</v>
      </c>
    </row>
    <row r="587" spans="1:23" ht="75">
      <c r="A587" s="1">
        <v>397837</v>
      </c>
      <c r="B587" s="1">
        <v>1</v>
      </c>
      <c r="C587" s="1">
        <v>27</v>
      </c>
      <c r="D587" s="2" t="s">
        <v>797</v>
      </c>
      <c r="E587" s="11" t="s">
        <v>797</v>
      </c>
      <c r="F587" s="11">
        <v>272638</v>
      </c>
      <c r="G587" s="2" t="s">
        <v>1494</v>
      </c>
      <c r="H587" s="2" t="s">
        <v>1495</v>
      </c>
      <c r="I587" s="2" t="s">
        <v>1496</v>
      </c>
      <c r="J587" s="2" t="str">
        <f t="shared" si="18"/>
        <v>https://permalinkbnd.bnportugal.gov.pt/viewer/272638/?offset=#page=27&amp;viewer=picture&amp;o=info&amp;n=0&amp;q=</v>
      </c>
      <c r="K587" s="1" t="s">
        <v>798</v>
      </c>
      <c r="L587" s="1" t="str">
        <f>VLOOKUP(A587,Folha2!$A$2:$B$2019,2,FALSE)</f>
        <v>Os Lusíadas : segundo o texto da primeira edição de 1572, com as variantes da 2ª edição 1584. - Coimbra : Imprensa da Universidade. - Braga : Livraria Cruz, 1923. Épica, sem argumentos, com variantes. Um ano antes da celebração: não agregar.</v>
      </c>
      <c r="M587" s="12" t="str">
        <f t="shared" si="19"/>
        <v>https://permalinkbnd.bnportugal.gov.pt/viewer/272638/?offset=#page=27&amp;viewer=picture&amp;o=info&amp;n=0&amp;q=</v>
      </c>
      <c r="N587" s="12" t="s">
        <v>1497</v>
      </c>
      <c r="O587" s="12" t="str">
        <f>CONCATENATE(N587,A587,"\",B587,"\",C587,".jpg")</f>
        <v>C:\Users\mbaptista\OneDrive - Biblioteca Nacional de Portugal\Documentos\python\camoniana\imagens\capas\397837\1\27.jpg</v>
      </c>
      <c r="P587" s="12" t="str">
        <f>HYPERLINK(O587)</f>
        <v>C:\Users\mbaptista\OneDrive - Biblioteca Nacional de Portugal\Documentos\python\camoniana\imagens\capas\397837\1\27.jpg</v>
      </c>
      <c r="Q587" s="12"/>
      <c r="R587" s="6" t="s">
        <v>800</v>
      </c>
      <c r="S587" s="4"/>
      <c r="T587" s="1"/>
      <c r="U587" s="13"/>
      <c r="V587" s="13"/>
      <c r="W587" s="5" t="s">
        <v>1491</v>
      </c>
    </row>
    <row r="588" spans="1:23" ht="75">
      <c r="A588" s="1">
        <v>397837</v>
      </c>
      <c r="B588" s="1">
        <v>1</v>
      </c>
      <c r="C588" s="1">
        <v>404</v>
      </c>
      <c r="D588" s="2" t="s">
        <v>797</v>
      </c>
      <c r="E588" s="5" t="s">
        <v>797</v>
      </c>
      <c r="F588" s="5">
        <v>272638</v>
      </c>
      <c r="G588" s="2" t="s">
        <v>1494</v>
      </c>
      <c r="H588" s="2" t="s">
        <v>1495</v>
      </c>
      <c r="I588" s="2" t="s">
        <v>1496</v>
      </c>
      <c r="J588" s="2" t="str">
        <f t="shared" si="18"/>
        <v>https://permalinkbnd.bnportugal.gov.pt/viewer/272638/?offset=#page=404&amp;viewer=picture&amp;o=info&amp;n=0&amp;q=</v>
      </c>
      <c r="K588" s="1" t="s">
        <v>798</v>
      </c>
      <c r="L588" s="1" t="str">
        <f>VLOOKUP(A588,Folha2!$A$2:$B$2019,2,FALSE)</f>
        <v>Os Lusíadas : segundo o texto da primeira edição de 1572, com as variantes da 2ª edição 1584. - Coimbra : Imprensa da Universidade. - Braga : Livraria Cruz, 1923. Épica, sem argumentos, com variantes. Um ano antes da celebração: não agregar.</v>
      </c>
      <c r="M588" s="12" t="str">
        <f t="shared" si="19"/>
        <v>https://permalinkbnd.bnportugal.gov.pt/viewer/272638/?offset=#page=404&amp;viewer=picture&amp;o=info&amp;n=0&amp;q=</v>
      </c>
      <c r="N588" s="12" t="s">
        <v>1497</v>
      </c>
      <c r="O588" s="12" t="str">
        <f>CONCATENATE(N588,A588,"\",B588,"\",C588,".jpg")</f>
        <v>C:\Users\mbaptista\OneDrive - Biblioteca Nacional de Portugal\Documentos\python\camoniana\imagens\capas\397837\1\404.jpg</v>
      </c>
      <c r="P588" s="12" t="str">
        <f>HYPERLINK(O588)</f>
        <v>C:\Users\mbaptista\OneDrive - Biblioteca Nacional de Portugal\Documentos\python\camoniana\imagens\capas\397837\1\404.jpg</v>
      </c>
      <c r="Q588" s="12"/>
      <c r="R588" s="6" t="s">
        <v>801</v>
      </c>
      <c r="S588" s="4"/>
      <c r="T588" s="1"/>
      <c r="U588" s="13"/>
      <c r="V588" s="13"/>
      <c r="W588" s="5" t="s">
        <v>1491</v>
      </c>
    </row>
    <row r="589" spans="1:23" ht="75">
      <c r="A589" s="1">
        <v>277515</v>
      </c>
      <c r="B589" s="1">
        <v>1</v>
      </c>
      <c r="C589" s="1">
        <v>1</v>
      </c>
      <c r="D589" s="2" t="s">
        <v>802</v>
      </c>
      <c r="E589" s="11" t="s">
        <v>802</v>
      </c>
      <c r="F589" s="11">
        <v>273872</v>
      </c>
      <c r="G589" s="2" t="s">
        <v>1494</v>
      </c>
      <c r="H589" s="2" t="s">
        <v>1495</v>
      </c>
      <c r="I589" s="2" t="s">
        <v>1496</v>
      </c>
      <c r="J589" s="2" t="str">
        <f t="shared" si="18"/>
        <v>https://permalinkbnd.bnportugal.gov.pt/viewer/273872/?offset=#page=1&amp;viewer=picture&amp;o=info&amp;n=0&amp;q=</v>
      </c>
      <c r="K589" s="1" t="s">
        <v>573</v>
      </c>
      <c r="L589" s="1" t="str">
        <f>VLOOKUP(A589,Folha2!$A$2:$B$2019,2,FALSE)</f>
        <v>Fragmentos [proposição; invocação e excerto da descrição da ilha dos Amores, Canto IX]. Trad. Paratextos gerais; Trad. Paratextos notas.</v>
      </c>
      <c r="M589" s="12" t="str">
        <f t="shared" si="19"/>
        <v>https://permalinkbnd.bnportugal.gov.pt/viewer/273872/?offset=#page=1&amp;viewer=picture&amp;o=info&amp;n=0&amp;q=</v>
      </c>
      <c r="N589" s="12" t="s">
        <v>1497</v>
      </c>
      <c r="O589" s="12" t="str">
        <f>CONCATENATE(N589,A589,"\",B589,"\",C589,".jpg")</f>
        <v>C:\Users\mbaptista\OneDrive - Biblioteca Nacional de Portugal\Documentos\python\camoniana\imagens\capas\277515\1\1.jpg</v>
      </c>
      <c r="P589" s="12" t="str">
        <f>HYPERLINK(O589)</f>
        <v>C:\Users\mbaptista\OneDrive - Biblioteca Nacional de Portugal\Documentos\python\camoniana\imagens\capas\277515\1\1.jpg</v>
      </c>
      <c r="Q589" s="12"/>
      <c r="R589" s="6" t="s">
        <v>803</v>
      </c>
      <c r="S589" s="4"/>
      <c r="T589" s="1"/>
      <c r="U589" s="13"/>
      <c r="V589" s="13"/>
      <c r="W589" s="5" t="s">
        <v>1491</v>
      </c>
    </row>
    <row r="590" spans="1:23" ht="75">
      <c r="A590" s="1">
        <v>865420</v>
      </c>
      <c r="B590" s="1">
        <v>1</v>
      </c>
      <c r="C590" s="1">
        <v>8</v>
      </c>
      <c r="D590" s="2" t="s">
        <v>804</v>
      </c>
      <c r="E590" s="5" t="s">
        <v>804</v>
      </c>
      <c r="F590" s="5">
        <v>277739</v>
      </c>
      <c r="G590" s="2" t="s">
        <v>1494</v>
      </c>
      <c r="H590" s="2" t="s">
        <v>1495</v>
      </c>
      <c r="I590" s="2" t="s">
        <v>1496</v>
      </c>
      <c r="J590" s="2" t="str">
        <f t="shared" si="18"/>
        <v>https://permalinkbnd.bnportugal.gov.pt/viewer/277739/?offset=#page=8&amp;viewer=picture&amp;o=info&amp;n=0&amp;q=</v>
      </c>
      <c r="K590" s="1" t="s">
        <v>805</v>
      </c>
      <c r="L590" s="1" t="str">
        <f>VLOOKUP(A590,Folha2!$A$2:$B$2019,2,FALSE)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0" s="12" t="str">
        <f t="shared" si="19"/>
        <v>https://permalinkbnd.bnportugal.gov.pt/viewer/277739/?offset=#page=8&amp;viewer=picture&amp;o=info&amp;n=0&amp;q=</v>
      </c>
      <c r="N590" s="12" t="s">
        <v>1497</v>
      </c>
      <c r="O590" s="12" t="str">
        <f>CONCATENATE(N590,A590,"\",B590,"\",C590,".jpg")</f>
        <v>C:\Users\mbaptista\OneDrive - Biblioteca Nacional de Portugal\Documentos\python\camoniana\imagens\capas\865420\1\8.jpg</v>
      </c>
      <c r="P590" s="12" t="str">
        <f>HYPERLINK(O590)</f>
        <v>C:\Users\mbaptista\OneDrive - Biblioteca Nacional de Portugal\Documentos\python\camoniana\imagens\capas\865420\1\8.jpg</v>
      </c>
      <c r="Q590" s="12"/>
      <c r="R590" s="6" t="s">
        <v>806</v>
      </c>
      <c r="S590" s="4"/>
      <c r="T590" s="1">
        <v>8</v>
      </c>
      <c r="U590" s="13"/>
      <c r="V590" s="13"/>
      <c r="W590" s="5" t="s">
        <v>1491</v>
      </c>
    </row>
    <row r="591" spans="1:23" ht="75">
      <c r="A591" s="1">
        <v>865420</v>
      </c>
      <c r="B591" s="1">
        <v>1</v>
      </c>
      <c r="C591" s="1">
        <v>40</v>
      </c>
      <c r="D591" s="2" t="s">
        <v>804</v>
      </c>
      <c r="E591" s="11" t="s">
        <v>804</v>
      </c>
      <c r="F591" s="11">
        <v>277739</v>
      </c>
      <c r="G591" s="2" t="s">
        <v>1494</v>
      </c>
      <c r="H591" s="2" t="s">
        <v>1495</v>
      </c>
      <c r="I591" s="2" t="s">
        <v>1496</v>
      </c>
      <c r="J591" s="2" t="str">
        <f t="shared" si="18"/>
        <v>https://permalinkbnd.bnportugal.gov.pt/viewer/277739/?offset=#page=40&amp;viewer=picture&amp;o=info&amp;n=0&amp;q=</v>
      </c>
      <c r="K591" s="1" t="s">
        <v>805</v>
      </c>
      <c r="L591" s="1" t="str">
        <f>VLOOKUP(A591,Folha2!$A$2:$B$2019,2,FALSE)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1" s="12" t="str">
        <f t="shared" si="19"/>
        <v>https://permalinkbnd.bnportugal.gov.pt/viewer/277739/?offset=#page=40&amp;viewer=picture&amp;o=info&amp;n=0&amp;q=</v>
      </c>
      <c r="N591" s="12" t="s">
        <v>1497</v>
      </c>
      <c r="O591" s="12" t="str">
        <f>CONCATENATE(N591,A591,"\",B591,"\",C591,".jpg")</f>
        <v>C:\Users\mbaptista\OneDrive - Biblioteca Nacional de Portugal\Documentos\python\camoniana\imagens\capas\865420\1\40.jpg</v>
      </c>
      <c r="P591" s="12" t="str">
        <f>HYPERLINK(O591)</f>
        <v>C:\Users\mbaptista\OneDrive - Biblioteca Nacional de Portugal\Documentos\python\camoniana\imagens\capas\865420\1\40.jpg</v>
      </c>
      <c r="Q591" s="12"/>
      <c r="R591" s="6"/>
      <c r="S591" s="4"/>
      <c r="T591" s="1"/>
      <c r="U591" s="13"/>
      <c r="V591" s="13"/>
      <c r="W591" s="5"/>
    </row>
    <row r="592" spans="1:23" ht="75">
      <c r="A592" s="1">
        <v>321756</v>
      </c>
      <c r="B592" s="1">
        <v>1</v>
      </c>
      <c r="C592" s="1">
        <v>12</v>
      </c>
      <c r="D592" s="2" t="s">
        <v>807</v>
      </c>
      <c r="E592" s="5" t="s">
        <v>807</v>
      </c>
      <c r="F592" s="5">
        <v>273879</v>
      </c>
      <c r="G592" s="2" t="s">
        <v>1494</v>
      </c>
      <c r="H592" s="2" t="s">
        <v>1495</v>
      </c>
      <c r="I592" s="2" t="s">
        <v>1496</v>
      </c>
      <c r="J592" s="2" t="str">
        <f t="shared" si="18"/>
        <v>https://permalinkbnd.bnportugal.gov.pt/viewer/273879/?offset=#page=12&amp;viewer=picture&amp;o=info&amp;n=0&amp;q=</v>
      </c>
      <c r="K592" s="1">
        <v>12</v>
      </c>
      <c r="L592" s="1" t="str">
        <f>VLOOKUP(A592,Folha2!$A$2:$B$2019,2,FALSE)</f>
        <v xml:space="preserve">O memorial de Camões: registo de aniversários e lembranças coligido entre todas as obras do poeta por Fernandes Costa. Comemoração do 312.º Aniversário do falecimento de Luís de Camões. Lisboa. 1892.  [espécie de calendário poético, com epígrafes camonianas] </v>
      </c>
      <c r="M592" s="12" t="str">
        <f t="shared" si="19"/>
        <v>https://permalinkbnd.bnportugal.gov.pt/viewer/273879/?offset=#page=12&amp;viewer=picture&amp;o=info&amp;n=0&amp;q=</v>
      </c>
      <c r="N592" s="12" t="s">
        <v>1497</v>
      </c>
      <c r="O592" s="12" t="str">
        <f>CONCATENATE(N592,A592,"\",B592,"\",C592,".jpg")</f>
        <v>C:\Users\mbaptista\OneDrive - Biblioteca Nacional de Portugal\Documentos\python\camoniana\imagens\capas\321756\1\12.jpg</v>
      </c>
      <c r="P592" s="12" t="str">
        <f>HYPERLINK(O592)</f>
        <v>C:\Users\mbaptista\OneDrive - Biblioteca Nacional de Portugal\Documentos\python\camoniana\imagens\capas\321756\1\12.jpg</v>
      </c>
      <c r="Q592" s="12"/>
      <c r="R592" s="6" t="s">
        <v>808</v>
      </c>
      <c r="S592" s="4"/>
      <c r="T592" s="1">
        <v>12</v>
      </c>
      <c r="U592" s="13"/>
      <c r="V592" s="13"/>
      <c r="W592" s="5" t="s">
        <v>1491</v>
      </c>
    </row>
    <row r="593" spans="1:23" ht="75">
      <c r="A593" s="1">
        <v>321919</v>
      </c>
      <c r="B593" s="1">
        <v>1</v>
      </c>
      <c r="C593" s="1">
        <v>31</v>
      </c>
      <c r="D593" s="2" t="s">
        <v>809</v>
      </c>
      <c r="E593" s="11" t="s">
        <v>809</v>
      </c>
      <c r="F593" s="11">
        <v>273869</v>
      </c>
      <c r="G593" s="2" t="s">
        <v>1494</v>
      </c>
      <c r="H593" s="2" t="s">
        <v>1495</v>
      </c>
      <c r="I593" s="2" t="s">
        <v>1496</v>
      </c>
      <c r="J593" s="2" t="str">
        <f t="shared" si="18"/>
        <v>https://permalinkbnd.bnportugal.gov.pt/viewer/273869/?offset=#page=31&amp;viewer=picture&amp;o=info&amp;n=0&amp;q=</v>
      </c>
      <c r="K593" s="1" t="s">
        <v>810</v>
      </c>
      <c r="L593" s="1" t="str">
        <f>VLOOKUP(A593,Folha2!$A$2:$B$2019,2,FALSE)</f>
        <v>Trad. Paratextos gerais. Poesias líricas / José Lamarque de Nova ; com um prólogo de Fernando de Gabriel y Ruiz de Apodaca. contém traduções de sonetos de Camões.</v>
      </c>
      <c r="M593" s="12" t="str">
        <f t="shared" si="19"/>
        <v>https://permalinkbnd.bnportugal.gov.pt/viewer/273869/?offset=#page=31&amp;viewer=picture&amp;o=info&amp;n=0&amp;q=</v>
      </c>
      <c r="N593" s="12" t="s">
        <v>1497</v>
      </c>
      <c r="O593" s="12" t="str">
        <f>CONCATENATE(N593,A593,"\",B593,"\",C593,".jpg")</f>
        <v>C:\Users\mbaptista\OneDrive - Biblioteca Nacional de Portugal\Documentos\python\camoniana\imagens\capas\321919\1\31.jpg</v>
      </c>
      <c r="P593" s="12" t="str">
        <f>HYPERLINK(O593)</f>
        <v>C:\Users\mbaptista\OneDrive - Biblioteca Nacional de Portugal\Documentos\python\camoniana\imagens\capas\321919\1\31.jpg</v>
      </c>
      <c r="Q593" s="12"/>
      <c r="R593" s="6" t="s">
        <v>811</v>
      </c>
      <c r="S593" s="4"/>
      <c r="T593" s="1"/>
      <c r="U593" s="13"/>
      <c r="V593" s="13"/>
      <c r="W593" s="5" t="s">
        <v>1491</v>
      </c>
    </row>
    <row r="594" spans="1:23" ht="75">
      <c r="A594" s="1">
        <v>321919</v>
      </c>
      <c r="B594" s="1">
        <v>1</v>
      </c>
      <c r="C594" s="1">
        <v>35</v>
      </c>
      <c r="D594" s="2" t="s">
        <v>809</v>
      </c>
      <c r="E594" s="5" t="s">
        <v>809</v>
      </c>
      <c r="F594" s="5">
        <v>273869</v>
      </c>
      <c r="G594" s="2" t="s">
        <v>1494</v>
      </c>
      <c r="H594" s="2" t="s">
        <v>1495</v>
      </c>
      <c r="I594" s="2" t="s">
        <v>1496</v>
      </c>
      <c r="J594" s="2" t="str">
        <f t="shared" si="18"/>
        <v>https://permalinkbnd.bnportugal.gov.pt/viewer/273869/?offset=#page=35&amp;viewer=picture&amp;o=info&amp;n=0&amp;q=</v>
      </c>
      <c r="K594" s="1" t="s">
        <v>810</v>
      </c>
      <c r="L594" s="1" t="str">
        <f>VLOOKUP(A594,Folha2!$A$2:$B$2019,2,FALSE)</f>
        <v>Trad. Paratextos gerais. Poesias líricas / José Lamarque de Nova ; com um prólogo de Fernando de Gabriel y Ruiz de Apodaca. contém traduções de sonetos de Camões.</v>
      </c>
      <c r="M594" s="12" t="str">
        <f t="shared" si="19"/>
        <v>https://permalinkbnd.bnportugal.gov.pt/viewer/273869/?offset=#page=35&amp;viewer=picture&amp;o=info&amp;n=0&amp;q=</v>
      </c>
      <c r="N594" s="12" t="s">
        <v>1497</v>
      </c>
      <c r="O594" s="12" t="str">
        <f>CONCATENATE(N594,A594,"\",B594,"\",C594,".jpg")</f>
        <v>C:\Users\mbaptista\OneDrive - Biblioteca Nacional de Portugal\Documentos\python\camoniana\imagens\capas\321919\1\35.jpg</v>
      </c>
      <c r="P594" s="12" t="str">
        <f>HYPERLINK(O594)</f>
        <v>C:\Users\mbaptista\OneDrive - Biblioteca Nacional de Portugal\Documentos\python\camoniana\imagens\capas\321919\1\35.jpg</v>
      </c>
      <c r="Q594" s="12"/>
      <c r="R594" s="6" t="s">
        <v>812</v>
      </c>
      <c r="S594" s="4"/>
      <c r="T594" s="1"/>
      <c r="U594" s="13"/>
      <c r="V594" s="13"/>
      <c r="W594" s="5" t="s">
        <v>1491</v>
      </c>
    </row>
    <row r="595" spans="1:23" ht="75">
      <c r="A595" s="1">
        <v>321919</v>
      </c>
      <c r="B595" s="1">
        <v>1</v>
      </c>
      <c r="C595" s="1">
        <v>39</v>
      </c>
      <c r="D595" s="2" t="s">
        <v>809</v>
      </c>
      <c r="E595" s="11" t="s">
        <v>809</v>
      </c>
      <c r="F595" s="11">
        <v>273869</v>
      </c>
      <c r="G595" s="2" t="s">
        <v>1494</v>
      </c>
      <c r="H595" s="2" t="s">
        <v>1495</v>
      </c>
      <c r="I595" s="2" t="s">
        <v>1496</v>
      </c>
      <c r="J595" s="2" t="str">
        <f t="shared" si="18"/>
        <v>https://permalinkbnd.bnportugal.gov.pt/viewer/273869/?offset=#page=39&amp;viewer=picture&amp;o=info&amp;n=0&amp;q=</v>
      </c>
      <c r="K595" s="1" t="s">
        <v>810</v>
      </c>
      <c r="L595" s="1" t="str">
        <f>VLOOKUP(A595,Folha2!$A$2:$B$2019,2,FALSE)</f>
        <v>Trad. Paratextos gerais. Poesias líricas / José Lamarque de Nova ; com um prólogo de Fernando de Gabriel y Ruiz de Apodaca. contém traduções de sonetos de Camões.</v>
      </c>
      <c r="M595" s="12" t="str">
        <f t="shared" si="19"/>
        <v>https://permalinkbnd.bnportugal.gov.pt/viewer/273869/?offset=#page=39&amp;viewer=picture&amp;o=info&amp;n=0&amp;q=</v>
      </c>
      <c r="N595" s="12" t="s">
        <v>1497</v>
      </c>
      <c r="O595" s="12" t="str">
        <f>CONCATENATE(N595,A595,"\",B595,"\",C595,".jpg")</f>
        <v>C:\Users\mbaptista\OneDrive - Biblioteca Nacional de Portugal\Documentos\python\camoniana\imagens\capas\321919\1\39.jpg</v>
      </c>
      <c r="P595" s="12" t="str">
        <f>HYPERLINK(O595)</f>
        <v>C:\Users\mbaptista\OneDrive - Biblioteca Nacional de Portugal\Documentos\python\camoniana\imagens\capas\321919\1\39.jpg</v>
      </c>
      <c r="Q595" s="12"/>
      <c r="R595" s="6" t="s">
        <v>813</v>
      </c>
      <c r="S595" s="4"/>
      <c r="T595" s="1"/>
      <c r="U595" s="13"/>
      <c r="V595" s="13"/>
      <c r="W595" s="5" t="s">
        <v>1491</v>
      </c>
    </row>
    <row r="596" spans="1:23" ht="75">
      <c r="A596" s="1">
        <v>321919</v>
      </c>
      <c r="B596" s="1">
        <v>1</v>
      </c>
      <c r="C596" s="1">
        <v>40</v>
      </c>
      <c r="D596" s="2" t="s">
        <v>809</v>
      </c>
      <c r="E596" s="5" t="s">
        <v>809</v>
      </c>
      <c r="F596" s="5">
        <v>273869</v>
      </c>
      <c r="G596" s="2" t="s">
        <v>1494</v>
      </c>
      <c r="H596" s="2" t="s">
        <v>1495</v>
      </c>
      <c r="I596" s="2" t="s">
        <v>1496</v>
      </c>
      <c r="J596" s="2" t="str">
        <f t="shared" si="18"/>
        <v>https://permalinkbnd.bnportugal.gov.pt/viewer/273869/?offset=#page=40&amp;viewer=picture&amp;o=info&amp;n=0&amp;q=</v>
      </c>
      <c r="K596" s="1" t="s">
        <v>810</v>
      </c>
      <c r="L596" s="1" t="str">
        <f>VLOOKUP(A596,Folha2!$A$2:$B$2019,2,FALSE)</f>
        <v>Trad. Paratextos gerais. Poesias líricas / José Lamarque de Nova ; com um prólogo de Fernando de Gabriel y Ruiz de Apodaca. contém traduções de sonetos de Camões.</v>
      </c>
      <c r="M596" s="12" t="str">
        <f t="shared" si="19"/>
        <v>https://permalinkbnd.bnportugal.gov.pt/viewer/273869/?offset=#page=40&amp;viewer=picture&amp;o=info&amp;n=0&amp;q=</v>
      </c>
      <c r="N596" s="12" t="s">
        <v>1497</v>
      </c>
      <c r="O596" s="12" t="str">
        <f>CONCATENATE(N596,A596,"\",B596,"\",C596,".jpg")</f>
        <v>C:\Users\mbaptista\OneDrive - Biblioteca Nacional de Portugal\Documentos\python\camoniana\imagens\capas\321919\1\40.jpg</v>
      </c>
      <c r="P596" s="12" t="str">
        <f>HYPERLINK(O596)</f>
        <v>C:\Users\mbaptista\OneDrive - Biblioteca Nacional de Portugal\Documentos\python\camoniana\imagens\capas\321919\1\40.jpg</v>
      </c>
      <c r="Q596" s="12"/>
      <c r="R596" s="6" t="s">
        <v>814</v>
      </c>
      <c r="S596" s="4"/>
      <c r="T596" s="1"/>
      <c r="U596" s="13"/>
      <c r="V596" s="13"/>
      <c r="W596" s="5" t="s">
        <v>1491</v>
      </c>
    </row>
    <row r="597" spans="1:23" ht="75">
      <c r="A597" s="1">
        <v>321919</v>
      </c>
      <c r="B597" s="1">
        <v>1</v>
      </c>
      <c r="C597" s="1">
        <v>41</v>
      </c>
      <c r="D597" s="2" t="s">
        <v>809</v>
      </c>
      <c r="E597" s="11" t="s">
        <v>809</v>
      </c>
      <c r="F597" s="11">
        <v>273869</v>
      </c>
      <c r="G597" s="2" t="s">
        <v>1494</v>
      </c>
      <c r="H597" s="2" t="s">
        <v>1495</v>
      </c>
      <c r="I597" s="2" t="s">
        <v>1496</v>
      </c>
      <c r="J597" s="2" t="str">
        <f t="shared" si="18"/>
        <v>https://permalinkbnd.bnportugal.gov.pt/viewer/273869/?offset=#page=41&amp;viewer=picture&amp;o=info&amp;n=0&amp;q=</v>
      </c>
      <c r="K597" s="1" t="s">
        <v>810</v>
      </c>
      <c r="L597" s="1" t="str">
        <f>VLOOKUP(A597,Folha2!$A$2:$B$2019,2,FALSE)</f>
        <v>Trad. Paratextos gerais. Poesias líricas / José Lamarque de Nova ; com um prólogo de Fernando de Gabriel y Ruiz de Apodaca. contém traduções de sonetos de Camões.</v>
      </c>
      <c r="M597" s="12" t="str">
        <f t="shared" si="19"/>
        <v>https://permalinkbnd.bnportugal.gov.pt/viewer/273869/?offset=#page=41&amp;viewer=picture&amp;o=info&amp;n=0&amp;q=</v>
      </c>
      <c r="N597" s="12" t="s">
        <v>1497</v>
      </c>
      <c r="O597" s="12" t="str">
        <f>CONCATENATE(N597,A597,"\",B597,"\",C597,".jpg")</f>
        <v>C:\Users\mbaptista\OneDrive - Biblioteca Nacional de Portugal\Documentos\python\camoniana\imagens\capas\321919\1\41.jpg</v>
      </c>
      <c r="P597" s="12" t="str">
        <f>HYPERLINK(O597)</f>
        <v>C:\Users\mbaptista\OneDrive - Biblioteca Nacional de Portugal\Documentos\python\camoniana\imagens\capas\321919\1\41.jpg</v>
      </c>
      <c r="Q597" s="12"/>
      <c r="R597" s="6" t="s">
        <v>815</v>
      </c>
      <c r="S597" s="4"/>
      <c r="T597" s="1"/>
      <c r="U597" s="13"/>
      <c r="V597" s="13"/>
      <c r="W597" s="5" t="s">
        <v>1491</v>
      </c>
    </row>
    <row r="598" spans="1:23" ht="75">
      <c r="A598" s="1">
        <v>321919</v>
      </c>
      <c r="B598" s="1">
        <v>1</v>
      </c>
      <c r="C598" s="1">
        <v>52</v>
      </c>
      <c r="D598" s="2" t="s">
        <v>809</v>
      </c>
      <c r="E598" s="5" t="s">
        <v>809</v>
      </c>
      <c r="F598" s="5">
        <v>273869</v>
      </c>
      <c r="G598" s="2" t="s">
        <v>1494</v>
      </c>
      <c r="H598" s="2" t="s">
        <v>1495</v>
      </c>
      <c r="I598" s="2" t="s">
        <v>1496</v>
      </c>
      <c r="J598" s="2" t="str">
        <f t="shared" si="18"/>
        <v>https://permalinkbnd.bnportugal.gov.pt/viewer/273869/?offset=#page=52&amp;viewer=picture&amp;o=info&amp;n=0&amp;q=</v>
      </c>
      <c r="K598" s="1" t="s">
        <v>810</v>
      </c>
      <c r="L598" s="1" t="str">
        <f>VLOOKUP(A598,Folha2!$A$2:$B$2019,2,FALSE)</f>
        <v>Trad. Paratextos gerais. Poesias líricas / José Lamarque de Nova ; com um prólogo de Fernando de Gabriel y Ruiz de Apodaca. contém traduções de sonetos de Camões.</v>
      </c>
      <c r="M598" s="12" t="str">
        <f t="shared" si="19"/>
        <v>https://permalinkbnd.bnportugal.gov.pt/viewer/273869/?offset=#page=52&amp;viewer=picture&amp;o=info&amp;n=0&amp;q=</v>
      </c>
      <c r="N598" s="12" t="s">
        <v>1497</v>
      </c>
      <c r="O598" s="12" t="str">
        <f>CONCATENATE(N598,A598,"\",B598,"\",C598,".jpg")</f>
        <v>C:\Users\mbaptista\OneDrive - Biblioteca Nacional de Portugal\Documentos\python\camoniana\imagens\capas\321919\1\52.jpg</v>
      </c>
      <c r="P598" s="12" t="str">
        <f>HYPERLINK(O598)</f>
        <v>C:\Users\mbaptista\OneDrive - Biblioteca Nacional de Portugal\Documentos\python\camoniana\imagens\capas\321919\1\52.jpg</v>
      </c>
      <c r="Q598" s="12"/>
      <c r="R598" s="6" t="s">
        <v>816</v>
      </c>
      <c r="S598" s="4"/>
      <c r="T598" s="1"/>
      <c r="U598" s="13"/>
      <c r="V598" s="13"/>
      <c r="W598" s="5" t="s">
        <v>1491</v>
      </c>
    </row>
    <row r="599" spans="1:23" ht="75">
      <c r="A599" s="1">
        <v>321919</v>
      </c>
      <c r="B599" s="1">
        <v>1</v>
      </c>
      <c r="C599" s="1">
        <v>58</v>
      </c>
      <c r="D599" s="2" t="s">
        <v>809</v>
      </c>
      <c r="E599" s="11" t="s">
        <v>809</v>
      </c>
      <c r="F599" s="11">
        <v>273869</v>
      </c>
      <c r="G599" s="2" t="s">
        <v>1494</v>
      </c>
      <c r="H599" s="2" t="s">
        <v>1495</v>
      </c>
      <c r="I599" s="2" t="s">
        <v>1496</v>
      </c>
      <c r="J599" s="2" t="str">
        <f t="shared" si="18"/>
        <v>https://permalinkbnd.bnportugal.gov.pt/viewer/273869/?offset=#page=58&amp;viewer=picture&amp;o=info&amp;n=0&amp;q=</v>
      </c>
      <c r="K599" s="1" t="s">
        <v>810</v>
      </c>
      <c r="L599" s="1" t="str">
        <f>VLOOKUP(A599,Folha2!$A$2:$B$2019,2,FALSE)</f>
        <v>Trad. Paratextos gerais. Poesias líricas / José Lamarque de Nova ; com um prólogo de Fernando de Gabriel y Ruiz de Apodaca. contém traduções de sonetos de Camões.</v>
      </c>
      <c r="M599" s="12" t="str">
        <f t="shared" si="19"/>
        <v>https://permalinkbnd.bnportugal.gov.pt/viewer/273869/?offset=#page=58&amp;viewer=picture&amp;o=info&amp;n=0&amp;q=</v>
      </c>
      <c r="N599" s="12" t="s">
        <v>1497</v>
      </c>
      <c r="O599" s="12" t="str">
        <f>CONCATENATE(N599,A599,"\",B599,"\",C599,".jpg")</f>
        <v>C:\Users\mbaptista\OneDrive - Biblioteca Nacional de Portugal\Documentos\python\camoniana\imagens\capas\321919\1\58.jpg</v>
      </c>
      <c r="P599" s="12" t="str">
        <f>HYPERLINK(O599)</f>
        <v>C:\Users\mbaptista\OneDrive - Biblioteca Nacional de Portugal\Documentos\python\camoniana\imagens\capas\321919\1\58.jpg</v>
      </c>
      <c r="Q599" s="12"/>
      <c r="R599" s="6" t="s">
        <v>817</v>
      </c>
      <c r="S599" s="4"/>
      <c r="T599" s="1"/>
      <c r="U599" s="13"/>
      <c r="V599" s="13"/>
      <c r="W599" s="5" t="s">
        <v>1491</v>
      </c>
    </row>
    <row r="600" spans="1:23" ht="75">
      <c r="A600" s="1">
        <v>321919</v>
      </c>
      <c r="B600" s="1">
        <v>1</v>
      </c>
      <c r="C600" s="1">
        <v>92</v>
      </c>
      <c r="D600" s="2" t="s">
        <v>809</v>
      </c>
      <c r="E600" s="5" t="s">
        <v>809</v>
      </c>
      <c r="F600" s="5">
        <v>273869</v>
      </c>
      <c r="G600" s="2" t="s">
        <v>1494</v>
      </c>
      <c r="H600" s="2" t="s">
        <v>1495</v>
      </c>
      <c r="I600" s="2" t="s">
        <v>1496</v>
      </c>
      <c r="J600" s="2" t="str">
        <f t="shared" si="18"/>
        <v>https://permalinkbnd.bnportugal.gov.pt/viewer/273869/?offset=#page=92&amp;viewer=picture&amp;o=info&amp;n=0&amp;q=</v>
      </c>
      <c r="K600" s="1" t="s">
        <v>810</v>
      </c>
      <c r="L600" s="1" t="str">
        <f>VLOOKUP(A600,Folha2!$A$2:$B$2019,2,FALSE)</f>
        <v>Trad. Paratextos gerais. Poesias líricas / José Lamarque de Nova ; com um prólogo de Fernando de Gabriel y Ruiz de Apodaca. contém traduções de sonetos de Camões.</v>
      </c>
      <c r="M600" s="12" t="str">
        <f t="shared" si="19"/>
        <v>https://permalinkbnd.bnportugal.gov.pt/viewer/273869/?offset=#page=92&amp;viewer=picture&amp;o=info&amp;n=0&amp;q=</v>
      </c>
      <c r="N600" s="12" t="s">
        <v>1497</v>
      </c>
      <c r="O600" s="12" t="str">
        <f>CONCATENATE(N600,A600,"\",B600,"\",C600,".jpg")</f>
        <v>C:\Users\mbaptista\OneDrive - Biblioteca Nacional de Portugal\Documentos\python\camoniana\imagens\capas\321919\1\92.jpg</v>
      </c>
      <c r="P600" s="12" t="str">
        <f>HYPERLINK(O600)</f>
        <v>C:\Users\mbaptista\OneDrive - Biblioteca Nacional de Portugal\Documentos\python\camoniana\imagens\capas\321919\1\92.jpg</v>
      </c>
      <c r="Q600" s="12"/>
      <c r="R600" s="6" t="s">
        <v>818</v>
      </c>
      <c r="S600" s="4"/>
      <c r="T600" s="1"/>
      <c r="U600" s="13"/>
      <c r="V600" s="13"/>
      <c r="W600" s="5" t="s">
        <v>1491</v>
      </c>
    </row>
    <row r="601" spans="1:23" ht="75">
      <c r="A601" s="1">
        <v>321919</v>
      </c>
      <c r="B601" s="1">
        <v>1</v>
      </c>
      <c r="C601" s="1">
        <v>115</v>
      </c>
      <c r="D601" s="2" t="s">
        <v>809</v>
      </c>
      <c r="E601" s="11" t="s">
        <v>809</v>
      </c>
      <c r="F601" s="11">
        <v>273869</v>
      </c>
      <c r="G601" s="2" t="s">
        <v>1494</v>
      </c>
      <c r="H601" s="2" t="s">
        <v>1495</v>
      </c>
      <c r="I601" s="2" t="s">
        <v>1496</v>
      </c>
      <c r="J601" s="2" t="str">
        <f t="shared" si="18"/>
        <v>https://permalinkbnd.bnportugal.gov.pt/viewer/273869/?offset=#page=115&amp;viewer=picture&amp;o=info&amp;n=0&amp;q=</v>
      </c>
      <c r="K601" s="1" t="s">
        <v>810</v>
      </c>
      <c r="L601" s="1" t="str">
        <f>VLOOKUP(A601,Folha2!$A$2:$B$2019,2,FALSE)</f>
        <v>Trad. Paratextos gerais. Poesias líricas / José Lamarque de Nova ; com um prólogo de Fernando de Gabriel y Ruiz de Apodaca. contém traduções de sonetos de Camões.</v>
      </c>
      <c r="M601" s="12" t="str">
        <f t="shared" si="19"/>
        <v>https://permalinkbnd.bnportugal.gov.pt/viewer/273869/?offset=#page=115&amp;viewer=picture&amp;o=info&amp;n=0&amp;q=</v>
      </c>
      <c r="N601" s="12" t="s">
        <v>1497</v>
      </c>
      <c r="O601" s="12" t="str">
        <f>CONCATENATE(N601,A601,"\",B601,"\",C601,".jpg")</f>
        <v>C:\Users\mbaptista\OneDrive - Biblioteca Nacional de Portugal\Documentos\python\camoniana\imagens\capas\321919\1\115.jpg</v>
      </c>
      <c r="P601" s="12" t="str">
        <f>HYPERLINK(O601)</f>
        <v>C:\Users\mbaptista\OneDrive - Biblioteca Nacional de Portugal\Documentos\python\camoniana\imagens\capas\321919\1\115.jpg</v>
      </c>
      <c r="Q601" s="12"/>
      <c r="R601" s="6" t="s">
        <v>819</v>
      </c>
      <c r="S601" s="4"/>
      <c r="T601" s="1"/>
      <c r="U601" s="13"/>
      <c r="V601" s="13"/>
      <c r="W601" s="5" t="s">
        <v>1491</v>
      </c>
    </row>
    <row r="602" spans="1:23" ht="75">
      <c r="A602" s="1">
        <v>321919</v>
      </c>
      <c r="B602" s="1">
        <v>1</v>
      </c>
      <c r="C602" s="1">
        <v>139</v>
      </c>
      <c r="D602" s="2" t="s">
        <v>809</v>
      </c>
      <c r="E602" s="5" t="s">
        <v>809</v>
      </c>
      <c r="F602" s="5">
        <v>273869</v>
      </c>
      <c r="G602" s="2" t="s">
        <v>1494</v>
      </c>
      <c r="H602" s="2" t="s">
        <v>1495</v>
      </c>
      <c r="I602" s="2" t="s">
        <v>1496</v>
      </c>
      <c r="J602" s="2" t="str">
        <f t="shared" si="18"/>
        <v>https://permalinkbnd.bnportugal.gov.pt/viewer/273869/?offset=#page=139&amp;viewer=picture&amp;o=info&amp;n=0&amp;q=</v>
      </c>
      <c r="K602" s="1" t="s">
        <v>810</v>
      </c>
      <c r="L602" s="1" t="str">
        <f>VLOOKUP(A602,Folha2!$A$2:$B$2019,2,FALSE)</f>
        <v>Trad. Paratextos gerais. Poesias líricas / José Lamarque de Nova ; com um prólogo de Fernando de Gabriel y Ruiz de Apodaca. contém traduções de sonetos de Camões.</v>
      </c>
      <c r="M602" s="12" t="str">
        <f t="shared" si="19"/>
        <v>https://permalinkbnd.bnportugal.gov.pt/viewer/273869/?offset=#page=139&amp;viewer=picture&amp;o=info&amp;n=0&amp;q=</v>
      </c>
      <c r="N602" s="12" t="s">
        <v>1497</v>
      </c>
      <c r="O602" s="12" t="str">
        <f>CONCATENATE(N602,A602,"\",B602,"\",C602,".jpg")</f>
        <v>C:\Users\mbaptista\OneDrive - Biblioteca Nacional de Portugal\Documentos\python\camoniana\imagens\capas\321919\1\139.jpg</v>
      </c>
      <c r="P602" s="12" t="str">
        <f>HYPERLINK(O602)</f>
        <v>C:\Users\mbaptista\OneDrive - Biblioteca Nacional de Portugal\Documentos\python\camoniana\imagens\capas\321919\1\139.jpg</v>
      </c>
      <c r="Q602" s="12"/>
      <c r="R602" s="6" t="s">
        <v>820</v>
      </c>
      <c r="S602" s="4"/>
      <c r="T602" s="1"/>
      <c r="U602" s="13"/>
      <c r="V602" s="13"/>
      <c r="W602" s="5" t="s">
        <v>1491</v>
      </c>
    </row>
    <row r="603" spans="1:23" ht="75">
      <c r="A603" s="1">
        <v>321919</v>
      </c>
      <c r="B603" s="1">
        <v>1</v>
      </c>
      <c r="C603" s="1">
        <v>155</v>
      </c>
      <c r="D603" s="2" t="s">
        <v>809</v>
      </c>
      <c r="E603" s="11" t="s">
        <v>809</v>
      </c>
      <c r="F603" s="11">
        <v>273869</v>
      </c>
      <c r="G603" s="2" t="s">
        <v>1494</v>
      </c>
      <c r="H603" s="2" t="s">
        <v>1495</v>
      </c>
      <c r="I603" s="2" t="s">
        <v>1496</v>
      </c>
      <c r="J603" s="2" t="str">
        <f t="shared" si="18"/>
        <v>https://permalinkbnd.bnportugal.gov.pt/viewer/273869/?offset=#page=155&amp;viewer=picture&amp;o=info&amp;n=0&amp;q=</v>
      </c>
      <c r="K603" s="1" t="s">
        <v>810</v>
      </c>
      <c r="L603" s="1" t="str">
        <f>VLOOKUP(A603,Folha2!$A$2:$B$2019,2,FALSE)</f>
        <v>Trad. Paratextos gerais. Poesias líricas / José Lamarque de Nova ; com um prólogo de Fernando de Gabriel y Ruiz de Apodaca. contém traduções de sonetos de Camões.</v>
      </c>
      <c r="M603" s="12" t="str">
        <f t="shared" si="19"/>
        <v>https://permalinkbnd.bnportugal.gov.pt/viewer/273869/?offset=#page=155&amp;viewer=picture&amp;o=info&amp;n=0&amp;q=</v>
      </c>
      <c r="N603" s="12" t="s">
        <v>1497</v>
      </c>
      <c r="O603" s="12" t="str">
        <f>CONCATENATE(N603,A603,"\",B603,"\",C603,".jpg")</f>
        <v>C:\Users\mbaptista\OneDrive - Biblioteca Nacional de Portugal\Documentos\python\camoniana\imagens\capas\321919\1\155.jpg</v>
      </c>
      <c r="P603" s="12" t="str">
        <f>HYPERLINK(O603)</f>
        <v>C:\Users\mbaptista\OneDrive - Biblioteca Nacional de Portugal\Documentos\python\camoniana\imagens\capas\321919\1\155.jpg</v>
      </c>
      <c r="Q603" s="12"/>
      <c r="R603" s="6" t="s">
        <v>821</v>
      </c>
      <c r="S603" s="4"/>
      <c r="T603" s="1"/>
      <c r="U603" s="13"/>
      <c r="V603" s="13"/>
      <c r="W603" s="5" t="s">
        <v>1491</v>
      </c>
    </row>
    <row r="604" spans="1:23" ht="75">
      <c r="A604" s="1">
        <v>322212</v>
      </c>
      <c r="B604" s="1">
        <v>1</v>
      </c>
      <c r="C604" s="1">
        <v>7</v>
      </c>
      <c r="D604" s="2" t="s">
        <v>822</v>
      </c>
      <c r="E604" s="5" t="s">
        <v>822</v>
      </c>
      <c r="F604" s="5">
        <v>277738</v>
      </c>
      <c r="G604" s="2" t="s">
        <v>1494</v>
      </c>
      <c r="H604" s="2" t="s">
        <v>1495</v>
      </c>
      <c r="I604" s="2" t="s">
        <v>1496</v>
      </c>
      <c r="J604" s="2" t="str">
        <f t="shared" si="18"/>
        <v>https://permalinkbnd.bnportugal.gov.pt/viewer/277738/?offset=#page=7&amp;viewer=picture&amp;o=info&amp;n=0&amp;q=</v>
      </c>
      <c r="K604" s="1" t="s">
        <v>823</v>
      </c>
      <c r="L604" s="1" t="str">
        <f>VLOOKUP(A604,Folha2!$A$2:$B$2019,2,FALSE)</f>
        <v>CXXIV Sonnets / Dante, Petrarch, Camõens ; translated by Richard Garnett. - London : John Lane. - Boston : Copeland &amp; Day, 1896.</v>
      </c>
      <c r="M604" s="12" t="str">
        <f t="shared" si="19"/>
        <v>https://permalinkbnd.bnportugal.gov.pt/viewer/277738/?offset=#page=7&amp;viewer=picture&amp;o=info&amp;n=0&amp;q=</v>
      </c>
      <c r="N604" s="12" t="s">
        <v>1497</v>
      </c>
      <c r="O604" s="12" t="str">
        <f>CONCATENATE(N604,A604,"\",B604,"\",C604,".jpg")</f>
        <v>C:\Users\mbaptista\OneDrive - Biblioteca Nacional de Portugal\Documentos\python\camoniana\imagens\capas\322212\1\7.jpg</v>
      </c>
      <c r="P604" s="12" t="str">
        <f>HYPERLINK(O604)</f>
        <v>C:\Users\mbaptista\OneDrive - Biblioteca Nacional de Portugal\Documentos\python\camoniana\imagens\capas\322212\1\7.jpg</v>
      </c>
      <c r="Q604" s="12"/>
      <c r="R604" s="6" t="s">
        <v>824</v>
      </c>
      <c r="S604" s="4"/>
      <c r="T604" s="1">
        <v>7</v>
      </c>
      <c r="U604" s="13"/>
      <c r="V604" s="13"/>
      <c r="W604" s="5" t="s">
        <v>1491</v>
      </c>
    </row>
    <row r="605" spans="1:23" ht="75">
      <c r="A605" s="1">
        <v>322214</v>
      </c>
      <c r="B605" s="1">
        <v>1</v>
      </c>
      <c r="C605" s="1">
        <v>10</v>
      </c>
      <c r="D605" s="2" t="s">
        <v>825</v>
      </c>
      <c r="E605" s="11" t="s">
        <v>825</v>
      </c>
      <c r="F605" s="11">
        <v>273912</v>
      </c>
      <c r="G605" s="2" t="s">
        <v>1494</v>
      </c>
      <c r="H605" s="2" t="s">
        <v>1495</v>
      </c>
      <c r="I605" s="2" t="s">
        <v>1496</v>
      </c>
      <c r="J605" s="2" t="str">
        <f t="shared" si="18"/>
        <v>https://permalinkbnd.bnportugal.gov.pt/viewer/273912/?offset=#page=10&amp;viewer=picture&amp;o=info&amp;n=0&amp;q=</v>
      </c>
      <c r="K605" s="1" t="s">
        <v>826</v>
      </c>
      <c r="L605" s="1" t="str">
        <f>VLOOKUP(A605,Folha2!$A$2:$B$2019,2,FALSE)</f>
        <v>Magazin der Spanischen und portugiesischen litteratur. Herausgegeben von F. J. Bertuch. Weimar. 1780. Mapa Vasco da Gama.</v>
      </c>
      <c r="M605" s="12" t="str">
        <f t="shared" si="19"/>
        <v>https://permalinkbnd.bnportugal.gov.pt/viewer/273912/?offset=#page=10&amp;viewer=picture&amp;o=info&amp;n=0&amp;q=</v>
      </c>
      <c r="N605" s="12" t="s">
        <v>1497</v>
      </c>
      <c r="O605" s="12" t="str">
        <f>CONCATENATE(N605,A605,"\",B605,"\",C605,".jpg")</f>
        <v>C:\Users\mbaptista\OneDrive - Biblioteca Nacional de Portugal\Documentos\python\camoniana\imagens\capas\322214\1\10.jpg</v>
      </c>
      <c r="P605" s="12" t="str">
        <f>HYPERLINK(O605)</f>
        <v>C:\Users\mbaptista\OneDrive - Biblioteca Nacional de Portugal\Documentos\python\camoniana\imagens\capas\322214\1\10.jpg</v>
      </c>
      <c r="Q605" s="12"/>
      <c r="R605" s="6" t="s">
        <v>828</v>
      </c>
      <c r="S605" s="4"/>
      <c r="T605" s="1" t="s">
        <v>827</v>
      </c>
      <c r="U605" s="13"/>
      <c r="V605" s="13"/>
      <c r="W605" s="5" t="s">
        <v>1491</v>
      </c>
    </row>
    <row r="606" spans="1:23" ht="75">
      <c r="A606" s="1">
        <v>322214</v>
      </c>
      <c r="B606" s="1">
        <v>1</v>
      </c>
      <c r="C606" s="1">
        <v>271</v>
      </c>
      <c r="D606" s="2" t="s">
        <v>825</v>
      </c>
      <c r="E606" s="5" t="s">
        <v>825</v>
      </c>
      <c r="F606" s="5">
        <v>273912</v>
      </c>
      <c r="G606" s="2" t="s">
        <v>1494</v>
      </c>
      <c r="H606" s="2" t="s">
        <v>1495</v>
      </c>
      <c r="I606" s="2" t="s">
        <v>1496</v>
      </c>
      <c r="J606" s="2" t="str">
        <f t="shared" si="18"/>
        <v>https://permalinkbnd.bnportugal.gov.pt/viewer/273912/?offset=#page=271&amp;viewer=picture&amp;o=info&amp;n=0&amp;q=</v>
      </c>
      <c r="K606" s="1" t="s">
        <v>826</v>
      </c>
      <c r="L606" s="1" t="str">
        <f>VLOOKUP(A606,Folha2!$A$2:$B$2019,2,FALSE)</f>
        <v>Magazin der Spanischen und portugiesischen litteratur. Herausgegeben von F. J. Bertuch. Weimar. 1780. Mapa Vasco da Gama.</v>
      </c>
      <c r="M606" s="12" t="str">
        <f t="shared" si="19"/>
        <v>https://permalinkbnd.bnportugal.gov.pt/viewer/273912/?offset=#page=271&amp;viewer=picture&amp;o=info&amp;n=0&amp;q=</v>
      </c>
      <c r="N606" s="12" t="s">
        <v>1497</v>
      </c>
      <c r="O606" s="12" t="str">
        <f>CONCATENATE(N606,A606,"\",B606,"\",C606,".jpg")</f>
        <v>C:\Users\mbaptista\OneDrive - Biblioteca Nacional de Portugal\Documentos\python\camoniana\imagens\capas\322214\1\271.jpg</v>
      </c>
      <c r="P606" s="12" t="str">
        <f>HYPERLINK(O606)</f>
        <v>C:\Users\mbaptista\OneDrive - Biblioteca Nacional de Portugal\Documentos\python\camoniana\imagens\capas\322214\1\271.jpg</v>
      </c>
      <c r="Q606" s="12"/>
      <c r="R606" s="6" t="s">
        <v>829</v>
      </c>
      <c r="S606" s="4"/>
      <c r="T606" s="1" t="s">
        <v>827</v>
      </c>
      <c r="U606" s="13"/>
      <c r="V606" s="13"/>
      <c r="W606" s="5" t="s">
        <v>1491</v>
      </c>
    </row>
    <row r="607" spans="1:23" ht="75">
      <c r="A607" s="1">
        <v>866522</v>
      </c>
      <c r="B607" s="1">
        <v>1</v>
      </c>
      <c r="C607" s="1">
        <v>12</v>
      </c>
      <c r="D607" s="2" t="s">
        <v>830</v>
      </c>
      <c r="E607" s="11" t="s">
        <v>830</v>
      </c>
      <c r="F607" s="11">
        <v>272639</v>
      </c>
      <c r="G607" s="2" t="s">
        <v>1494</v>
      </c>
      <c r="H607" s="2" t="s">
        <v>1495</v>
      </c>
      <c r="I607" s="2" t="s">
        <v>1496</v>
      </c>
      <c r="J607" s="2" t="str">
        <f t="shared" si="18"/>
        <v>https://permalinkbnd.bnportugal.gov.pt/viewer/272639/?offset=#page=12&amp;viewer=picture&amp;o=info&amp;n=0&amp;q=</v>
      </c>
      <c r="K607" s="1" t="s">
        <v>831</v>
      </c>
      <c r="L607" s="1" t="str">
        <f>VLOOKUP(A607,Folha2!$A$2:$B$2019,2,FALSE)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7" s="12" t="str">
        <f t="shared" si="19"/>
        <v>https://permalinkbnd.bnportugal.gov.pt/viewer/272639/?offset=#page=12&amp;viewer=picture&amp;o=info&amp;n=0&amp;q=</v>
      </c>
      <c r="N607" s="12" t="s">
        <v>1497</v>
      </c>
      <c r="O607" s="12" t="str">
        <f>CONCATENATE(N607,A607,"\",B607,"\",C607,".jpg")</f>
        <v>C:\Users\mbaptista\OneDrive - Biblioteca Nacional de Portugal\Documentos\python\camoniana\imagens\capas\866522\1\12.jpg</v>
      </c>
      <c r="P607" s="12" t="str">
        <f>HYPERLINK(O607)</f>
        <v>C:\Users\mbaptista\OneDrive - Biblioteca Nacional de Portugal\Documentos\python\camoniana\imagens\capas\866522\1\12.jpg</v>
      </c>
      <c r="Q607" s="12"/>
      <c r="R607" s="6" t="s">
        <v>833</v>
      </c>
      <c r="S607" s="4"/>
      <c r="T607" s="1" t="s">
        <v>832</v>
      </c>
      <c r="U607" s="13"/>
      <c r="V607" s="13"/>
      <c r="W607" s="5" t="s">
        <v>1491</v>
      </c>
    </row>
    <row r="608" spans="1:23" ht="75">
      <c r="A608" s="1">
        <v>866522</v>
      </c>
      <c r="B608" s="1">
        <v>1</v>
      </c>
      <c r="C608" s="1">
        <v>13</v>
      </c>
      <c r="D608" s="2" t="s">
        <v>830</v>
      </c>
      <c r="E608" s="5" t="s">
        <v>830</v>
      </c>
      <c r="F608" s="5">
        <v>272639</v>
      </c>
      <c r="G608" s="2" t="s">
        <v>1494</v>
      </c>
      <c r="H608" s="2" t="s">
        <v>1495</v>
      </c>
      <c r="I608" s="2" t="s">
        <v>1496</v>
      </c>
      <c r="J608" s="2" t="str">
        <f t="shared" si="18"/>
        <v>https://permalinkbnd.bnportugal.gov.pt/viewer/272639/?offset=#page=13&amp;viewer=picture&amp;o=info&amp;n=0&amp;q=</v>
      </c>
      <c r="K608" s="1" t="s">
        <v>831</v>
      </c>
      <c r="L608" s="1" t="str">
        <f>VLOOKUP(A608,Folha2!$A$2:$B$2019,2,FALSE)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8" s="12" t="str">
        <f t="shared" si="19"/>
        <v>https://permalinkbnd.bnportugal.gov.pt/viewer/272639/?offset=#page=13&amp;viewer=picture&amp;o=info&amp;n=0&amp;q=</v>
      </c>
      <c r="N608" s="12" t="s">
        <v>1497</v>
      </c>
      <c r="O608" s="12" t="str">
        <f>CONCATENATE(N608,A608,"\",B608,"\",C608,".jpg")</f>
        <v>C:\Users\mbaptista\OneDrive - Biblioteca Nacional de Portugal\Documentos\python\camoniana\imagens\capas\866522\1\13.jpg</v>
      </c>
      <c r="P608" s="12" t="str">
        <f>HYPERLINK(O608)</f>
        <v>C:\Users\mbaptista\OneDrive - Biblioteca Nacional de Portugal\Documentos\python\camoniana\imagens\capas\866522\1\13.jpg</v>
      </c>
      <c r="Q608" s="12"/>
      <c r="R608" s="6"/>
      <c r="S608" s="4"/>
      <c r="T608" s="1"/>
      <c r="U608" s="13"/>
      <c r="V608" s="13"/>
      <c r="W608" s="5"/>
    </row>
    <row r="609" spans="1:23" ht="75">
      <c r="A609" s="1">
        <v>866522</v>
      </c>
      <c r="B609" s="1">
        <v>1</v>
      </c>
      <c r="C609" s="1">
        <v>173</v>
      </c>
      <c r="D609" s="2" t="s">
        <v>830</v>
      </c>
      <c r="E609" s="11" t="s">
        <v>830</v>
      </c>
      <c r="F609" s="11">
        <v>272639</v>
      </c>
      <c r="G609" s="2" t="s">
        <v>1494</v>
      </c>
      <c r="H609" s="2" t="s">
        <v>1495</v>
      </c>
      <c r="I609" s="2" t="s">
        <v>1496</v>
      </c>
      <c r="J609" s="2" t="str">
        <f t="shared" si="18"/>
        <v>https://permalinkbnd.bnportugal.gov.pt/viewer/272639/?offset=#page=173&amp;viewer=picture&amp;o=info&amp;n=0&amp;q=</v>
      </c>
      <c r="K609" s="1" t="s">
        <v>831</v>
      </c>
      <c r="L609" s="1" t="str">
        <f>VLOOKUP(A609,Folha2!$A$2:$B$2019,2,FALSE)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9" s="12" t="str">
        <f t="shared" si="19"/>
        <v>https://permalinkbnd.bnportugal.gov.pt/viewer/272639/?offset=#page=173&amp;viewer=picture&amp;o=info&amp;n=0&amp;q=</v>
      </c>
      <c r="N609" s="12" t="s">
        <v>1497</v>
      </c>
      <c r="O609" s="12" t="str">
        <f>CONCATENATE(N609,A609,"\",B609,"\",C609,".jpg")</f>
        <v>C:\Users\mbaptista\OneDrive - Biblioteca Nacional de Portugal\Documentos\python\camoniana\imagens\capas\866522\1\173.jpg</v>
      </c>
      <c r="P609" s="12" t="str">
        <f>HYPERLINK(O609)</f>
        <v>C:\Users\mbaptista\OneDrive - Biblioteca Nacional de Portugal\Documentos\python\camoniana\imagens\capas\866522\1\173.jpg</v>
      </c>
      <c r="Q609" s="12"/>
      <c r="R609" s="6" t="s">
        <v>834</v>
      </c>
      <c r="S609" s="4"/>
      <c r="T609" s="1" t="s">
        <v>832</v>
      </c>
      <c r="U609" s="13"/>
      <c r="V609" s="13"/>
      <c r="W609" s="5" t="s">
        <v>1491</v>
      </c>
    </row>
    <row r="610" spans="1:23" ht="75">
      <c r="A610" s="1">
        <v>866522</v>
      </c>
      <c r="B610" s="1">
        <v>1</v>
      </c>
      <c r="C610" s="1">
        <v>363</v>
      </c>
      <c r="D610" s="2" t="s">
        <v>830</v>
      </c>
      <c r="E610" s="5" t="s">
        <v>830</v>
      </c>
      <c r="F610" s="5">
        <v>272639</v>
      </c>
      <c r="G610" s="2" t="s">
        <v>1494</v>
      </c>
      <c r="H610" s="2" t="s">
        <v>1495</v>
      </c>
      <c r="I610" s="2" t="s">
        <v>1496</v>
      </c>
      <c r="J610" s="2" t="str">
        <f t="shared" si="18"/>
        <v>https://permalinkbnd.bnportugal.gov.pt/viewer/272639/?offset=#page=363&amp;viewer=picture&amp;o=info&amp;n=0&amp;q=</v>
      </c>
      <c r="K610" s="1" t="s">
        <v>831</v>
      </c>
      <c r="L610" s="1" t="str">
        <f>VLOOKUP(A610,Folha2!$A$2:$B$2019,2,FALSE)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0" s="12" t="str">
        <f t="shared" si="19"/>
        <v>https://permalinkbnd.bnportugal.gov.pt/viewer/272639/?offset=#page=363&amp;viewer=picture&amp;o=info&amp;n=0&amp;q=</v>
      </c>
      <c r="N610" s="12" t="s">
        <v>1497</v>
      </c>
      <c r="O610" s="12" t="str">
        <f>CONCATENATE(N610,A610,"\",B610,"\",C610,".jpg")</f>
        <v>C:\Users\mbaptista\OneDrive - Biblioteca Nacional de Portugal\Documentos\python\camoniana\imagens\capas\866522\1\363.jpg</v>
      </c>
      <c r="P610" s="12" t="str">
        <f>HYPERLINK(O610)</f>
        <v>C:\Users\mbaptista\OneDrive - Biblioteca Nacional de Portugal\Documentos\python\camoniana\imagens\capas\866522\1\363.jpg</v>
      </c>
      <c r="Q610" s="12"/>
      <c r="R610" s="6" t="s">
        <v>835</v>
      </c>
      <c r="S610" s="4"/>
      <c r="T610" s="1" t="s">
        <v>832</v>
      </c>
      <c r="U610" s="13"/>
      <c r="V610" s="13"/>
      <c r="W610" s="5" t="s">
        <v>1491</v>
      </c>
    </row>
    <row r="611" spans="1:23" ht="75">
      <c r="A611" s="1">
        <v>866522</v>
      </c>
      <c r="B611" s="1">
        <v>1</v>
      </c>
      <c r="C611" s="1">
        <v>391</v>
      </c>
      <c r="D611" s="2" t="s">
        <v>830</v>
      </c>
      <c r="E611" s="11" t="s">
        <v>830</v>
      </c>
      <c r="F611" s="11">
        <v>272639</v>
      </c>
      <c r="G611" s="2" t="s">
        <v>1494</v>
      </c>
      <c r="H611" s="2" t="s">
        <v>1495</v>
      </c>
      <c r="I611" s="2" t="s">
        <v>1496</v>
      </c>
      <c r="J611" s="2" t="str">
        <f t="shared" si="18"/>
        <v>https://permalinkbnd.bnportugal.gov.pt/viewer/272639/?offset=#page=391&amp;viewer=picture&amp;o=info&amp;n=0&amp;q=</v>
      </c>
      <c r="K611" s="1" t="s">
        <v>831</v>
      </c>
      <c r="L611" s="1" t="str">
        <f>VLOOKUP(A611,Folha2!$A$2:$B$2019,2,FALSE)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1" s="12" t="str">
        <f t="shared" si="19"/>
        <v>https://permalinkbnd.bnportugal.gov.pt/viewer/272639/?offset=#page=391&amp;viewer=picture&amp;o=info&amp;n=0&amp;q=</v>
      </c>
      <c r="N611" s="12" t="s">
        <v>1497</v>
      </c>
      <c r="O611" s="12" t="str">
        <f>CONCATENATE(N611,A611,"\",B611,"\",C611,".jpg")</f>
        <v>C:\Users\mbaptista\OneDrive - Biblioteca Nacional de Portugal\Documentos\python\camoniana\imagens\capas\866522\1\391.jpg</v>
      </c>
      <c r="P611" s="12" t="str">
        <f>HYPERLINK(O611)</f>
        <v>C:\Users\mbaptista\OneDrive - Biblioteca Nacional de Portugal\Documentos\python\camoniana\imagens\capas\866522\1\391.jpg</v>
      </c>
      <c r="Q611" s="12"/>
      <c r="R611" s="6" t="s">
        <v>836</v>
      </c>
      <c r="S611" s="4"/>
      <c r="T611" s="1" t="s">
        <v>832</v>
      </c>
      <c r="U611" s="13"/>
      <c r="V611" s="13"/>
      <c r="W611" s="5" t="s">
        <v>1491</v>
      </c>
    </row>
    <row r="612" spans="1:23" ht="75">
      <c r="A612" s="1">
        <v>328432</v>
      </c>
      <c r="B612" s="1">
        <v>1</v>
      </c>
      <c r="C612" s="1">
        <v>1</v>
      </c>
      <c r="D612" s="2" t="s">
        <v>837</v>
      </c>
      <c r="E612" s="5" t="s">
        <v>837</v>
      </c>
      <c r="F612" s="5">
        <v>277836</v>
      </c>
      <c r="G612" s="2" t="s">
        <v>1494</v>
      </c>
      <c r="H612" s="2" t="s">
        <v>1495</v>
      </c>
      <c r="I612" s="2" t="s">
        <v>1496</v>
      </c>
      <c r="J612" s="2" t="str">
        <f t="shared" si="18"/>
        <v>https://permalinkbnd.bnportugal.gov.pt/viewer/277836/?offset=#page=1&amp;viewer=picture&amp;o=info&amp;n=0&amp;q=</v>
      </c>
      <c r="K612" s="1">
        <v>1</v>
      </c>
      <c r="L612" s="1" t="str">
        <f>VLOOKUP(A612,Folha2!$A$2:$B$2019,2,FALSE)</f>
        <v>Luís de Camões o príncipe dos poetas portuguezes : breve notícia sobre a vida e merecimentos... / coordenada por Mendes Canuto. - Lisboa : Typ. Progressista de P. A. Borges, 1880. </v>
      </c>
      <c r="M612" s="12" t="str">
        <f t="shared" si="19"/>
        <v>https://permalinkbnd.bnportugal.gov.pt/viewer/277836/?offset=#page=1&amp;viewer=picture&amp;o=info&amp;n=0&amp;q=</v>
      </c>
      <c r="N612" s="12" t="s">
        <v>1497</v>
      </c>
      <c r="O612" s="12" t="str">
        <f>CONCATENATE(N612,A612,"\",B612,"\",C612,".jpg")</f>
        <v>C:\Users\mbaptista\OneDrive - Biblioteca Nacional de Portugal\Documentos\python\camoniana\imagens\capas\328432\1\1.jpg</v>
      </c>
      <c r="P612" s="12" t="str">
        <f>HYPERLINK(O612)</f>
        <v>C:\Users\mbaptista\OneDrive - Biblioteca Nacional de Portugal\Documentos\python\camoniana\imagens\capas\328432\1\1.jpg</v>
      </c>
      <c r="Q612" s="12"/>
      <c r="R612" s="6" t="s">
        <v>838</v>
      </c>
      <c r="S612" s="4"/>
      <c r="T612" s="1">
        <v>1</v>
      </c>
      <c r="U612" s="13"/>
      <c r="V612" s="13"/>
      <c r="W612" s="5" t="s">
        <v>1491</v>
      </c>
    </row>
    <row r="613" spans="1:23" ht="75">
      <c r="A613" s="1">
        <v>328922</v>
      </c>
      <c r="B613" s="1">
        <v>1</v>
      </c>
      <c r="C613" s="1">
        <v>10</v>
      </c>
      <c r="D613" s="2" t="s">
        <v>839</v>
      </c>
      <c r="E613" s="11" t="s">
        <v>839</v>
      </c>
      <c r="F613" s="11">
        <v>277820</v>
      </c>
      <c r="G613" s="2" t="s">
        <v>1494</v>
      </c>
      <c r="H613" s="2" t="s">
        <v>1495</v>
      </c>
      <c r="I613" s="2" t="s">
        <v>1496</v>
      </c>
      <c r="J613" s="2" t="str">
        <f t="shared" si="18"/>
        <v>https://permalinkbnd.bnportugal.gov.pt/viewer/277820/?offset=#page=10&amp;viewer=picture&amp;o=info&amp;n=0&amp;q=</v>
      </c>
      <c r="K613" s="1">
        <v>10</v>
      </c>
      <c r="L613" s="1" t="str">
        <f>VLOOKUP(A613,Folha2!$A$2:$B$2019,2,FALSE)</f>
        <v>O Portugal de Camões : offerecido à Mocidade Portugueza e Brazileira seguido de um elucidario e indice chronologico / por A. A. Daux. - Paris : Typ. Guillard, Aillaud &amp; C.ie, 1889. </v>
      </c>
      <c r="M613" s="12" t="str">
        <f t="shared" si="19"/>
        <v>https://permalinkbnd.bnportugal.gov.pt/viewer/277820/?offset=#page=10&amp;viewer=picture&amp;o=info&amp;n=0&amp;q=</v>
      </c>
      <c r="N613" s="12" t="s">
        <v>1497</v>
      </c>
      <c r="O613" s="12" t="str">
        <f>CONCATENATE(N613,A613,"\",B613,"\",C613,".jpg")</f>
        <v>C:\Users\mbaptista\OneDrive - Biblioteca Nacional de Portugal\Documentos\python\camoniana\imagens\capas\328922\1\10.jpg</v>
      </c>
      <c r="P613" s="12" t="str">
        <f>HYPERLINK(O613)</f>
        <v>C:\Users\mbaptista\OneDrive - Biblioteca Nacional de Portugal\Documentos\python\camoniana\imagens\capas\328922\1\10.jpg</v>
      </c>
      <c r="Q613" s="12"/>
      <c r="R613" s="6" t="s">
        <v>840</v>
      </c>
      <c r="S613" s="4"/>
      <c r="T613" s="1">
        <v>10</v>
      </c>
      <c r="U613" s="13"/>
      <c r="V613" s="13"/>
      <c r="W613" s="5" t="s">
        <v>1491</v>
      </c>
    </row>
    <row r="614" spans="1:23" ht="75">
      <c r="A614" s="1">
        <v>329068</v>
      </c>
      <c r="B614" s="1">
        <v>1</v>
      </c>
      <c r="C614" s="1">
        <v>8</v>
      </c>
      <c r="D614" s="2" t="s">
        <v>841</v>
      </c>
      <c r="E614" s="5" t="s">
        <v>841</v>
      </c>
      <c r="F614" s="5">
        <v>277966</v>
      </c>
      <c r="G614" s="2" t="s">
        <v>1494</v>
      </c>
      <c r="H614" s="2" t="s">
        <v>1495</v>
      </c>
      <c r="I614" s="2" t="s">
        <v>1496</v>
      </c>
      <c r="J614" s="2" t="str">
        <f t="shared" si="18"/>
        <v>https://permalinkbnd.bnportugal.gov.pt/viewer/277966/?offset=#page=8&amp;viewer=picture&amp;o=info&amp;n=0&amp;q=</v>
      </c>
      <c r="K614" s="1" t="s">
        <v>842</v>
      </c>
      <c r="L614" s="1" t="str">
        <f>VLOOKUP(A614,Folha2!$A$2:$B$2019,2,FALSE)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4" s="12" t="str">
        <f t="shared" si="19"/>
        <v>https://permalinkbnd.bnportugal.gov.pt/viewer/277966/?offset=#page=8&amp;viewer=picture&amp;o=info&amp;n=0&amp;q=</v>
      </c>
      <c r="N614" s="12" t="s">
        <v>1497</v>
      </c>
      <c r="O614" s="12" t="str">
        <f>CONCATENATE(N614,A614,"\",B614,"\",C614,".jpg")</f>
        <v>C:\Users\mbaptista\OneDrive - Biblioteca Nacional de Portugal\Documentos\python\camoniana\imagens\capas\329068\1\8.jpg</v>
      </c>
      <c r="P614" s="12" t="str">
        <f>HYPERLINK(O614)</f>
        <v>C:\Users\mbaptista\OneDrive - Biblioteca Nacional de Portugal\Documentos\python\camoniana\imagens\capas\329068\1\8.jpg</v>
      </c>
      <c r="Q614" s="12"/>
      <c r="R614" s="6" t="s">
        <v>844</v>
      </c>
      <c r="S614" s="4"/>
      <c r="T614" s="1" t="s">
        <v>843</v>
      </c>
      <c r="U614" s="13"/>
      <c r="V614" s="13"/>
      <c r="W614" s="5" t="s">
        <v>1491</v>
      </c>
    </row>
    <row r="615" spans="1:23" ht="75">
      <c r="A615" s="1">
        <v>329068</v>
      </c>
      <c r="B615" s="1">
        <v>1</v>
      </c>
      <c r="C615" s="1">
        <v>118</v>
      </c>
      <c r="D615" s="2" t="s">
        <v>841</v>
      </c>
      <c r="E615" s="11" t="s">
        <v>841</v>
      </c>
      <c r="F615" s="11">
        <v>277966</v>
      </c>
      <c r="G615" s="2" t="s">
        <v>1494</v>
      </c>
      <c r="H615" s="2" t="s">
        <v>1495</v>
      </c>
      <c r="I615" s="2" t="s">
        <v>1496</v>
      </c>
      <c r="J615" s="2" t="str">
        <f t="shared" si="18"/>
        <v>https://permalinkbnd.bnportugal.gov.pt/viewer/277966/?offset=#page=118&amp;viewer=picture&amp;o=info&amp;n=0&amp;q=</v>
      </c>
      <c r="K615" s="1" t="s">
        <v>842</v>
      </c>
      <c r="L615" s="1" t="str">
        <f>VLOOKUP(A615,Folha2!$A$2:$B$2019,2,FALSE)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5" s="12" t="str">
        <f t="shared" si="19"/>
        <v>https://permalinkbnd.bnportugal.gov.pt/viewer/277966/?offset=#page=118&amp;viewer=picture&amp;o=info&amp;n=0&amp;q=</v>
      </c>
      <c r="N615" s="12" t="s">
        <v>1497</v>
      </c>
      <c r="O615" s="12" t="str">
        <f>CONCATENATE(N615,A615,"\",B615,"\",C615,".jpg")</f>
        <v>C:\Users\mbaptista\OneDrive - Biblioteca Nacional de Portugal\Documentos\python\camoniana\imagens\capas\329068\1\118.jpg</v>
      </c>
      <c r="P615" s="12" t="str">
        <f>HYPERLINK(O615)</f>
        <v>C:\Users\mbaptista\OneDrive - Biblioteca Nacional de Portugal\Documentos\python\camoniana\imagens\capas\329068\1\118.jpg</v>
      </c>
      <c r="Q615" s="12"/>
      <c r="R615" s="6" t="s">
        <v>845</v>
      </c>
      <c r="S615" s="4"/>
      <c r="T615" s="1" t="s">
        <v>843</v>
      </c>
      <c r="U615" s="13"/>
      <c r="V615" s="13"/>
      <c r="W615" s="5" t="s">
        <v>1491</v>
      </c>
    </row>
    <row r="616" spans="1:23" ht="75">
      <c r="A616" s="1">
        <v>330080</v>
      </c>
      <c r="B616" s="1">
        <v>1</v>
      </c>
      <c r="C616" s="1">
        <v>24</v>
      </c>
      <c r="D616" s="2" t="s">
        <v>846</v>
      </c>
      <c r="E616" s="5" t="s">
        <v>846</v>
      </c>
      <c r="F616" s="5">
        <v>278039</v>
      </c>
      <c r="G616" s="2" t="s">
        <v>1494</v>
      </c>
      <c r="H616" s="2" t="s">
        <v>1495</v>
      </c>
      <c r="I616" s="2" t="s">
        <v>1496</v>
      </c>
      <c r="J616" s="2" t="str">
        <f t="shared" si="18"/>
        <v>https://permalinkbnd.bnportugal.gov.pt/viewer/278039/?offset=#page=24&amp;viewer=picture&amp;o=info&amp;n=0&amp;q=</v>
      </c>
      <c r="K616" s="1" t="s">
        <v>847</v>
      </c>
      <c r="L616" s="1" t="str">
        <f>VLOOKUP(A616,Folha2!$A$2:$B$2019,2,FALSE)</f>
        <v>A varanda de Nathercia / de Alberto Pimentel. - Lisboa : Empresa Litteraria de Lisboa, [1880]. Celebrações (1880), recepção criativa.</v>
      </c>
      <c r="M616" s="12" t="str">
        <f t="shared" si="19"/>
        <v>https://permalinkbnd.bnportugal.gov.pt/viewer/278039/?offset=#page=24&amp;viewer=picture&amp;o=info&amp;n=0&amp;q=</v>
      </c>
      <c r="N616" s="12" t="s">
        <v>1497</v>
      </c>
      <c r="O616" s="12" t="str">
        <f>CONCATENATE(N616,A616,"\",B616,"\",C616,".jpg")</f>
        <v>C:\Users\mbaptista\OneDrive - Biblioteca Nacional de Portugal\Documentos\python\camoniana\imagens\capas\330080\1\24.jpg</v>
      </c>
      <c r="P616" s="12" t="str">
        <f>HYPERLINK(O616)</f>
        <v>C:\Users\mbaptista\OneDrive - Biblioteca Nacional de Portugal\Documentos\python\camoniana\imagens\capas\330080\1\24.jpg</v>
      </c>
      <c r="Q616" s="12"/>
      <c r="R616" s="6" t="s">
        <v>848</v>
      </c>
      <c r="S616" s="4"/>
      <c r="T616" s="1">
        <v>24</v>
      </c>
      <c r="U616" s="13"/>
      <c r="V616" s="13"/>
      <c r="W616" s="5" t="s">
        <v>1491</v>
      </c>
    </row>
    <row r="617" spans="1:23" ht="75">
      <c r="A617" s="1">
        <v>330133</v>
      </c>
      <c r="B617" s="1">
        <v>1</v>
      </c>
      <c r="C617" s="1">
        <v>8</v>
      </c>
      <c r="D617" s="2" t="s">
        <v>849</v>
      </c>
      <c r="E617" s="11" t="s">
        <v>849</v>
      </c>
      <c r="F617" s="11">
        <v>278038</v>
      </c>
      <c r="G617" s="2" t="s">
        <v>1494</v>
      </c>
      <c r="H617" s="2" t="s">
        <v>1495</v>
      </c>
      <c r="I617" s="2" t="s">
        <v>1496</v>
      </c>
      <c r="J617" s="2" t="str">
        <f t="shared" si="18"/>
        <v>https://permalinkbnd.bnportugal.gov.pt/viewer/278038/?offset=#page=8&amp;viewer=picture&amp;o=info&amp;n=0&amp;q=</v>
      </c>
      <c r="K617" s="1" t="s">
        <v>850</v>
      </c>
      <c r="L617" s="1" t="str">
        <f>VLOOKUP(A617,Folha2!$A$2:$B$2019,2,FALSE)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7" s="12" t="str">
        <f t="shared" si="19"/>
        <v>https://permalinkbnd.bnportugal.gov.pt/viewer/278038/?offset=#page=8&amp;viewer=picture&amp;o=info&amp;n=0&amp;q=</v>
      </c>
      <c r="N617" s="12" t="s">
        <v>1497</v>
      </c>
      <c r="O617" s="12" t="str">
        <f>CONCATENATE(N617,A617,"\",B617,"\",C617,".jpg")</f>
        <v>C:\Users\mbaptista\OneDrive - Biblioteca Nacional de Portugal\Documentos\python\camoniana\imagens\capas\330133\1\8.jpg</v>
      </c>
      <c r="P617" s="12" t="str">
        <f>HYPERLINK(O617)</f>
        <v>C:\Users\mbaptista\OneDrive - Biblioteca Nacional de Portugal\Documentos\python\camoniana\imagens\capas\330133\1\8.jpg</v>
      </c>
      <c r="Q617" s="12"/>
      <c r="R617" s="6" t="s">
        <v>852</v>
      </c>
      <c r="S617" s="4"/>
      <c r="T617" s="1" t="s">
        <v>851</v>
      </c>
      <c r="U617" s="13"/>
      <c r="V617" s="13"/>
      <c r="W617" s="5" t="s">
        <v>1491</v>
      </c>
    </row>
    <row r="618" spans="1:23" ht="75">
      <c r="A618" s="1">
        <v>330133</v>
      </c>
      <c r="B618" s="1">
        <v>1</v>
      </c>
      <c r="C618" s="1">
        <v>303</v>
      </c>
      <c r="D618" s="2" t="s">
        <v>849</v>
      </c>
      <c r="E618" s="5" t="s">
        <v>849</v>
      </c>
      <c r="F618" s="5">
        <v>278038</v>
      </c>
      <c r="G618" s="2" t="s">
        <v>1494</v>
      </c>
      <c r="H618" s="2" t="s">
        <v>1495</v>
      </c>
      <c r="I618" s="2" t="s">
        <v>1496</v>
      </c>
      <c r="J618" s="2" t="str">
        <f t="shared" si="18"/>
        <v>https://permalinkbnd.bnportugal.gov.pt/viewer/278038/?offset=#page=303&amp;viewer=picture&amp;o=info&amp;n=0&amp;q=</v>
      </c>
      <c r="K618" s="1" t="s">
        <v>850</v>
      </c>
      <c r="L618" s="1" t="str">
        <f>VLOOKUP(A618,Folha2!$A$2:$B$2019,2,FALSE)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8" s="12" t="str">
        <f t="shared" si="19"/>
        <v>https://permalinkbnd.bnportugal.gov.pt/viewer/278038/?offset=#page=303&amp;viewer=picture&amp;o=info&amp;n=0&amp;q=</v>
      </c>
      <c r="N618" s="12" t="s">
        <v>1497</v>
      </c>
      <c r="O618" s="12" t="str">
        <f>CONCATENATE(N618,A618,"\",B618,"\",C618,".jpg")</f>
        <v>C:\Users\mbaptista\OneDrive - Biblioteca Nacional de Portugal\Documentos\python\camoniana\imagens\capas\330133\1\303.jpg</v>
      </c>
      <c r="P618" s="12" t="str">
        <f>HYPERLINK(O618)</f>
        <v>C:\Users\mbaptista\OneDrive - Biblioteca Nacional de Portugal\Documentos\python\camoniana\imagens\capas\330133\1\303.jpg</v>
      </c>
      <c r="Q618" s="12"/>
      <c r="R618" s="6" t="s">
        <v>853</v>
      </c>
      <c r="S618" s="4"/>
      <c r="T618" s="1" t="s">
        <v>851</v>
      </c>
      <c r="U618" s="13"/>
      <c r="V618" s="13"/>
      <c r="W618" s="5" t="s">
        <v>1491</v>
      </c>
    </row>
    <row r="619" spans="1:23" ht="75">
      <c r="A619" s="1">
        <v>473486</v>
      </c>
      <c r="B619" s="1">
        <v>1</v>
      </c>
      <c r="C619" s="1">
        <v>68</v>
      </c>
      <c r="D619" s="2" t="s">
        <v>854</v>
      </c>
      <c r="E619" s="11" t="s">
        <v>854</v>
      </c>
      <c r="F619" s="11">
        <v>278031</v>
      </c>
      <c r="G619" s="2" t="s">
        <v>1494</v>
      </c>
      <c r="H619" s="2" t="s">
        <v>1495</v>
      </c>
      <c r="I619" s="2" t="s">
        <v>1496</v>
      </c>
      <c r="J619" s="2" t="str">
        <f t="shared" si="18"/>
        <v>https://permalinkbnd.bnportugal.gov.pt/viewer/278031/?offset=#page=68&amp;viewer=picture&amp;o=info&amp;n=0&amp;q=</v>
      </c>
      <c r="K619" s="1" t="s">
        <v>855</v>
      </c>
      <c r="L619" s="1" t="str">
        <f>VLOOKUP(A619,Folha2!$A$2:$B$2019,2,FALSE)</f>
        <v>Discurso apologético a favor do insigne poeta Luis de Camões contra o L do Manoel Pires de Almeida / João Franco Barreto ; pref. Tomás Norton. 1847 . Manuscrito. Fragmento impresso de notícia sobre os restos mortais de Gama, cf. 67.</v>
      </c>
      <c r="M619" s="12" t="str">
        <f t="shared" si="19"/>
        <v>https://permalinkbnd.bnportugal.gov.pt/viewer/278031/?offset=#page=68&amp;viewer=picture&amp;o=info&amp;n=0&amp;q=</v>
      </c>
      <c r="N619" s="12" t="s">
        <v>1497</v>
      </c>
      <c r="O619" s="12" t="str">
        <f>CONCATENATE(N619,A619,"\",B619,"\",C619,".jpg")</f>
        <v>C:\Users\mbaptista\OneDrive - Biblioteca Nacional de Portugal\Documentos\python\camoniana\imagens\capas\473486\1\68.jpg</v>
      </c>
      <c r="P619" s="12" t="str">
        <f>HYPERLINK(O619)</f>
        <v>C:\Users\mbaptista\OneDrive - Biblioteca Nacional de Portugal\Documentos\python\camoniana\imagens\capas\473486\1\68.jpg</v>
      </c>
      <c r="Q619" s="12"/>
      <c r="R619" s="6" t="s">
        <v>856</v>
      </c>
      <c r="S619" s="4"/>
      <c r="T619" s="1"/>
      <c r="U619" s="13"/>
      <c r="V619" s="13"/>
      <c r="W619" s="5" t="s">
        <v>1491</v>
      </c>
    </row>
    <row r="620" spans="1:23" ht="75">
      <c r="A620" s="1">
        <v>473496</v>
      </c>
      <c r="B620" s="1">
        <v>1</v>
      </c>
      <c r="C620" s="1">
        <v>1</v>
      </c>
      <c r="D620" s="2" t="s">
        <v>857</v>
      </c>
      <c r="E620" s="5" t="s">
        <v>857</v>
      </c>
      <c r="F620" s="5">
        <v>278032</v>
      </c>
      <c r="G620" s="2" t="s">
        <v>1494</v>
      </c>
      <c r="H620" s="2" t="s">
        <v>1495</v>
      </c>
      <c r="I620" s="2" t="s">
        <v>1496</v>
      </c>
      <c r="J620" s="2" t="str">
        <f t="shared" si="18"/>
        <v>https://permalinkbnd.bnportugal.gov.pt/viewer/278032/?offset=#page=1&amp;viewer=picture&amp;o=info&amp;n=0&amp;q=</v>
      </c>
      <c r="K620" s="1" t="s">
        <v>858</v>
      </c>
      <c r="L620" s="1" t="str">
        <f>VLOOKUP(A620,Folha2!$A$2:$B$2019,2,FALSE)</f>
        <v>[Notas biográficas e bibliográficas e relação das obras de Luís de Camões] / Tomás Norton. Manuscrito. Contém traduções de estrofes de Os Lusíadas, cf. Im. 113-114.</v>
      </c>
      <c r="M620" s="12" t="str">
        <f t="shared" si="19"/>
        <v>https://permalinkbnd.bnportugal.gov.pt/viewer/278032/?offset=#page=1&amp;viewer=picture&amp;o=info&amp;n=0&amp;q=</v>
      </c>
      <c r="N620" s="12" t="s">
        <v>1497</v>
      </c>
      <c r="O620" s="12" t="str">
        <f>CONCATENATE(N620,A620,"\",B620,"\",C620,".jpg")</f>
        <v>C:\Users\mbaptista\OneDrive - Biblioteca Nacional de Portugal\Documentos\python\camoniana\imagens\capas\473496\1\1.jpg</v>
      </c>
      <c r="P620" s="12" t="str">
        <f>HYPERLINK(O620)</f>
        <v>C:\Users\mbaptista\OneDrive - Biblioteca Nacional de Portugal\Documentos\python\camoniana\imagens\capas\473496\1\1.jpg</v>
      </c>
      <c r="Q620" s="12"/>
      <c r="R620" s="6" t="s">
        <v>859</v>
      </c>
      <c r="S620" s="4"/>
      <c r="T620" s="1">
        <v>1</v>
      </c>
      <c r="U620" s="13"/>
      <c r="V620" s="13"/>
      <c r="W620" s="5" t="s">
        <v>1491</v>
      </c>
    </row>
    <row r="621" spans="1:23" ht="75">
      <c r="A621" s="1">
        <v>330264</v>
      </c>
      <c r="B621" s="1">
        <v>1</v>
      </c>
      <c r="C621" s="1">
        <v>136</v>
      </c>
      <c r="D621" s="2" t="s">
        <v>860</v>
      </c>
      <c r="E621" s="11" t="s">
        <v>860</v>
      </c>
      <c r="F621" s="11">
        <v>278097</v>
      </c>
      <c r="G621" s="2" t="s">
        <v>1494</v>
      </c>
      <c r="H621" s="2" t="s">
        <v>1495</v>
      </c>
      <c r="I621" s="2" t="s">
        <v>1496</v>
      </c>
      <c r="J621" s="2" t="str">
        <f t="shared" si="18"/>
        <v>https://permalinkbnd.bnportugal.gov.pt/viewer/278097/?offset=#page=136&amp;viewer=picture&amp;o=info&amp;n=0&amp;q=</v>
      </c>
      <c r="K621" s="1" t="s">
        <v>861</v>
      </c>
      <c r="L621" s="1" t="str">
        <f>VLOOKUP(A621,Folha2!$A$2:$B$2019,2,FALSE)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1" s="12" t="str">
        <f t="shared" si="19"/>
        <v>https://permalinkbnd.bnportugal.gov.pt/viewer/278097/?offset=#page=136&amp;viewer=picture&amp;o=info&amp;n=0&amp;q=</v>
      </c>
      <c r="N621" s="12" t="s">
        <v>1497</v>
      </c>
      <c r="O621" s="12" t="str">
        <f>CONCATENATE(N621,A621,"\",B621,"\",C621,".jpg")</f>
        <v>C:\Users\mbaptista\OneDrive - Biblioteca Nacional de Portugal\Documentos\python\camoniana\imagens\capas\330264\1\136.jpg</v>
      </c>
      <c r="P621" s="12" t="str">
        <f>HYPERLINK(O621)</f>
        <v>C:\Users\mbaptista\OneDrive - Biblioteca Nacional de Portugal\Documentos\python\camoniana\imagens\capas\330264\1\136.jpg</v>
      </c>
      <c r="Q621" s="12"/>
      <c r="R621" s="6" t="s">
        <v>863</v>
      </c>
      <c r="S621" s="4"/>
      <c r="T621" s="1" t="s">
        <v>862</v>
      </c>
      <c r="U621" s="13"/>
      <c r="V621" s="13"/>
      <c r="W621" s="5" t="s">
        <v>1491</v>
      </c>
    </row>
    <row r="622" spans="1:23" ht="75">
      <c r="A622" s="1">
        <v>330264</v>
      </c>
      <c r="B622" s="1">
        <v>1</v>
      </c>
      <c r="C622" s="1">
        <v>138</v>
      </c>
      <c r="D622" s="2" t="s">
        <v>860</v>
      </c>
      <c r="E622" s="5" t="s">
        <v>860</v>
      </c>
      <c r="F622" s="5">
        <v>278097</v>
      </c>
      <c r="G622" s="2" t="s">
        <v>1494</v>
      </c>
      <c r="H622" s="2" t="s">
        <v>1495</v>
      </c>
      <c r="I622" s="2" t="s">
        <v>1496</v>
      </c>
      <c r="J622" s="2" t="str">
        <f t="shared" si="18"/>
        <v>https://permalinkbnd.bnportugal.gov.pt/viewer/278097/?offset=#page=138&amp;viewer=picture&amp;o=info&amp;n=0&amp;q=</v>
      </c>
      <c r="K622" s="1" t="s">
        <v>861</v>
      </c>
      <c r="L622" s="1" t="str">
        <f>VLOOKUP(A622,Folha2!$A$2:$B$2019,2,FALSE)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2" s="12" t="str">
        <f t="shared" si="19"/>
        <v>https://permalinkbnd.bnportugal.gov.pt/viewer/278097/?offset=#page=138&amp;viewer=picture&amp;o=info&amp;n=0&amp;q=</v>
      </c>
      <c r="N622" s="12" t="s">
        <v>1497</v>
      </c>
      <c r="O622" s="12" t="str">
        <f>CONCATENATE(N622,A622,"\",B622,"\",C622,".jpg")</f>
        <v>C:\Users\mbaptista\OneDrive - Biblioteca Nacional de Portugal\Documentos\python\camoniana\imagens\capas\330264\1\138.jpg</v>
      </c>
      <c r="P622" s="12" t="str">
        <f>HYPERLINK(O622)</f>
        <v>C:\Users\mbaptista\OneDrive - Biblioteca Nacional de Portugal\Documentos\python\camoniana\imagens\capas\330264\1\138.jpg</v>
      </c>
      <c r="Q622" s="12"/>
      <c r="R622" s="6" t="s">
        <v>864</v>
      </c>
      <c r="S622" s="4"/>
      <c r="T622" s="1" t="s">
        <v>862</v>
      </c>
      <c r="U622" s="13"/>
      <c r="V622" s="13"/>
      <c r="W622" s="5" t="s">
        <v>1491</v>
      </c>
    </row>
    <row r="623" spans="1:23" ht="75">
      <c r="A623" s="1">
        <v>330264</v>
      </c>
      <c r="B623" s="1">
        <v>1</v>
      </c>
      <c r="C623" s="1">
        <v>140</v>
      </c>
      <c r="D623" s="2" t="s">
        <v>860</v>
      </c>
      <c r="E623" s="11" t="s">
        <v>860</v>
      </c>
      <c r="F623" s="11">
        <v>278097</v>
      </c>
      <c r="G623" s="2" t="s">
        <v>1494</v>
      </c>
      <c r="H623" s="2" t="s">
        <v>1495</v>
      </c>
      <c r="I623" s="2" t="s">
        <v>1496</v>
      </c>
      <c r="J623" s="2" t="str">
        <f t="shared" si="18"/>
        <v>https://permalinkbnd.bnportugal.gov.pt/viewer/278097/?offset=#page=140&amp;viewer=picture&amp;o=info&amp;n=0&amp;q=</v>
      </c>
      <c r="K623" s="1" t="s">
        <v>861</v>
      </c>
      <c r="L623" s="1" t="str">
        <f>VLOOKUP(A623,Folha2!$A$2:$B$2019,2,FALSE)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3" s="12" t="str">
        <f t="shared" si="19"/>
        <v>https://permalinkbnd.bnportugal.gov.pt/viewer/278097/?offset=#page=140&amp;viewer=picture&amp;o=info&amp;n=0&amp;q=</v>
      </c>
      <c r="N623" s="12" t="s">
        <v>1497</v>
      </c>
      <c r="O623" s="12" t="str">
        <f>CONCATENATE(N623,A623,"\",B623,"\",C623,".jpg")</f>
        <v>C:\Users\mbaptista\OneDrive - Biblioteca Nacional de Portugal\Documentos\python\camoniana\imagens\capas\330264\1\140.jpg</v>
      </c>
      <c r="P623" s="12" t="str">
        <f>HYPERLINK(O623)</f>
        <v>C:\Users\mbaptista\OneDrive - Biblioteca Nacional de Portugal\Documentos\python\camoniana\imagens\capas\330264\1\140.jpg</v>
      </c>
      <c r="Q623" s="12"/>
      <c r="R623" s="6" t="s">
        <v>865</v>
      </c>
      <c r="S623" s="4"/>
      <c r="T623" s="1" t="s">
        <v>862</v>
      </c>
      <c r="U623" s="13"/>
      <c r="V623" s="13"/>
      <c r="W623" s="5" t="s">
        <v>1491</v>
      </c>
    </row>
    <row r="624" spans="1:23" ht="75">
      <c r="A624" s="1">
        <v>330264</v>
      </c>
      <c r="B624" s="1">
        <v>1</v>
      </c>
      <c r="C624" s="1">
        <v>142</v>
      </c>
      <c r="D624" s="2" t="s">
        <v>860</v>
      </c>
      <c r="E624" s="5" t="s">
        <v>860</v>
      </c>
      <c r="F624" s="5">
        <v>278097</v>
      </c>
      <c r="G624" s="2" t="s">
        <v>1494</v>
      </c>
      <c r="H624" s="2" t="s">
        <v>1495</v>
      </c>
      <c r="I624" s="2" t="s">
        <v>1496</v>
      </c>
      <c r="J624" s="2" t="str">
        <f t="shared" si="18"/>
        <v>https://permalinkbnd.bnportugal.gov.pt/viewer/278097/?offset=#page=142&amp;viewer=picture&amp;o=info&amp;n=0&amp;q=</v>
      </c>
      <c r="K624" s="1" t="s">
        <v>861</v>
      </c>
      <c r="L624" s="1" t="str">
        <f>VLOOKUP(A624,Folha2!$A$2:$B$2019,2,FALSE)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4" s="12" t="str">
        <f t="shared" si="19"/>
        <v>https://permalinkbnd.bnportugal.gov.pt/viewer/278097/?offset=#page=142&amp;viewer=picture&amp;o=info&amp;n=0&amp;q=</v>
      </c>
      <c r="N624" s="12" t="s">
        <v>1497</v>
      </c>
      <c r="O624" s="12" t="str">
        <f>CONCATENATE(N624,A624,"\",B624,"\",C624,".jpg")</f>
        <v>C:\Users\mbaptista\OneDrive - Biblioteca Nacional de Portugal\Documentos\python\camoniana\imagens\capas\330264\1\142.jpg</v>
      </c>
      <c r="P624" s="12" t="str">
        <f>HYPERLINK(O624)</f>
        <v>C:\Users\mbaptista\OneDrive - Biblioteca Nacional de Portugal\Documentos\python\camoniana\imagens\capas\330264\1\142.jpg</v>
      </c>
      <c r="Q624" s="12"/>
      <c r="R624" s="6" t="s">
        <v>866</v>
      </c>
      <c r="S624" s="4"/>
      <c r="T624" s="1" t="s">
        <v>862</v>
      </c>
      <c r="U624" s="13"/>
      <c r="V624" s="13"/>
      <c r="W624" s="5" t="s">
        <v>1491</v>
      </c>
    </row>
    <row r="625" spans="1:23" ht="75">
      <c r="A625" s="1">
        <v>330264</v>
      </c>
      <c r="B625" s="1">
        <v>1</v>
      </c>
      <c r="C625" s="1">
        <v>144</v>
      </c>
      <c r="D625" s="2" t="s">
        <v>860</v>
      </c>
      <c r="E625" s="11" t="s">
        <v>860</v>
      </c>
      <c r="F625" s="11">
        <v>278097</v>
      </c>
      <c r="G625" s="2" t="s">
        <v>1494</v>
      </c>
      <c r="H625" s="2" t="s">
        <v>1495</v>
      </c>
      <c r="I625" s="2" t="s">
        <v>1496</v>
      </c>
      <c r="J625" s="2" t="str">
        <f t="shared" si="18"/>
        <v>https://permalinkbnd.bnportugal.gov.pt/viewer/278097/?offset=#page=144&amp;viewer=picture&amp;o=info&amp;n=0&amp;q=</v>
      </c>
      <c r="K625" s="1" t="s">
        <v>861</v>
      </c>
      <c r="L625" s="1" t="str">
        <f>VLOOKUP(A625,Folha2!$A$2:$B$2019,2,FALSE)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5" s="12" t="str">
        <f t="shared" si="19"/>
        <v>https://permalinkbnd.bnportugal.gov.pt/viewer/278097/?offset=#page=144&amp;viewer=picture&amp;o=info&amp;n=0&amp;q=</v>
      </c>
      <c r="N625" s="12" t="s">
        <v>1497</v>
      </c>
      <c r="O625" s="12" t="str">
        <f>CONCATENATE(N625,A625,"\",B625,"\",C625,".jpg")</f>
        <v>C:\Users\mbaptista\OneDrive - Biblioteca Nacional de Portugal\Documentos\python\camoniana\imagens\capas\330264\1\144.jpg</v>
      </c>
      <c r="P625" s="12" t="str">
        <f>HYPERLINK(O625)</f>
        <v>C:\Users\mbaptista\OneDrive - Biblioteca Nacional de Portugal\Documentos\python\camoniana\imagens\capas\330264\1\144.jpg</v>
      </c>
      <c r="Q625" s="12"/>
      <c r="R625" s="6" t="s">
        <v>867</v>
      </c>
      <c r="S625" s="4"/>
      <c r="T625" s="1" t="s">
        <v>862</v>
      </c>
      <c r="U625" s="13"/>
      <c r="V625" s="13"/>
      <c r="W625" s="5" t="s">
        <v>1491</v>
      </c>
    </row>
    <row r="626" spans="1:23" ht="75">
      <c r="A626" s="1">
        <v>455278</v>
      </c>
      <c r="B626" s="1">
        <v>1</v>
      </c>
      <c r="C626" s="1">
        <v>8</v>
      </c>
      <c r="D626" s="2" t="s">
        <v>868</v>
      </c>
      <c r="E626" s="5" t="s">
        <v>868</v>
      </c>
      <c r="F626" s="5">
        <v>278099</v>
      </c>
      <c r="G626" s="2" t="s">
        <v>1494</v>
      </c>
      <c r="H626" s="2" t="s">
        <v>1495</v>
      </c>
      <c r="I626" s="2" t="s">
        <v>1496</v>
      </c>
      <c r="J626" s="2" t="str">
        <f t="shared" si="18"/>
        <v>https://permalinkbnd.bnportugal.gov.pt/viewer/278099/?offset=#page=8&amp;viewer=picture&amp;o=info&amp;n=0&amp;q=</v>
      </c>
      <c r="K626" s="1" t="s">
        <v>869</v>
      </c>
      <c r="L626" s="1" t="str">
        <f>VLOOKUP(A626,Folha2!$A$2:$B$2019,2,FALSE)</f>
        <v>Les portugais : poëme en dix chants / par Camoens. - Limoges : Impr. Marc Barbou et C i e, [18-], sem argumentos.</v>
      </c>
      <c r="M626" s="12" t="str">
        <f t="shared" si="19"/>
        <v>https://permalinkbnd.bnportugal.gov.pt/viewer/278099/?offset=#page=8&amp;viewer=picture&amp;o=info&amp;n=0&amp;q=</v>
      </c>
      <c r="N626" s="12" t="s">
        <v>1497</v>
      </c>
      <c r="O626" s="12" t="str">
        <f>CONCATENATE(N626,A626,"\",B626,"\",C626,".jpg")</f>
        <v>C:\Users\mbaptista\OneDrive - Biblioteca Nacional de Portugal\Documentos\python\camoniana\imagens\capas\455278\1\8.jpg</v>
      </c>
      <c r="P626" s="12" t="str">
        <f>HYPERLINK(O626)</f>
        <v>C:\Users\mbaptista\OneDrive - Biblioteca Nacional de Portugal\Documentos\python\camoniana\imagens\capas\455278\1\8.jpg</v>
      </c>
      <c r="Q626" s="12"/>
      <c r="R626" s="6" t="s">
        <v>870</v>
      </c>
      <c r="S626" s="4"/>
      <c r="T626" s="1">
        <v>8</v>
      </c>
      <c r="U626" s="13"/>
      <c r="V626" s="13"/>
      <c r="W626" s="5" t="s">
        <v>1491</v>
      </c>
    </row>
    <row r="627" spans="1:23" ht="75">
      <c r="A627" s="1">
        <v>367321</v>
      </c>
      <c r="B627" s="1">
        <v>1</v>
      </c>
      <c r="C627" s="1">
        <v>5</v>
      </c>
      <c r="D627" s="2" t="s">
        <v>871</v>
      </c>
      <c r="E627" s="11" t="s">
        <v>871</v>
      </c>
      <c r="F627" s="11">
        <v>1897</v>
      </c>
      <c r="G627" s="2" t="s">
        <v>1494</v>
      </c>
      <c r="H627" s="2" t="s">
        <v>1495</v>
      </c>
      <c r="I627" s="2" t="s">
        <v>1496</v>
      </c>
      <c r="J627" s="2" t="str">
        <f t="shared" si="18"/>
        <v>https://permalinkbnd.bnportugal.gov.pt/viewer/1897/?offset=#page=5&amp;viewer=picture&amp;o=info&amp;n=0&amp;q=</v>
      </c>
      <c r="K627" s="1" t="s">
        <v>872</v>
      </c>
      <c r="L627" s="1" t="str">
        <f>VLOOKUP(A627,Folha2!$A$2:$B$2019,2,FALSE)</f>
        <v>Almanach Vasco da Gama para o anno de 1897 / por Eduardo Braga. - A. 1 (1897). Epígrafes de Camões: Canto X; Canto III; Canto I; Fragmentos: Canto VIII; Canto I; C. X;  Nota sobre o valor que o Poeta recebia do Estado, cf. Im. 63. Insere-se em periódicos (1898)?</v>
      </c>
      <c r="M627" s="12" t="str">
        <f t="shared" si="19"/>
        <v>https://permalinkbnd.bnportugal.gov.pt/viewer/1897/?offset=#page=5&amp;viewer=picture&amp;o=info&amp;n=0&amp;q=</v>
      </c>
      <c r="N627" s="12" t="s">
        <v>1497</v>
      </c>
      <c r="O627" s="12" t="str">
        <f>CONCATENATE(N627,A627,"\",B627,"\",C627,".jpg")</f>
        <v>C:\Users\mbaptista\OneDrive - Biblioteca Nacional de Portugal\Documentos\python\camoniana\imagens\capas\367321\1\5.jpg</v>
      </c>
      <c r="P627" s="12" t="str">
        <f>HYPERLINK(O627)</f>
        <v>C:\Users\mbaptista\OneDrive - Biblioteca Nacional de Portugal\Documentos\python\camoniana\imagens\capas\367321\1\5.jpg</v>
      </c>
      <c r="Q627" s="12"/>
      <c r="R627" s="6" t="s">
        <v>874</v>
      </c>
      <c r="S627" s="4"/>
      <c r="T627" s="1" t="s">
        <v>873</v>
      </c>
      <c r="U627" s="13"/>
      <c r="V627" s="13"/>
      <c r="W627" s="5" t="s">
        <v>1491</v>
      </c>
    </row>
    <row r="628" spans="1:23" ht="75">
      <c r="A628" s="1">
        <v>367321</v>
      </c>
      <c r="B628" s="1">
        <v>1</v>
      </c>
      <c r="C628" s="1">
        <v>39</v>
      </c>
      <c r="D628" s="2" t="s">
        <v>871</v>
      </c>
      <c r="E628" s="5" t="s">
        <v>871</v>
      </c>
      <c r="F628" s="5">
        <v>1897</v>
      </c>
      <c r="G628" s="2" t="s">
        <v>1494</v>
      </c>
      <c r="H628" s="2" t="s">
        <v>1495</v>
      </c>
      <c r="I628" s="2" t="s">
        <v>1496</v>
      </c>
      <c r="J628" s="2" t="str">
        <f t="shared" si="18"/>
        <v>https://permalinkbnd.bnportugal.gov.pt/viewer/1897/?offset=#page=39&amp;viewer=picture&amp;o=info&amp;n=0&amp;q=</v>
      </c>
      <c r="K628" s="1" t="s">
        <v>872</v>
      </c>
      <c r="L628" s="1" t="str">
        <f>VLOOKUP(A628,Folha2!$A$2:$B$2019,2,FALSE)</f>
        <v>Almanach Vasco da Gama para o anno de 1897 / por Eduardo Braga. - A. 1 (1897). Epígrafes de Camões: Canto X; Canto III; Canto I; Fragmentos: Canto VIII; Canto I; C. X;  Nota sobre o valor que o Poeta recebia do Estado, cf. Im. 63. Insere-se em periódicos (1898)?</v>
      </c>
      <c r="M628" s="12" t="str">
        <f t="shared" si="19"/>
        <v>https://permalinkbnd.bnportugal.gov.pt/viewer/1897/?offset=#page=39&amp;viewer=picture&amp;o=info&amp;n=0&amp;q=</v>
      </c>
      <c r="N628" s="12" t="s">
        <v>1497</v>
      </c>
      <c r="O628" s="12" t="str">
        <f>CONCATENATE(N628,A628,"\",B628,"\",C628,".jpg")</f>
        <v>C:\Users\mbaptista\OneDrive - Biblioteca Nacional de Portugal\Documentos\python\camoniana\imagens\capas\367321\1\39.jpg</v>
      </c>
      <c r="P628" s="12" t="str">
        <f>HYPERLINK(O628)</f>
        <v>C:\Users\mbaptista\OneDrive - Biblioteca Nacional de Portugal\Documentos\python\camoniana\imagens\capas\367321\1\39.jpg</v>
      </c>
      <c r="Q628" s="12"/>
      <c r="R628" s="6" t="s">
        <v>875</v>
      </c>
      <c r="S628" s="4"/>
      <c r="T628" s="1" t="s">
        <v>873</v>
      </c>
      <c r="U628" s="13"/>
      <c r="V628" s="13"/>
      <c r="W628" s="5" t="s">
        <v>1491</v>
      </c>
    </row>
    <row r="629" spans="1:23" ht="75">
      <c r="A629" s="1">
        <v>367321</v>
      </c>
      <c r="B629" s="1">
        <v>1</v>
      </c>
      <c r="C629" s="1">
        <v>71</v>
      </c>
      <c r="D629" s="2" t="s">
        <v>871</v>
      </c>
      <c r="E629" s="11" t="s">
        <v>871</v>
      </c>
      <c r="F629" s="11">
        <v>1897</v>
      </c>
      <c r="G629" s="2" t="s">
        <v>1494</v>
      </c>
      <c r="H629" s="2" t="s">
        <v>1495</v>
      </c>
      <c r="I629" s="2" t="s">
        <v>1496</v>
      </c>
      <c r="J629" s="2" t="str">
        <f t="shared" si="18"/>
        <v>https://permalinkbnd.bnportugal.gov.pt/viewer/1897/?offset=#page=71&amp;viewer=picture&amp;o=info&amp;n=0&amp;q=</v>
      </c>
      <c r="K629" s="1" t="s">
        <v>872</v>
      </c>
      <c r="L629" s="1" t="str">
        <f>VLOOKUP(A629,Folha2!$A$2:$B$2019,2,FALSE)</f>
        <v>Almanach Vasco da Gama para o anno de 1897 / por Eduardo Braga. - A. 1 (1897). Epígrafes de Camões: Canto X; Canto III; Canto I; Fragmentos: Canto VIII; Canto I; C. X;  Nota sobre o valor que o Poeta recebia do Estado, cf. Im. 63. Insere-se em periódicos (1898)?</v>
      </c>
      <c r="M629" s="12" t="str">
        <f t="shared" si="19"/>
        <v>https://permalinkbnd.bnportugal.gov.pt/viewer/1897/?offset=#page=71&amp;viewer=picture&amp;o=info&amp;n=0&amp;q=</v>
      </c>
      <c r="N629" s="12" t="s">
        <v>1497</v>
      </c>
      <c r="O629" s="12" t="str">
        <f>CONCATENATE(N629,A629,"\",B629,"\",C629,".jpg")</f>
        <v>C:\Users\mbaptista\OneDrive - Biblioteca Nacional de Portugal\Documentos\python\camoniana\imagens\capas\367321\1\71.jpg</v>
      </c>
      <c r="P629" s="12" t="str">
        <f>HYPERLINK(O629)</f>
        <v>C:\Users\mbaptista\OneDrive - Biblioteca Nacional de Portugal\Documentos\python\camoniana\imagens\capas\367321\1\71.jpg</v>
      </c>
      <c r="Q629" s="12"/>
      <c r="R629" s="6" t="s">
        <v>876</v>
      </c>
      <c r="S629" s="4"/>
      <c r="T629" s="1" t="s">
        <v>873</v>
      </c>
      <c r="U629" s="13"/>
      <c r="V629" s="13"/>
      <c r="W629" s="5" t="s">
        <v>1491</v>
      </c>
    </row>
    <row r="630" spans="1:23" ht="75">
      <c r="A630" s="1">
        <v>367321</v>
      </c>
      <c r="B630" s="1">
        <v>1</v>
      </c>
      <c r="C630" s="1">
        <v>151</v>
      </c>
      <c r="D630" s="2" t="s">
        <v>871</v>
      </c>
      <c r="E630" s="5" t="s">
        <v>871</v>
      </c>
      <c r="F630" s="5">
        <v>1897</v>
      </c>
      <c r="G630" s="2" t="s">
        <v>1494</v>
      </c>
      <c r="H630" s="2" t="s">
        <v>1495</v>
      </c>
      <c r="I630" s="2" t="s">
        <v>1496</v>
      </c>
      <c r="J630" s="2" t="str">
        <f t="shared" si="18"/>
        <v>https://permalinkbnd.bnportugal.gov.pt/viewer/1897/?offset=#page=151&amp;viewer=picture&amp;o=info&amp;n=0&amp;q=</v>
      </c>
      <c r="K630" s="1" t="s">
        <v>872</v>
      </c>
      <c r="L630" s="1" t="str">
        <f>VLOOKUP(A630,Folha2!$A$2:$B$2019,2,FALSE)</f>
        <v>Almanach Vasco da Gama para o anno de 1897 / por Eduardo Braga. - A. 1 (1897). Epígrafes de Camões: Canto X; Canto III; Canto I; Fragmentos: Canto VIII; Canto I; C. X;  Nota sobre o valor que o Poeta recebia do Estado, cf. Im. 63. Insere-se em periódicos (1898)?</v>
      </c>
      <c r="M630" s="12" t="str">
        <f t="shared" si="19"/>
        <v>https://permalinkbnd.bnportugal.gov.pt/viewer/1897/?offset=#page=151&amp;viewer=picture&amp;o=info&amp;n=0&amp;q=</v>
      </c>
      <c r="N630" s="12" t="s">
        <v>1497</v>
      </c>
      <c r="O630" s="12" t="str">
        <f>CONCATENATE(N630,A630,"\",B630,"\",C630,".jpg")</f>
        <v>C:\Users\mbaptista\OneDrive - Biblioteca Nacional de Portugal\Documentos\python\camoniana\imagens\capas\367321\1\151.jpg</v>
      </c>
      <c r="P630" s="12" t="str">
        <f>HYPERLINK(O630)</f>
        <v>C:\Users\mbaptista\OneDrive - Biblioteca Nacional de Portugal\Documentos\python\camoniana\imagens\capas\367321\1\151.jpg</v>
      </c>
      <c r="Q630" s="12"/>
      <c r="R630" s="6" t="s">
        <v>877</v>
      </c>
      <c r="S630" s="4"/>
      <c r="T630" s="1" t="s">
        <v>873</v>
      </c>
      <c r="U630" s="13"/>
      <c r="V630" s="13"/>
      <c r="W630" s="5" t="s">
        <v>1491</v>
      </c>
    </row>
    <row r="631" spans="1:23" ht="75">
      <c r="A631" s="1">
        <v>367315</v>
      </c>
      <c r="B631" s="1">
        <v>1</v>
      </c>
      <c r="C631" s="1">
        <v>9</v>
      </c>
      <c r="D631" s="2" t="s">
        <v>878</v>
      </c>
      <c r="E631" s="11" t="s">
        <v>878</v>
      </c>
      <c r="F631" s="11">
        <v>278157</v>
      </c>
      <c r="G631" s="2" t="s">
        <v>1494</v>
      </c>
      <c r="H631" s="2" t="s">
        <v>1495</v>
      </c>
      <c r="I631" s="2" t="s">
        <v>1496</v>
      </c>
      <c r="J631" s="2" t="str">
        <f t="shared" si="18"/>
        <v>https://permalinkbnd.bnportugal.gov.pt/viewer/278157/?offset=#page=9&amp;viewer=picture&amp;o=info&amp;n=0&amp;q=</v>
      </c>
      <c r="K631" s="1" t="s">
        <v>879</v>
      </c>
      <c r="L631" s="1" t="str">
        <f>VLOOKUP(A631,Folha2!$A$2:$B$2019,2,FALSE)</f>
        <v>Centenario indiano : Album do Século : Marinha histórica do seculo XV e XVI. - Lisboa : Emp. jornal "O Seculo", [1897]. [Imagens: passagem do cabo das Tormentas; Mapa rota de Vasco da Gama e lugares de memória [Mosteiro de Belém].</v>
      </c>
      <c r="M631" s="12" t="str">
        <f t="shared" si="19"/>
        <v>https://permalinkbnd.bnportugal.gov.pt/viewer/278157/?offset=#page=9&amp;viewer=picture&amp;o=info&amp;n=0&amp;q=</v>
      </c>
      <c r="N631" s="12" t="s">
        <v>1497</v>
      </c>
      <c r="O631" s="12" t="str">
        <f>CONCATENATE(N631,A631,"\",B631,"\",C631,".jpg")</f>
        <v>C:\Users\mbaptista\OneDrive - Biblioteca Nacional de Portugal\Documentos\python\camoniana\imagens\capas\367315\1\9.jpg</v>
      </c>
      <c r="P631" s="12" t="str">
        <f>HYPERLINK(O631)</f>
        <v>C:\Users\mbaptista\OneDrive - Biblioteca Nacional de Portugal\Documentos\python\camoniana\imagens\capas\367315\1\9.jpg</v>
      </c>
      <c r="Q631" s="12"/>
      <c r="R631" s="6" t="s">
        <v>881</v>
      </c>
      <c r="S631" s="4"/>
      <c r="T631" s="1" t="s">
        <v>880</v>
      </c>
      <c r="U631" s="13"/>
      <c r="V631" s="13"/>
      <c r="W631" s="5" t="s">
        <v>1491</v>
      </c>
    </row>
    <row r="632" spans="1:23" ht="75">
      <c r="A632" s="1">
        <v>367315</v>
      </c>
      <c r="B632" s="1">
        <v>1</v>
      </c>
      <c r="C632" s="1">
        <v>10</v>
      </c>
      <c r="D632" s="2" t="s">
        <v>878</v>
      </c>
      <c r="E632" s="5" t="s">
        <v>878</v>
      </c>
      <c r="F632" s="5">
        <v>278157</v>
      </c>
      <c r="G632" s="2" t="s">
        <v>1494</v>
      </c>
      <c r="H632" s="2" t="s">
        <v>1495</v>
      </c>
      <c r="I632" s="2" t="s">
        <v>1496</v>
      </c>
      <c r="J632" s="2" t="str">
        <f t="shared" si="18"/>
        <v>https://permalinkbnd.bnportugal.gov.pt/viewer/278157/?offset=#page=10&amp;viewer=picture&amp;o=info&amp;n=0&amp;q=</v>
      </c>
      <c r="K632" s="1" t="s">
        <v>879</v>
      </c>
      <c r="L632" s="1" t="str">
        <f>VLOOKUP(A632,Folha2!$A$2:$B$2019,2,FALSE)</f>
        <v>Centenario indiano : Album do Século : Marinha histórica do seculo XV e XVI. - Lisboa : Emp. jornal "O Seculo", [1897]. [Imagens: passagem do cabo das Tormentas; Mapa rota de Vasco da Gama e lugares de memória [Mosteiro de Belém].</v>
      </c>
      <c r="M632" s="12" t="str">
        <f t="shared" si="19"/>
        <v>https://permalinkbnd.bnportugal.gov.pt/viewer/278157/?offset=#page=10&amp;viewer=picture&amp;o=info&amp;n=0&amp;q=</v>
      </c>
      <c r="N632" s="12" t="s">
        <v>1497</v>
      </c>
      <c r="O632" s="12" t="str">
        <f>CONCATENATE(N632,A632,"\",B632,"\",C632,".jpg")</f>
        <v>C:\Users\mbaptista\OneDrive - Biblioteca Nacional de Portugal\Documentos\python\camoniana\imagens\capas\367315\1\10.jpg</v>
      </c>
      <c r="P632" s="12" t="str">
        <f>HYPERLINK(O632)</f>
        <v>C:\Users\mbaptista\OneDrive - Biblioteca Nacional de Portugal\Documentos\python\camoniana\imagens\capas\367315\1\10.jpg</v>
      </c>
      <c r="Q632" s="12"/>
      <c r="R632" s="6"/>
      <c r="S632" s="4"/>
      <c r="T632" s="1"/>
      <c r="U632" s="13"/>
      <c r="V632" s="13"/>
      <c r="W632" s="5"/>
    </row>
    <row r="633" spans="1:23" ht="75">
      <c r="A633" s="1">
        <v>367315</v>
      </c>
      <c r="B633" s="1">
        <v>1</v>
      </c>
      <c r="C633" s="1">
        <v>11</v>
      </c>
      <c r="D633" s="2" t="s">
        <v>878</v>
      </c>
      <c r="E633" s="11" t="s">
        <v>878</v>
      </c>
      <c r="F633" s="11">
        <v>278157</v>
      </c>
      <c r="G633" s="2" t="s">
        <v>1494</v>
      </c>
      <c r="H633" s="2" t="s">
        <v>1495</v>
      </c>
      <c r="I633" s="2" t="s">
        <v>1496</v>
      </c>
      <c r="J633" s="2" t="str">
        <f t="shared" si="18"/>
        <v>https://permalinkbnd.bnportugal.gov.pt/viewer/278157/?offset=#page=11&amp;viewer=picture&amp;o=info&amp;n=0&amp;q=</v>
      </c>
      <c r="K633" s="1" t="s">
        <v>879</v>
      </c>
      <c r="L633" s="1" t="str">
        <f>VLOOKUP(A633,Folha2!$A$2:$B$2019,2,FALSE)</f>
        <v>Centenario indiano : Album do Século : Marinha histórica do seculo XV e XVI. - Lisboa : Emp. jornal "O Seculo", [1897]. [Imagens: passagem do cabo das Tormentas; Mapa rota de Vasco da Gama e lugares de memória [Mosteiro de Belém].</v>
      </c>
      <c r="M633" s="12" t="str">
        <f t="shared" si="19"/>
        <v>https://permalinkbnd.bnportugal.gov.pt/viewer/278157/?offset=#page=11&amp;viewer=picture&amp;o=info&amp;n=0&amp;q=</v>
      </c>
      <c r="N633" s="12" t="s">
        <v>1497</v>
      </c>
      <c r="O633" s="12" t="str">
        <f>CONCATENATE(N633,A633,"\",B633,"\",C633,".jpg")</f>
        <v>C:\Users\mbaptista\OneDrive - Biblioteca Nacional de Portugal\Documentos\python\camoniana\imagens\capas\367315\1\11.jpg</v>
      </c>
      <c r="P633" s="12" t="str">
        <f>HYPERLINK(O633)</f>
        <v>C:\Users\mbaptista\OneDrive - Biblioteca Nacional de Portugal\Documentos\python\camoniana\imagens\capas\367315\1\11.jpg</v>
      </c>
      <c r="Q633" s="12"/>
      <c r="R633" s="6" t="s">
        <v>882</v>
      </c>
      <c r="S633" s="4"/>
      <c r="T633" s="1" t="s">
        <v>880</v>
      </c>
      <c r="U633" s="13"/>
      <c r="V633" s="13"/>
      <c r="W633" s="5" t="s">
        <v>1491</v>
      </c>
    </row>
    <row r="634" spans="1:23" ht="75">
      <c r="A634" s="1">
        <v>367315</v>
      </c>
      <c r="B634" s="1">
        <v>1</v>
      </c>
      <c r="C634" s="1">
        <v>12</v>
      </c>
      <c r="D634" s="2" t="s">
        <v>878</v>
      </c>
      <c r="E634" s="5" t="s">
        <v>878</v>
      </c>
      <c r="F634" s="5">
        <v>278157</v>
      </c>
      <c r="G634" s="2" t="s">
        <v>1494</v>
      </c>
      <c r="H634" s="2" t="s">
        <v>1495</v>
      </c>
      <c r="I634" s="2" t="s">
        <v>1496</v>
      </c>
      <c r="J634" s="2" t="str">
        <f t="shared" si="18"/>
        <v>https://permalinkbnd.bnportugal.gov.pt/viewer/278157/?offset=#page=12&amp;viewer=picture&amp;o=info&amp;n=0&amp;q=</v>
      </c>
      <c r="K634" s="1" t="s">
        <v>879</v>
      </c>
      <c r="L634" s="1" t="str">
        <f>VLOOKUP(A634,Folha2!$A$2:$B$2019,2,FALSE)</f>
        <v>Centenario indiano : Album do Século : Marinha histórica do seculo XV e XVI. - Lisboa : Emp. jornal "O Seculo", [1897]. [Imagens: passagem do cabo das Tormentas; Mapa rota de Vasco da Gama e lugares de memória [Mosteiro de Belém].</v>
      </c>
      <c r="M634" s="12" t="str">
        <f t="shared" si="19"/>
        <v>https://permalinkbnd.bnportugal.gov.pt/viewer/278157/?offset=#page=12&amp;viewer=picture&amp;o=info&amp;n=0&amp;q=</v>
      </c>
      <c r="N634" s="12" t="s">
        <v>1497</v>
      </c>
      <c r="O634" s="12" t="str">
        <f>CONCATENATE(N634,A634,"\",B634,"\",C634,".jpg")</f>
        <v>C:\Users\mbaptista\OneDrive - Biblioteca Nacional de Portugal\Documentos\python\camoniana\imagens\capas\367315\1\12.jpg</v>
      </c>
      <c r="P634" s="12" t="str">
        <f>HYPERLINK(O634)</f>
        <v>C:\Users\mbaptista\OneDrive - Biblioteca Nacional de Portugal\Documentos\python\camoniana\imagens\capas\367315\1\12.jpg</v>
      </c>
      <c r="Q634" s="12"/>
      <c r="R634" s="6"/>
      <c r="S634" s="4"/>
      <c r="T634" s="1"/>
      <c r="U634" s="13"/>
      <c r="V634" s="13"/>
      <c r="W634" s="5"/>
    </row>
    <row r="635" spans="1:23" ht="75">
      <c r="A635" s="1">
        <v>367315</v>
      </c>
      <c r="B635" s="1">
        <v>1</v>
      </c>
      <c r="C635" s="1">
        <v>13</v>
      </c>
      <c r="D635" s="2" t="s">
        <v>878</v>
      </c>
      <c r="E635" s="11" t="s">
        <v>878</v>
      </c>
      <c r="F635" s="11">
        <v>278157</v>
      </c>
      <c r="G635" s="2" t="s">
        <v>1494</v>
      </c>
      <c r="H635" s="2" t="s">
        <v>1495</v>
      </c>
      <c r="I635" s="2" t="s">
        <v>1496</v>
      </c>
      <c r="J635" s="2" t="str">
        <f t="shared" si="18"/>
        <v>https://permalinkbnd.bnportugal.gov.pt/viewer/278157/?offset=#page=13&amp;viewer=picture&amp;o=info&amp;n=0&amp;q=</v>
      </c>
      <c r="K635" s="1" t="s">
        <v>879</v>
      </c>
      <c r="L635" s="1" t="str">
        <f>VLOOKUP(A635,Folha2!$A$2:$B$2019,2,FALSE)</f>
        <v>Centenario indiano : Album do Século : Marinha histórica do seculo XV e XVI. - Lisboa : Emp. jornal "O Seculo", [1897]. [Imagens: passagem do cabo das Tormentas; Mapa rota de Vasco da Gama e lugares de memória [Mosteiro de Belém].</v>
      </c>
      <c r="M635" s="12" t="str">
        <f t="shared" si="19"/>
        <v>https://permalinkbnd.bnportugal.gov.pt/viewer/278157/?offset=#page=13&amp;viewer=picture&amp;o=info&amp;n=0&amp;q=</v>
      </c>
      <c r="N635" s="12" t="s">
        <v>1497</v>
      </c>
      <c r="O635" s="12" t="str">
        <f>CONCATENATE(N635,A635,"\",B635,"\",C635,".jpg")</f>
        <v>C:\Users\mbaptista\OneDrive - Biblioteca Nacional de Portugal\Documentos\python\camoniana\imagens\capas\367315\1\13.jpg</v>
      </c>
      <c r="P635" s="12" t="str">
        <f>HYPERLINK(O635)</f>
        <v>C:\Users\mbaptista\OneDrive - Biblioteca Nacional de Portugal\Documentos\python\camoniana\imagens\capas\367315\1\13.jpg</v>
      </c>
      <c r="Q635" s="12"/>
      <c r="R635" s="6"/>
      <c r="S635" s="4"/>
      <c r="T635" s="1"/>
      <c r="U635" s="13"/>
      <c r="V635" s="13"/>
      <c r="W635" s="5"/>
    </row>
    <row r="636" spans="1:23" ht="75">
      <c r="A636" s="1">
        <v>367315</v>
      </c>
      <c r="B636" s="1">
        <v>1</v>
      </c>
      <c r="C636" s="1">
        <v>14</v>
      </c>
      <c r="D636" s="2" t="s">
        <v>878</v>
      </c>
      <c r="E636" s="5" t="s">
        <v>878</v>
      </c>
      <c r="F636" s="5">
        <v>278157</v>
      </c>
      <c r="G636" s="2" t="s">
        <v>1494</v>
      </c>
      <c r="H636" s="2" t="s">
        <v>1495</v>
      </c>
      <c r="I636" s="2" t="s">
        <v>1496</v>
      </c>
      <c r="J636" s="2" t="str">
        <f t="shared" si="18"/>
        <v>https://permalinkbnd.bnportugal.gov.pt/viewer/278157/?offset=#page=14&amp;viewer=picture&amp;o=info&amp;n=0&amp;q=</v>
      </c>
      <c r="K636" s="1" t="s">
        <v>879</v>
      </c>
      <c r="L636" s="1" t="str">
        <f>VLOOKUP(A636,Folha2!$A$2:$B$2019,2,FALSE)</f>
        <v>Centenario indiano : Album do Século : Marinha histórica do seculo XV e XVI. - Lisboa : Emp. jornal "O Seculo", [1897]. [Imagens: passagem do cabo das Tormentas; Mapa rota de Vasco da Gama e lugares de memória [Mosteiro de Belém].</v>
      </c>
      <c r="M636" s="12" t="str">
        <f t="shared" si="19"/>
        <v>https://permalinkbnd.bnportugal.gov.pt/viewer/278157/?offset=#page=14&amp;viewer=picture&amp;o=info&amp;n=0&amp;q=</v>
      </c>
      <c r="N636" s="12" t="s">
        <v>1497</v>
      </c>
      <c r="O636" s="12" t="str">
        <f>CONCATENATE(N636,A636,"\",B636,"\",C636,".jpg")</f>
        <v>C:\Users\mbaptista\OneDrive - Biblioteca Nacional de Portugal\Documentos\python\camoniana\imagens\capas\367315\1\14.jpg</v>
      </c>
      <c r="P636" s="12" t="str">
        <f>HYPERLINK(O636)</f>
        <v>C:\Users\mbaptista\OneDrive - Biblioteca Nacional de Portugal\Documentos\python\camoniana\imagens\capas\367315\1\14.jpg</v>
      </c>
      <c r="Q636" s="12"/>
      <c r="R636" s="6"/>
      <c r="S636" s="4"/>
      <c r="T636" s="1"/>
      <c r="U636" s="13"/>
      <c r="V636" s="13"/>
      <c r="W636" s="5"/>
    </row>
    <row r="637" spans="1:23" ht="75">
      <c r="A637" s="1">
        <v>367315</v>
      </c>
      <c r="B637" s="1">
        <v>1</v>
      </c>
      <c r="C637" s="1">
        <v>15</v>
      </c>
      <c r="D637" s="2" t="s">
        <v>878</v>
      </c>
      <c r="E637" s="11" t="s">
        <v>878</v>
      </c>
      <c r="F637" s="11">
        <v>278157</v>
      </c>
      <c r="G637" s="2" t="s">
        <v>1494</v>
      </c>
      <c r="H637" s="2" t="s">
        <v>1495</v>
      </c>
      <c r="I637" s="2" t="s">
        <v>1496</v>
      </c>
      <c r="J637" s="2" t="str">
        <f t="shared" si="18"/>
        <v>https://permalinkbnd.bnportugal.gov.pt/viewer/278157/?offset=#page=15&amp;viewer=picture&amp;o=info&amp;n=0&amp;q=</v>
      </c>
      <c r="K637" s="1" t="s">
        <v>879</v>
      </c>
      <c r="L637" s="1" t="str">
        <f>VLOOKUP(A637,Folha2!$A$2:$B$2019,2,FALSE)</f>
        <v>Centenario indiano : Album do Século : Marinha histórica do seculo XV e XVI. - Lisboa : Emp. jornal "O Seculo", [1897]. [Imagens: passagem do cabo das Tormentas; Mapa rota de Vasco da Gama e lugares de memória [Mosteiro de Belém].</v>
      </c>
      <c r="M637" s="12" t="str">
        <f t="shared" si="19"/>
        <v>https://permalinkbnd.bnportugal.gov.pt/viewer/278157/?offset=#page=15&amp;viewer=picture&amp;o=info&amp;n=0&amp;q=</v>
      </c>
      <c r="N637" s="12" t="s">
        <v>1497</v>
      </c>
      <c r="O637" s="12" t="str">
        <f>CONCATENATE(N637,A637,"\",B637,"\",C637,".jpg")</f>
        <v>C:\Users\mbaptista\OneDrive - Biblioteca Nacional de Portugal\Documentos\python\camoniana\imagens\capas\367315\1\15.jpg</v>
      </c>
      <c r="P637" s="12" t="str">
        <f>HYPERLINK(O637)</f>
        <v>C:\Users\mbaptista\OneDrive - Biblioteca Nacional de Portugal\Documentos\python\camoniana\imagens\capas\367315\1\15.jpg</v>
      </c>
      <c r="Q637" s="12"/>
      <c r="R637" s="6"/>
      <c r="S637" s="4"/>
      <c r="T637" s="1"/>
      <c r="U637" s="13"/>
      <c r="V637" s="13"/>
      <c r="W637" s="5"/>
    </row>
    <row r="638" spans="1:23" ht="75">
      <c r="A638" s="1">
        <v>367315</v>
      </c>
      <c r="B638" s="1">
        <v>1</v>
      </c>
      <c r="C638" s="1">
        <v>16</v>
      </c>
      <c r="D638" s="2" t="s">
        <v>878</v>
      </c>
      <c r="E638" s="5" t="s">
        <v>878</v>
      </c>
      <c r="F638" s="5">
        <v>278157</v>
      </c>
      <c r="G638" s="2" t="s">
        <v>1494</v>
      </c>
      <c r="H638" s="2" t="s">
        <v>1495</v>
      </c>
      <c r="I638" s="2" t="s">
        <v>1496</v>
      </c>
      <c r="J638" s="2" t="str">
        <f t="shared" si="18"/>
        <v>https://permalinkbnd.bnportugal.gov.pt/viewer/278157/?offset=#page=16&amp;viewer=picture&amp;o=info&amp;n=0&amp;q=</v>
      </c>
      <c r="K638" s="1" t="s">
        <v>879</v>
      </c>
      <c r="L638" s="1" t="str">
        <f>VLOOKUP(A638,Folha2!$A$2:$B$2019,2,FALSE)</f>
        <v>Centenario indiano : Album do Século : Marinha histórica do seculo XV e XVI. - Lisboa : Emp. jornal "O Seculo", [1897]. [Imagens: passagem do cabo das Tormentas; Mapa rota de Vasco da Gama e lugares de memória [Mosteiro de Belém].</v>
      </c>
      <c r="M638" s="12" t="str">
        <f t="shared" si="19"/>
        <v>https://permalinkbnd.bnportugal.gov.pt/viewer/278157/?offset=#page=16&amp;viewer=picture&amp;o=info&amp;n=0&amp;q=</v>
      </c>
      <c r="N638" s="12" t="s">
        <v>1497</v>
      </c>
      <c r="O638" s="12" t="str">
        <f>CONCATENATE(N638,A638,"\",B638,"\",C638,".jpg")</f>
        <v>C:\Users\mbaptista\OneDrive - Biblioteca Nacional de Portugal\Documentos\python\camoniana\imagens\capas\367315\1\16.jpg</v>
      </c>
      <c r="P638" s="12" t="str">
        <f>HYPERLINK(O638)</f>
        <v>C:\Users\mbaptista\OneDrive - Biblioteca Nacional de Portugal\Documentos\python\camoniana\imagens\capas\367315\1\16.jpg</v>
      </c>
      <c r="Q638" s="12"/>
      <c r="R638" s="6"/>
      <c r="S638" s="4"/>
      <c r="T638" s="1"/>
      <c r="U638" s="13"/>
      <c r="V638" s="13"/>
      <c r="W638" s="5"/>
    </row>
    <row r="639" spans="1:23" ht="75">
      <c r="A639" s="1">
        <v>367315</v>
      </c>
      <c r="B639" s="1">
        <v>1</v>
      </c>
      <c r="C639" s="1">
        <v>17</v>
      </c>
      <c r="D639" s="2" t="s">
        <v>878</v>
      </c>
      <c r="E639" s="11" t="s">
        <v>878</v>
      </c>
      <c r="F639" s="11">
        <v>278157</v>
      </c>
      <c r="G639" s="2" t="s">
        <v>1494</v>
      </c>
      <c r="H639" s="2" t="s">
        <v>1495</v>
      </c>
      <c r="I639" s="2" t="s">
        <v>1496</v>
      </c>
      <c r="J639" s="2" t="str">
        <f t="shared" si="18"/>
        <v>https://permalinkbnd.bnportugal.gov.pt/viewer/278157/?offset=#page=17&amp;viewer=picture&amp;o=info&amp;n=0&amp;q=</v>
      </c>
      <c r="K639" s="1" t="s">
        <v>879</v>
      </c>
      <c r="L639" s="1" t="str">
        <f>VLOOKUP(A639,Folha2!$A$2:$B$2019,2,FALSE)</f>
        <v>Centenario indiano : Album do Século : Marinha histórica do seculo XV e XVI. - Lisboa : Emp. jornal "O Seculo", [1897]. [Imagens: passagem do cabo das Tormentas; Mapa rota de Vasco da Gama e lugares de memória [Mosteiro de Belém].</v>
      </c>
      <c r="M639" s="12" t="str">
        <f t="shared" si="19"/>
        <v>https://permalinkbnd.bnportugal.gov.pt/viewer/278157/?offset=#page=17&amp;viewer=picture&amp;o=info&amp;n=0&amp;q=</v>
      </c>
      <c r="N639" s="12" t="s">
        <v>1497</v>
      </c>
      <c r="O639" s="12" t="str">
        <f>CONCATENATE(N639,A639,"\",B639,"\",C639,".jpg")</f>
        <v>C:\Users\mbaptista\OneDrive - Biblioteca Nacional de Portugal\Documentos\python\camoniana\imagens\capas\367315\1\17.jpg</v>
      </c>
      <c r="P639" s="12" t="str">
        <f>HYPERLINK(O639)</f>
        <v>C:\Users\mbaptista\OneDrive - Biblioteca Nacional de Portugal\Documentos\python\camoniana\imagens\capas\367315\1\17.jpg</v>
      </c>
      <c r="Q639" s="12"/>
      <c r="R639" s="6"/>
      <c r="S639" s="4"/>
      <c r="T639" s="1"/>
      <c r="U639" s="13"/>
      <c r="V639" s="13"/>
      <c r="W639" s="5"/>
    </row>
    <row r="640" spans="1:23" ht="75">
      <c r="A640" s="1">
        <v>367315</v>
      </c>
      <c r="B640" s="1">
        <v>1</v>
      </c>
      <c r="C640" s="1">
        <v>18</v>
      </c>
      <c r="D640" s="2" t="s">
        <v>878</v>
      </c>
      <c r="E640" s="5" t="s">
        <v>878</v>
      </c>
      <c r="F640" s="5">
        <v>278157</v>
      </c>
      <c r="G640" s="2" t="s">
        <v>1494</v>
      </c>
      <c r="H640" s="2" t="s">
        <v>1495</v>
      </c>
      <c r="I640" s="2" t="s">
        <v>1496</v>
      </c>
      <c r="J640" s="2" t="str">
        <f t="shared" si="18"/>
        <v>https://permalinkbnd.bnportugal.gov.pt/viewer/278157/?offset=#page=18&amp;viewer=picture&amp;o=info&amp;n=0&amp;q=</v>
      </c>
      <c r="K640" s="1" t="s">
        <v>879</v>
      </c>
      <c r="L640" s="1" t="str">
        <f>VLOOKUP(A640,Folha2!$A$2:$B$2019,2,FALSE)</f>
        <v>Centenario indiano : Album do Século : Marinha histórica do seculo XV e XVI. - Lisboa : Emp. jornal "O Seculo", [1897]. [Imagens: passagem do cabo das Tormentas; Mapa rota de Vasco da Gama e lugares de memória [Mosteiro de Belém].</v>
      </c>
      <c r="M640" s="12" t="str">
        <f t="shared" si="19"/>
        <v>https://permalinkbnd.bnportugal.gov.pt/viewer/278157/?offset=#page=18&amp;viewer=picture&amp;o=info&amp;n=0&amp;q=</v>
      </c>
      <c r="N640" s="12" t="s">
        <v>1497</v>
      </c>
      <c r="O640" s="12" t="str">
        <f>CONCATENATE(N640,A640,"\",B640,"\",C640,".jpg")</f>
        <v>C:\Users\mbaptista\OneDrive - Biblioteca Nacional de Portugal\Documentos\python\camoniana\imagens\capas\367315\1\18.jpg</v>
      </c>
      <c r="P640" s="12" t="str">
        <f>HYPERLINK(O640)</f>
        <v>C:\Users\mbaptista\OneDrive - Biblioteca Nacional de Portugal\Documentos\python\camoniana\imagens\capas\367315\1\18.jpg</v>
      </c>
      <c r="Q640" s="12"/>
      <c r="R640" s="6"/>
      <c r="S640" s="4"/>
      <c r="T640" s="1"/>
      <c r="U640" s="13"/>
      <c r="V640" s="13"/>
      <c r="W640" s="5"/>
    </row>
    <row r="641" spans="1:23" ht="75">
      <c r="A641" s="1">
        <v>367315</v>
      </c>
      <c r="B641" s="1">
        <v>1</v>
      </c>
      <c r="C641" s="1">
        <v>19</v>
      </c>
      <c r="D641" s="2" t="s">
        <v>878</v>
      </c>
      <c r="E641" s="11" t="s">
        <v>878</v>
      </c>
      <c r="F641" s="11">
        <v>278157</v>
      </c>
      <c r="G641" s="2" t="s">
        <v>1494</v>
      </c>
      <c r="H641" s="2" t="s">
        <v>1495</v>
      </c>
      <c r="I641" s="2" t="s">
        <v>1496</v>
      </c>
      <c r="J641" s="2" t="str">
        <f t="shared" si="18"/>
        <v>https://permalinkbnd.bnportugal.gov.pt/viewer/278157/?offset=#page=19&amp;viewer=picture&amp;o=info&amp;n=0&amp;q=</v>
      </c>
      <c r="K641" s="1" t="s">
        <v>879</v>
      </c>
      <c r="L641" s="1" t="str">
        <f>VLOOKUP(A641,Folha2!$A$2:$B$2019,2,FALSE)</f>
        <v>Centenario indiano : Album do Século : Marinha histórica do seculo XV e XVI. - Lisboa : Emp. jornal "O Seculo", [1897]. [Imagens: passagem do cabo das Tormentas; Mapa rota de Vasco da Gama e lugares de memória [Mosteiro de Belém].</v>
      </c>
      <c r="M641" s="12" t="str">
        <f t="shared" si="19"/>
        <v>https://permalinkbnd.bnportugal.gov.pt/viewer/278157/?offset=#page=19&amp;viewer=picture&amp;o=info&amp;n=0&amp;q=</v>
      </c>
      <c r="N641" s="12" t="s">
        <v>1497</v>
      </c>
      <c r="O641" s="12" t="str">
        <f>CONCATENATE(N641,A641,"\",B641,"\",C641,".jpg")</f>
        <v>C:\Users\mbaptista\OneDrive - Biblioteca Nacional de Portugal\Documentos\python\camoniana\imagens\capas\367315\1\19.jpg</v>
      </c>
      <c r="P641" s="12" t="str">
        <f>HYPERLINK(O641)</f>
        <v>C:\Users\mbaptista\OneDrive - Biblioteca Nacional de Portugal\Documentos\python\camoniana\imagens\capas\367315\1\19.jpg</v>
      </c>
      <c r="Q641" s="12"/>
      <c r="R641" s="6"/>
      <c r="S641" s="4"/>
      <c r="T641" s="1"/>
      <c r="U641" s="13"/>
      <c r="V641" s="13"/>
      <c r="W641" s="5"/>
    </row>
    <row r="642" spans="1:23" ht="75">
      <c r="A642" s="1">
        <v>367315</v>
      </c>
      <c r="B642" s="1">
        <v>1</v>
      </c>
      <c r="C642" s="1">
        <v>20</v>
      </c>
      <c r="D642" s="2" t="s">
        <v>878</v>
      </c>
      <c r="E642" s="5" t="s">
        <v>878</v>
      </c>
      <c r="F642" s="5">
        <v>278157</v>
      </c>
      <c r="G642" s="2" t="s">
        <v>1494</v>
      </c>
      <c r="H642" s="2" t="s">
        <v>1495</v>
      </c>
      <c r="I642" s="2" t="s">
        <v>1496</v>
      </c>
      <c r="J642" s="2" t="str">
        <f t="shared" ref="J642:J705" si="20">CONCATENATE(G642,F642,H642,C642,I642)</f>
        <v>https://permalinkbnd.bnportugal.gov.pt/viewer/278157/?offset=#page=20&amp;viewer=picture&amp;o=info&amp;n=0&amp;q=</v>
      </c>
      <c r="K642" s="1" t="s">
        <v>879</v>
      </c>
      <c r="L642" s="1" t="str">
        <f>VLOOKUP(A642,Folha2!$A$2:$B$2019,2,FALSE)</f>
        <v>Centenario indiano : Album do Século : Marinha histórica do seculo XV e XVI. - Lisboa : Emp. jornal "O Seculo", [1897]. [Imagens: passagem do cabo das Tormentas; Mapa rota de Vasco da Gama e lugares de memória [Mosteiro de Belém].</v>
      </c>
      <c r="M642" s="12" t="str">
        <f t="shared" ref="M642:M705" si="21">HYPERLINK(J642)</f>
        <v>https://permalinkbnd.bnportugal.gov.pt/viewer/278157/?offset=#page=20&amp;viewer=picture&amp;o=info&amp;n=0&amp;q=</v>
      </c>
      <c r="N642" s="12" t="s">
        <v>1497</v>
      </c>
      <c r="O642" s="12" t="str">
        <f>CONCATENATE(N642,A642,"\",B642,"\",C642,".jpg")</f>
        <v>C:\Users\mbaptista\OneDrive - Biblioteca Nacional de Portugal\Documentos\python\camoniana\imagens\capas\367315\1\20.jpg</v>
      </c>
      <c r="P642" s="12" t="str">
        <f>HYPERLINK(O642)</f>
        <v>C:\Users\mbaptista\OneDrive - Biblioteca Nacional de Portugal\Documentos\python\camoniana\imagens\capas\367315\1\20.jpg</v>
      </c>
      <c r="Q642" s="12"/>
      <c r="R642" s="6"/>
      <c r="S642" s="4"/>
      <c r="T642" s="1"/>
      <c r="U642" s="13"/>
      <c r="V642" s="13"/>
      <c r="W642" s="5"/>
    </row>
    <row r="643" spans="1:23" ht="75">
      <c r="A643" s="1">
        <v>367315</v>
      </c>
      <c r="B643" s="1">
        <v>1</v>
      </c>
      <c r="C643" s="1">
        <v>21</v>
      </c>
      <c r="D643" s="2" t="s">
        <v>878</v>
      </c>
      <c r="E643" s="11" t="s">
        <v>878</v>
      </c>
      <c r="F643" s="11">
        <v>278157</v>
      </c>
      <c r="G643" s="2" t="s">
        <v>1494</v>
      </c>
      <c r="H643" s="2" t="s">
        <v>1495</v>
      </c>
      <c r="I643" s="2" t="s">
        <v>1496</v>
      </c>
      <c r="J643" s="2" t="str">
        <f t="shared" si="20"/>
        <v>https://permalinkbnd.bnportugal.gov.pt/viewer/278157/?offset=#page=21&amp;viewer=picture&amp;o=info&amp;n=0&amp;q=</v>
      </c>
      <c r="K643" s="1" t="s">
        <v>879</v>
      </c>
      <c r="L643" s="1" t="str">
        <f>VLOOKUP(A643,Folha2!$A$2:$B$2019,2,FALSE)</f>
        <v>Centenario indiano : Album do Século : Marinha histórica do seculo XV e XVI. - Lisboa : Emp. jornal "O Seculo", [1897]. [Imagens: passagem do cabo das Tormentas; Mapa rota de Vasco da Gama e lugares de memória [Mosteiro de Belém].</v>
      </c>
      <c r="M643" s="12" t="str">
        <f t="shared" si="21"/>
        <v>https://permalinkbnd.bnportugal.gov.pt/viewer/278157/?offset=#page=21&amp;viewer=picture&amp;o=info&amp;n=0&amp;q=</v>
      </c>
      <c r="N643" s="12" t="s">
        <v>1497</v>
      </c>
      <c r="O643" s="12" t="str">
        <f>CONCATENATE(N643,A643,"\",B643,"\",C643,".jpg")</f>
        <v>C:\Users\mbaptista\OneDrive - Biblioteca Nacional de Portugal\Documentos\python\camoniana\imagens\capas\367315\1\21.jpg</v>
      </c>
      <c r="P643" s="12" t="str">
        <f>HYPERLINK(O643)</f>
        <v>C:\Users\mbaptista\OneDrive - Biblioteca Nacional de Portugal\Documentos\python\camoniana\imagens\capas\367315\1\21.jpg</v>
      </c>
      <c r="Q643" s="12"/>
      <c r="R643" s="6"/>
      <c r="S643" s="4"/>
      <c r="T643" s="1"/>
      <c r="U643" s="13"/>
      <c r="V643" s="13"/>
      <c r="W643" s="5"/>
    </row>
    <row r="644" spans="1:23" ht="75">
      <c r="A644" s="1">
        <v>367315</v>
      </c>
      <c r="B644" s="1">
        <v>1</v>
      </c>
      <c r="C644" s="1">
        <v>22</v>
      </c>
      <c r="D644" s="2" t="s">
        <v>878</v>
      </c>
      <c r="E644" s="5" t="s">
        <v>878</v>
      </c>
      <c r="F644" s="5">
        <v>278157</v>
      </c>
      <c r="G644" s="2" t="s">
        <v>1494</v>
      </c>
      <c r="H644" s="2" t="s">
        <v>1495</v>
      </c>
      <c r="I644" s="2" t="s">
        <v>1496</v>
      </c>
      <c r="J644" s="2" t="str">
        <f t="shared" si="20"/>
        <v>https://permalinkbnd.bnportugal.gov.pt/viewer/278157/?offset=#page=22&amp;viewer=picture&amp;o=info&amp;n=0&amp;q=</v>
      </c>
      <c r="K644" s="1" t="s">
        <v>879</v>
      </c>
      <c r="L644" s="1" t="str">
        <f>VLOOKUP(A644,Folha2!$A$2:$B$2019,2,FALSE)</f>
        <v>Centenario indiano : Album do Século : Marinha histórica do seculo XV e XVI. - Lisboa : Emp. jornal "O Seculo", [1897]. [Imagens: passagem do cabo das Tormentas; Mapa rota de Vasco da Gama e lugares de memória [Mosteiro de Belém].</v>
      </c>
      <c r="M644" s="12" t="str">
        <f t="shared" si="21"/>
        <v>https://permalinkbnd.bnportugal.gov.pt/viewer/278157/?offset=#page=22&amp;viewer=picture&amp;o=info&amp;n=0&amp;q=</v>
      </c>
      <c r="N644" s="12" t="s">
        <v>1497</v>
      </c>
      <c r="O644" s="12" t="str">
        <f>CONCATENATE(N644,A644,"\",B644,"\",C644,".jpg")</f>
        <v>C:\Users\mbaptista\OneDrive - Biblioteca Nacional de Portugal\Documentos\python\camoniana\imagens\capas\367315\1\22.jpg</v>
      </c>
      <c r="P644" s="12" t="str">
        <f>HYPERLINK(O644)</f>
        <v>C:\Users\mbaptista\OneDrive - Biblioteca Nacional de Portugal\Documentos\python\camoniana\imagens\capas\367315\1\22.jpg</v>
      </c>
      <c r="Q644" s="12"/>
      <c r="R644" s="6"/>
      <c r="S644" s="4"/>
      <c r="T644" s="1"/>
      <c r="U644" s="13"/>
      <c r="V644" s="13"/>
      <c r="W644" s="5"/>
    </row>
    <row r="645" spans="1:23" ht="75">
      <c r="A645" s="1">
        <v>367315</v>
      </c>
      <c r="B645" s="1">
        <v>1</v>
      </c>
      <c r="C645" s="1">
        <v>23</v>
      </c>
      <c r="D645" s="2" t="s">
        <v>878</v>
      </c>
      <c r="E645" s="11" t="s">
        <v>878</v>
      </c>
      <c r="F645" s="11">
        <v>278157</v>
      </c>
      <c r="G645" s="2" t="s">
        <v>1494</v>
      </c>
      <c r="H645" s="2" t="s">
        <v>1495</v>
      </c>
      <c r="I645" s="2" t="s">
        <v>1496</v>
      </c>
      <c r="J645" s="2" t="str">
        <f t="shared" si="20"/>
        <v>https://permalinkbnd.bnportugal.gov.pt/viewer/278157/?offset=#page=23&amp;viewer=picture&amp;o=info&amp;n=0&amp;q=</v>
      </c>
      <c r="K645" s="1" t="s">
        <v>879</v>
      </c>
      <c r="L645" s="1" t="str">
        <f>VLOOKUP(A645,Folha2!$A$2:$B$2019,2,FALSE)</f>
        <v>Centenario indiano : Album do Século : Marinha histórica do seculo XV e XVI. - Lisboa : Emp. jornal "O Seculo", [1897]. [Imagens: passagem do cabo das Tormentas; Mapa rota de Vasco da Gama e lugares de memória [Mosteiro de Belém].</v>
      </c>
      <c r="M645" s="12" t="str">
        <f t="shared" si="21"/>
        <v>https://permalinkbnd.bnportugal.gov.pt/viewer/278157/?offset=#page=23&amp;viewer=picture&amp;o=info&amp;n=0&amp;q=</v>
      </c>
      <c r="N645" s="12" t="s">
        <v>1497</v>
      </c>
      <c r="O645" s="12" t="str">
        <f>CONCATENATE(N645,A645,"\",B645,"\",C645,".jpg")</f>
        <v>C:\Users\mbaptista\OneDrive - Biblioteca Nacional de Portugal\Documentos\python\camoniana\imagens\capas\367315\1\23.jpg</v>
      </c>
      <c r="P645" s="12" t="str">
        <f>HYPERLINK(O645)</f>
        <v>C:\Users\mbaptista\OneDrive - Biblioteca Nacional de Portugal\Documentos\python\camoniana\imagens\capas\367315\1\23.jpg</v>
      </c>
      <c r="Q645" s="12"/>
      <c r="R645" s="6"/>
      <c r="S645" s="4"/>
      <c r="T645" s="1"/>
      <c r="U645" s="13"/>
      <c r="V645" s="13"/>
      <c r="W645" s="5"/>
    </row>
    <row r="646" spans="1:23" ht="75">
      <c r="A646" s="1">
        <v>367315</v>
      </c>
      <c r="B646" s="1">
        <v>1</v>
      </c>
      <c r="C646" s="1">
        <v>24</v>
      </c>
      <c r="D646" s="2" t="s">
        <v>878</v>
      </c>
      <c r="E646" s="5" t="s">
        <v>878</v>
      </c>
      <c r="F646" s="5">
        <v>278157</v>
      </c>
      <c r="G646" s="2" t="s">
        <v>1494</v>
      </c>
      <c r="H646" s="2" t="s">
        <v>1495</v>
      </c>
      <c r="I646" s="2" t="s">
        <v>1496</v>
      </c>
      <c r="J646" s="2" t="str">
        <f t="shared" si="20"/>
        <v>https://permalinkbnd.bnportugal.gov.pt/viewer/278157/?offset=#page=24&amp;viewer=picture&amp;o=info&amp;n=0&amp;q=</v>
      </c>
      <c r="K646" s="1" t="s">
        <v>879</v>
      </c>
      <c r="L646" s="1" t="str">
        <f>VLOOKUP(A646,Folha2!$A$2:$B$2019,2,FALSE)</f>
        <v>Centenario indiano : Album do Século : Marinha histórica do seculo XV e XVI. - Lisboa : Emp. jornal "O Seculo", [1897]. [Imagens: passagem do cabo das Tormentas; Mapa rota de Vasco da Gama e lugares de memória [Mosteiro de Belém].</v>
      </c>
      <c r="M646" s="12" t="str">
        <f t="shared" si="21"/>
        <v>https://permalinkbnd.bnportugal.gov.pt/viewer/278157/?offset=#page=24&amp;viewer=picture&amp;o=info&amp;n=0&amp;q=</v>
      </c>
      <c r="N646" s="12" t="s">
        <v>1497</v>
      </c>
      <c r="O646" s="12" t="str">
        <f>CONCATENATE(N646,A646,"\",B646,"\",C646,".jpg")</f>
        <v>C:\Users\mbaptista\OneDrive - Biblioteca Nacional de Portugal\Documentos\python\camoniana\imagens\capas\367315\1\24.jpg</v>
      </c>
      <c r="P646" s="12" t="str">
        <f>HYPERLINK(O646)</f>
        <v>C:\Users\mbaptista\OneDrive - Biblioteca Nacional de Portugal\Documentos\python\camoniana\imagens\capas\367315\1\24.jpg</v>
      </c>
      <c r="Q646" s="12"/>
      <c r="R646" s="6"/>
      <c r="S646" s="4"/>
      <c r="T646" s="1"/>
      <c r="U646" s="13"/>
      <c r="V646" s="13"/>
      <c r="W646" s="5"/>
    </row>
    <row r="647" spans="1:23" ht="75">
      <c r="A647" s="1">
        <v>367315</v>
      </c>
      <c r="B647" s="1">
        <v>1</v>
      </c>
      <c r="C647" s="1">
        <v>25</v>
      </c>
      <c r="D647" s="2" t="s">
        <v>878</v>
      </c>
      <c r="E647" s="11" t="s">
        <v>878</v>
      </c>
      <c r="F647" s="11">
        <v>278157</v>
      </c>
      <c r="G647" s="2" t="s">
        <v>1494</v>
      </c>
      <c r="H647" s="2" t="s">
        <v>1495</v>
      </c>
      <c r="I647" s="2" t="s">
        <v>1496</v>
      </c>
      <c r="J647" s="2" t="str">
        <f t="shared" si="20"/>
        <v>https://permalinkbnd.bnportugal.gov.pt/viewer/278157/?offset=#page=25&amp;viewer=picture&amp;o=info&amp;n=0&amp;q=</v>
      </c>
      <c r="K647" s="1" t="s">
        <v>879</v>
      </c>
      <c r="L647" s="1" t="str">
        <f>VLOOKUP(A647,Folha2!$A$2:$B$2019,2,FALSE)</f>
        <v>Centenario indiano : Album do Século : Marinha histórica do seculo XV e XVI. - Lisboa : Emp. jornal "O Seculo", [1897]. [Imagens: passagem do cabo das Tormentas; Mapa rota de Vasco da Gama e lugares de memória [Mosteiro de Belém].</v>
      </c>
      <c r="M647" s="12" t="str">
        <f t="shared" si="21"/>
        <v>https://permalinkbnd.bnportugal.gov.pt/viewer/278157/?offset=#page=25&amp;viewer=picture&amp;o=info&amp;n=0&amp;q=</v>
      </c>
      <c r="N647" s="12" t="s">
        <v>1497</v>
      </c>
      <c r="O647" s="12" t="str">
        <f>CONCATENATE(N647,A647,"\",B647,"\",C647,".jpg")</f>
        <v>C:\Users\mbaptista\OneDrive - Biblioteca Nacional de Portugal\Documentos\python\camoniana\imagens\capas\367315\1\25.jpg</v>
      </c>
      <c r="P647" s="12" t="str">
        <f>HYPERLINK(O647)</f>
        <v>C:\Users\mbaptista\OneDrive - Biblioteca Nacional de Portugal\Documentos\python\camoniana\imagens\capas\367315\1\25.jpg</v>
      </c>
      <c r="Q647" s="12"/>
      <c r="R647" s="6"/>
      <c r="S647" s="4"/>
      <c r="T647" s="1"/>
      <c r="U647" s="13"/>
      <c r="V647" s="13"/>
      <c r="W647" s="5"/>
    </row>
    <row r="648" spans="1:23" ht="75">
      <c r="A648" s="1">
        <v>367315</v>
      </c>
      <c r="B648" s="1">
        <v>1</v>
      </c>
      <c r="C648" s="1">
        <v>26</v>
      </c>
      <c r="D648" s="2" t="s">
        <v>878</v>
      </c>
      <c r="E648" s="5" t="s">
        <v>878</v>
      </c>
      <c r="F648" s="5">
        <v>278157</v>
      </c>
      <c r="G648" s="2" t="s">
        <v>1494</v>
      </c>
      <c r="H648" s="2" t="s">
        <v>1495</v>
      </c>
      <c r="I648" s="2" t="s">
        <v>1496</v>
      </c>
      <c r="J648" s="2" t="str">
        <f t="shared" si="20"/>
        <v>https://permalinkbnd.bnportugal.gov.pt/viewer/278157/?offset=#page=26&amp;viewer=picture&amp;o=info&amp;n=0&amp;q=</v>
      </c>
      <c r="K648" s="1" t="s">
        <v>879</v>
      </c>
      <c r="L648" s="1" t="str">
        <f>VLOOKUP(A648,Folha2!$A$2:$B$2019,2,FALSE)</f>
        <v>Centenario indiano : Album do Século : Marinha histórica do seculo XV e XVI. - Lisboa : Emp. jornal "O Seculo", [1897]. [Imagens: passagem do cabo das Tormentas; Mapa rota de Vasco da Gama e lugares de memória [Mosteiro de Belém].</v>
      </c>
      <c r="M648" s="12" t="str">
        <f t="shared" si="21"/>
        <v>https://permalinkbnd.bnportugal.gov.pt/viewer/278157/?offset=#page=26&amp;viewer=picture&amp;o=info&amp;n=0&amp;q=</v>
      </c>
      <c r="N648" s="12" t="s">
        <v>1497</v>
      </c>
      <c r="O648" s="12" t="str">
        <f>CONCATENATE(N648,A648,"\",B648,"\",C648,".jpg")</f>
        <v>C:\Users\mbaptista\OneDrive - Biblioteca Nacional de Portugal\Documentos\python\camoniana\imagens\capas\367315\1\26.jpg</v>
      </c>
      <c r="P648" s="12" t="str">
        <f>HYPERLINK(O648)</f>
        <v>C:\Users\mbaptista\OneDrive - Biblioteca Nacional de Portugal\Documentos\python\camoniana\imagens\capas\367315\1\26.jpg</v>
      </c>
      <c r="Q648" s="12"/>
      <c r="R648" s="6"/>
      <c r="S648" s="4"/>
      <c r="T648" s="1"/>
      <c r="U648" s="13"/>
      <c r="V648" s="13"/>
      <c r="W648" s="5"/>
    </row>
    <row r="649" spans="1:23" ht="75">
      <c r="A649" s="1">
        <v>367315</v>
      </c>
      <c r="B649" s="1">
        <v>1</v>
      </c>
      <c r="C649" s="1">
        <v>27</v>
      </c>
      <c r="D649" s="2" t="s">
        <v>878</v>
      </c>
      <c r="E649" s="11" t="s">
        <v>878</v>
      </c>
      <c r="F649" s="11">
        <v>278157</v>
      </c>
      <c r="G649" s="2" t="s">
        <v>1494</v>
      </c>
      <c r="H649" s="2" t="s">
        <v>1495</v>
      </c>
      <c r="I649" s="2" t="s">
        <v>1496</v>
      </c>
      <c r="J649" s="2" t="str">
        <f t="shared" si="20"/>
        <v>https://permalinkbnd.bnportugal.gov.pt/viewer/278157/?offset=#page=27&amp;viewer=picture&amp;o=info&amp;n=0&amp;q=</v>
      </c>
      <c r="K649" s="1" t="s">
        <v>879</v>
      </c>
      <c r="L649" s="1" t="str">
        <f>VLOOKUP(A649,Folha2!$A$2:$B$2019,2,FALSE)</f>
        <v>Centenario indiano : Album do Século : Marinha histórica do seculo XV e XVI. - Lisboa : Emp. jornal "O Seculo", [1897]. [Imagens: passagem do cabo das Tormentas; Mapa rota de Vasco da Gama e lugares de memória [Mosteiro de Belém].</v>
      </c>
      <c r="M649" s="12" t="str">
        <f t="shared" si="21"/>
        <v>https://permalinkbnd.bnportugal.gov.pt/viewer/278157/?offset=#page=27&amp;viewer=picture&amp;o=info&amp;n=0&amp;q=</v>
      </c>
      <c r="N649" s="12" t="s">
        <v>1497</v>
      </c>
      <c r="O649" s="12" t="str">
        <f>CONCATENATE(N649,A649,"\",B649,"\",C649,".jpg")</f>
        <v>C:\Users\mbaptista\OneDrive - Biblioteca Nacional de Portugal\Documentos\python\camoniana\imagens\capas\367315\1\27.jpg</v>
      </c>
      <c r="P649" s="12" t="str">
        <f>HYPERLINK(O649)</f>
        <v>C:\Users\mbaptista\OneDrive - Biblioteca Nacional de Portugal\Documentos\python\camoniana\imagens\capas\367315\1\27.jpg</v>
      </c>
      <c r="Q649" s="12"/>
      <c r="R649" s="6"/>
      <c r="S649" s="4"/>
      <c r="T649" s="1"/>
      <c r="U649" s="13"/>
      <c r="V649" s="13"/>
      <c r="W649" s="5"/>
    </row>
    <row r="650" spans="1:23" ht="75">
      <c r="A650" s="1">
        <v>367315</v>
      </c>
      <c r="B650" s="1">
        <v>1</v>
      </c>
      <c r="C650" s="1">
        <v>28</v>
      </c>
      <c r="D650" s="2" t="s">
        <v>878</v>
      </c>
      <c r="E650" s="5" t="s">
        <v>878</v>
      </c>
      <c r="F650" s="5">
        <v>278157</v>
      </c>
      <c r="G650" s="2" t="s">
        <v>1494</v>
      </c>
      <c r="H650" s="2" t="s">
        <v>1495</v>
      </c>
      <c r="I650" s="2" t="s">
        <v>1496</v>
      </c>
      <c r="J650" s="2" t="str">
        <f t="shared" si="20"/>
        <v>https://permalinkbnd.bnportugal.gov.pt/viewer/278157/?offset=#page=28&amp;viewer=picture&amp;o=info&amp;n=0&amp;q=</v>
      </c>
      <c r="K650" s="1" t="s">
        <v>879</v>
      </c>
      <c r="L650" s="1" t="str">
        <f>VLOOKUP(A650,Folha2!$A$2:$B$2019,2,FALSE)</f>
        <v>Centenario indiano : Album do Século : Marinha histórica do seculo XV e XVI. - Lisboa : Emp. jornal "O Seculo", [1897]. [Imagens: passagem do cabo das Tormentas; Mapa rota de Vasco da Gama e lugares de memória [Mosteiro de Belém].</v>
      </c>
      <c r="M650" s="12" t="str">
        <f t="shared" si="21"/>
        <v>https://permalinkbnd.bnportugal.gov.pt/viewer/278157/?offset=#page=28&amp;viewer=picture&amp;o=info&amp;n=0&amp;q=</v>
      </c>
      <c r="N650" s="12" t="s">
        <v>1497</v>
      </c>
      <c r="O650" s="12" t="str">
        <f>CONCATENATE(N650,A650,"\",B650,"\",C650,".jpg")</f>
        <v>C:\Users\mbaptista\OneDrive - Biblioteca Nacional de Portugal\Documentos\python\camoniana\imagens\capas\367315\1\28.jpg</v>
      </c>
      <c r="P650" s="12" t="str">
        <f>HYPERLINK(O650)</f>
        <v>C:\Users\mbaptista\OneDrive - Biblioteca Nacional de Portugal\Documentos\python\camoniana\imagens\capas\367315\1\28.jpg</v>
      </c>
      <c r="Q650" s="12"/>
      <c r="R650" s="6"/>
      <c r="S650" s="4"/>
      <c r="T650" s="1"/>
      <c r="U650" s="13"/>
      <c r="V650" s="13"/>
      <c r="W650" s="5"/>
    </row>
    <row r="651" spans="1:23" ht="75">
      <c r="A651" s="1">
        <v>367315</v>
      </c>
      <c r="B651" s="1">
        <v>1</v>
      </c>
      <c r="C651" s="1">
        <v>29</v>
      </c>
      <c r="D651" s="2" t="s">
        <v>878</v>
      </c>
      <c r="E651" s="11" t="s">
        <v>878</v>
      </c>
      <c r="F651" s="11">
        <v>278157</v>
      </c>
      <c r="G651" s="2" t="s">
        <v>1494</v>
      </c>
      <c r="H651" s="2" t="s">
        <v>1495</v>
      </c>
      <c r="I651" s="2" t="s">
        <v>1496</v>
      </c>
      <c r="J651" s="2" t="str">
        <f t="shared" si="20"/>
        <v>https://permalinkbnd.bnportugal.gov.pt/viewer/278157/?offset=#page=29&amp;viewer=picture&amp;o=info&amp;n=0&amp;q=</v>
      </c>
      <c r="K651" s="1" t="s">
        <v>879</v>
      </c>
      <c r="L651" s="1" t="str">
        <f>VLOOKUP(A651,Folha2!$A$2:$B$2019,2,FALSE)</f>
        <v>Centenario indiano : Album do Século : Marinha histórica do seculo XV e XVI. - Lisboa : Emp. jornal "O Seculo", [1897]. [Imagens: passagem do cabo das Tormentas; Mapa rota de Vasco da Gama e lugares de memória [Mosteiro de Belém].</v>
      </c>
      <c r="M651" s="12" t="str">
        <f t="shared" si="21"/>
        <v>https://permalinkbnd.bnportugal.gov.pt/viewer/278157/?offset=#page=29&amp;viewer=picture&amp;o=info&amp;n=0&amp;q=</v>
      </c>
      <c r="N651" s="12" t="s">
        <v>1497</v>
      </c>
      <c r="O651" s="12" t="str">
        <f>CONCATENATE(N651,A651,"\",B651,"\",C651,".jpg")</f>
        <v>C:\Users\mbaptista\OneDrive - Biblioteca Nacional de Portugal\Documentos\python\camoniana\imagens\capas\367315\1\29.jpg</v>
      </c>
      <c r="P651" s="12" t="str">
        <f>HYPERLINK(O651)</f>
        <v>C:\Users\mbaptista\OneDrive - Biblioteca Nacional de Portugal\Documentos\python\camoniana\imagens\capas\367315\1\29.jpg</v>
      </c>
      <c r="Q651" s="12"/>
      <c r="R651" s="6"/>
      <c r="S651" s="4"/>
      <c r="T651" s="1"/>
      <c r="U651" s="13"/>
      <c r="V651" s="13"/>
      <c r="W651" s="5"/>
    </row>
    <row r="652" spans="1:23" ht="75">
      <c r="A652" s="1">
        <v>367315</v>
      </c>
      <c r="B652" s="1">
        <v>1</v>
      </c>
      <c r="C652" s="1">
        <v>30</v>
      </c>
      <c r="D652" s="2" t="s">
        <v>878</v>
      </c>
      <c r="E652" s="5" t="s">
        <v>878</v>
      </c>
      <c r="F652" s="5">
        <v>278157</v>
      </c>
      <c r="G652" s="2" t="s">
        <v>1494</v>
      </c>
      <c r="H652" s="2" t="s">
        <v>1495</v>
      </c>
      <c r="I652" s="2" t="s">
        <v>1496</v>
      </c>
      <c r="J652" s="2" t="str">
        <f t="shared" si="20"/>
        <v>https://permalinkbnd.bnportugal.gov.pt/viewer/278157/?offset=#page=30&amp;viewer=picture&amp;o=info&amp;n=0&amp;q=</v>
      </c>
      <c r="K652" s="1" t="s">
        <v>879</v>
      </c>
      <c r="L652" s="1" t="str">
        <f>VLOOKUP(A652,Folha2!$A$2:$B$2019,2,FALSE)</f>
        <v>Centenario indiano : Album do Século : Marinha histórica do seculo XV e XVI. - Lisboa : Emp. jornal "O Seculo", [1897]. [Imagens: passagem do cabo das Tormentas; Mapa rota de Vasco da Gama e lugares de memória [Mosteiro de Belém].</v>
      </c>
      <c r="M652" s="12" t="str">
        <f t="shared" si="21"/>
        <v>https://permalinkbnd.bnportugal.gov.pt/viewer/278157/?offset=#page=30&amp;viewer=picture&amp;o=info&amp;n=0&amp;q=</v>
      </c>
      <c r="N652" s="12" t="s">
        <v>1497</v>
      </c>
      <c r="O652" s="12" t="str">
        <f>CONCATENATE(N652,A652,"\",B652,"\",C652,".jpg")</f>
        <v>C:\Users\mbaptista\OneDrive - Biblioteca Nacional de Portugal\Documentos\python\camoniana\imagens\capas\367315\1\30.jpg</v>
      </c>
      <c r="P652" s="12" t="str">
        <f>HYPERLINK(O652)</f>
        <v>C:\Users\mbaptista\OneDrive - Biblioteca Nacional de Portugal\Documentos\python\camoniana\imagens\capas\367315\1\30.jpg</v>
      </c>
      <c r="Q652" s="12"/>
      <c r="R652" s="6"/>
      <c r="S652" s="4"/>
      <c r="T652" s="1"/>
      <c r="U652" s="13"/>
      <c r="V652" s="13"/>
      <c r="W652" s="5"/>
    </row>
    <row r="653" spans="1:23" ht="75">
      <c r="A653" s="1">
        <v>367315</v>
      </c>
      <c r="B653" s="1">
        <v>1</v>
      </c>
      <c r="C653" s="1">
        <v>31</v>
      </c>
      <c r="D653" s="2" t="s">
        <v>878</v>
      </c>
      <c r="E653" s="11" t="s">
        <v>878</v>
      </c>
      <c r="F653" s="11">
        <v>278157</v>
      </c>
      <c r="G653" s="2" t="s">
        <v>1494</v>
      </c>
      <c r="H653" s="2" t="s">
        <v>1495</v>
      </c>
      <c r="I653" s="2" t="s">
        <v>1496</v>
      </c>
      <c r="J653" s="2" t="str">
        <f t="shared" si="20"/>
        <v>https://permalinkbnd.bnportugal.gov.pt/viewer/278157/?offset=#page=31&amp;viewer=picture&amp;o=info&amp;n=0&amp;q=</v>
      </c>
      <c r="K653" s="1" t="s">
        <v>879</v>
      </c>
      <c r="L653" s="1" t="str">
        <f>VLOOKUP(A653,Folha2!$A$2:$B$2019,2,FALSE)</f>
        <v>Centenario indiano : Album do Século : Marinha histórica do seculo XV e XVI. - Lisboa : Emp. jornal "O Seculo", [1897]. [Imagens: passagem do cabo das Tormentas; Mapa rota de Vasco da Gama e lugares de memória [Mosteiro de Belém].</v>
      </c>
      <c r="M653" s="12" t="str">
        <f t="shared" si="21"/>
        <v>https://permalinkbnd.bnportugal.gov.pt/viewer/278157/?offset=#page=31&amp;viewer=picture&amp;o=info&amp;n=0&amp;q=</v>
      </c>
      <c r="N653" s="12" t="s">
        <v>1497</v>
      </c>
      <c r="O653" s="12" t="str">
        <f>CONCATENATE(N653,A653,"\",B653,"\",C653,".jpg")</f>
        <v>C:\Users\mbaptista\OneDrive - Biblioteca Nacional de Portugal\Documentos\python\camoniana\imagens\capas\367315\1\31.jpg</v>
      </c>
      <c r="P653" s="12" t="str">
        <f>HYPERLINK(O653)</f>
        <v>C:\Users\mbaptista\OneDrive - Biblioteca Nacional de Portugal\Documentos\python\camoniana\imagens\capas\367315\1\31.jpg</v>
      </c>
      <c r="Q653" s="12"/>
      <c r="R653" s="6"/>
      <c r="S653" s="4"/>
      <c r="T653" s="1"/>
      <c r="U653" s="13"/>
      <c r="V653" s="13"/>
      <c r="W653" s="5"/>
    </row>
    <row r="654" spans="1:23" ht="75">
      <c r="A654" s="1">
        <v>367315</v>
      </c>
      <c r="B654" s="1">
        <v>1</v>
      </c>
      <c r="C654" s="1">
        <v>32</v>
      </c>
      <c r="D654" s="2" t="s">
        <v>878</v>
      </c>
      <c r="E654" s="5" t="s">
        <v>878</v>
      </c>
      <c r="F654" s="5">
        <v>278157</v>
      </c>
      <c r="G654" s="2" t="s">
        <v>1494</v>
      </c>
      <c r="H654" s="2" t="s">
        <v>1495</v>
      </c>
      <c r="I654" s="2" t="s">
        <v>1496</v>
      </c>
      <c r="J654" s="2" t="str">
        <f t="shared" si="20"/>
        <v>https://permalinkbnd.bnportugal.gov.pt/viewer/278157/?offset=#page=32&amp;viewer=picture&amp;o=info&amp;n=0&amp;q=</v>
      </c>
      <c r="K654" s="1" t="s">
        <v>879</v>
      </c>
      <c r="L654" s="1" t="str">
        <f>VLOOKUP(A654,Folha2!$A$2:$B$2019,2,FALSE)</f>
        <v>Centenario indiano : Album do Século : Marinha histórica do seculo XV e XVI. - Lisboa : Emp. jornal "O Seculo", [1897]. [Imagens: passagem do cabo das Tormentas; Mapa rota de Vasco da Gama e lugares de memória [Mosteiro de Belém].</v>
      </c>
      <c r="M654" s="12" t="str">
        <f t="shared" si="21"/>
        <v>https://permalinkbnd.bnportugal.gov.pt/viewer/278157/?offset=#page=32&amp;viewer=picture&amp;o=info&amp;n=0&amp;q=</v>
      </c>
      <c r="N654" s="12" t="s">
        <v>1497</v>
      </c>
      <c r="O654" s="12" t="str">
        <f>CONCATENATE(N654,A654,"\",B654,"\",C654,".jpg")</f>
        <v>C:\Users\mbaptista\OneDrive - Biblioteca Nacional de Portugal\Documentos\python\camoniana\imagens\capas\367315\1\32.jpg</v>
      </c>
      <c r="P654" s="12" t="str">
        <f>HYPERLINK(O654)</f>
        <v>C:\Users\mbaptista\OneDrive - Biblioteca Nacional de Portugal\Documentos\python\camoniana\imagens\capas\367315\1\32.jpg</v>
      </c>
      <c r="Q654" s="12"/>
      <c r="R654" s="6"/>
      <c r="S654" s="4"/>
      <c r="T654" s="1"/>
      <c r="U654" s="13"/>
      <c r="V654" s="13"/>
      <c r="W654" s="5"/>
    </row>
    <row r="655" spans="1:23" ht="75">
      <c r="A655" s="1">
        <v>367315</v>
      </c>
      <c r="B655" s="1">
        <v>1</v>
      </c>
      <c r="C655" s="1">
        <v>33</v>
      </c>
      <c r="D655" s="2" t="s">
        <v>878</v>
      </c>
      <c r="E655" s="11" t="s">
        <v>878</v>
      </c>
      <c r="F655" s="11">
        <v>278157</v>
      </c>
      <c r="G655" s="2" t="s">
        <v>1494</v>
      </c>
      <c r="H655" s="2" t="s">
        <v>1495</v>
      </c>
      <c r="I655" s="2" t="s">
        <v>1496</v>
      </c>
      <c r="J655" s="2" t="str">
        <f t="shared" si="20"/>
        <v>https://permalinkbnd.bnportugal.gov.pt/viewer/278157/?offset=#page=33&amp;viewer=picture&amp;o=info&amp;n=0&amp;q=</v>
      </c>
      <c r="K655" s="1" t="s">
        <v>879</v>
      </c>
      <c r="L655" s="1" t="str">
        <f>VLOOKUP(A655,Folha2!$A$2:$B$2019,2,FALSE)</f>
        <v>Centenario indiano : Album do Século : Marinha histórica do seculo XV e XVI. - Lisboa : Emp. jornal "O Seculo", [1897]. [Imagens: passagem do cabo das Tormentas; Mapa rota de Vasco da Gama e lugares de memória [Mosteiro de Belém].</v>
      </c>
      <c r="M655" s="12" t="str">
        <f t="shared" si="21"/>
        <v>https://permalinkbnd.bnportugal.gov.pt/viewer/278157/?offset=#page=33&amp;viewer=picture&amp;o=info&amp;n=0&amp;q=</v>
      </c>
      <c r="N655" s="12" t="s">
        <v>1497</v>
      </c>
      <c r="O655" s="12" t="str">
        <f>CONCATENATE(N655,A655,"\",B655,"\",C655,".jpg")</f>
        <v>C:\Users\mbaptista\OneDrive - Biblioteca Nacional de Portugal\Documentos\python\camoniana\imagens\capas\367315\1\33.jpg</v>
      </c>
      <c r="P655" s="12" t="str">
        <f>HYPERLINK(O655)</f>
        <v>C:\Users\mbaptista\OneDrive - Biblioteca Nacional de Portugal\Documentos\python\camoniana\imagens\capas\367315\1\33.jpg</v>
      </c>
      <c r="Q655" s="12"/>
      <c r="R655" s="6"/>
      <c r="S655" s="4"/>
      <c r="T655" s="1"/>
      <c r="U655" s="13"/>
      <c r="V655" s="13"/>
      <c r="W655" s="5"/>
    </row>
    <row r="656" spans="1:23" ht="75">
      <c r="A656" s="1">
        <v>367315</v>
      </c>
      <c r="B656" s="1">
        <v>1</v>
      </c>
      <c r="C656" s="1">
        <v>34</v>
      </c>
      <c r="D656" s="2" t="s">
        <v>878</v>
      </c>
      <c r="E656" s="5" t="s">
        <v>878</v>
      </c>
      <c r="F656" s="5">
        <v>278157</v>
      </c>
      <c r="G656" s="2" t="s">
        <v>1494</v>
      </c>
      <c r="H656" s="2" t="s">
        <v>1495</v>
      </c>
      <c r="I656" s="2" t="s">
        <v>1496</v>
      </c>
      <c r="J656" s="2" t="str">
        <f t="shared" si="20"/>
        <v>https://permalinkbnd.bnportugal.gov.pt/viewer/278157/?offset=#page=34&amp;viewer=picture&amp;o=info&amp;n=0&amp;q=</v>
      </c>
      <c r="K656" s="1" t="s">
        <v>879</v>
      </c>
      <c r="L656" s="1" t="str">
        <f>VLOOKUP(A656,Folha2!$A$2:$B$2019,2,FALSE)</f>
        <v>Centenario indiano : Album do Século : Marinha histórica do seculo XV e XVI. - Lisboa : Emp. jornal "O Seculo", [1897]. [Imagens: passagem do cabo das Tormentas; Mapa rota de Vasco da Gama e lugares de memória [Mosteiro de Belém].</v>
      </c>
      <c r="M656" s="12" t="str">
        <f t="shared" si="21"/>
        <v>https://permalinkbnd.bnportugal.gov.pt/viewer/278157/?offset=#page=34&amp;viewer=picture&amp;o=info&amp;n=0&amp;q=</v>
      </c>
      <c r="N656" s="12" t="s">
        <v>1497</v>
      </c>
      <c r="O656" s="12" t="str">
        <f>CONCATENATE(N656,A656,"\",B656,"\",C656,".jpg")</f>
        <v>C:\Users\mbaptista\OneDrive - Biblioteca Nacional de Portugal\Documentos\python\camoniana\imagens\capas\367315\1\34.jpg</v>
      </c>
      <c r="P656" s="12" t="str">
        <f>HYPERLINK(O656)</f>
        <v>C:\Users\mbaptista\OneDrive - Biblioteca Nacional de Portugal\Documentos\python\camoniana\imagens\capas\367315\1\34.jpg</v>
      </c>
      <c r="Q656" s="12"/>
      <c r="R656" s="6"/>
      <c r="S656" s="4"/>
      <c r="T656" s="1"/>
      <c r="U656" s="13"/>
      <c r="V656" s="13"/>
      <c r="W656" s="5"/>
    </row>
    <row r="657" spans="1:23" ht="75">
      <c r="A657" s="1">
        <v>367315</v>
      </c>
      <c r="B657" s="1">
        <v>1</v>
      </c>
      <c r="C657" s="1">
        <v>35</v>
      </c>
      <c r="D657" s="2" t="s">
        <v>878</v>
      </c>
      <c r="E657" s="11" t="s">
        <v>878</v>
      </c>
      <c r="F657" s="11">
        <v>278157</v>
      </c>
      <c r="G657" s="2" t="s">
        <v>1494</v>
      </c>
      <c r="H657" s="2" t="s">
        <v>1495</v>
      </c>
      <c r="I657" s="2" t="s">
        <v>1496</v>
      </c>
      <c r="J657" s="2" t="str">
        <f t="shared" si="20"/>
        <v>https://permalinkbnd.bnportugal.gov.pt/viewer/278157/?offset=#page=35&amp;viewer=picture&amp;o=info&amp;n=0&amp;q=</v>
      </c>
      <c r="K657" s="1" t="s">
        <v>879</v>
      </c>
      <c r="L657" s="1" t="str">
        <f>VLOOKUP(A657,Folha2!$A$2:$B$2019,2,FALSE)</f>
        <v>Centenario indiano : Album do Século : Marinha histórica do seculo XV e XVI. - Lisboa : Emp. jornal "O Seculo", [1897]. [Imagens: passagem do cabo das Tormentas; Mapa rota de Vasco da Gama e lugares de memória [Mosteiro de Belém].</v>
      </c>
      <c r="M657" s="12" t="str">
        <f t="shared" si="21"/>
        <v>https://permalinkbnd.bnportugal.gov.pt/viewer/278157/?offset=#page=35&amp;viewer=picture&amp;o=info&amp;n=0&amp;q=</v>
      </c>
      <c r="N657" s="12" t="s">
        <v>1497</v>
      </c>
      <c r="O657" s="12" t="str">
        <f>CONCATENATE(N657,A657,"\",B657,"\",C657,".jpg")</f>
        <v>C:\Users\mbaptista\OneDrive - Biblioteca Nacional de Portugal\Documentos\python\camoniana\imagens\capas\367315\1\35.jpg</v>
      </c>
      <c r="P657" s="12" t="str">
        <f>HYPERLINK(O657)</f>
        <v>C:\Users\mbaptista\OneDrive - Biblioteca Nacional de Portugal\Documentos\python\camoniana\imagens\capas\367315\1\35.jpg</v>
      </c>
      <c r="Q657" s="12"/>
      <c r="R657" s="6"/>
      <c r="S657" s="4"/>
      <c r="T657" s="1"/>
      <c r="U657" s="13"/>
      <c r="V657" s="13"/>
      <c r="W657" s="5"/>
    </row>
    <row r="658" spans="1:23" ht="75">
      <c r="A658" s="1">
        <v>367315</v>
      </c>
      <c r="B658" s="1">
        <v>1</v>
      </c>
      <c r="C658" s="1">
        <v>36</v>
      </c>
      <c r="D658" s="2" t="s">
        <v>878</v>
      </c>
      <c r="E658" s="5" t="s">
        <v>878</v>
      </c>
      <c r="F658" s="5">
        <v>278157</v>
      </c>
      <c r="G658" s="2" t="s">
        <v>1494</v>
      </c>
      <c r="H658" s="2" t="s">
        <v>1495</v>
      </c>
      <c r="I658" s="2" t="s">
        <v>1496</v>
      </c>
      <c r="J658" s="2" t="str">
        <f t="shared" si="20"/>
        <v>https://permalinkbnd.bnportugal.gov.pt/viewer/278157/?offset=#page=36&amp;viewer=picture&amp;o=info&amp;n=0&amp;q=</v>
      </c>
      <c r="K658" s="1" t="s">
        <v>879</v>
      </c>
      <c r="L658" s="1" t="str">
        <f>VLOOKUP(A658,Folha2!$A$2:$B$2019,2,FALSE)</f>
        <v>Centenario indiano : Album do Século : Marinha histórica do seculo XV e XVI. - Lisboa : Emp. jornal "O Seculo", [1897]. [Imagens: passagem do cabo das Tormentas; Mapa rota de Vasco da Gama e lugares de memória [Mosteiro de Belém].</v>
      </c>
      <c r="M658" s="12" t="str">
        <f t="shared" si="21"/>
        <v>https://permalinkbnd.bnportugal.gov.pt/viewer/278157/?offset=#page=36&amp;viewer=picture&amp;o=info&amp;n=0&amp;q=</v>
      </c>
      <c r="N658" s="12" t="s">
        <v>1497</v>
      </c>
      <c r="O658" s="12" t="str">
        <f>CONCATENATE(N658,A658,"\",B658,"\",C658,".jpg")</f>
        <v>C:\Users\mbaptista\OneDrive - Biblioteca Nacional de Portugal\Documentos\python\camoniana\imagens\capas\367315\1\36.jpg</v>
      </c>
      <c r="P658" s="12" t="str">
        <f>HYPERLINK(O658)</f>
        <v>C:\Users\mbaptista\OneDrive - Biblioteca Nacional de Portugal\Documentos\python\camoniana\imagens\capas\367315\1\36.jpg</v>
      </c>
      <c r="Q658" s="12"/>
      <c r="R658" s="6"/>
      <c r="S658" s="4"/>
      <c r="T658" s="1"/>
      <c r="U658" s="13"/>
      <c r="V658" s="13"/>
      <c r="W658" s="5"/>
    </row>
    <row r="659" spans="1:23" ht="75">
      <c r="A659" s="1">
        <v>367315</v>
      </c>
      <c r="B659" s="1">
        <v>1</v>
      </c>
      <c r="C659" s="1">
        <v>37</v>
      </c>
      <c r="D659" s="2" t="s">
        <v>878</v>
      </c>
      <c r="E659" s="11" t="s">
        <v>878</v>
      </c>
      <c r="F659" s="11">
        <v>278157</v>
      </c>
      <c r="G659" s="2" t="s">
        <v>1494</v>
      </c>
      <c r="H659" s="2" t="s">
        <v>1495</v>
      </c>
      <c r="I659" s="2" t="s">
        <v>1496</v>
      </c>
      <c r="J659" s="2" t="str">
        <f t="shared" si="20"/>
        <v>https://permalinkbnd.bnportugal.gov.pt/viewer/278157/?offset=#page=37&amp;viewer=picture&amp;o=info&amp;n=0&amp;q=</v>
      </c>
      <c r="K659" s="14"/>
      <c r="L659" s="1" t="str">
        <f>VLOOKUP(A659,Folha2!$A$2:$B$2019,2,FALSE)</f>
        <v>Centenario indiano : Album do Século : Marinha histórica do seculo XV e XVI. - Lisboa : Emp. jornal "O Seculo", [1897]. [Imagens: passagem do cabo das Tormentas; Mapa rota de Vasco da Gama e lugares de memória [Mosteiro de Belém].</v>
      </c>
      <c r="M659" s="12" t="str">
        <f t="shared" si="21"/>
        <v>https://permalinkbnd.bnportugal.gov.pt/viewer/278157/?offset=#page=37&amp;viewer=picture&amp;o=info&amp;n=0&amp;q=</v>
      </c>
      <c r="N659" s="12" t="s">
        <v>1497</v>
      </c>
      <c r="O659" s="12" t="str">
        <f>CONCATENATE(N659,A659,"\",B659,"\",C659,".jpg")</f>
        <v>C:\Users\mbaptista\OneDrive - Biblioteca Nacional de Portugal\Documentos\python\camoniana\imagens\capas\367315\1\37.jpg</v>
      </c>
      <c r="P659" s="12" t="str">
        <f>HYPERLINK(O659)</f>
        <v>C:\Users\mbaptista\OneDrive - Biblioteca Nacional de Portugal\Documentos\python\camoniana\imagens\capas\367315\1\37.jpg</v>
      </c>
      <c r="Q659" s="12"/>
      <c r="R659" s="6" t="s">
        <v>883</v>
      </c>
      <c r="S659" s="4"/>
      <c r="T659" s="1" t="s">
        <v>880</v>
      </c>
      <c r="U659" s="13"/>
      <c r="V659" s="13"/>
      <c r="W659" s="5" t="s">
        <v>1491</v>
      </c>
    </row>
    <row r="660" spans="1:23" ht="75">
      <c r="A660" s="1">
        <v>473530</v>
      </c>
      <c r="B660" s="1">
        <v>1</v>
      </c>
      <c r="C660" s="1">
        <v>13</v>
      </c>
      <c r="D660" s="2" t="s">
        <v>884</v>
      </c>
      <c r="E660" s="5" t="s">
        <v>884</v>
      </c>
      <c r="F660" s="5">
        <v>278166</v>
      </c>
      <c r="G660" s="2" t="s">
        <v>1494</v>
      </c>
      <c r="H660" s="2" t="s">
        <v>1495</v>
      </c>
      <c r="I660" s="2" t="s">
        <v>1496</v>
      </c>
      <c r="J660" s="2" t="str">
        <f t="shared" si="20"/>
        <v>https://permalinkbnd.bnportugal.gov.pt/viewer/278166/?offset=#page=13&amp;viewer=picture&amp;o=info&amp;n=0&amp;q=</v>
      </c>
      <c r="K660" s="1" t="s">
        <v>885</v>
      </c>
      <c r="L660" s="1" t="str">
        <f>VLOOKUP(A660,Folha2!$A$2:$B$2019,2,FALSE)</f>
        <v>Homenagem a Vasco da Gama e programma das festas do centenario : tributo litterario da Bibliotheca de Romances Notaveis. - Lisboa : Typ. do Commercio de Portugal, 1898. O centenário de Vasco da Gama. Texto com várias citações da obra de Camões.</v>
      </c>
      <c r="M660" s="12" t="str">
        <f t="shared" si="21"/>
        <v>https://permalinkbnd.bnportugal.gov.pt/viewer/278166/?offset=#page=13&amp;viewer=picture&amp;o=info&amp;n=0&amp;q=</v>
      </c>
      <c r="N660" s="12" t="s">
        <v>1497</v>
      </c>
      <c r="O660" s="12" t="str">
        <f>CONCATENATE(N660,A660,"\",B660,"\",C660,".jpg")</f>
        <v>C:\Users\mbaptista\OneDrive - Biblioteca Nacional de Portugal\Documentos\python\camoniana\imagens\capas\473530\1\13.jpg</v>
      </c>
      <c r="P660" s="12" t="str">
        <f>HYPERLINK(O660)</f>
        <v>C:\Users\mbaptista\OneDrive - Biblioteca Nacional de Portugal\Documentos\python\camoniana\imagens\capas\473530\1\13.jpg</v>
      </c>
      <c r="Q660" s="12"/>
      <c r="R660" s="6" t="s">
        <v>886</v>
      </c>
      <c r="S660" s="4"/>
      <c r="T660" s="1"/>
      <c r="U660" s="13"/>
      <c r="V660" s="13"/>
      <c r="W660" s="5" t="s">
        <v>1491</v>
      </c>
    </row>
    <row r="661" spans="1:23" ht="75">
      <c r="A661" s="1">
        <v>473530</v>
      </c>
      <c r="B661" s="1">
        <v>1</v>
      </c>
      <c r="C661" s="1">
        <v>15</v>
      </c>
      <c r="D661" s="2" t="s">
        <v>884</v>
      </c>
      <c r="E661" s="11" t="s">
        <v>884</v>
      </c>
      <c r="F661" s="11">
        <v>278166</v>
      </c>
      <c r="G661" s="2" t="s">
        <v>1494</v>
      </c>
      <c r="H661" s="2" t="s">
        <v>1495</v>
      </c>
      <c r="I661" s="2" t="s">
        <v>1496</v>
      </c>
      <c r="J661" s="2" t="str">
        <f t="shared" si="20"/>
        <v>https://permalinkbnd.bnportugal.gov.pt/viewer/278166/?offset=#page=15&amp;viewer=picture&amp;o=info&amp;n=0&amp;q=</v>
      </c>
      <c r="K661" s="1" t="s">
        <v>885</v>
      </c>
      <c r="L661" s="1" t="str">
        <f>VLOOKUP(A661,Folha2!$A$2:$B$2019,2,FALSE)</f>
        <v>Homenagem a Vasco da Gama e programma das festas do centenario : tributo litterario da Bibliotheca de Romances Notaveis. - Lisboa : Typ. do Commercio de Portugal, 1898. O centenário de Vasco da Gama. Texto com várias citações da obra de Camões.</v>
      </c>
      <c r="M661" s="12" t="str">
        <f t="shared" si="21"/>
        <v>https://permalinkbnd.bnportugal.gov.pt/viewer/278166/?offset=#page=15&amp;viewer=picture&amp;o=info&amp;n=0&amp;q=</v>
      </c>
      <c r="N661" s="12" t="s">
        <v>1497</v>
      </c>
      <c r="O661" s="12" t="str">
        <f>CONCATENATE(N661,A661,"\",B661,"\",C661,".jpg")</f>
        <v>C:\Users\mbaptista\OneDrive - Biblioteca Nacional de Portugal\Documentos\python\camoniana\imagens\capas\473530\1\15.jpg</v>
      </c>
      <c r="P661" s="12" t="str">
        <f>HYPERLINK(O661)</f>
        <v>C:\Users\mbaptista\OneDrive - Biblioteca Nacional de Portugal\Documentos\python\camoniana\imagens\capas\473530\1\15.jpg</v>
      </c>
      <c r="Q661" s="12"/>
      <c r="R661" s="6" t="s">
        <v>887</v>
      </c>
      <c r="S661" s="4"/>
      <c r="T661" s="1"/>
      <c r="U661" s="13"/>
      <c r="V661" s="13"/>
      <c r="W661" s="5" t="s">
        <v>1491</v>
      </c>
    </row>
    <row r="662" spans="1:23" ht="75">
      <c r="A662" s="1">
        <v>369142</v>
      </c>
      <c r="B662" s="1">
        <v>1</v>
      </c>
      <c r="C662" s="1">
        <v>6</v>
      </c>
      <c r="D662" s="2" t="s">
        <v>888</v>
      </c>
      <c r="E662" s="5" t="s">
        <v>888</v>
      </c>
      <c r="F662" s="5">
        <v>278323</v>
      </c>
      <c r="G662" s="2" t="s">
        <v>1494</v>
      </c>
      <c r="H662" s="2" t="s">
        <v>1495</v>
      </c>
      <c r="I662" s="2" t="s">
        <v>1496</v>
      </c>
      <c r="J662" s="2" t="str">
        <f t="shared" si="20"/>
        <v>https://permalinkbnd.bnportugal.gov.pt/viewer/278323/?offset=#page=6&amp;viewer=picture&amp;o=info&amp;n=0&amp;q=</v>
      </c>
      <c r="K662" s="1" t="s">
        <v>889</v>
      </c>
      <c r="L662" s="1" t="str">
        <f>VLOOKUP(A662,Folha2!$A$2:$B$2019,2,FALSE)</f>
        <v>Os Lusiadas : poema epico de Luis de Camões. - Nova edição para uso das escolas feita debaixo das vistas da mais acurada crítica em presença das duas edições primordiais.... - Rio de Janeiro : Em casa dos Editores Eduardo &amp; Henrique Laemmert, 1868, sem argumentos.</v>
      </c>
      <c r="M662" s="12" t="str">
        <f t="shared" si="21"/>
        <v>https://permalinkbnd.bnportugal.gov.pt/viewer/278323/?offset=#page=6&amp;viewer=picture&amp;o=info&amp;n=0&amp;q=</v>
      </c>
      <c r="N662" s="12" t="s">
        <v>1497</v>
      </c>
      <c r="O662" s="12" t="str">
        <f>CONCATENATE(N662,A662,"\",B662,"\",C662,".jpg")</f>
        <v>C:\Users\mbaptista\OneDrive - Biblioteca Nacional de Portugal\Documentos\python\camoniana\imagens\capas\369142\1\6.jpg</v>
      </c>
      <c r="P662" s="12" t="str">
        <f>HYPERLINK(O662)</f>
        <v>C:\Users\mbaptista\OneDrive - Biblioteca Nacional de Portugal\Documentos\python\camoniana\imagens\capas\369142\1\6.jpg</v>
      </c>
      <c r="Q662" s="12"/>
      <c r="R662" s="6" t="s">
        <v>890</v>
      </c>
      <c r="S662" s="4"/>
      <c r="T662" s="1">
        <v>6</v>
      </c>
      <c r="U662" s="13"/>
      <c r="V662" s="13"/>
      <c r="W662" s="5" t="s">
        <v>1491</v>
      </c>
    </row>
    <row r="663" spans="1:23" ht="75">
      <c r="A663" s="1">
        <v>369151</v>
      </c>
      <c r="B663" s="1">
        <v>1</v>
      </c>
      <c r="C663" s="1">
        <v>7</v>
      </c>
      <c r="D663" s="2" t="s">
        <v>891</v>
      </c>
      <c r="E663" s="11" t="s">
        <v>891</v>
      </c>
      <c r="F663" s="11">
        <v>278325</v>
      </c>
      <c r="G663" s="2" t="s">
        <v>1494</v>
      </c>
      <c r="H663" s="2" t="s">
        <v>1495</v>
      </c>
      <c r="I663" s="2" t="s">
        <v>1496</v>
      </c>
      <c r="J663" s="2" t="str">
        <f t="shared" si="20"/>
        <v>https://permalinkbnd.bnportugal.gov.pt/viewer/278325/?offset=#page=7&amp;viewer=picture&amp;o=info&amp;n=0&amp;q=</v>
      </c>
      <c r="K663" s="1" t="s">
        <v>892</v>
      </c>
      <c r="L663" s="1" t="str">
        <f>VLOOKUP(A663,Folha2!$A$2:$B$2019,2,FALSE)</f>
        <v>Os Lusiadas : poema epico / de Luiz de Camões. - Nova edição popular. - Lisboa : Roland &amp; Semion editores, 1884 . Paratextos vida e Paratextos argumentos.</v>
      </c>
      <c r="M663" s="12" t="str">
        <f t="shared" si="21"/>
        <v>https://permalinkbnd.bnportugal.gov.pt/viewer/278325/?offset=#page=7&amp;viewer=picture&amp;o=info&amp;n=0&amp;q=</v>
      </c>
      <c r="N663" s="12" t="s">
        <v>1497</v>
      </c>
      <c r="O663" s="12" t="str">
        <f>CONCATENATE(N663,A663,"\",B663,"\",C663,".jpg")</f>
        <v>C:\Users\mbaptista\OneDrive - Biblioteca Nacional de Portugal\Documentos\python\camoniana\imagens\capas\369151\1\7.jpg</v>
      </c>
      <c r="P663" s="12" t="str">
        <f>HYPERLINK(O663)</f>
        <v>C:\Users\mbaptista\OneDrive - Biblioteca Nacional de Portugal\Documentos\python\camoniana\imagens\capas\369151\1\7.jpg</v>
      </c>
      <c r="Q663" s="12"/>
      <c r="R663" s="6" t="s">
        <v>893</v>
      </c>
      <c r="S663" s="4"/>
      <c r="T663" s="1">
        <v>7</v>
      </c>
      <c r="U663" s="13"/>
      <c r="V663" s="13"/>
      <c r="W663" s="5" t="s">
        <v>1491</v>
      </c>
    </row>
    <row r="664" spans="1:23" ht="75">
      <c r="A664" s="1">
        <v>322260</v>
      </c>
      <c r="B664" s="1">
        <v>1</v>
      </c>
      <c r="C664" s="1">
        <v>12</v>
      </c>
      <c r="D664" s="2" t="s">
        <v>894</v>
      </c>
      <c r="E664" s="5" t="s">
        <v>894</v>
      </c>
      <c r="F664" s="5">
        <v>278334</v>
      </c>
      <c r="G664" s="2" t="s">
        <v>1494</v>
      </c>
      <c r="H664" s="2" t="s">
        <v>1495</v>
      </c>
      <c r="I664" s="2" t="s">
        <v>1496</v>
      </c>
      <c r="J664" s="2" t="str">
        <f t="shared" si="20"/>
        <v>https://permalinkbnd.bnportugal.gov.pt/viewer/278334/?offset=#page=12&amp;viewer=picture&amp;o=info&amp;n=0&amp;q=</v>
      </c>
      <c r="K664" s="1">
        <v>12</v>
      </c>
      <c r="L664" s="1" t="str">
        <f>VLOOKUP(A664,Folha2!$A$2:$B$2019,2,FALSE)</f>
        <v>Camões / Affonso Celso Junior. - S. Paulo : Livr. Popular de Abílio A. S. Marques, 1880. Parte II, I, sobre a vida do Poeta.</v>
      </c>
      <c r="M664" s="12" t="str">
        <f t="shared" si="21"/>
        <v>https://permalinkbnd.bnportugal.gov.pt/viewer/278334/?offset=#page=12&amp;viewer=picture&amp;o=info&amp;n=0&amp;q=</v>
      </c>
      <c r="N664" s="12" t="s">
        <v>1497</v>
      </c>
      <c r="O664" s="12" t="str">
        <f>CONCATENATE(N664,A664,"\",B664,"\",C664,".jpg")</f>
        <v>C:\Users\mbaptista\OneDrive - Biblioteca Nacional de Portugal\Documentos\python\camoniana\imagens\capas\322260\1\12.jpg</v>
      </c>
      <c r="P664" s="12" t="str">
        <f>HYPERLINK(O664)</f>
        <v>C:\Users\mbaptista\OneDrive - Biblioteca Nacional de Portugal\Documentos\python\camoniana\imagens\capas\322260\1\12.jpg</v>
      </c>
      <c r="Q664" s="12"/>
      <c r="R664" s="6" t="s">
        <v>895</v>
      </c>
      <c r="S664" s="4"/>
      <c r="T664" s="1">
        <v>12</v>
      </c>
      <c r="U664" s="13"/>
      <c r="V664" s="13"/>
      <c r="W664" s="5" t="s">
        <v>1491</v>
      </c>
    </row>
    <row r="665" spans="1:23" ht="75">
      <c r="A665" s="1">
        <v>189268</v>
      </c>
      <c r="B665" s="1">
        <v>1</v>
      </c>
      <c r="C665" s="1">
        <v>12</v>
      </c>
      <c r="D665" s="2" t="s">
        <v>896</v>
      </c>
      <c r="E665" s="11" t="s">
        <v>896</v>
      </c>
      <c r="F665" s="11">
        <v>273607</v>
      </c>
      <c r="G665" s="2" t="s">
        <v>1494</v>
      </c>
      <c r="H665" s="2" t="s">
        <v>1495</v>
      </c>
      <c r="I665" s="2" t="s">
        <v>1496</v>
      </c>
      <c r="J665" s="2" t="str">
        <f t="shared" si="20"/>
        <v>https://permalinkbnd.bnportugal.gov.pt/viewer/273607/?offset=#page=12&amp;viewer=picture&amp;o=info&amp;n=0&amp;q=</v>
      </c>
      <c r="K665" s="1">
        <v>12</v>
      </c>
      <c r="L665" s="1" t="str">
        <f>VLOOKUP(A665,Folha2!$A$2:$B$2019,2,FALSE)</f>
        <v>Luís de Camões. Episódios de Inês de Castro e Adamastor: extraídos dos cantos III e V dos Lusíadas. Trad. em versos franceses por J. A. D'Escodeca de Boisse. Lisboa. 1865. </v>
      </c>
      <c r="M665" s="12" t="str">
        <f t="shared" si="21"/>
        <v>https://permalinkbnd.bnportugal.gov.pt/viewer/273607/?offset=#page=12&amp;viewer=picture&amp;o=info&amp;n=0&amp;q=</v>
      </c>
      <c r="N665" s="12" t="s">
        <v>1497</v>
      </c>
      <c r="O665" s="12" t="str">
        <f>CONCATENATE(N665,A665,"\",B665,"\",C665,".jpg")</f>
        <v>C:\Users\mbaptista\OneDrive - Biblioteca Nacional de Portugal\Documentos\python\camoniana\imagens\capas\189268\1\12.jpg</v>
      </c>
      <c r="P665" s="12" t="str">
        <f>HYPERLINK(O665)</f>
        <v>C:\Users\mbaptista\OneDrive - Biblioteca Nacional de Portugal\Documentos\python\camoniana\imagens\capas\189268\1\12.jpg</v>
      </c>
      <c r="Q665" s="12"/>
      <c r="R665" s="6" t="s">
        <v>897</v>
      </c>
      <c r="S665" s="4"/>
      <c r="T665" s="1">
        <v>12</v>
      </c>
      <c r="U665" s="13"/>
      <c r="V665" s="13"/>
      <c r="W665" s="5" t="s">
        <v>1491</v>
      </c>
    </row>
    <row r="666" spans="1:23" ht="75">
      <c r="A666" s="1">
        <v>808486</v>
      </c>
      <c r="B666" s="1">
        <v>1</v>
      </c>
      <c r="C666" s="1">
        <v>7</v>
      </c>
      <c r="D666" s="2" t="s">
        <v>898</v>
      </c>
      <c r="E666" s="5" t="s">
        <v>898</v>
      </c>
      <c r="F666" s="5">
        <v>273178</v>
      </c>
      <c r="G666" s="2" t="s">
        <v>1494</v>
      </c>
      <c r="H666" s="2" t="s">
        <v>1495</v>
      </c>
      <c r="I666" s="2" t="s">
        <v>1496</v>
      </c>
      <c r="J666" s="2" t="str">
        <f t="shared" si="20"/>
        <v>https://permalinkbnd.bnportugal.gov.pt/viewer/273178/?offset=#page=7&amp;viewer=picture&amp;o=info&amp;n=0&amp;q=</v>
      </c>
      <c r="K666" s="1" t="s">
        <v>899</v>
      </c>
      <c r="L666" s="1" t="str">
        <f>VLOOKUP(A666,Folha2!$A$2:$B$2019,2,FALSE)</f>
        <v>[Luis de Camões]. Sonetos escolhidos. Trad. em sonetos italianos, com variantes por Prospero Peragallo. Lisboa. 1885. </v>
      </c>
      <c r="M666" s="12" t="str">
        <f t="shared" si="21"/>
        <v>https://permalinkbnd.bnportugal.gov.pt/viewer/273178/?offset=#page=7&amp;viewer=picture&amp;o=info&amp;n=0&amp;q=</v>
      </c>
      <c r="N666" s="12" t="s">
        <v>1497</v>
      </c>
      <c r="O666" s="12" t="str">
        <f>CONCATENATE(N666,A666,"\",B666,"\",C666,".jpg")</f>
        <v>C:\Users\mbaptista\OneDrive - Biblioteca Nacional de Portugal\Documentos\python\camoniana\imagens\capas\808486\1\7.jpg</v>
      </c>
      <c r="P666" s="12" t="str">
        <f>HYPERLINK(O666)</f>
        <v>C:\Users\mbaptista\OneDrive - Biblioteca Nacional de Portugal\Documentos\python\camoniana\imagens\capas\808486\1\7.jpg</v>
      </c>
      <c r="Q666" s="12"/>
      <c r="R666" s="6" t="s">
        <v>900</v>
      </c>
      <c r="S666" s="4"/>
      <c r="T666" s="1"/>
      <c r="U666" s="13"/>
      <c r="V666" s="13"/>
      <c r="W666" s="5" t="s">
        <v>1491</v>
      </c>
    </row>
    <row r="667" spans="1:23" ht="75">
      <c r="A667" s="1">
        <v>808486</v>
      </c>
      <c r="B667" s="1">
        <v>1</v>
      </c>
      <c r="C667" s="1">
        <v>20</v>
      </c>
      <c r="D667" s="2" t="s">
        <v>898</v>
      </c>
      <c r="E667" s="11" t="s">
        <v>898</v>
      </c>
      <c r="F667" s="11">
        <v>273178</v>
      </c>
      <c r="G667" s="2" t="s">
        <v>1494</v>
      </c>
      <c r="H667" s="2" t="s">
        <v>1495</v>
      </c>
      <c r="I667" s="2" t="s">
        <v>1496</v>
      </c>
      <c r="J667" s="2" t="str">
        <f t="shared" si="20"/>
        <v>https://permalinkbnd.bnportugal.gov.pt/viewer/273178/?offset=#page=20&amp;viewer=picture&amp;o=info&amp;n=0&amp;q=</v>
      </c>
      <c r="K667" s="1" t="s">
        <v>901</v>
      </c>
      <c r="L667" s="1" t="str">
        <f>VLOOKUP(A667,Folha2!$A$2:$B$2019,2,FALSE)</f>
        <v>[Luis de Camões]. Sonetos escolhidos. Trad. em sonetos italianos, com variantes por Prospero Peragallo. Lisboa. 1885. </v>
      </c>
      <c r="M667" s="12" t="str">
        <f t="shared" si="21"/>
        <v>https://permalinkbnd.bnportugal.gov.pt/viewer/273178/?offset=#page=20&amp;viewer=picture&amp;o=info&amp;n=0&amp;q=</v>
      </c>
      <c r="N667" s="12" t="s">
        <v>1497</v>
      </c>
      <c r="O667" s="12" t="str">
        <f>CONCATENATE(N667,A667,"\",B667,"\",C667,".jpg")</f>
        <v>C:\Users\mbaptista\OneDrive - Biblioteca Nacional de Portugal\Documentos\python\camoniana\imagens\capas\808486\1\20.jpg</v>
      </c>
      <c r="P667" s="12" t="str">
        <f>HYPERLINK(O667)</f>
        <v>C:\Users\mbaptista\OneDrive - Biblioteca Nacional de Portugal\Documentos\python\camoniana\imagens\capas\808486\1\20.jpg</v>
      </c>
      <c r="Q667" s="12"/>
      <c r="R667" s="6" t="s">
        <v>902</v>
      </c>
      <c r="S667" s="4"/>
      <c r="T667" s="1"/>
      <c r="U667" s="13"/>
      <c r="V667" s="13"/>
      <c r="W667" s="5" t="s">
        <v>1491</v>
      </c>
    </row>
    <row r="668" spans="1:23" ht="75">
      <c r="A668" s="1">
        <v>808486</v>
      </c>
      <c r="B668" s="1">
        <v>1</v>
      </c>
      <c r="C668" s="1">
        <v>34</v>
      </c>
      <c r="D668" s="2" t="s">
        <v>898</v>
      </c>
      <c r="E668" s="5" t="s">
        <v>898</v>
      </c>
      <c r="F668" s="5">
        <v>273178</v>
      </c>
      <c r="G668" s="2" t="s">
        <v>1494</v>
      </c>
      <c r="H668" s="2" t="s">
        <v>1495</v>
      </c>
      <c r="I668" s="2" t="s">
        <v>1496</v>
      </c>
      <c r="J668" s="2" t="str">
        <f t="shared" si="20"/>
        <v>https://permalinkbnd.bnportugal.gov.pt/viewer/273178/?offset=#page=34&amp;viewer=picture&amp;o=info&amp;n=0&amp;q=</v>
      </c>
      <c r="K668" s="1" t="s">
        <v>903</v>
      </c>
      <c r="L668" s="1" t="str">
        <f>VLOOKUP(A668,Folha2!$A$2:$B$2019,2,FALSE)</f>
        <v>[Luis de Camões]. Sonetos escolhidos. Trad. em sonetos italianos, com variantes por Prospero Peragallo. Lisboa. 1885. </v>
      </c>
      <c r="M668" s="12" t="str">
        <f t="shared" si="21"/>
        <v>https://permalinkbnd.bnportugal.gov.pt/viewer/273178/?offset=#page=34&amp;viewer=picture&amp;o=info&amp;n=0&amp;q=</v>
      </c>
      <c r="N668" s="12" t="s">
        <v>1497</v>
      </c>
      <c r="O668" s="12" t="str">
        <f>CONCATENATE(N668,A668,"\",B668,"\",C668,".jpg")</f>
        <v>C:\Users\mbaptista\OneDrive - Biblioteca Nacional de Portugal\Documentos\python\camoniana\imagens\capas\808486\1\34.jpg</v>
      </c>
      <c r="P668" s="12" t="str">
        <f>HYPERLINK(O668)</f>
        <v>C:\Users\mbaptista\OneDrive - Biblioteca Nacional de Portugal\Documentos\python\camoniana\imagens\capas\808486\1\34.jpg</v>
      </c>
      <c r="Q668" s="12"/>
      <c r="R668" s="6" t="s">
        <v>904</v>
      </c>
      <c r="S668" s="4"/>
      <c r="T668" s="1"/>
      <c r="U668" s="13"/>
      <c r="V668" s="13"/>
      <c r="W668" s="5" t="s">
        <v>1491</v>
      </c>
    </row>
    <row r="669" spans="1:23" ht="75">
      <c r="A669" s="1">
        <v>808486</v>
      </c>
      <c r="B669" s="1">
        <v>1</v>
      </c>
      <c r="C669" s="1">
        <v>48</v>
      </c>
      <c r="D669" s="2" t="s">
        <v>898</v>
      </c>
      <c r="E669" s="11" t="s">
        <v>898</v>
      </c>
      <c r="F669" s="11">
        <v>273178</v>
      </c>
      <c r="G669" s="2" t="s">
        <v>1494</v>
      </c>
      <c r="H669" s="2" t="s">
        <v>1495</v>
      </c>
      <c r="I669" s="2" t="s">
        <v>1496</v>
      </c>
      <c r="J669" s="2" t="str">
        <f t="shared" si="20"/>
        <v>https://permalinkbnd.bnportugal.gov.pt/viewer/273178/?offset=#page=48&amp;viewer=picture&amp;o=info&amp;n=0&amp;q=</v>
      </c>
      <c r="K669" s="1" t="s">
        <v>905</v>
      </c>
      <c r="L669" s="1" t="str">
        <f>VLOOKUP(A669,Folha2!$A$2:$B$2019,2,FALSE)</f>
        <v>[Luis de Camões]. Sonetos escolhidos. Trad. em sonetos italianos, com variantes por Prospero Peragallo. Lisboa. 1885. </v>
      </c>
      <c r="M669" s="12" t="str">
        <f t="shared" si="21"/>
        <v>https://permalinkbnd.bnportugal.gov.pt/viewer/273178/?offset=#page=48&amp;viewer=picture&amp;o=info&amp;n=0&amp;q=</v>
      </c>
      <c r="N669" s="12" t="s">
        <v>1497</v>
      </c>
      <c r="O669" s="12" t="str">
        <f>CONCATENATE(N669,A669,"\",B669,"\",C669,".jpg")</f>
        <v>C:\Users\mbaptista\OneDrive - Biblioteca Nacional de Portugal\Documentos\python\camoniana\imagens\capas\808486\1\48.jpg</v>
      </c>
      <c r="P669" s="12" t="str">
        <f>HYPERLINK(O669)</f>
        <v>C:\Users\mbaptista\OneDrive - Biblioteca Nacional de Portugal\Documentos\python\camoniana\imagens\capas\808486\1\48.jpg</v>
      </c>
      <c r="Q669" s="12"/>
      <c r="R669" s="6" t="s">
        <v>906</v>
      </c>
      <c r="S669" s="4"/>
      <c r="T669" s="1"/>
      <c r="U669" s="13"/>
      <c r="V669" s="13"/>
      <c r="W669" s="5" t="s">
        <v>1491</v>
      </c>
    </row>
    <row r="670" spans="1:23" ht="75">
      <c r="A670" s="1">
        <v>808486</v>
      </c>
      <c r="B670" s="1">
        <v>1</v>
      </c>
      <c r="C670" s="1">
        <v>85</v>
      </c>
      <c r="D670" s="2" t="s">
        <v>898</v>
      </c>
      <c r="E670" s="5" t="s">
        <v>898</v>
      </c>
      <c r="F670" s="5">
        <v>273178</v>
      </c>
      <c r="G670" s="2" t="s">
        <v>1494</v>
      </c>
      <c r="H670" s="2" t="s">
        <v>1495</v>
      </c>
      <c r="I670" s="2" t="s">
        <v>1496</v>
      </c>
      <c r="J670" s="2" t="str">
        <f t="shared" si="20"/>
        <v>https://permalinkbnd.bnportugal.gov.pt/viewer/273178/?offset=#page=85&amp;viewer=picture&amp;o=info&amp;n=0&amp;q=</v>
      </c>
      <c r="K670" s="1" t="s">
        <v>907</v>
      </c>
      <c r="L670" s="1" t="str">
        <f>VLOOKUP(A670,Folha2!$A$2:$B$2019,2,FALSE)</f>
        <v>[Luis de Camões]. Sonetos escolhidos. Trad. em sonetos italianos, com variantes por Prospero Peragallo. Lisboa. 1885. </v>
      </c>
      <c r="M670" s="12" t="str">
        <f t="shared" si="21"/>
        <v>https://permalinkbnd.bnportugal.gov.pt/viewer/273178/?offset=#page=85&amp;viewer=picture&amp;o=info&amp;n=0&amp;q=</v>
      </c>
      <c r="N670" s="12" t="s">
        <v>1497</v>
      </c>
      <c r="O670" s="12" t="str">
        <f>CONCATENATE(N670,A670,"\",B670,"\",C670,".jpg")</f>
        <v>C:\Users\mbaptista\OneDrive - Biblioteca Nacional de Portugal\Documentos\python\camoniana\imagens\capas\808486\1\85.jpg</v>
      </c>
      <c r="P670" s="12" t="str">
        <f>HYPERLINK(O670)</f>
        <v>C:\Users\mbaptista\OneDrive - Biblioteca Nacional de Portugal\Documentos\python\camoniana\imagens\capas\808486\1\85.jpg</v>
      </c>
      <c r="Q670" s="12"/>
      <c r="R670" s="6" t="s">
        <v>908</v>
      </c>
      <c r="S670" s="4"/>
      <c r="T670" s="1"/>
      <c r="U670" s="13"/>
      <c r="V670" s="13"/>
      <c r="W670" s="5" t="s">
        <v>1491</v>
      </c>
    </row>
    <row r="671" spans="1:23" ht="75">
      <c r="A671" s="1">
        <v>808486</v>
      </c>
      <c r="B671" s="1">
        <v>1</v>
      </c>
      <c r="C671" s="1">
        <v>90</v>
      </c>
      <c r="D671" s="2" t="s">
        <v>898</v>
      </c>
      <c r="E671" s="11" t="s">
        <v>898</v>
      </c>
      <c r="F671" s="11">
        <v>273178</v>
      </c>
      <c r="G671" s="2" t="s">
        <v>1494</v>
      </c>
      <c r="H671" s="2" t="s">
        <v>1495</v>
      </c>
      <c r="I671" s="2" t="s">
        <v>1496</v>
      </c>
      <c r="J671" s="2" t="str">
        <f t="shared" si="20"/>
        <v>https://permalinkbnd.bnportugal.gov.pt/viewer/273178/?offset=#page=90&amp;viewer=picture&amp;o=info&amp;n=0&amp;q=</v>
      </c>
      <c r="K671" s="1" t="s">
        <v>909</v>
      </c>
      <c r="L671" s="1" t="str">
        <f>VLOOKUP(A671,Folha2!$A$2:$B$2019,2,FALSE)</f>
        <v>[Luis de Camões]. Sonetos escolhidos. Trad. em sonetos italianos, com variantes por Prospero Peragallo. Lisboa. 1885. </v>
      </c>
      <c r="M671" s="12" t="str">
        <f t="shared" si="21"/>
        <v>https://permalinkbnd.bnportugal.gov.pt/viewer/273178/?offset=#page=90&amp;viewer=picture&amp;o=info&amp;n=0&amp;q=</v>
      </c>
      <c r="N671" s="12" t="s">
        <v>1497</v>
      </c>
      <c r="O671" s="12" t="str">
        <f>CONCATENATE(N671,A671,"\",B671,"\",C671,".jpg")</f>
        <v>C:\Users\mbaptista\OneDrive - Biblioteca Nacional de Portugal\Documentos\python\camoniana\imagens\capas\808486\1\90.jpg</v>
      </c>
      <c r="P671" s="12" t="str">
        <f>HYPERLINK(O671)</f>
        <v>C:\Users\mbaptista\OneDrive - Biblioteca Nacional de Portugal\Documentos\python\camoniana\imagens\capas\808486\1\90.jpg</v>
      </c>
      <c r="Q671" s="12"/>
      <c r="R671" s="6" t="s">
        <v>910</v>
      </c>
      <c r="S671" s="4"/>
      <c r="T671" s="1"/>
      <c r="U671" s="13"/>
      <c r="V671" s="13"/>
      <c r="W671" s="5" t="s">
        <v>1491</v>
      </c>
    </row>
    <row r="672" spans="1:23" ht="75">
      <c r="A672" s="1">
        <v>810044</v>
      </c>
      <c r="B672" s="1">
        <v>1</v>
      </c>
      <c r="C672" s="1">
        <v>1</v>
      </c>
      <c r="D672" s="2" t="s">
        <v>911</v>
      </c>
      <c r="E672" s="5" t="s">
        <v>911</v>
      </c>
      <c r="F672" s="5">
        <v>273317</v>
      </c>
      <c r="G672" s="2" t="s">
        <v>1494</v>
      </c>
      <c r="H672" s="2" t="s">
        <v>1495</v>
      </c>
      <c r="I672" s="2" t="s">
        <v>1496</v>
      </c>
      <c r="J672" s="2" t="str">
        <f t="shared" si="20"/>
        <v>https://permalinkbnd.bnportugal.gov.pt/viewer/273317/?offset=#page=1&amp;viewer=picture&amp;o=info&amp;n=0&amp;q=</v>
      </c>
      <c r="K672" s="1">
        <v>1</v>
      </c>
      <c r="L672" s="1" t="str">
        <f>VLOOKUP(A672,Folha2!$A$2:$B$2019,2,FALSE)</f>
        <v>Luís de Camões. Lirícas.Trad. francesas e castelhanas de José Benoliel; pref. por Xavier da Cunha. Lisboa. 1898. </v>
      </c>
      <c r="M672" s="12" t="str">
        <f t="shared" si="21"/>
        <v>https://permalinkbnd.bnportugal.gov.pt/viewer/273317/?offset=#page=1&amp;viewer=picture&amp;o=info&amp;n=0&amp;q=</v>
      </c>
      <c r="N672" s="12" t="s">
        <v>1497</v>
      </c>
      <c r="O672" s="12" t="str">
        <f>CONCATENATE(N672,A672,"\",B672,"\",C672,".jpg")</f>
        <v>C:\Users\mbaptista\OneDrive - Biblioteca Nacional de Portugal\Documentos\python\camoniana\imagens\capas\810044\1\1.jpg</v>
      </c>
      <c r="P672" s="12" t="str">
        <f>HYPERLINK(O672)</f>
        <v>C:\Users\mbaptista\OneDrive - Biblioteca Nacional de Portugal\Documentos\python\camoniana\imagens\capas\810044\1\1.jpg</v>
      </c>
      <c r="Q672" s="12"/>
      <c r="R672" s="6" t="s">
        <v>912</v>
      </c>
      <c r="S672" s="4"/>
      <c r="T672" s="1"/>
      <c r="U672" s="13"/>
      <c r="V672" s="13"/>
      <c r="W672" s="5" t="s">
        <v>1491</v>
      </c>
    </row>
    <row r="673" spans="1:23" ht="75">
      <c r="A673" s="1">
        <v>412780</v>
      </c>
      <c r="B673" s="1">
        <v>1</v>
      </c>
      <c r="C673" s="1">
        <v>3</v>
      </c>
      <c r="D673" s="4" t="s">
        <v>1492</v>
      </c>
      <c r="E673" s="11" t="s">
        <v>1492</v>
      </c>
      <c r="F673" s="11">
        <v>1</v>
      </c>
      <c r="G673" s="2" t="s">
        <v>1494</v>
      </c>
      <c r="H673" s="2" t="s">
        <v>1495</v>
      </c>
      <c r="I673" s="2" t="s">
        <v>1496</v>
      </c>
      <c r="J673" s="2" t="str">
        <f t="shared" si="20"/>
        <v>https://permalinkbnd.bnportugal.gov.pt/viewer/1/?offset=#page=3&amp;viewer=picture&amp;o=info&amp;n=0&amp;q=</v>
      </c>
      <c r="K673" s="1" t="s">
        <v>913</v>
      </c>
      <c r="L673" s="1" t="str">
        <f>VLOOKUP(A673,Folha2!$A$2:$B$2019,2,FALSE)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3" s="12" t="str">
        <f t="shared" si="21"/>
        <v>https://permalinkbnd.bnportugal.gov.pt/viewer/1/?offset=#page=3&amp;viewer=picture&amp;o=info&amp;n=0&amp;q=</v>
      </c>
      <c r="N673" s="12" t="s">
        <v>1497</v>
      </c>
      <c r="O673" s="12" t="str">
        <f>CONCATENATE(N673,A673,"\",B673,"\",C673,".jpg")</f>
        <v>C:\Users\mbaptista\OneDrive - Biblioteca Nacional de Portugal\Documentos\python\camoniana\imagens\capas\412780\1\3.jpg</v>
      </c>
      <c r="P673" s="12" t="str">
        <f>HYPERLINK(O673)</f>
        <v>C:\Users\mbaptista\OneDrive - Biblioteca Nacional de Portugal\Documentos\python\camoniana\imagens\capas\412780\1\3.jpg</v>
      </c>
      <c r="Q673" s="12"/>
      <c r="R673" s="6"/>
      <c r="S673" s="4"/>
      <c r="T673" s="1"/>
      <c r="U673" s="13"/>
      <c r="V673" s="13"/>
      <c r="W673" s="5"/>
    </row>
    <row r="674" spans="1:23" ht="75">
      <c r="A674" s="1">
        <v>412780</v>
      </c>
      <c r="B674" s="1">
        <v>1</v>
      </c>
      <c r="C674" s="1">
        <v>5</v>
      </c>
      <c r="D674" s="4" t="s">
        <v>1492</v>
      </c>
      <c r="E674" s="5" t="s">
        <v>1492</v>
      </c>
      <c r="F674" s="5">
        <v>1</v>
      </c>
      <c r="G674" s="2" t="s">
        <v>1494</v>
      </c>
      <c r="H674" s="2" t="s">
        <v>1495</v>
      </c>
      <c r="I674" s="2" t="s">
        <v>1496</v>
      </c>
      <c r="J674" s="2" t="str">
        <f t="shared" si="20"/>
        <v>https://permalinkbnd.bnportugal.gov.pt/viewer/1/?offset=#page=5&amp;viewer=picture&amp;o=info&amp;n=0&amp;q=</v>
      </c>
      <c r="K674" s="1" t="s">
        <v>913</v>
      </c>
      <c r="L674" s="1" t="str">
        <f>VLOOKUP(A674,Folha2!$A$2:$B$2019,2,FALSE)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4" s="12" t="str">
        <f t="shared" si="21"/>
        <v>https://permalinkbnd.bnportugal.gov.pt/viewer/1/?offset=#page=5&amp;viewer=picture&amp;o=info&amp;n=0&amp;q=</v>
      </c>
      <c r="N674" s="12" t="s">
        <v>1497</v>
      </c>
      <c r="O674" s="12" t="str">
        <f>CONCATENATE(N674,A674,"\",B674,"\",C674,".jpg")</f>
        <v>C:\Users\mbaptista\OneDrive - Biblioteca Nacional de Portugal\Documentos\python\camoniana\imagens\capas\412780\1\5.jpg</v>
      </c>
      <c r="P674" s="12" t="str">
        <f>HYPERLINK(O674)</f>
        <v>C:\Users\mbaptista\OneDrive - Biblioteca Nacional de Portugal\Documentos\python\camoniana\imagens\capas\412780\1\5.jpg</v>
      </c>
      <c r="Q674" s="12"/>
      <c r="R674" s="6"/>
      <c r="S674" s="4"/>
      <c r="T674" s="1"/>
      <c r="U674" s="13"/>
      <c r="V674" s="13"/>
      <c r="W674" s="5"/>
    </row>
    <row r="675" spans="1:23" ht="75">
      <c r="A675" s="1">
        <v>412780</v>
      </c>
      <c r="B675" s="1">
        <v>1</v>
      </c>
      <c r="C675" s="1">
        <v>13</v>
      </c>
      <c r="D675" s="4" t="s">
        <v>1492</v>
      </c>
      <c r="E675" s="11" t="s">
        <v>1492</v>
      </c>
      <c r="F675" s="11">
        <v>1</v>
      </c>
      <c r="G675" s="2" t="s">
        <v>1494</v>
      </c>
      <c r="H675" s="2" t="s">
        <v>1495</v>
      </c>
      <c r="I675" s="2" t="s">
        <v>1496</v>
      </c>
      <c r="J675" s="2" t="str">
        <f t="shared" si="20"/>
        <v>https://permalinkbnd.bnportugal.gov.pt/viewer/1/?offset=#page=13&amp;viewer=picture&amp;o=info&amp;n=0&amp;q=</v>
      </c>
      <c r="K675" s="1" t="s">
        <v>913</v>
      </c>
      <c r="L675" s="1" t="str">
        <f>VLOOKUP(A675,Folha2!$A$2:$B$2019,2,FALSE)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5" s="12" t="str">
        <f t="shared" si="21"/>
        <v>https://permalinkbnd.bnportugal.gov.pt/viewer/1/?offset=#page=13&amp;viewer=picture&amp;o=info&amp;n=0&amp;q=</v>
      </c>
      <c r="N675" s="12" t="s">
        <v>1497</v>
      </c>
      <c r="O675" s="12" t="str">
        <f>CONCATENATE(N675,A675,"\",B675,"\",C675,".jpg")</f>
        <v>C:\Users\mbaptista\OneDrive - Biblioteca Nacional de Portugal\Documentos\python\camoniana\imagens\capas\412780\1\13.jpg</v>
      </c>
      <c r="P675" s="12" t="str">
        <f>HYPERLINK(O675)</f>
        <v>C:\Users\mbaptista\OneDrive - Biblioteca Nacional de Portugal\Documentos\python\camoniana\imagens\capas\412780\1\13.jpg</v>
      </c>
      <c r="Q675" s="12"/>
      <c r="R675" s="6"/>
      <c r="S675" s="4"/>
      <c r="T675" s="1"/>
      <c r="U675" s="13"/>
      <c r="V675" s="13"/>
      <c r="W675" s="5"/>
    </row>
    <row r="676" spans="1:23" ht="75">
      <c r="A676" s="1">
        <v>412780</v>
      </c>
      <c r="B676" s="1">
        <v>1</v>
      </c>
      <c r="C676" s="1">
        <v>19</v>
      </c>
      <c r="D676" s="4" t="s">
        <v>1492</v>
      </c>
      <c r="E676" s="5" t="s">
        <v>1492</v>
      </c>
      <c r="F676" s="5">
        <v>1</v>
      </c>
      <c r="G676" s="2" t="s">
        <v>1494</v>
      </c>
      <c r="H676" s="2" t="s">
        <v>1495</v>
      </c>
      <c r="I676" s="2" t="s">
        <v>1496</v>
      </c>
      <c r="J676" s="2" t="str">
        <f t="shared" si="20"/>
        <v>https://permalinkbnd.bnportugal.gov.pt/viewer/1/?offset=#page=19&amp;viewer=picture&amp;o=info&amp;n=0&amp;q=</v>
      </c>
      <c r="K676" s="1" t="s">
        <v>913</v>
      </c>
      <c r="L676" s="1" t="str">
        <f>VLOOKUP(A676,Folha2!$A$2:$B$2019,2,FALSE)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6" s="12" t="str">
        <f t="shared" si="21"/>
        <v>https://permalinkbnd.bnportugal.gov.pt/viewer/1/?offset=#page=19&amp;viewer=picture&amp;o=info&amp;n=0&amp;q=</v>
      </c>
      <c r="N676" s="12" t="s">
        <v>1497</v>
      </c>
      <c r="O676" s="12" t="str">
        <f>CONCATENATE(N676,A676,"\",B676,"\",C676,".jpg")</f>
        <v>C:\Users\mbaptista\OneDrive - Biblioteca Nacional de Portugal\Documentos\python\camoniana\imagens\capas\412780\1\19.jpg</v>
      </c>
      <c r="P676" s="12" t="str">
        <f>HYPERLINK(O676)</f>
        <v>C:\Users\mbaptista\OneDrive - Biblioteca Nacional de Portugal\Documentos\python\camoniana\imagens\capas\412780\1\19.jpg</v>
      </c>
      <c r="Q676" s="12"/>
      <c r="R676" s="6"/>
      <c r="S676" s="4"/>
      <c r="T676" s="1"/>
      <c r="U676" s="13"/>
      <c r="V676" s="13"/>
      <c r="W676" s="5"/>
    </row>
    <row r="677" spans="1:23" ht="75">
      <c r="A677" s="1">
        <v>412780</v>
      </c>
      <c r="B677" s="1">
        <v>1</v>
      </c>
      <c r="C677" s="1">
        <v>27</v>
      </c>
      <c r="D677" s="4" t="s">
        <v>1492</v>
      </c>
      <c r="E677" s="11" t="s">
        <v>1492</v>
      </c>
      <c r="F677" s="11">
        <v>1</v>
      </c>
      <c r="G677" s="2" t="s">
        <v>1494</v>
      </c>
      <c r="H677" s="2" t="s">
        <v>1495</v>
      </c>
      <c r="I677" s="2" t="s">
        <v>1496</v>
      </c>
      <c r="J677" s="2" t="str">
        <f t="shared" si="20"/>
        <v>https://permalinkbnd.bnportugal.gov.pt/viewer/1/?offset=#page=27&amp;viewer=picture&amp;o=info&amp;n=0&amp;q=</v>
      </c>
      <c r="K677" s="1" t="s">
        <v>913</v>
      </c>
      <c r="L677" s="1" t="str">
        <f>VLOOKUP(A677,Folha2!$A$2:$B$2019,2,FALSE)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7" s="12" t="str">
        <f t="shared" si="21"/>
        <v>https://permalinkbnd.bnportugal.gov.pt/viewer/1/?offset=#page=27&amp;viewer=picture&amp;o=info&amp;n=0&amp;q=</v>
      </c>
      <c r="N677" s="12" t="s">
        <v>1497</v>
      </c>
      <c r="O677" s="12" t="str">
        <f>CONCATENATE(N677,A677,"\",B677,"\",C677,".jpg")</f>
        <v>C:\Users\mbaptista\OneDrive - Biblioteca Nacional de Portugal\Documentos\python\camoniana\imagens\capas\412780\1\27.jpg</v>
      </c>
      <c r="P677" s="12" t="str">
        <f>HYPERLINK(O677)</f>
        <v>C:\Users\mbaptista\OneDrive - Biblioteca Nacional de Portugal\Documentos\python\camoniana\imagens\capas\412780\1\27.jpg</v>
      </c>
      <c r="Q677" s="12"/>
      <c r="R677" s="6"/>
      <c r="S677" s="4"/>
      <c r="T677" s="1"/>
      <c r="U677" s="13"/>
      <c r="V677" s="13"/>
      <c r="W677" s="5"/>
    </row>
    <row r="678" spans="1:23" ht="75">
      <c r="A678" s="1">
        <v>412780</v>
      </c>
      <c r="B678" s="1">
        <v>1</v>
      </c>
      <c r="C678" s="1">
        <v>31</v>
      </c>
      <c r="D678" s="4" t="s">
        <v>1492</v>
      </c>
      <c r="E678" s="5" t="s">
        <v>1492</v>
      </c>
      <c r="F678" s="5">
        <v>1</v>
      </c>
      <c r="G678" s="2" t="s">
        <v>1494</v>
      </c>
      <c r="H678" s="2" t="s">
        <v>1495</v>
      </c>
      <c r="I678" s="2" t="s">
        <v>1496</v>
      </c>
      <c r="J678" s="2" t="str">
        <f t="shared" si="20"/>
        <v>https://permalinkbnd.bnportugal.gov.pt/viewer/1/?offset=#page=31&amp;viewer=picture&amp;o=info&amp;n=0&amp;q=</v>
      </c>
      <c r="K678" s="1" t="s">
        <v>913</v>
      </c>
      <c r="L678" s="1" t="str">
        <f>VLOOKUP(A678,Folha2!$A$2:$B$2019,2,FALSE)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8" s="12" t="str">
        <f t="shared" si="21"/>
        <v>https://permalinkbnd.bnportugal.gov.pt/viewer/1/?offset=#page=31&amp;viewer=picture&amp;o=info&amp;n=0&amp;q=</v>
      </c>
      <c r="N678" s="12" t="s">
        <v>1497</v>
      </c>
      <c r="O678" s="12" t="str">
        <f>CONCATENATE(N678,A678,"\",B678,"\",C678,".jpg")</f>
        <v>C:\Users\mbaptista\OneDrive - Biblioteca Nacional de Portugal\Documentos\python\camoniana\imagens\capas\412780\1\31.jpg</v>
      </c>
      <c r="P678" s="12" t="str">
        <f>HYPERLINK(O678)</f>
        <v>C:\Users\mbaptista\OneDrive - Biblioteca Nacional de Portugal\Documentos\python\camoniana\imagens\capas\412780\1\31.jpg</v>
      </c>
      <c r="Q678" s="12"/>
      <c r="R678" s="6"/>
      <c r="S678" s="4"/>
      <c r="T678" s="1"/>
      <c r="U678" s="13"/>
      <c r="V678" s="13"/>
      <c r="W678" s="5"/>
    </row>
    <row r="679" spans="1:23" ht="75">
      <c r="A679" s="1">
        <v>412780</v>
      </c>
      <c r="B679" s="1">
        <v>1</v>
      </c>
      <c r="C679" s="1">
        <v>35</v>
      </c>
      <c r="D679" s="4" t="s">
        <v>1492</v>
      </c>
      <c r="E679" s="11" t="s">
        <v>1492</v>
      </c>
      <c r="F679" s="11">
        <v>1</v>
      </c>
      <c r="G679" s="2" t="s">
        <v>1494</v>
      </c>
      <c r="H679" s="2" t="s">
        <v>1495</v>
      </c>
      <c r="I679" s="2" t="s">
        <v>1496</v>
      </c>
      <c r="J679" s="2" t="str">
        <f t="shared" si="20"/>
        <v>https://permalinkbnd.bnportugal.gov.pt/viewer/1/?offset=#page=35&amp;viewer=picture&amp;o=info&amp;n=0&amp;q=</v>
      </c>
      <c r="K679" s="1" t="s">
        <v>913</v>
      </c>
      <c r="L679" s="1" t="str">
        <f>VLOOKUP(A679,Folha2!$A$2:$B$2019,2,FALSE)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9" s="12" t="str">
        <f t="shared" si="21"/>
        <v>https://permalinkbnd.bnportugal.gov.pt/viewer/1/?offset=#page=35&amp;viewer=picture&amp;o=info&amp;n=0&amp;q=</v>
      </c>
      <c r="N679" s="12" t="s">
        <v>1497</v>
      </c>
      <c r="O679" s="12" t="str">
        <f>CONCATENATE(N679,A679,"\",B679,"\",C679,".jpg")</f>
        <v>C:\Users\mbaptista\OneDrive - Biblioteca Nacional de Portugal\Documentos\python\camoniana\imagens\capas\412780\1\35.jpg</v>
      </c>
      <c r="P679" s="12" t="str">
        <f>HYPERLINK(O679)</f>
        <v>C:\Users\mbaptista\OneDrive - Biblioteca Nacional de Portugal\Documentos\python\camoniana\imagens\capas\412780\1\35.jpg</v>
      </c>
      <c r="Q679" s="12"/>
      <c r="R679" s="6" t="s">
        <v>915</v>
      </c>
      <c r="S679" s="4"/>
      <c r="T679" s="1">
        <v>35</v>
      </c>
      <c r="U679" s="13" t="s">
        <v>914</v>
      </c>
      <c r="V679" s="13"/>
      <c r="W679" s="5" t="s">
        <v>1491</v>
      </c>
    </row>
    <row r="680" spans="1:23" ht="75">
      <c r="A680" s="1">
        <v>412780</v>
      </c>
      <c r="B680" s="1">
        <v>1</v>
      </c>
      <c r="C680" s="1">
        <v>39</v>
      </c>
      <c r="D680" s="4" t="s">
        <v>1492</v>
      </c>
      <c r="E680" s="5" t="s">
        <v>1492</v>
      </c>
      <c r="F680" s="5">
        <v>1</v>
      </c>
      <c r="G680" s="2" t="s">
        <v>1494</v>
      </c>
      <c r="H680" s="2" t="s">
        <v>1495</v>
      </c>
      <c r="I680" s="2" t="s">
        <v>1496</v>
      </c>
      <c r="J680" s="2" t="str">
        <f t="shared" si="20"/>
        <v>https://permalinkbnd.bnportugal.gov.pt/viewer/1/?offset=#page=39&amp;viewer=picture&amp;o=info&amp;n=0&amp;q=</v>
      </c>
      <c r="K680" s="1" t="s">
        <v>913</v>
      </c>
      <c r="L680" s="1" t="str">
        <f>VLOOKUP(A680,Folha2!$A$2:$B$2019,2,FALSE)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0" s="12" t="str">
        <f t="shared" si="21"/>
        <v>https://permalinkbnd.bnportugal.gov.pt/viewer/1/?offset=#page=39&amp;viewer=picture&amp;o=info&amp;n=0&amp;q=</v>
      </c>
      <c r="N680" s="12" t="s">
        <v>1497</v>
      </c>
      <c r="O680" s="12" t="str">
        <f>CONCATENATE(N680,A680,"\",B680,"\",C680,".jpg")</f>
        <v>C:\Users\mbaptista\OneDrive - Biblioteca Nacional de Portugal\Documentos\python\camoniana\imagens\capas\412780\1\39.jpg</v>
      </c>
      <c r="P680" s="12" t="str">
        <f>HYPERLINK(O680)</f>
        <v>C:\Users\mbaptista\OneDrive - Biblioteca Nacional de Portugal\Documentos\python\camoniana\imagens\capas\412780\1\39.jpg</v>
      </c>
      <c r="Q680" s="12"/>
      <c r="R680" s="6"/>
      <c r="S680" s="4"/>
      <c r="T680" s="1"/>
      <c r="U680" s="13"/>
      <c r="V680" s="13"/>
      <c r="W680" s="5"/>
    </row>
    <row r="681" spans="1:23" ht="75">
      <c r="A681" s="1">
        <v>412780</v>
      </c>
      <c r="B681" s="1">
        <v>1</v>
      </c>
      <c r="C681" s="1">
        <v>41</v>
      </c>
      <c r="D681" s="4" t="s">
        <v>1492</v>
      </c>
      <c r="E681" s="11" t="s">
        <v>1492</v>
      </c>
      <c r="F681" s="11">
        <v>1</v>
      </c>
      <c r="G681" s="2" t="s">
        <v>1494</v>
      </c>
      <c r="H681" s="2" t="s">
        <v>1495</v>
      </c>
      <c r="I681" s="2" t="s">
        <v>1496</v>
      </c>
      <c r="J681" s="2" t="str">
        <f t="shared" si="20"/>
        <v>https://permalinkbnd.bnportugal.gov.pt/viewer/1/?offset=#page=41&amp;viewer=picture&amp;o=info&amp;n=0&amp;q=</v>
      </c>
      <c r="K681" s="1" t="s">
        <v>913</v>
      </c>
      <c r="L681" s="1" t="str">
        <f>VLOOKUP(A681,Folha2!$A$2:$B$2019,2,FALSE)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1" s="12" t="str">
        <f t="shared" si="21"/>
        <v>https://permalinkbnd.bnportugal.gov.pt/viewer/1/?offset=#page=41&amp;viewer=picture&amp;o=info&amp;n=0&amp;q=</v>
      </c>
      <c r="N681" s="12" t="s">
        <v>1497</v>
      </c>
      <c r="O681" s="12" t="str">
        <f>CONCATENATE(N681,A681,"\",B681,"\",C681,".jpg")</f>
        <v>C:\Users\mbaptista\OneDrive - Biblioteca Nacional de Portugal\Documentos\python\camoniana\imagens\capas\412780\1\41.jpg</v>
      </c>
      <c r="P681" s="12" t="str">
        <f>HYPERLINK(O681)</f>
        <v>C:\Users\mbaptista\OneDrive - Biblioteca Nacional de Portugal\Documentos\python\camoniana\imagens\capas\412780\1\41.jpg</v>
      </c>
      <c r="Q681" s="12"/>
      <c r="R681" s="6"/>
      <c r="S681" s="4"/>
      <c r="T681" s="1"/>
      <c r="U681" s="13"/>
      <c r="V681" s="13"/>
      <c r="W681" s="5"/>
    </row>
    <row r="682" spans="1:23" ht="75">
      <c r="A682" s="1">
        <v>412780</v>
      </c>
      <c r="B682" s="1">
        <v>1</v>
      </c>
      <c r="C682" s="1">
        <v>45</v>
      </c>
      <c r="D682" s="4" t="s">
        <v>1492</v>
      </c>
      <c r="E682" s="5" t="s">
        <v>1492</v>
      </c>
      <c r="F682" s="5">
        <v>1</v>
      </c>
      <c r="G682" s="2" t="s">
        <v>1494</v>
      </c>
      <c r="H682" s="2" t="s">
        <v>1495</v>
      </c>
      <c r="I682" s="2" t="s">
        <v>1496</v>
      </c>
      <c r="J682" s="2" t="str">
        <f t="shared" si="20"/>
        <v>https://permalinkbnd.bnportugal.gov.pt/viewer/1/?offset=#page=45&amp;viewer=picture&amp;o=info&amp;n=0&amp;q=</v>
      </c>
      <c r="K682" s="1" t="s">
        <v>913</v>
      </c>
      <c r="L682" s="1" t="str">
        <f>VLOOKUP(A682,Folha2!$A$2:$B$2019,2,FALSE)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2" s="12" t="str">
        <f t="shared" si="21"/>
        <v>https://permalinkbnd.bnportugal.gov.pt/viewer/1/?offset=#page=45&amp;viewer=picture&amp;o=info&amp;n=0&amp;q=</v>
      </c>
      <c r="N682" s="12" t="s">
        <v>1497</v>
      </c>
      <c r="O682" s="12" t="str">
        <f>CONCATENATE(N682,A682,"\",B682,"\",C682,".jpg")</f>
        <v>C:\Users\mbaptista\OneDrive - Biblioteca Nacional de Portugal\Documentos\python\camoniana\imagens\capas\412780\1\45.jpg</v>
      </c>
      <c r="P682" s="12" t="str">
        <f>HYPERLINK(O682)</f>
        <v>C:\Users\mbaptista\OneDrive - Biblioteca Nacional de Portugal\Documentos\python\camoniana\imagens\capas\412780\1\45.jpg</v>
      </c>
      <c r="Q682" s="12"/>
      <c r="R682" s="6"/>
      <c r="S682" s="4"/>
      <c r="T682" s="1"/>
      <c r="U682" s="13"/>
      <c r="V682" s="13"/>
      <c r="W682" s="5"/>
    </row>
    <row r="683" spans="1:23" ht="75">
      <c r="A683" s="1">
        <v>412780</v>
      </c>
      <c r="B683" s="1">
        <v>1</v>
      </c>
      <c r="C683" s="1">
        <v>49</v>
      </c>
      <c r="D683" s="4" t="s">
        <v>1492</v>
      </c>
      <c r="E683" s="11" t="s">
        <v>1492</v>
      </c>
      <c r="F683" s="11">
        <v>1</v>
      </c>
      <c r="G683" s="2" t="s">
        <v>1494</v>
      </c>
      <c r="H683" s="2" t="s">
        <v>1495</v>
      </c>
      <c r="I683" s="2" t="s">
        <v>1496</v>
      </c>
      <c r="J683" s="2" t="str">
        <f t="shared" si="20"/>
        <v>https://permalinkbnd.bnportugal.gov.pt/viewer/1/?offset=#page=49&amp;viewer=picture&amp;o=info&amp;n=0&amp;q=</v>
      </c>
      <c r="K683" s="1" t="s">
        <v>913</v>
      </c>
      <c r="L683" s="1" t="str">
        <f>VLOOKUP(A683,Folha2!$A$2:$B$2019,2,FALSE)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3" s="12" t="str">
        <f t="shared" si="21"/>
        <v>https://permalinkbnd.bnportugal.gov.pt/viewer/1/?offset=#page=49&amp;viewer=picture&amp;o=info&amp;n=0&amp;q=</v>
      </c>
      <c r="N683" s="12" t="s">
        <v>1497</v>
      </c>
      <c r="O683" s="12" t="str">
        <f>CONCATENATE(N683,A683,"\",B683,"\",C683,".jpg")</f>
        <v>C:\Users\mbaptista\OneDrive - Biblioteca Nacional de Portugal\Documentos\python\camoniana\imagens\capas\412780\1\49.jpg</v>
      </c>
      <c r="P683" s="12" t="str">
        <f>HYPERLINK(O683)</f>
        <v>C:\Users\mbaptista\OneDrive - Biblioteca Nacional de Portugal\Documentos\python\camoniana\imagens\capas\412780\1\49.jpg</v>
      </c>
      <c r="Q683" s="12"/>
      <c r="R683" s="6"/>
      <c r="S683" s="4"/>
      <c r="T683" s="1"/>
      <c r="U683" s="13"/>
      <c r="V683" s="13"/>
      <c r="W683" s="5"/>
    </row>
    <row r="684" spans="1:23" ht="75">
      <c r="A684" s="1">
        <v>412780</v>
      </c>
      <c r="B684" s="1">
        <v>1</v>
      </c>
      <c r="C684" s="1">
        <v>53</v>
      </c>
      <c r="D684" s="4" t="s">
        <v>1492</v>
      </c>
      <c r="E684" s="5" t="s">
        <v>1492</v>
      </c>
      <c r="F684" s="5">
        <v>1</v>
      </c>
      <c r="G684" s="2" t="s">
        <v>1494</v>
      </c>
      <c r="H684" s="2" t="s">
        <v>1495</v>
      </c>
      <c r="I684" s="2" t="s">
        <v>1496</v>
      </c>
      <c r="J684" s="2" t="str">
        <f t="shared" si="20"/>
        <v>https://permalinkbnd.bnportugal.gov.pt/viewer/1/?offset=#page=53&amp;viewer=picture&amp;o=info&amp;n=0&amp;q=</v>
      </c>
      <c r="K684" s="1" t="s">
        <v>913</v>
      </c>
      <c r="L684" s="1" t="str">
        <f>VLOOKUP(A684,Folha2!$A$2:$B$2019,2,FALSE)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4" s="12" t="str">
        <f t="shared" si="21"/>
        <v>https://permalinkbnd.bnportugal.gov.pt/viewer/1/?offset=#page=53&amp;viewer=picture&amp;o=info&amp;n=0&amp;q=</v>
      </c>
      <c r="N684" s="12" t="s">
        <v>1497</v>
      </c>
      <c r="O684" s="12" t="str">
        <f>CONCATENATE(N684,A684,"\",B684,"\",C684,".jpg")</f>
        <v>C:\Users\mbaptista\OneDrive - Biblioteca Nacional de Portugal\Documentos\python\camoniana\imagens\capas\412780\1\53.jpg</v>
      </c>
      <c r="P684" s="12" t="str">
        <f>HYPERLINK(O684)</f>
        <v>C:\Users\mbaptista\OneDrive - Biblioteca Nacional de Portugal\Documentos\python\camoniana\imagens\capas\412780\1\53.jpg</v>
      </c>
      <c r="Q684" s="12"/>
      <c r="R684" s="6"/>
      <c r="S684" s="4"/>
      <c r="T684" s="1"/>
      <c r="U684" s="13"/>
      <c r="V684" s="13"/>
      <c r="W684" s="5"/>
    </row>
    <row r="685" spans="1:23" ht="75">
      <c r="A685" s="1">
        <v>412780</v>
      </c>
      <c r="B685" s="1">
        <v>1</v>
      </c>
      <c r="C685" s="1">
        <v>56</v>
      </c>
      <c r="D685" s="4" t="s">
        <v>1492</v>
      </c>
      <c r="E685" s="11" t="s">
        <v>1492</v>
      </c>
      <c r="F685" s="11">
        <v>1</v>
      </c>
      <c r="G685" s="2" t="s">
        <v>1494</v>
      </c>
      <c r="H685" s="2" t="s">
        <v>1495</v>
      </c>
      <c r="I685" s="2" t="s">
        <v>1496</v>
      </c>
      <c r="J685" s="2" t="str">
        <f t="shared" si="20"/>
        <v>https://permalinkbnd.bnportugal.gov.pt/viewer/1/?offset=#page=56&amp;viewer=picture&amp;o=info&amp;n=0&amp;q=</v>
      </c>
      <c r="K685" s="1" t="s">
        <v>913</v>
      </c>
      <c r="L685" s="1" t="str">
        <f>VLOOKUP(A685,Folha2!$A$2:$B$2019,2,FALSE)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5" s="12" t="str">
        <f t="shared" si="21"/>
        <v>https://permalinkbnd.bnportugal.gov.pt/viewer/1/?offset=#page=56&amp;viewer=picture&amp;o=info&amp;n=0&amp;q=</v>
      </c>
      <c r="N685" s="12" t="s">
        <v>1497</v>
      </c>
      <c r="O685" s="12" t="str">
        <f>CONCATENATE(N685,A685,"\",B685,"\",C685,".jpg")</f>
        <v>C:\Users\mbaptista\OneDrive - Biblioteca Nacional de Portugal\Documentos\python\camoniana\imagens\capas\412780\1\56.jpg</v>
      </c>
      <c r="P685" s="12" t="str">
        <f>HYPERLINK(O685)</f>
        <v>C:\Users\mbaptista\OneDrive - Biblioteca Nacional de Portugal\Documentos\python\camoniana\imagens\capas\412780\1\56.jpg</v>
      </c>
      <c r="Q685" s="12"/>
      <c r="R685" s="6"/>
      <c r="S685" s="4"/>
      <c r="T685" s="1"/>
      <c r="U685" s="13"/>
      <c r="V685" s="13"/>
      <c r="W685" s="5"/>
    </row>
    <row r="686" spans="1:23" ht="75">
      <c r="A686" s="1">
        <v>412780</v>
      </c>
      <c r="B686" s="1">
        <v>1</v>
      </c>
      <c r="C686" s="1">
        <v>57</v>
      </c>
      <c r="D686" s="4" t="s">
        <v>1492</v>
      </c>
      <c r="E686" s="5" t="s">
        <v>1492</v>
      </c>
      <c r="F686" s="5">
        <v>1</v>
      </c>
      <c r="G686" s="2" t="s">
        <v>1494</v>
      </c>
      <c r="H686" s="2" t="s">
        <v>1495</v>
      </c>
      <c r="I686" s="2" t="s">
        <v>1496</v>
      </c>
      <c r="J686" s="2" t="str">
        <f t="shared" si="20"/>
        <v>https://permalinkbnd.bnportugal.gov.pt/viewer/1/?offset=#page=57&amp;viewer=picture&amp;o=info&amp;n=0&amp;q=</v>
      </c>
      <c r="K686" s="1" t="s">
        <v>913</v>
      </c>
      <c r="L686" s="1" t="str">
        <f>VLOOKUP(A686,Folha2!$A$2:$B$2019,2,FALSE)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6" s="12" t="str">
        <f t="shared" si="21"/>
        <v>https://permalinkbnd.bnportugal.gov.pt/viewer/1/?offset=#page=57&amp;viewer=picture&amp;o=info&amp;n=0&amp;q=</v>
      </c>
      <c r="N686" s="12" t="s">
        <v>1497</v>
      </c>
      <c r="O686" s="12" t="str">
        <f>CONCATENATE(N686,A686,"\",B686,"\",C686,".jpg")</f>
        <v>C:\Users\mbaptista\OneDrive - Biblioteca Nacional de Portugal\Documentos\python\camoniana\imagens\capas\412780\1\57.jpg</v>
      </c>
      <c r="P686" s="12" t="str">
        <f>HYPERLINK(O686)</f>
        <v>C:\Users\mbaptista\OneDrive - Biblioteca Nacional de Portugal\Documentos\python\camoniana\imagens\capas\412780\1\57.jpg</v>
      </c>
      <c r="Q686" s="12"/>
      <c r="R686" s="6"/>
      <c r="S686" s="4"/>
      <c r="T686" s="1"/>
      <c r="U686" s="13"/>
      <c r="V686" s="13"/>
      <c r="W686" s="5"/>
    </row>
    <row r="687" spans="1:23" ht="75">
      <c r="A687" s="1">
        <v>412780</v>
      </c>
      <c r="B687" s="1">
        <v>1</v>
      </c>
      <c r="C687" s="1">
        <v>60</v>
      </c>
      <c r="D687" s="4" t="s">
        <v>1492</v>
      </c>
      <c r="E687" s="11" t="s">
        <v>1492</v>
      </c>
      <c r="F687" s="11">
        <v>1</v>
      </c>
      <c r="G687" s="2" t="s">
        <v>1494</v>
      </c>
      <c r="H687" s="2" t="s">
        <v>1495</v>
      </c>
      <c r="I687" s="2" t="s">
        <v>1496</v>
      </c>
      <c r="J687" s="2" t="str">
        <f t="shared" si="20"/>
        <v>https://permalinkbnd.bnportugal.gov.pt/viewer/1/?offset=#page=60&amp;viewer=picture&amp;o=info&amp;n=0&amp;q=</v>
      </c>
      <c r="K687" s="1" t="s">
        <v>913</v>
      </c>
      <c r="L687" s="1" t="str">
        <f>VLOOKUP(A687,Folha2!$A$2:$B$2019,2,FALSE)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7" s="12" t="str">
        <f t="shared" si="21"/>
        <v>https://permalinkbnd.bnportugal.gov.pt/viewer/1/?offset=#page=60&amp;viewer=picture&amp;o=info&amp;n=0&amp;q=</v>
      </c>
      <c r="N687" s="12" t="s">
        <v>1497</v>
      </c>
      <c r="O687" s="12" t="str">
        <f>CONCATENATE(N687,A687,"\",B687,"\",C687,".jpg")</f>
        <v>C:\Users\mbaptista\OneDrive - Biblioteca Nacional de Portugal\Documentos\python\camoniana\imagens\capas\412780\1\60.jpg</v>
      </c>
      <c r="P687" s="12" t="str">
        <f>HYPERLINK(O687)</f>
        <v>C:\Users\mbaptista\OneDrive - Biblioteca Nacional de Portugal\Documentos\python\camoniana\imagens\capas\412780\1\60.jpg</v>
      </c>
      <c r="Q687" s="12"/>
      <c r="R687" s="6"/>
      <c r="S687" s="4"/>
      <c r="T687" s="1"/>
      <c r="U687" s="13"/>
      <c r="V687" s="13"/>
      <c r="W687" s="5"/>
    </row>
    <row r="688" spans="1:23" ht="75">
      <c r="A688" s="1">
        <v>98840</v>
      </c>
      <c r="B688" s="1">
        <v>1</v>
      </c>
      <c r="C688" s="1">
        <v>10</v>
      </c>
      <c r="D688" s="2" t="s">
        <v>916</v>
      </c>
      <c r="E688" s="5" t="s">
        <v>916</v>
      </c>
      <c r="F688" s="5">
        <v>273944</v>
      </c>
      <c r="G688" s="2" t="s">
        <v>1494</v>
      </c>
      <c r="H688" s="2" t="s">
        <v>1495</v>
      </c>
      <c r="I688" s="2" t="s">
        <v>1496</v>
      </c>
      <c r="J688" s="2" t="str">
        <f t="shared" si="20"/>
        <v>https://permalinkbnd.bnportugal.gov.pt/viewer/273944/?offset=#page=10&amp;viewer=picture&amp;o=info&amp;n=0&amp;q=</v>
      </c>
      <c r="K688" s="1" t="s">
        <v>917</v>
      </c>
      <c r="L688" s="1" t="str">
        <f>VLOOKUP(A688,Folha2!$A$2:$B$2019,2,FALSE)</f>
        <v>Os Lusiadas. - Rio de Janeiro : Gabinete Portuguez de Leitura, 1880. Sem argumentos; o prólogo fala sobre a vida do Poeta e a sua índole.</v>
      </c>
      <c r="M688" s="12" t="str">
        <f t="shared" si="21"/>
        <v>https://permalinkbnd.bnportugal.gov.pt/viewer/273944/?offset=#page=10&amp;viewer=picture&amp;o=info&amp;n=0&amp;q=</v>
      </c>
      <c r="N688" s="12" t="s">
        <v>1497</v>
      </c>
      <c r="O688" s="12" t="str">
        <f>CONCATENATE(N688,A688,"\",B688,"\",C688,".jpg")</f>
        <v>C:\Users\mbaptista\OneDrive - Biblioteca Nacional de Portugal\Documentos\python\camoniana\imagens\capas\98840\1\10.jpg</v>
      </c>
      <c r="P688" s="12" t="str">
        <f>HYPERLINK(O688)</f>
        <v>C:\Users\mbaptista\OneDrive - Biblioteca Nacional de Portugal\Documentos\python\camoniana\imagens\capas\98840\1\10.jpg</v>
      </c>
      <c r="Q688" s="12"/>
      <c r="R688" s="6" t="s">
        <v>919</v>
      </c>
      <c r="S688" s="4"/>
      <c r="T688" s="1" t="s">
        <v>918</v>
      </c>
      <c r="U688" s="13"/>
      <c r="V688" s="13"/>
      <c r="W688" s="5" t="s">
        <v>1491</v>
      </c>
    </row>
    <row r="689" spans="1:23" ht="75">
      <c r="A689" s="1">
        <v>98840</v>
      </c>
      <c r="B689" s="1">
        <v>1</v>
      </c>
      <c r="C689" s="1">
        <v>11</v>
      </c>
      <c r="D689" s="2" t="s">
        <v>916</v>
      </c>
      <c r="E689" s="11" t="s">
        <v>916</v>
      </c>
      <c r="F689" s="11">
        <v>273944</v>
      </c>
      <c r="G689" s="2" t="s">
        <v>1494</v>
      </c>
      <c r="H689" s="2" t="s">
        <v>1495</v>
      </c>
      <c r="I689" s="2" t="s">
        <v>1496</v>
      </c>
      <c r="J689" s="2" t="str">
        <f t="shared" si="20"/>
        <v>https://permalinkbnd.bnportugal.gov.pt/viewer/273944/?offset=#page=11&amp;viewer=picture&amp;o=info&amp;n=0&amp;q=</v>
      </c>
      <c r="K689" s="1" t="s">
        <v>917</v>
      </c>
      <c r="L689" s="1" t="str">
        <f>VLOOKUP(A689,Folha2!$A$2:$B$2019,2,FALSE)</f>
        <v>Os Lusiadas. - Rio de Janeiro : Gabinete Portuguez de Leitura, 1880. Sem argumentos; o prólogo fala sobre a vida do Poeta e a sua índole.</v>
      </c>
      <c r="M689" s="12" t="str">
        <f t="shared" si="21"/>
        <v>https://permalinkbnd.bnportugal.gov.pt/viewer/273944/?offset=#page=11&amp;viewer=picture&amp;o=info&amp;n=0&amp;q=</v>
      </c>
      <c r="N689" s="12" t="s">
        <v>1497</v>
      </c>
      <c r="O689" s="12" t="str">
        <f>CONCATENATE(N689,A689,"\",B689,"\",C689,".jpg")</f>
        <v>C:\Users\mbaptista\OneDrive - Biblioteca Nacional de Portugal\Documentos\python\camoniana\imagens\capas\98840\1\11.jpg</v>
      </c>
      <c r="P689" s="12" t="str">
        <f>HYPERLINK(O689)</f>
        <v>C:\Users\mbaptista\OneDrive - Biblioteca Nacional de Portugal\Documentos\python\camoniana\imagens\capas\98840\1\11.jpg</v>
      </c>
      <c r="Q689" s="12"/>
      <c r="R689" s="6"/>
      <c r="S689" s="4"/>
      <c r="T689" s="1"/>
      <c r="U689" s="13"/>
      <c r="V689" s="13"/>
      <c r="W689" s="5"/>
    </row>
    <row r="690" spans="1:23" ht="75">
      <c r="A690" s="1">
        <v>98840</v>
      </c>
      <c r="B690" s="1">
        <v>1</v>
      </c>
      <c r="C690" s="1">
        <v>103</v>
      </c>
      <c r="D690" s="2" t="s">
        <v>916</v>
      </c>
      <c r="E690" s="5" t="s">
        <v>916</v>
      </c>
      <c r="F690" s="5">
        <v>273944</v>
      </c>
      <c r="G690" s="2" t="s">
        <v>1494</v>
      </c>
      <c r="H690" s="2" t="s">
        <v>1495</v>
      </c>
      <c r="I690" s="2" t="s">
        <v>1496</v>
      </c>
      <c r="J690" s="2" t="str">
        <f t="shared" si="20"/>
        <v>https://permalinkbnd.bnportugal.gov.pt/viewer/273944/?offset=#page=103&amp;viewer=picture&amp;o=info&amp;n=0&amp;q=</v>
      </c>
      <c r="K690" s="1" t="s">
        <v>917</v>
      </c>
      <c r="L690" s="1" t="str">
        <f>VLOOKUP(A690,Folha2!$A$2:$B$2019,2,FALSE)</f>
        <v>Os Lusiadas. - Rio de Janeiro : Gabinete Portuguez de Leitura, 1880. Sem argumentos; o prólogo fala sobre a vida do Poeta e a sua índole.</v>
      </c>
      <c r="M690" s="12" t="str">
        <f t="shared" si="21"/>
        <v>https://permalinkbnd.bnportugal.gov.pt/viewer/273944/?offset=#page=103&amp;viewer=picture&amp;o=info&amp;n=0&amp;q=</v>
      </c>
      <c r="N690" s="12" t="s">
        <v>1497</v>
      </c>
      <c r="O690" s="12" t="str">
        <f>CONCATENATE(N690,A690,"\",B690,"\",C690,".jpg")</f>
        <v>C:\Users\mbaptista\OneDrive - Biblioteca Nacional de Portugal\Documentos\python\camoniana\imagens\capas\98840\1\103.jpg</v>
      </c>
      <c r="P690" s="12" t="str">
        <f>HYPERLINK(O690)</f>
        <v>C:\Users\mbaptista\OneDrive - Biblioteca Nacional de Portugal\Documentos\python\camoniana\imagens\capas\98840\1\103.jpg</v>
      </c>
      <c r="Q690" s="12"/>
      <c r="R690" s="6" t="s">
        <v>920</v>
      </c>
      <c r="S690" s="4"/>
      <c r="T690" s="1" t="s">
        <v>918</v>
      </c>
      <c r="U690" s="13"/>
      <c r="V690" s="13"/>
      <c r="W690" s="5" t="s">
        <v>1491</v>
      </c>
    </row>
    <row r="691" spans="1:23" ht="75">
      <c r="A691" s="1">
        <v>98840</v>
      </c>
      <c r="B691" s="1">
        <v>1</v>
      </c>
      <c r="C691" s="1">
        <v>107</v>
      </c>
      <c r="D691" s="2" t="s">
        <v>916</v>
      </c>
      <c r="E691" s="11" t="s">
        <v>916</v>
      </c>
      <c r="F691" s="11">
        <v>273944</v>
      </c>
      <c r="G691" s="2" t="s">
        <v>1494</v>
      </c>
      <c r="H691" s="2" t="s">
        <v>1495</v>
      </c>
      <c r="I691" s="2" t="s">
        <v>1496</v>
      </c>
      <c r="J691" s="2" t="str">
        <f t="shared" si="20"/>
        <v>https://permalinkbnd.bnportugal.gov.pt/viewer/273944/?offset=#page=107&amp;viewer=picture&amp;o=info&amp;n=0&amp;q=</v>
      </c>
      <c r="K691" s="1" t="s">
        <v>917</v>
      </c>
      <c r="L691" s="1" t="str">
        <f>VLOOKUP(A691,Folha2!$A$2:$B$2019,2,FALSE)</f>
        <v>Os Lusiadas. - Rio de Janeiro : Gabinete Portuguez de Leitura, 1880. Sem argumentos; o prólogo fala sobre a vida do Poeta e a sua índole.</v>
      </c>
      <c r="M691" s="12" t="str">
        <f t="shared" si="21"/>
        <v>https://permalinkbnd.bnportugal.gov.pt/viewer/273944/?offset=#page=107&amp;viewer=picture&amp;o=info&amp;n=0&amp;q=</v>
      </c>
      <c r="N691" s="12" t="s">
        <v>1497</v>
      </c>
      <c r="O691" s="12" t="str">
        <f>CONCATENATE(N691,A691,"\",B691,"\",C691,".jpg")</f>
        <v>C:\Users\mbaptista\OneDrive - Biblioteca Nacional de Portugal\Documentos\python\camoniana\imagens\capas\98840\1\107.jpg</v>
      </c>
      <c r="P691" s="12" t="str">
        <f>HYPERLINK(O691)</f>
        <v>C:\Users\mbaptista\OneDrive - Biblioteca Nacional de Portugal\Documentos\python\camoniana\imagens\capas\98840\1\107.jpg</v>
      </c>
      <c r="Q691" s="12"/>
      <c r="R691" s="6" t="s">
        <v>921</v>
      </c>
      <c r="S691" s="4"/>
      <c r="T691" s="1" t="s">
        <v>918</v>
      </c>
      <c r="U691" s="13"/>
      <c r="V691" s="13"/>
      <c r="W691" s="5" t="s">
        <v>1491</v>
      </c>
    </row>
    <row r="692" spans="1:23" ht="75">
      <c r="A692" s="1">
        <v>98840</v>
      </c>
      <c r="B692" s="1">
        <v>1</v>
      </c>
      <c r="C692" s="1">
        <v>142</v>
      </c>
      <c r="D692" s="2" t="s">
        <v>916</v>
      </c>
      <c r="E692" s="5" t="s">
        <v>916</v>
      </c>
      <c r="F692" s="5">
        <v>273944</v>
      </c>
      <c r="G692" s="2" t="s">
        <v>1494</v>
      </c>
      <c r="H692" s="2" t="s">
        <v>1495</v>
      </c>
      <c r="I692" s="2" t="s">
        <v>1496</v>
      </c>
      <c r="J692" s="2" t="str">
        <f t="shared" si="20"/>
        <v>https://permalinkbnd.bnportugal.gov.pt/viewer/273944/?offset=#page=142&amp;viewer=picture&amp;o=info&amp;n=0&amp;q=</v>
      </c>
      <c r="K692" s="1" t="s">
        <v>917</v>
      </c>
      <c r="L692" s="1" t="str">
        <f>VLOOKUP(A692,Folha2!$A$2:$B$2019,2,FALSE)</f>
        <v>Os Lusiadas. - Rio de Janeiro : Gabinete Portuguez de Leitura, 1880. Sem argumentos; o prólogo fala sobre a vida do Poeta e a sua índole.</v>
      </c>
      <c r="M692" s="12" t="str">
        <f t="shared" si="21"/>
        <v>https://permalinkbnd.bnportugal.gov.pt/viewer/273944/?offset=#page=142&amp;viewer=picture&amp;o=info&amp;n=0&amp;q=</v>
      </c>
      <c r="N692" s="12" t="s">
        <v>1497</v>
      </c>
      <c r="O692" s="12" t="str">
        <f>CONCATENATE(N692,A692,"\",B692,"\",C692,".jpg")</f>
        <v>C:\Users\mbaptista\OneDrive - Biblioteca Nacional de Portugal\Documentos\python\camoniana\imagens\capas\98840\1\142.jpg</v>
      </c>
      <c r="P692" s="12" t="str">
        <f>HYPERLINK(O692)</f>
        <v>C:\Users\mbaptista\OneDrive - Biblioteca Nacional de Portugal\Documentos\python\camoniana\imagens\capas\98840\1\142.jpg</v>
      </c>
      <c r="Q692" s="12"/>
      <c r="R692" s="6"/>
      <c r="S692" s="4"/>
      <c r="T692" s="1"/>
      <c r="U692" s="13"/>
      <c r="V692" s="13"/>
      <c r="W692" s="5"/>
    </row>
    <row r="693" spans="1:23" ht="75">
      <c r="A693" s="1">
        <v>98840</v>
      </c>
      <c r="B693" s="1">
        <v>1</v>
      </c>
      <c r="C693" s="1">
        <v>145</v>
      </c>
      <c r="D693" s="2" t="s">
        <v>916</v>
      </c>
      <c r="E693" s="11" t="s">
        <v>916</v>
      </c>
      <c r="F693" s="11">
        <v>273944</v>
      </c>
      <c r="G693" s="2" t="s">
        <v>1494</v>
      </c>
      <c r="H693" s="2" t="s">
        <v>1495</v>
      </c>
      <c r="I693" s="2" t="s">
        <v>1496</v>
      </c>
      <c r="J693" s="2" t="str">
        <f t="shared" si="20"/>
        <v>https://permalinkbnd.bnportugal.gov.pt/viewer/273944/?offset=#page=145&amp;viewer=picture&amp;o=info&amp;n=0&amp;q=</v>
      </c>
      <c r="K693" s="1" t="s">
        <v>917</v>
      </c>
      <c r="L693" s="1" t="str">
        <f>VLOOKUP(A693,Folha2!$A$2:$B$2019,2,FALSE)</f>
        <v>Os Lusiadas. - Rio de Janeiro : Gabinete Portuguez de Leitura, 1880. Sem argumentos; o prólogo fala sobre a vida do Poeta e a sua índole.</v>
      </c>
      <c r="M693" s="12" t="str">
        <f t="shared" si="21"/>
        <v>https://permalinkbnd.bnportugal.gov.pt/viewer/273944/?offset=#page=145&amp;viewer=picture&amp;o=info&amp;n=0&amp;q=</v>
      </c>
      <c r="N693" s="12" t="s">
        <v>1497</v>
      </c>
      <c r="O693" s="12" t="str">
        <f>CONCATENATE(N693,A693,"\",B693,"\",C693,".jpg")</f>
        <v>C:\Users\mbaptista\OneDrive - Biblioteca Nacional de Portugal\Documentos\python\camoniana\imagens\capas\98840\1\145.jpg</v>
      </c>
      <c r="P693" s="12" t="str">
        <f>HYPERLINK(O693)</f>
        <v>C:\Users\mbaptista\OneDrive - Biblioteca Nacional de Portugal\Documentos\python\camoniana\imagens\capas\98840\1\145.jpg</v>
      </c>
      <c r="Q693" s="12"/>
      <c r="R693" s="6" t="s">
        <v>922</v>
      </c>
      <c r="S693" s="4"/>
      <c r="T693" s="1" t="s">
        <v>918</v>
      </c>
      <c r="U693" s="13"/>
      <c r="V693" s="13"/>
      <c r="W693" s="5" t="s">
        <v>1491</v>
      </c>
    </row>
    <row r="694" spans="1:23" ht="75">
      <c r="A694" s="1">
        <v>98840</v>
      </c>
      <c r="B694" s="1">
        <v>1</v>
      </c>
      <c r="C694" s="1">
        <v>185</v>
      </c>
      <c r="D694" s="2" t="s">
        <v>916</v>
      </c>
      <c r="E694" s="5" t="s">
        <v>916</v>
      </c>
      <c r="F694" s="5">
        <v>273944</v>
      </c>
      <c r="G694" s="2" t="s">
        <v>1494</v>
      </c>
      <c r="H694" s="2" t="s">
        <v>1495</v>
      </c>
      <c r="I694" s="2" t="s">
        <v>1496</v>
      </c>
      <c r="J694" s="2" t="str">
        <f t="shared" si="20"/>
        <v>https://permalinkbnd.bnportugal.gov.pt/viewer/273944/?offset=#page=185&amp;viewer=picture&amp;o=info&amp;n=0&amp;q=</v>
      </c>
      <c r="K694" s="1" t="s">
        <v>917</v>
      </c>
      <c r="L694" s="1" t="str">
        <f>VLOOKUP(A694,Folha2!$A$2:$B$2019,2,FALSE)</f>
        <v>Os Lusiadas. - Rio de Janeiro : Gabinete Portuguez de Leitura, 1880. Sem argumentos; o prólogo fala sobre a vida do Poeta e a sua índole.</v>
      </c>
      <c r="M694" s="12" t="str">
        <f t="shared" si="21"/>
        <v>https://permalinkbnd.bnportugal.gov.pt/viewer/273944/?offset=#page=185&amp;viewer=picture&amp;o=info&amp;n=0&amp;q=</v>
      </c>
      <c r="N694" s="12" t="s">
        <v>1497</v>
      </c>
      <c r="O694" s="12" t="str">
        <f>CONCATENATE(N694,A694,"\",B694,"\",C694,".jpg")</f>
        <v>C:\Users\mbaptista\OneDrive - Biblioteca Nacional de Portugal\Documentos\python\camoniana\imagens\capas\98840\1\185.jpg</v>
      </c>
      <c r="P694" s="12" t="str">
        <f>HYPERLINK(O694)</f>
        <v>C:\Users\mbaptista\OneDrive - Biblioteca Nacional de Portugal\Documentos\python\camoniana\imagens\capas\98840\1\185.jpg</v>
      </c>
      <c r="Q694" s="12"/>
      <c r="R694" s="6" t="s">
        <v>923</v>
      </c>
      <c r="S694" s="4"/>
      <c r="T694" s="1" t="s">
        <v>918</v>
      </c>
      <c r="U694" s="13"/>
      <c r="V694" s="13"/>
      <c r="W694" s="5" t="s">
        <v>1491</v>
      </c>
    </row>
    <row r="695" spans="1:23" ht="75">
      <c r="A695" s="1">
        <v>98840</v>
      </c>
      <c r="B695" s="1">
        <v>1</v>
      </c>
      <c r="C695" s="1">
        <v>235</v>
      </c>
      <c r="D695" s="2" t="s">
        <v>916</v>
      </c>
      <c r="E695" s="11" t="s">
        <v>916</v>
      </c>
      <c r="F695" s="11">
        <v>273944</v>
      </c>
      <c r="G695" s="2" t="s">
        <v>1494</v>
      </c>
      <c r="H695" s="2" t="s">
        <v>1495</v>
      </c>
      <c r="I695" s="2" t="s">
        <v>1496</v>
      </c>
      <c r="J695" s="2" t="str">
        <f t="shared" si="20"/>
        <v>https://permalinkbnd.bnportugal.gov.pt/viewer/273944/?offset=#page=235&amp;viewer=picture&amp;o=info&amp;n=0&amp;q=</v>
      </c>
      <c r="K695" s="1" t="s">
        <v>917</v>
      </c>
      <c r="L695" s="1" t="str">
        <f>VLOOKUP(A695,Folha2!$A$2:$B$2019,2,FALSE)</f>
        <v>Os Lusiadas. - Rio de Janeiro : Gabinete Portuguez de Leitura, 1880. Sem argumentos; o prólogo fala sobre a vida do Poeta e a sua índole.</v>
      </c>
      <c r="M695" s="12" t="str">
        <f t="shared" si="21"/>
        <v>https://permalinkbnd.bnportugal.gov.pt/viewer/273944/?offset=#page=235&amp;viewer=picture&amp;o=info&amp;n=0&amp;q=</v>
      </c>
      <c r="N695" s="12" t="s">
        <v>1497</v>
      </c>
      <c r="O695" s="12" t="str">
        <f>CONCATENATE(N695,A695,"\",B695,"\",C695,".jpg")</f>
        <v>C:\Users\mbaptista\OneDrive - Biblioteca Nacional de Portugal\Documentos\python\camoniana\imagens\capas\98840\1\235.jpg</v>
      </c>
      <c r="P695" s="12" t="str">
        <f>HYPERLINK(O695)</f>
        <v>C:\Users\mbaptista\OneDrive - Biblioteca Nacional de Portugal\Documentos\python\camoniana\imagens\capas\98840\1\235.jpg</v>
      </c>
      <c r="Q695" s="12"/>
      <c r="R695" s="6" t="s">
        <v>924</v>
      </c>
      <c r="S695" s="4"/>
      <c r="T695" s="1" t="s">
        <v>918</v>
      </c>
      <c r="U695" s="13"/>
      <c r="V695" s="13"/>
      <c r="W695" s="5" t="s">
        <v>1491</v>
      </c>
    </row>
    <row r="696" spans="1:23" ht="75">
      <c r="A696" s="1">
        <v>98840</v>
      </c>
      <c r="B696" s="1">
        <v>1</v>
      </c>
      <c r="C696" s="1">
        <v>270</v>
      </c>
      <c r="D696" s="2" t="s">
        <v>916</v>
      </c>
      <c r="E696" s="5" t="s">
        <v>916</v>
      </c>
      <c r="F696" s="5">
        <v>273944</v>
      </c>
      <c r="G696" s="2" t="s">
        <v>1494</v>
      </c>
      <c r="H696" s="2" t="s">
        <v>1495</v>
      </c>
      <c r="I696" s="2" t="s">
        <v>1496</v>
      </c>
      <c r="J696" s="2" t="str">
        <f t="shared" si="20"/>
        <v>https://permalinkbnd.bnportugal.gov.pt/viewer/273944/?offset=#page=270&amp;viewer=picture&amp;o=info&amp;n=0&amp;q=</v>
      </c>
      <c r="K696" s="1" t="s">
        <v>917</v>
      </c>
      <c r="L696" s="1" t="str">
        <f>VLOOKUP(A696,Folha2!$A$2:$B$2019,2,FALSE)</f>
        <v>Os Lusiadas. - Rio de Janeiro : Gabinete Portuguez de Leitura, 1880. Sem argumentos; o prólogo fala sobre a vida do Poeta e a sua índole.</v>
      </c>
      <c r="M696" s="12" t="str">
        <f t="shared" si="21"/>
        <v>https://permalinkbnd.bnportugal.gov.pt/viewer/273944/?offset=#page=270&amp;viewer=picture&amp;o=info&amp;n=0&amp;q=</v>
      </c>
      <c r="N696" s="12" t="s">
        <v>1497</v>
      </c>
      <c r="O696" s="12" t="str">
        <f>CONCATENATE(N696,A696,"\",B696,"\",C696,".jpg")</f>
        <v>C:\Users\mbaptista\OneDrive - Biblioteca Nacional de Portugal\Documentos\python\camoniana\imagens\capas\98840\1\270.jpg</v>
      </c>
      <c r="P696" s="12" t="str">
        <f>HYPERLINK(O696)</f>
        <v>C:\Users\mbaptista\OneDrive - Biblioteca Nacional de Portugal\Documentos\python\camoniana\imagens\capas\98840\1\270.jpg</v>
      </c>
      <c r="Q696" s="12"/>
      <c r="R696" s="6" t="s">
        <v>925</v>
      </c>
      <c r="S696" s="4"/>
      <c r="T696" s="1" t="s">
        <v>918</v>
      </c>
      <c r="U696" s="13"/>
      <c r="V696" s="13"/>
      <c r="W696" s="5" t="s">
        <v>1491</v>
      </c>
    </row>
    <row r="697" spans="1:23" ht="75">
      <c r="A697" s="1">
        <v>98840</v>
      </c>
      <c r="B697" s="1">
        <v>1</v>
      </c>
      <c r="C697" s="1">
        <v>273</v>
      </c>
      <c r="D697" s="2" t="s">
        <v>916</v>
      </c>
      <c r="E697" s="11" t="s">
        <v>916</v>
      </c>
      <c r="F697" s="11">
        <v>273944</v>
      </c>
      <c r="G697" s="2" t="s">
        <v>1494</v>
      </c>
      <c r="H697" s="2" t="s">
        <v>1495</v>
      </c>
      <c r="I697" s="2" t="s">
        <v>1496</v>
      </c>
      <c r="J697" s="2" t="str">
        <f t="shared" si="20"/>
        <v>https://permalinkbnd.bnportugal.gov.pt/viewer/273944/?offset=#page=273&amp;viewer=picture&amp;o=info&amp;n=0&amp;q=</v>
      </c>
      <c r="K697" s="1" t="s">
        <v>917</v>
      </c>
      <c r="L697" s="1" t="str">
        <f>VLOOKUP(A697,Folha2!$A$2:$B$2019,2,FALSE)</f>
        <v>Os Lusiadas. - Rio de Janeiro : Gabinete Portuguez de Leitura, 1880. Sem argumentos; o prólogo fala sobre a vida do Poeta e a sua índole.</v>
      </c>
      <c r="M697" s="12" t="str">
        <f t="shared" si="21"/>
        <v>https://permalinkbnd.bnportugal.gov.pt/viewer/273944/?offset=#page=273&amp;viewer=picture&amp;o=info&amp;n=0&amp;q=</v>
      </c>
      <c r="N697" s="12" t="s">
        <v>1497</v>
      </c>
      <c r="O697" s="12" t="str">
        <f>CONCATENATE(N697,A697,"\",B697,"\",C697,".jpg")</f>
        <v>C:\Users\mbaptista\OneDrive - Biblioteca Nacional de Portugal\Documentos\python\camoniana\imagens\capas\98840\1\273.jpg</v>
      </c>
      <c r="P697" s="12" t="str">
        <f>HYPERLINK(O697)</f>
        <v>C:\Users\mbaptista\OneDrive - Biblioteca Nacional de Portugal\Documentos\python\camoniana\imagens\capas\98840\1\273.jpg</v>
      </c>
      <c r="Q697" s="12"/>
      <c r="R697" s="6" t="s">
        <v>926</v>
      </c>
      <c r="S697" s="4"/>
      <c r="T697" s="1" t="s">
        <v>918</v>
      </c>
      <c r="U697" s="13"/>
      <c r="V697" s="13"/>
      <c r="W697" s="5" t="s">
        <v>1491</v>
      </c>
    </row>
    <row r="698" spans="1:23" ht="75">
      <c r="A698" s="1">
        <v>98840</v>
      </c>
      <c r="B698" s="1">
        <v>1</v>
      </c>
      <c r="C698" s="1">
        <v>306</v>
      </c>
      <c r="D698" s="2" t="s">
        <v>916</v>
      </c>
      <c r="E698" s="5" t="s">
        <v>916</v>
      </c>
      <c r="F698" s="5">
        <v>273944</v>
      </c>
      <c r="G698" s="2" t="s">
        <v>1494</v>
      </c>
      <c r="H698" s="2" t="s">
        <v>1495</v>
      </c>
      <c r="I698" s="2" t="s">
        <v>1496</v>
      </c>
      <c r="J698" s="2" t="str">
        <f t="shared" si="20"/>
        <v>https://permalinkbnd.bnportugal.gov.pt/viewer/273944/?offset=#page=306&amp;viewer=picture&amp;o=info&amp;n=0&amp;q=</v>
      </c>
      <c r="K698" s="1" t="s">
        <v>917</v>
      </c>
      <c r="L698" s="1" t="str">
        <f>VLOOKUP(A698,Folha2!$A$2:$B$2019,2,FALSE)</f>
        <v>Os Lusiadas. - Rio de Janeiro : Gabinete Portuguez de Leitura, 1880. Sem argumentos; o prólogo fala sobre a vida do Poeta e a sua índole.</v>
      </c>
      <c r="M698" s="12" t="str">
        <f t="shared" si="21"/>
        <v>https://permalinkbnd.bnportugal.gov.pt/viewer/273944/?offset=#page=306&amp;viewer=picture&amp;o=info&amp;n=0&amp;q=</v>
      </c>
      <c r="N698" s="12" t="s">
        <v>1497</v>
      </c>
      <c r="O698" s="12" t="str">
        <f>CONCATENATE(N698,A698,"\",B698,"\",C698,".jpg")</f>
        <v>C:\Users\mbaptista\OneDrive - Biblioteca Nacional de Portugal\Documentos\python\camoniana\imagens\capas\98840\1\306.jpg</v>
      </c>
      <c r="P698" s="12" t="str">
        <f>HYPERLINK(O698)</f>
        <v>C:\Users\mbaptista\OneDrive - Biblioteca Nacional de Portugal\Documentos\python\camoniana\imagens\capas\98840\1\306.jpg</v>
      </c>
      <c r="Q698" s="12"/>
      <c r="R698" s="6" t="s">
        <v>927</v>
      </c>
      <c r="S698" s="4"/>
      <c r="T698" s="1" t="s">
        <v>918</v>
      </c>
      <c r="U698" s="13"/>
      <c r="V698" s="13"/>
      <c r="W698" s="5" t="s">
        <v>1491</v>
      </c>
    </row>
    <row r="699" spans="1:23" ht="75">
      <c r="A699" s="1">
        <v>98840</v>
      </c>
      <c r="B699" s="1">
        <v>1</v>
      </c>
      <c r="C699" s="1">
        <v>309</v>
      </c>
      <c r="D699" s="2" t="s">
        <v>916</v>
      </c>
      <c r="E699" s="11" t="s">
        <v>916</v>
      </c>
      <c r="F699" s="11">
        <v>273944</v>
      </c>
      <c r="G699" s="2" t="s">
        <v>1494</v>
      </c>
      <c r="H699" s="2" t="s">
        <v>1495</v>
      </c>
      <c r="I699" s="2" t="s">
        <v>1496</v>
      </c>
      <c r="J699" s="2" t="str">
        <f t="shared" si="20"/>
        <v>https://permalinkbnd.bnportugal.gov.pt/viewer/273944/?offset=#page=309&amp;viewer=picture&amp;o=info&amp;n=0&amp;q=</v>
      </c>
      <c r="K699" s="1" t="s">
        <v>917</v>
      </c>
      <c r="L699" s="1" t="str">
        <f>VLOOKUP(A699,Folha2!$A$2:$B$2019,2,FALSE)</f>
        <v>Os Lusiadas. - Rio de Janeiro : Gabinete Portuguez de Leitura, 1880. Sem argumentos; o prólogo fala sobre a vida do Poeta e a sua índole.</v>
      </c>
      <c r="M699" s="12" t="str">
        <f t="shared" si="21"/>
        <v>https://permalinkbnd.bnportugal.gov.pt/viewer/273944/?offset=#page=309&amp;viewer=picture&amp;o=info&amp;n=0&amp;q=</v>
      </c>
      <c r="N699" s="12" t="s">
        <v>1497</v>
      </c>
      <c r="O699" s="12" t="str">
        <f>CONCATENATE(N699,A699,"\",B699,"\",C699,".jpg")</f>
        <v>C:\Users\mbaptista\OneDrive - Biblioteca Nacional de Portugal\Documentos\python\camoniana\imagens\capas\98840\1\309.jpg</v>
      </c>
      <c r="P699" s="12" t="str">
        <f>HYPERLINK(O699)</f>
        <v>C:\Users\mbaptista\OneDrive - Biblioteca Nacional de Portugal\Documentos\python\camoniana\imagens\capas\98840\1\309.jpg</v>
      </c>
      <c r="Q699" s="12"/>
      <c r="R699" s="6" t="s">
        <v>928</v>
      </c>
      <c r="S699" s="4"/>
      <c r="T699" s="1" t="s">
        <v>918</v>
      </c>
      <c r="U699" s="13"/>
      <c r="V699" s="13"/>
      <c r="W699" s="5" t="s">
        <v>1491</v>
      </c>
    </row>
    <row r="700" spans="1:23" ht="75">
      <c r="A700" s="1">
        <v>98840</v>
      </c>
      <c r="B700" s="1">
        <v>1</v>
      </c>
      <c r="C700" s="1">
        <v>342</v>
      </c>
      <c r="D700" s="2" t="s">
        <v>916</v>
      </c>
      <c r="E700" s="5" t="s">
        <v>916</v>
      </c>
      <c r="F700" s="5">
        <v>273944</v>
      </c>
      <c r="G700" s="2" t="s">
        <v>1494</v>
      </c>
      <c r="H700" s="2" t="s">
        <v>1495</v>
      </c>
      <c r="I700" s="2" t="s">
        <v>1496</v>
      </c>
      <c r="J700" s="2" t="str">
        <f t="shared" si="20"/>
        <v>https://permalinkbnd.bnportugal.gov.pt/viewer/273944/?offset=#page=342&amp;viewer=picture&amp;o=info&amp;n=0&amp;q=</v>
      </c>
      <c r="K700" s="1" t="s">
        <v>917</v>
      </c>
      <c r="L700" s="1" t="str">
        <f>VLOOKUP(A700,Folha2!$A$2:$B$2019,2,FALSE)</f>
        <v>Os Lusiadas. - Rio de Janeiro : Gabinete Portuguez de Leitura, 1880. Sem argumentos; o prólogo fala sobre a vida do Poeta e a sua índole.</v>
      </c>
      <c r="M700" s="12" t="str">
        <f t="shared" si="21"/>
        <v>https://permalinkbnd.bnportugal.gov.pt/viewer/273944/?offset=#page=342&amp;viewer=picture&amp;o=info&amp;n=0&amp;q=</v>
      </c>
      <c r="N700" s="12" t="s">
        <v>1497</v>
      </c>
      <c r="O700" s="12" t="str">
        <f>CONCATENATE(N700,A700,"\",B700,"\",C700,".jpg")</f>
        <v>C:\Users\mbaptista\OneDrive - Biblioteca Nacional de Portugal\Documentos\python\camoniana\imagens\capas\98840\1\342.jpg</v>
      </c>
      <c r="P700" s="12" t="str">
        <f>HYPERLINK(O700)</f>
        <v>C:\Users\mbaptista\OneDrive - Biblioteca Nacional de Portugal\Documentos\python\camoniana\imagens\capas\98840\1\342.jpg</v>
      </c>
      <c r="Q700" s="12"/>
      <c r="R700" s="6" t="s">
        <v>929</v>
      </c>
      <c r="S700" s="4"/>
      <c r="T700" s="1" t="s">
        <v>918</v>
      </c>
      <c r="U700" s="13"/>
      <c r="V700" s="13"/>
      <c r="W700" s="5" t="s">
        <v>1491</v>
      </c>
    </row>
    <row r="701" spans="1:23" ht="75">
      <c r="A701" s="1">
        <v>98840</v>
      </c>
      <c r="B701" s="1">
        <v>1</v>
      </c>
      <c r="C701" s="1">
        <v>345</v>
      </c>
      <c r="D701" s="2" t="s">
        <v>916</v>
      </c>
      <c r="E701" s="11" t="s">
        <v>916</v>
      </c>
      <c r="F701" s="11">
        <v>273944</v>
      </c>
      <c r="G701" s="2" t="s">
        <v>1494</v>
      </c>
      <c r="H701" s="2" t="s">
        <v>1495</v>
      </c>
      <c r="I701" s="2" t="s">
        <v>1496</v>
      </c>
      <c r="J701" s="2" t="str">
        <f t="shared" si="20"/>
        <v>https://permalinkbnd.bnportugal.gov.pt/viewer/273944/?offset=#page=345&amp;viewer=picture&amp;o=info&amp;n=0&amp;q=</v>
      </c>
      <c r="K701" s="1" t="s">
        <v>917</v>
      </c>
      <c r="L701" s="1" t="str">
        <f>VLOOKUP(A701,Folha2!$A$2:$B$2019,2,FALSE)</f>
        <v>Os Lusiadas. - Rio de Janeiro : Gabinete Portuguez de Leitura, 1880. Sem argumentos; o prólogo fala sobre a vida do Poeta e a sua índole.</v>
      </c>
      <c r="M701" s="12" t="str">
        <f t="shared" si="21"/>
        <v>https://permalinkbnd.bnportugal.gov.pt/viewer/273944/?offset=#page=345&amp;viewer=picture&amp;o=info&amp;n=0&amp;q=</v>
      </c>
      <c r="N701" s="12" t="s">
        <v>1497</v>
      </c>
      <c r="O701" s="12" t="str">
        <f>CONCATENATE(N701,A701,"\",B701,"\",C701,".jpg")</f>
        <v>C:\Users\mbaptista\OneDrive - Biblioteca Nacional de Portugal\Documentos\python\camoniana\imagens\capas\98840\1\345.jpg</v>
      </c>
      <c r="P701" s="12" t="str">
        <f>HYPERLINK(O701)</f>
        <v>C:\Users\mbaptista\OneDrive - Biblioteca Nacional de Portugal\Documentos\python\camoniana\imagens\capas\98840\1\345.jpg</v>
      </c>
      <c r="Q701" s="12"/>
      <c r="R701" s="6" t="s">
        <v>930</v>
      </c>
      <c r="S701" s="4"/>
      <c r="T701" s="1" t="s">
        <v>918</v>
      </c>
      <c r="U701" s="13"/>
      <c r="V701" s="13"/>
      <c r="W701" s="5" t="s">
        <v>1491</v>
      </c>
    </row>
    <row r="702" spans="1:23" ht="75">
      <c r="A702" s="1">
        <v>98840</v>
      </c>
      <c r="B702" s="1">
        <v>1</v>
      </c>
      <c r="C702" s="1">
        <v>374</v>
      </c>
      <c r="D702" s="2" t="s">
        <v>916</v>
      </c>
      <c r="E702" s="5" t="s">
        <v>916</v>
      </c>
      <c r="F702" s="5">
        <v>273944</v>
      </c>
      <c r="G702" s="2" t="s">
        <v>1494</v>
      </c>
      <c r="H702" s="2" t="s">
        <v>1495</v>
      </c>
      <c r="I702" s="2" t="s">
        <v>1496</v>
      </c>
      <c r="J702" s="2" t="str">
        <f t="shared" si="20"/>
        <v>https://permalinkbnd.bnportugal.gov.pt/viewer/273944/?offset=#page=374&amp;viewer=picture&amp;o=info&amp;n=0&amp;q=</v>
      </c>
      <c r="K702" s="1" t="s">
        <v>917</v>
      </c>
      <c r="L702" s="1" t="str">
        <f>VLOOKUP(A702,Folha2!$A$2:$B$2019,2,FALSE)</f>
        <v>Os Lusiadas. - Rio de Janeiro : Gabinete Portuguez de Leitura, 1880. Sem argumentos; o prólogo fala sobre a vida do Poeta e a sua índole.</v>
      </c>
      <c r="M702" s="12" t="str">
        <f t="shared" si="21"/>
        <v>https://permalinkbnd.bnportugal.gov.pt/viewer/273944/?offset=#page=374&amp;viewer=picture&amp;o=info&amp;n=0&amp;q=</v>
      </c>
      <c r="N702" s="12" t="s">
        <v>1497</v>
      </c>
      <c r="O702" s="12" t="str">
        <f>CONCATENATE(N702,A702,"\",B702,"\",C702,".jpg")</f>
        <v>C:\Users\mbaptista\OneDrive - Biblioteca Nacional de Portugal\Documentos\python\camoniana\imagens\capas\98840\1\374.jpg</v>
      </c>
      <c r="P702" s="12" t="str">
        <f>HYPERLINK(O702)</f>
        <v>C:\Users\mbaptista\OneDrive - Biblioteca Nacional de Portugal\Documentos\python\camoniana\imagens\capas\98840\1\374.jpg</v>
      </c>
      <c r="Q702" s="12"/>
      <c r="R702" s="6" t="s">
        <v>931</v>
      </c>
      <c r="S702" s="4"/>
      <c r="T702" s="1" t="s">
        <v>918</v>
      </c>
      <c r="U702" s="13"/>
      <c r="V702" s="13"/>
      <c r="W702" s="5" t="s">
        <v>1491</v>
      </c>
    </row>
    <row r="703" spans="1:23" ht="75">
      <c r="A703" s="1">
        <v>98840</v>
      </c>
      <c r="B703" s="1">
        <v>1</v>
      </c>
      <c r="C703" s="1">
        <v>377</v>
      </c>
      <c r="D703" s="2" t="s">
        <v>916</v>
      </c>
      <c r="E703" s="11" t="s">
        <v>916</v>
      </c>
      <c r="F703" s="11">
        <v>273944</v>
      </c>
      <c r="G703" s="2" t="s">
        <v>1494</v>
      </c>
      <c r="H703" s="2" t="s">
        <v>1495</v>
      </c>
      <c r="I703" s="2" t="s">
        <v>1496</v>
      </c>
      <c r="J703" s="2" t="str">
        <f t="shared" si="20"/>
        <v>https://permalinkbnd.bnportugal.gov.pt/viewer/273944/?offset=#page=377&amp;viewer=picture&amp;o=info&amp;n=0&amp;q=</v>
      </c>
      <c r="K703" s="1" t="s">
        <v>917</v>
      </c>
      <c r="L703" s="1" t="str">
        <f>VLOOKUP(A703,Folha2!$A$2:$B$2019,2,FALSE)</f>
        <v>Os Lusiadas. - Rio de Janeiro : Gabinete Portuguez de Leitura, 1880. Sem argumentos; o prólogo fala sobre a vida do Poeta e a sua índole.</v>
      </c>
      <c r="M703" s="12" t="str">
        <f t="shared" si="21"/>
        <v>https://permalinkbnd.bnportugal.gov.pt/viewer/273944/?offset=#page=377&amp;viewer=picture&amp;o=info&amp;n=0&amp;q=</v>
      </c>
      <c r="N703" s="12" t="s">
        <v>1497</v>
      </c>
      <c r="O703" s="12" t="str">
        <f>CONCATENATE(N703,A703,"\",B703,"\",C703,".jpg")</f>
        <v>C:\Users\mbaptista\OneDrive - Biblioteca Nacional de Portugal\Documentos\python\camoniana\imagens\capas\98840\1\377.jpg</v>
      </c>
      <c r="P703" s="12" t="str">
        <f>HYPERLINK(O703)</f>
        <v>C:\Users\mbaptista\OneDrive - Biblioteca Nacional de Portugal\Documentos\python\camoniana\imagens\capas\98840\1\377.jpg</v>
      </c>
      <c r="Q703" s="12"/>
      <c r="R703" s="6" t="s">
        <v>932</v>
      </c>
      <c r="S703" s="4"/>
      <c r="T703" s="1" t="s">
        <v>918</v>
      </c>
      <c r="U703" s="13"/>
      <c r="V703" s="13"/>
      <c r="W703" s="5" t="s">
        <v>1491</v>
      </c>
    </row>
    <row r="704" spans="1:23" ht="75">
      <c r="A704" s="1">
        <v>98840</v>
      </c>
      <c r="B704" s="1">
        <v>1</v>
      </c>
      <c r="C704" s="1">
        <v>410</v>
      </c>
      <c r="D704" s="2" t="s">
        <v>916</v>
      </c>
      <c r="E704" s="5" t="s">
        <v>916</v>
      </c>
      <c r="F704" s="5">
        <v>273944</v>
      </c>
      <c r="G704" s="2" t="s">
        <v>1494</v>
      </c>
      <c r="H704" s="2" t="s">
        <v>1495</v>
      </c>
      <c r="I704" s="2" t="s">
        <v>1496</v>
      </c>
      <c r="J704" s="2" t="str">
        <f t="shared" si="20"/>
        <v>https://permalinkbnd.bnportugal.gov.pt/viewer/273944/?offset=#page=410&amp;viewer=picture&amp;o=info&amp;n=0&amp;q=</v>
      </c>
      <c r="K704" s="1" t="s">
        <v>917</v>
      </c>
      <c r="L704" s="1" t="str">
        <f>VLOOKUP(A704,Folha2!$A$2:$B$2019,2,FALSE)</f>
        <v>Os Lusiadas. - Rio de Janeiro : Gabinete Portuguez de Leitura, 1880. Sem argumentos; o prólogo fala sobre a vida do Poeta e a sua índole.</v>
      </c>
      <c r="M704" s="12" t="str">
        <f t="shared" si="21"/>
        <v>https://permalinkbnd.bnportugal.gov.pt/viewer/273944/?offset=#page=410&amp;viewer=picture&amp;o=info&amp;n=0&amp;q=</v>
      </c>
      <c r="N704" s="12" t="s">
        <v>1497</v>
      </c>
      <c r="O704" s="12" t="str">
        <f>CONCATENATE(N704,A704,"\",B704,"\",C704,".jpg")</f>
        <v>C:\Users\mbaptista\OneDrive - Biblioteca Nacional de Portugal\Documentos\python\camoniana\imagens\capas\98840\1\410.jpg</v>
      </c>
      <c r="P704" s="12" t="str">
        <f>HYPERLINK(O704)</f>
        <v>C:\Users\mbaptista\OneDrive - Biblioteca Nacional de Portugal\Documentos\python\camoniana\imagens\capas\98840\1\410.jpg</v>
      </c>
      <c r="Q704" s="12"/>
      <c r="R704" s="6" t="s">
        <v>933</v>
      </c>
      <c r="S704" s="4"/>
      <c r="T704" s="1" t="s">
        <v>918</v>
      </c>
      <c r="U704" s="13"/>
      <c r="V704" s="13"/>
      <c r="W704" s="5" t="s">
        <v>1491</v>
      </c>
    </row>
    <row r="705" spans="1:23" ht="75">
      <c r="A705" s="1">
        <v>98840</v>
      </c>
      <c r="B705" s="1">
        <v>1</v>
      </c>
      <c r="C705" s="1">
        <v>413</v>
      </c>
      <c r="D705" s="2" t="s">
        <v>916</v>
      </c>
      <c r="E705" s="11" t="s">
        <v>916</v>
      </c>
      <c r="F705" s="11">
        <v>273944</v>
      </c>
      <c r="G705" s="2" t="s">
        <v>1494</v>
      </c>
      <c r="H705" s="2" t="s">
        <v>1495</v>
      </c>
      <c r="I705" s="2" t="s">
        <v>1496</v>
      </c>
      <c r="J705" s="2" t="str">
        <f t="shared" si="20"/>
        <v>https://permalinkbnd.bnportugal.gov.pt/viewer/273944/?offset=#page=413&amp;viewer=picture&amp;o=info&amp;n=0&amp;q=</v>
      </c>
      <c r="K705" s="1" t="s">
        <v>917</v>
      </c>
      <c r="L705" s="1" t="str">
        <f>VLOOKUP(A705,Folha2!$A$2:$B$2019,2,FALSE)</f>
        <v>Os Lusiadas. - Rio de Janeiro : Gabinete Portuguez de Leitura, 1880. Sem argumentos; o prólogo fala sobre a vida do Poeta e a sua índole.</v>
      </c>
      <c r="M705" s="12" t="str">
        <f t="shared" si="21"/>
        <v>https://permalinkbnd.bnportugal.gov.pt/viewer/273944/?offset=#page=413&amp;viewer=picture&amp;o=info&amp;n=0&amp;q=</v>
      </c>
      <c r="N705" s="12" t="s">
        <v>1497</v>
      </c>
      <c r="O705" s="12" t="str">
        <f>CONCATENATE(N705,A705,"\",B705,"\",C705,".jpg")</f>
        <v>C:\Users\mbaptista\OneDrive - Biblioteca Nacional de Portugal\Documentos\python\camoniana\imagens\capas\98840\1\413.jpg</v>
      </c>
      <c r="P705" s="12" t="str">
        <f>HYPERLINK(O705)</f>
        <v>C:\Users\mbaptista\OneDrive - Biblioteca Nacional de Portugal\Documentos\python\camoniana\imagens\capas\98840\1\413.jpg</v>
      </c>
      <c r="Q705" s="12"/>
      <c r="R705" s="6" t="s">
        <v>934</v>
      </c>
      <c r="S705" s="4"/>
      <c r="T705" s="1" t="s">
        <v>918</v>
      </c>
      <c r="U705" s="13"/>
      <c r="V705" s="13"/>
      <c r="W705" s="5" t="s">
        <v>1491</v>
      </c>
    </row>
    <row r="706" spans="1:23" ht="75">
      <c r="A706" s="1">
        <v>98840</v>
      </c>
      <c r="B706" s="1">
        <v>1</v>
      </c>
      <c r="C706" s="1">
        <v>447</v>
      </c>
      <c r="D706" s="2" t="s">
        <v>916</v>
      </c>
      <c r="E706" s="5" t="s">
        <v>916</v>
      </c>
      <c r="F706" s="5">
        <v>273944</v>
      </c>
      <c r="G706" s="2" t="s">
        <v>1494</v>
      </c>
      <c r="H706" s="2" t="s">
        <v>1495</v>
      </c>
      <c r="I706" s="2" t="s">
        <v>1496</v>
      </c>
      <c r="J706" s="2" t="str">
        <f t="shared" ref="J706:J769" si="22">CONCATENATE(G706,F706,H706,C706,I706)</f>
        <v>https://permalinkbnd.bnportugal.gov.pt/viewer/273944/?offset=#page=447&amp;viewer=picture&amp;o=info&amp;n=0&amp;q=</v>
      </c>
      <c r="K706" s="1" t="s">
        <v>917</v>
      </c>
      <c r="L706" s="1" t="str">
        <f>VLOOKUP(A706,Folha2!$A$2:$B$2019,2,FALSE)</f>
        <v>Os Lusiadas. - Rio de Janeiro : Gabinete Portuguez de Leitura, 1880. Sem argumentos; o prólogo fala sobre a vida do Poeta e a sua índole.</v>
      </c>
      <c r="M706" s="12" t="str">
        <f t="shared" ref="M706:M769" si="23">HYPERLINK(J706)</f>
        <v>https://permalinkbnd.bnportugal.gov.pt/viewer/273944/?offset=#page=447&amp;viewer=picture&amp;o=info&amp;n=0&amp;q=</v>
      </c>
      <c r="N706" s="12" t="s">
        <v>1497</v>
      </c>
      <c r="O706" s="12" t="str">
        <f>CONCATENATE(N706,A706,"\",B706,"\",C706,".jpg")</f>
        <v>C:\Users\mbaptista\OneDrive - Biblioteca Nacional de Portugal\Documentos\python\camoniana\imagens\capas\98840\1\447.jpg</v>
      </c>
      <c r="P706" s="12" t="str">
        <f>HYPERLINK(O706)</f>
        <v>C:\Users\mbaptista\OneDrive - Biblioteca Nacional de Portugal\Documentos\python\camoniana\imagens\capas\98840\1\447.jpg</v>
      </c>
      <c r="Q706" s="12"/>
      <c r="R706" s="6" t="s">
        <v>935</v>
      </c>
      <c r="S706" s="4"/>
      <c r="T706" s="1" t="s">
        <v>918</v>
      </c>
      <c r="U706" s="13"/>
      <c r="V706" s="13"/>
      <c r="W706" s="5" t="s">
        <v>1491</v>
      </c>
    </row>
    <row r="707" spans="1:23" ht="75">
      <c r="A707" s="1">
        <v>98840</v>
      </c>
      <c r="B707" s="1">
        <v>1</v>
      </c>
      <c r="C707" s="1">
        <v>499</v>
      </c>
      <c r="D707" s="2" t="s">
        <v>916</v>
      </c>
      <c r="E707" s="11" t="s">
        <v>916</v>
      </c>
      <c r="F707" s="11">
        <v>273944</v>
      </c>
      <c r="G707" s="2" t="s">
        <v>1494</v>
      </c>
      <c r="H707" s="2" t="s">
        <v>1495</v>
      </c>
      <c r="I707" s="2" t="s">
        <v>1496</v>
      </c>
      <c r="J707" s="2" t="str">
        <f t="shared" si="22"/>
        <v>https://permalinkbnd.bnportugal.gov.pt/viewer/273944/?offset=#page=499&amp;viewer=picture&amp;o=info&amp;n=0&amp;q=</v>
      </c>
      <c r="K707" s="1" t="s">
        <v>917</v>
      </c>
      <c r="L707" s="1" t="str">
        <f>VLOOKUP(A707,Folha2!$A$2:$B$2019,2,FALSE)</f>
        <v>Os Lusiadas. - Rio de Janeiro : Gabinete Portuguez de Leitura, 1880. Sem argumentos; o prólogo fala sobre a vida do Poeta e a sua índole.</v>
      </c>
      <c r="M707" s="12" t="str">
        <f t="shared" si="23"/>
        <v>https://permalinkbnd.bnportugal.gov.pt/viewer/273944/?offset=#page=499&amp;viewer=picture&amp;o=info&amp;n=0&amp;q=</v>
      </c>
      <c r="N707" s="12" t="s">
        <v>1497</v>
      </c>
      <c r="O707" s="12" t="str">
        <f>CONCATENATE(N707,A707,"\",B707,"\",C707,".jpg")</f>
        <v>C:\Users\mbaptista\OneDrive - Biblioteca Nacional de Portugal\Documentos\python\camoniana\imagens\capas\98840\1\499.jpg</v>
      </c>
      <c r="P707" s="12" t="str">
        <f>HYPERLINK(O707)</f>
        <v>C:\Users\mbaptista\OneDrive - Biblioteca Nacional de Portugal\Documentos\python\camoniana\imagens\capas\98840\1\499.jpg</v>
      </c>
      <c r="Q707" s="12"/>
      <c r="R707" s="6" t="s">
        <v>936</v>
      </c>
      <c r="S707" s="4"/>
      <c r="T707" s="1" t="s">
        <v>918</v>
      </c>
      <c r="U707" s="13"/>
      <c r="V707" s="13"/>
      <c r="W707" s="5" t="s">
        <v>1491</v>
      </c>
    </row>
    <row r="708" spans="1:23" ht="75">
      <c r="A708" s="1">
        <v>224027</v>
      </c>
      <c r="B708" s="1">
        <v>1</v>
      </c>
      <c r="C708" s="1">
        <v>7</v>
      </c>
      <c r="D708" s="2" t="s">
        <v>937</v>
      </c>
      <c r="E708" s="5" t="s">
        <v>937</v>
      </c>
      <c r="F708" s="5">
        <v>14663</v>
      </c>
      <c r="G708" s="2" t="s">
        <v>1494</v>
      </c>
      <c r="H708" s="2" t="s">
        <v>1495</v>
      </c>
      <c r="I708" s="2" t="s">
        <v>1496</v>
      </c>
      <c r="J708" s="2" t="str">
        <f t="shared" si="22"/>
        <v>https://permalinkbnd.bnportugal.gov.pt/viewer/14663/?offset=#page=7&amp;viewer=picture&amp;o=info&amp;n=0&amp;q=</v>
      </c>
      <c r="K708" s="1" t="s">
        <v>318</v>
      </c>
      <c r="L708" s="1" t="str">
        <f>VLOOKUP(A708,Folha2!$A$2:$B$2019,2,FALSE)</f>
        <v>Los Lusiadas / de Luys de Camoes ; traduzidos en octaua rima Castellana por Benito Caldera, residente en Corte. - Impresso en Alcala de Henares : por Iua[n] Gracian, 1580. Cantos numerados manualmente e completos, sem paginação.</v>
      </c>
      <c r="M708" s="12" t="str">
        <f t="shared" si="23"/>
        <v>https://permalinkbnd.bnportugal.gov.pt/viewer/14663/?offset=#page=7&amp;viewer=picture&amp;o=info&amp;n=0&amp;q=</v>
      </c>
      <c r="N708" s="12" t="s">
        <v>1497</v>
      </c>
      <c r="O708" s="12" t="str">
        <f>CONCATENATE(N708,A708,"\",B708,"\",C708,".jpg")</f>
        <v>C:\Users\mbaptista\OneDrive - Biblioteca Nacional de Portugal\Documentos\python\camoniana\imagens\capas\224027\1\7.jpg</v>
      </c>
      <c r="P708" s="12" t="str">
        <f>HYPERLINK(O708)</f>
        <v>C:\Users\mbaptista\OneDrive - Biblioteca Nacional de Portugal\Documentos\python\camoniana\imagens\capas\224027\1\7.jpg</v>
      </c>
      <c r="Q708" s="12"/>
      <c r="R708" s="6" t="s">
        <v>938</v>
      </c>
      <c r="S708" s="4"/>
      <c r="T708" s="1"/>
      <c r="U708" s="13"/>
      <c r="V708" s="13"/>
      <c r="W708" s="5" t="s">
        <v>1491</v>
      </c>
    </row>
    <row r="709" spans="1:23" ht="75">
      <c r="A709" s="1">
        <v>251973</v>
      </c>
      <c r="B709" s="1">
        <v>1</v>
      </c>
      <c r="C709" s="1">
        <v>5</v>
      </c>
      <c r="D709" s="2" t="s">
        <v>939</v>
      </c>
      <c r="E709" s="11" t="s">
        <v>939</v>
      </c>
      <c r="F709" s="11">
        <v>255848</v>
      </c>
      <c r="G709" s="2" t="s">
        <v>1494</v>
      </c>
      <c r="H709" s="2" t="s">
        <v>1495</v>
      </c>
      <c r="I709" s="2" t="s">
        <v>1496</v>
      </c>
      <c r="J709" s="2" t="str">
        <f t="shared" si="22"/>
        <v>https://permalinkbnd.bnportugal.gov.pt/viewer/255848/?offset=#page=5&amp;viewer=picture&amp;o=info&amp;n=0&amp;q=</v>
      </c>
      <c r="K709" s="1" t="s">
        <v>940</v>
      </c>
      <c r="L709" s="1" t="str">
        <f>VLOOKUP(A709,Folha2!$A$2:$B$2019,2,FALSE)</f>
        <v>Variações camonianas / José-Augusto França ; José de Guimarães. - [Lisboa] : Imprensa Nacional- Casa da Moeda, imp.1981. consultada cópia interna.</v>
      </c>
      <c r="M709" s="12" t="str">
        <f t="shared" si="23"/>
        <v>https://permalinkbnd.bnportugal.gov.pt/viewer/255848/?offset=#page=5&amp;viewer=picture&amp;o=info&amp;n=0&amp;q=</v>
      </c>
      <c r="N709" s="12" t="s">
        <v>1497</v>
      </c>
      <c r="O709" s="12" t="str">
        <f>CONCATENATE(N709,A709,"\",B709,"\",C709,".jpg")</f>
        <v>C:\Users\mbaptista\OneDrive - Biblioteca Nacional de Portugal\Documentos\python\camoniana\imagens\capas\251973\1\5.jpg</v>
      </c>
      <c r="P709" s="12" t="str">
        <f>HYPERLINK(O709)</f>
        <v>C:\Users\mbaptista\OneDrive - Biblioteca Nacional de Portugal\Documentos\python\camoniana\imagens\capas\251973\1\5.jpg</v>
      </c>
      <c r="Q709" s="12"/>
      <c r="R709" s="6" t="s">
        <v>942</v>
      </c>
      <c r="S709" s="4"/>
      <c r="T709" s="1" t="s">
        <v>941</v>
      </c>
      <c r="U709" s="13"/>
      <c r="V709" s="13"/>
      <c r="W709" s="5" t="s">
        <v>1491</v>
      </c>
    </row>
    <row r="710" spans="1:23" ht="75">
      <c r="A710" s="1">
        <v>251973</v>
      </c>
      <c r="B710" s="1">
        <v>1</v>
      </c>
      <c r="C710" s="1">
        <v>11</v>
      </c>
      <c r="D710" s="2" t="s">
        <v>939</v>
      </c>
      <c r="E710" s="5" t="s">
        <v>939</v>
      </c>
      <c r="F710" s="5">
        <v>255848</v>
      </c>
      <c r="G710" s="2" t="s">
        <v>1494</v>
      </c>
      <c r="H710" s="2" t="s">
        <v>1495</v>
      </c>
      <c r="I710" s="2" t="s">
        <v>1496</v>
      </c>
      <c r="J710" s="2" t="str">
        <f t="shared" si="22"/>
        <v>https://permalinkbnd.bnportugal.gov.pt/viewer/255848/?offset=#page=11&amp;viewer=picture&amp;o=info&amp;n=0&amp;q=</v>
      </c>
      <c r="K710" s="1" t="s">
        <v>940</v>
      </c>
      <c r="L710" s="1" t="str">
        <f>VLOOKUP(A710,Folha2!$A$2:$B$2019,2,FALSE)</f>
        <v>Variações camonianas / José-Augusto França ; José de Guimarães. - [Lisboa] : Imprensa Nacional- Casa da Moeda, imp.1981. consultada cópia interna.</v>
      </c>
      <c r="M710" s="12" t="str">
        <f t="shared" si="23"/>
        <v>https://permalinkbnd.bnportugal.gov.pt/viewer/255848/?offset=#page=11&amp;viewer=picture&amp;o=info&amp;n=0&amp;q=</v>
      </c>
      <c r="N710" s="12" t="s">
        <v>1497</v>
      </c>
      <c r="O710" s="12" t="str">
        <f>CONCATENATE(N710,A710,"\",B710,"\",C710,".jpg")</f>
        <v>C:\Users\mbaptista\OneDrive - Biblioteca Nacional de Portugal\Documentos\python\camoniana\imagens\capas\251973\1\11.jpg</v>
      </c>
      <c r="P710" s="12" t="str">
        <f>HYPERLINK(O710)</f>
        <v>C:\Users\mbaptista\OneDrive - Biblioteca Nacional de Portugal\Documentos\python\camoniana\imagens\capas\251973\1\11.jpg</v>
      </c>
      <c r="Q710" s="12"/>
      <c r="R710" s="6" t="s">
        <v>943</v>
      </c>
      <c r="S710" s="4"/>
      <c r="T710" s="1" t="s">
        <v>941</v>
      </c>
      <c r="U710" s="13"/>
      <c r="V710" s="13"/>
      <c r="W710" s="5" t="s">
        <v>1491</v>
      </c>
    </row>
    <row r="711" spans="1:23" ht="75">
      <c r="A711" s="1">
        <v>251973</v>
      </c>
      <c r="B711" s="1">
        <v>1</v>
      </c>
      <c r="C711" s="1">
        <v>13</v>
      </c>
      <c r="D711" s="2" t="s">
        <v>939</v>
      </c>
      <c r="E711" s="11" t="s">
        <v>939</v>
      </c>
      <c r="F711" s="11">
        <v>255848</v>
      </c>
      <c r="G711" s="2" t="s">
        <v>1494</v>
      </c>
      <c r="H711" s="2" t="s">
        <v>1495</v>
      </c>
      <c r="I711" s="2" t="s">
        <v>1496</v>
      </c>
      <c r="J711" s="2" t="str">
        <f t="shared" si="22"/>
        <v>https://permalinkbnd.bnportugal.gov.pt/viewer/255848/?offset=#page=13&amp;viewer=picture&amp;o=info&amp;n=0&amp;q=</v>
      </c>
      <c r="K711" s="1" t="s">
        <v>940</v>
      </c>
      <c r="L711" s="1" t="str">
        <f>VLOOKUP(A711,Folha2!$A$2:$B$2019,2,FALSE)</f>
        <v>Variações camonianas / José-Augusto França ; José de Guimarães. - [Lisboa] : Imprensa Nacional- Casa da Moeda, imp.1981. consultada cópia interna.</v>
      </c>
      <c r="M711" s="12" t="str">
        <f t="shared" si="23"/>
        <v>https://permalinkbnd.bnportugal.gov.pt/viewer/255848/?offset=#page=13&amp;viewer=picture&amp;o=info&amp;n=0&amp;q=</v>
      </c>
      <c r="N711" s="12" t="s">
        <v>1497</v>
      </c>
      <c r="O711" s="12" t="str">
        <f>CONCATENATE(N711,A711,"\",B711,"\",C711,".jpg")</f>
        <v>C:\Users\mbaptista\OneDrive - Biblioteca Nacional de Portugal\Documentos\python\camoniana\imagens\capas\251973\1\13.jpg</v>
      </c>
      <c r="P711" s="12" t="str">
        <f>HYPERLINK(O711)</f>
        <v>C:\Users\mbaptista\OneDrive - Biblioteca Nacional de Portugal\Documentos\python\camoniana\imagens\capas\251973\1\13.jpg</v>
      </c>
      <c r="Q711" s="12"/>
      <c r="R711" s="6" t="s">
        <v>944</v>
      </c>
      <c r="S711" s="4"/>
      <c r="T711" s="1" t="s">
        <v>941</v>
      </c>
      <c r="U711" s="13"/>
      <c r="V711" s="13"/>
      <c r="W711" s="5" t="s">
        <v>1491</v>
      </c>
    </row>
    <row r="712" spans="1:23" ht="75">
      <c r="A712" s="1">
        <v>251973</v>
      </c>
      <c r="B712" s="1">
        <v>1</v>
      </c>
      <c r="C712" s="1">
        <v>15</v>
      </c>
      <c r="D712" s="2" t="s">
        <v>939</v>
      </c>
      <c r="E712" s="5" t="s">
        <v>939</v>
      </c>
      <c r="F712" s="5">
        <v>255848</v>
      </c>
      <c r="G712" s="2" t="s">
        <v>1494</v>
      </c>
      <c r="H712" s="2" t="s">
        <v>1495</v>
      </c>
      <c r="I712" s="2" t="s">
        <v>1496</v>
      </c>
      <c r="J712" s="2" t="str">
        <f t="shared" si="22"/>
        <v>https://permalinkbnd.bnportugal.gov.pt/viewer/255848/?offset=#page=15&amp;viewer=picture&amp;o=info&amp;n=0&amp;q=</v>
      </c>
      <c r="K712" s="1" t="s">
        <v>940</v>
      </c>
      <c r="L712" s="1" t="str">
        <f>VLOOKUP(A712,Folha2!$A$2:$B$2019,2,FALSE)</f>
        <v>Variações camonianas / José-Augusto França ; José de Guimarães. - [Lisboa] : Imprensa Nacional- Casa da Moeda, imp.1981. consultada cópia interna.</v>
      </c>
      <c r="M712" s="12" t="str">
        <f t="shared" si="23"/>
        <v>https://permalinkbnd.bnportugal.gov.pt/viewer/255848/?offset=#page=15&amp;viewer=picture&amp;o=info&amp;n=0&amp;q=</v>
      </c>
      <c r="N712" s="12" t="s">
        <v>1497</v>
      </c>
      <c r="O712" s="12" t="str">
        <f>CONCATENATE(N712,A712,"\",B712,"\",C712,".jpg")</f>
        <v>C:\Users\mbaptista\OneDrive - Biblioteca Nacional de Portugal\Documentos\python\camoniana\imagens\capas\251973\1\15.jpg</v>
      </c>
      <c r="P712" s="12" t="str">
        <f>HYPERLINK(O712)</f>
        <v>C:\Users\mbaptista\OneDrive - Biblioteca Nacional de Portugal\Documentos\python\camoniana\imagens\capas\251973\1\15.jpg</v>
      </c>
      <c r="Q712" s="12"/>
      <c r="R712" s="6" t="s">
        <v>945</v>
      </c>
      <c r="S712" s="4"/>
      <c r="T712" s="1" t="s">
        <v>941</v>
      </c>
      <c r="U712" s="13"/>
      <c r="V712" s="13"/>
      <c r="W712" s="5" t="s">
        <v>1491</v>
      </c>
    </row>
    <row r="713" spans="1:23" ht="75">
      <c r="A713" s="1">
        <v>251973</v>
      </c>
      <c r="B713" s="1">
        <v>1</v>
      </c>
      <c r="C713" s="1">
        <v>17</v>
      </c>
      <c r="D713" s="2" t="s">
        <v>939</v>
      </c>
      <c r="E713" s="11" t="s">
        <v>939</v>
      </c>
      <c r="F713" s="11">
        <v>255848</v>
      </c>
      <c r="G713" s="2" t="s">
        <v>1494</v>
      </c>
      <c r="H713" s="2" t="s">
        <v>1495</v>
      </c>
      <c r="I713" s="2" t="s">
        <v>1496</v>
      </c>
      <c r="J713" s="2" t="str">
        <f t="shared" si="22"/>
        <v>https://permalinkbnd.bnportugal.gov.pt/viewer/255848/?offset=#page=17&amp;viewer=picture&amp;o=info&amp;n=0&amp;q=</v>
      </c>
      <c r="K713" s="1" t="s">
        <v>940</v>
      </c>
      <c r="L713" s="1" t="str">
        <f>VLOOKUP(A713,Folha2!$A$2:$B$2019,2,FALSE)</f>
        <v>Variações camonianas / José-Augusto França ; José de Guimarães. - [Lisboa] : Imprensa Nacional- Casa da Moeda, imp.1981. consultada cópia interna.</v>
      </c>
      <c r="M713" s="12" t="str">
        <f t="shared" si="23"/>
        <v>https://permalinkbnd.bnportugal.gov.pt/viewer/255848/?offset=#page=17&amp;viewer=picture&amp;o=info&amp;n=0&amp;q=</v>
      </c>
      <c r="N713" s="12" t="s">
        <v>1497</v>
      </c>
      <c r="O713" s="12" t="str">
        <f>CONCATENATE(N713,A713,"\",B713,"\",C713,".jpg")</f>
        <v>C:\Users\mbaptista\OneDrive - Biblioteca Nacional de Portugal\Documentos\python\camoniana\imagens\capas\251973\1\17.jpg</v>
      </c>
      <c r="P713" s="12" t="str">
        <f>HYPERLINK(O713)</f>
        <v>C:\Users\mbaptista\OneDrive - Biblioteca Nacional de Portugal\Documentos\python\camoniana\imagens\capas\251973\1\17.jpg</v>
      </c>
      <c r="Q713" s="12"/>
      <c r="R713" s="6" t="s">
        <v>946</v>
      </c>
      <c r="S713" s="4"/>
      <c r="T713" s="1" t="s">
        <v>941</v>
      </c>
      <c r="U713" s="13"/>
      <c r="V713" s="13"/>
      <c r="W713" s="5" t="s">
        <v>1491</v>
      </c>
    </row>
    <row r="714" spans="1:23" ht="75">
      <c r="A714" s="1">
        <v>251973</v>
      </c>
      <c r="B714" s="1">
        <v>1</v>
      </c>
      <c r="C714" s="1">
        <v>19</v>
      </c>
      <c r="D714" s="2" t="s">
        <v>939</v>
      </c>
      <c r="E714" s="5" t="s">
        <v>939</v>
      </c>
      <c r="F714" s="5">
        <v>255848</v>
      </c>
      <c r="G714" s="2" t="s">
        <v>1494</v>
      </c>
      <c r="H714" s="2" t="s">
        <v>1495</v>
      </c>
      <c r="I714" s="2" t="s">
        <v>1496</v>
      </c>
      <c r="J714" s="2" t="str">
        <f t="shared" si="22"/>
        <v>https://permalinkbnd.bnportugal.gov.pt/viewer/255848/?offset=#page=19&amp;viewer=picture&amp;o=info&amp;n=0&amp;q=</v>
      </c>
      <c r="K714" s="1" t="s">
        <v>940</v>
      </c>
      <c r="L714" s="1" t="str">
        <f>VLOOKUP(A714,Folha2!$A$2:$B$2019,2,FALSE)</f>
        <v>Variações camonianas / José-Augusto França ; José de Guimarães. - [Lisboa] : Imprensa Nacional- Casa da Moeda, imp.1981. consultada cópia interna.</v>
      </c>
      <c r="M714" s="12" t="str">
        <f t="shared" si="23"/>
        <v>https://permalinkbnd.bnportugal.gov.pt/viewer/255848/?offset=#page=19&amp;viewer=picture&amp;o=info&amp;n=0&amp;q=</v>
      </c>
      <c r="N714" s="12" t="s">
        <v>1497</v>
      </c>
      <c r="O714" s="12" t="str">
        <f>CONCATENATE(N714,A714,"\",B714,"\",C714,".jpg")</f>
        <v>C:\Users\mbaptista\OneDrive - Biblioteca Nacional de Portugal\Documentos\python\camoniana\imagens\capas\251973\1\19.jpg</v>
      </c>
      <c r="P714" s="12" t="str">
        <f>HYPERLINK(O714)</f>
        <v>C:\Users\mbaptista\OneDrive - Biblioteca Nacional de Portugal\Documentos\python\camoniana\imagens\capas\251973\1\19.jpg</v>
      </c>
      <c r="Q714" s="12"/>
      <c r="R714" s="6" t="s">
        <v>947</v>
      </c>
      <c r="S714" s="4"/>
      <c r="T714" s="1" t="s">
        <v>941</v>
      </c>
      <c r="U714" s="13"/>
      <c r="V714" s="13"/>
      <c r="W714" s="5" t="s">
        <v>1491</v>
      </c>
    </row>
    <row r="715" spans="1:23" ht="75">
      <c r="A715" s="1">
        <v>251973</v>
      </c>
      <c r="B715" s="1">
        <v>1</v>
      </c>
      <c r="C715" s="1">
        <v>21</v>
      </c>
      <c r="D715" s="2" t="s">
        <v>939</v>
      </c>
      <c r="E715" s="11" t="s">
        <v>939</v>
      </c>
      <c r="F715" s="11">
        <v>255848</v>
      </c>
      <c r="G715" s="2" t="s">
        <v>1494</v>
      </c>
      <c r="H715" s="2" t="s">
        <v>1495</v>
      </c>
      <c r="I715" s="2" t="s">
        <v>1496</v>
      </c>
      <c r="J715" s="2" t="str">
        <f t="shared" si="22"/>
        <v>https://permalinkbnd.bnportugal.gov.pt/viewer/255848/?offset=#page=21&amp;viewer=picture&amp;o=info&amp;n=0&amp;q=</v>
      </c>
      <c r="K715" s="1" t="s">
        <v>940</v>
      </c>
      <c r="L715" s="1" t="str">
        <f>VLOOKUP(A715,Folha2!$A$2:$B$2019,2,FALSE)</f>
        <v>Variações camonianas / José-Augusto França ; José de Guimarães. - [Lisboa] : Imprensa Nacional- Casa da Moeda, imp.1981. consultada cópia interna.</v>
      </c>
      <c r="M715" s="12" t="str">
        <f t="shared" si="23"/>
        <v>https://permalinkbnd.bnportugal.gov.pt/viewer/255848/?offset=#page=21&amp;viewer=picture&amp;o=info&amp;n=0&amp;q=</v>
      </c>
      <c r="N715" s="12" t="s">
        <v>1497</v>
      </c>
      <c r="O715" s="12" t="str">
        <f>CONCATENATE(N715,A715,"\",B715,"\",C715,".jpg")</f>
        <v>C:\Users\mbaptista\OneDrive - Biblioteca Nacional de Portugal\Documentos\python\camoniana\imagens\capas\251973\1\21.jpg</v>
      </c>
      <c r="P715" s="12" t="str">
        <f>HYPERLINK(O715)</f>
        <v>C:\Users\mbaptista\OneDrive - Biblioteca Nacional de Portugal\Documentos\python\camoniana\imagens\capas\251973\1\21.jpg</v>
      </c>
      <c r="Q715" s="12"/>
      <c r="R715" s="6" t="s">
        <v>948</v>
      </c>
      <c r="S715" s="4"/>
      <c r="T715" s="1" t="s">
        <v>941</v>
      </c>
      <c r="U715" s="13"/>
      <c r="V715" s="13"/>
      <c r="W715" s="5" t="s">
        <v>1491</v>
      </c>
    </row>
    <row r="716" spans="1:23" ht="75">
      <c r="A716" s="1">
        <v>251973</v>
      </c>
      <c r="B716" s="1">
        <v>1</v>
      </c>
      <c r="C716" s="1">
        <v>23</v>
      </c>
      <c r="D716" s="2" t="s">
        <v>939</v>
      </c>
      <c r="E716" s="5" t="s">
        <v>939</v>
      </c>
      <c r="F716" s="5">
        <v>255848</v>
      </c>
      <c r="G716" s="2" t="s">
        <v>1494</v>
      </c>
      <c r="H716" s="2" t="s">
        <v>1495</v>
      </c>
      <c r="I716" s="2" t="s">
        <v>1496</v>
      </c>
      <c r="J716" s="2" t="str">
        <f t="shared" si="22"/>
        <v>https://permalinkbnd.bnportugal.gov.pt/viewer/255848/?offset=#page=23&amp;viewer=picture&amp;o=info&amp;n=0&amp;q=</v>
      </c>
      <c r="K716" s="1" t="s">
        <v>940</v>
      </c>
      <c r="L716" s="1" t="str">
        <f>VLOOKUP(A716,Folha2!$A$2:$B$2019,2,FALSE)</f>
        <v>Variações camonianas / José-Augusto França ; José de Guimarães. - [Lisboa] : Imprensa Nacional- Casa da Moeda, imp.1981. consultada cópia interna.</v>
      </c>
      <c r="M716" s="12" t="str">
        <f t="shared" si="23"/>
        <v>https://permalinkbnd.bnportugal.gov.pt/viewer/255848/?offset=#page=23&amp;viewer=picture&amp;o=info&amp;n=0&amp;q=</v>
      </c>
      <c r="N716" s="12" t="s">
        <v>1497</v>
      </c>
      <c r="O716" s="12" t="str">
        <f>CONCATENATE(N716,A716,"\",B716,"\",C716,".jpg")</f>
        <v>C:\Users\mbaptista\OneDrive - Biblioteca Nacional de Portugal\Documentos\python\camoniana\imagens\capas\251973\1\23.jpg</v>
      </c>
      <c r="P716" s="12" t="str">
        <f>HYPERLINK(O716)</f>
        <v>C:\Users\mbaptista\OneDrive - Biblioteca Nacional de Portugal\Documentos\python\camoniana\imagens\capas\251973\1\23.jpg</v>
      </c>
      <c r="Q716" s="12"/>
      <c r="R716" s="6" t="s">
        <v>949</v>
      </c>
      <c r="S716" s="4"/>
      <c r="T716" s="1" t="s">
        <v>941</v>
      </c>
      <c r="U716" s="13"/>
      <c r="V716" s="13"/>
      <c r="W716" s="5" t="s">
        <v>1491</v>
      </c>
    </row>
    <row r="717" spans="1:23" ht="75">
      <c r="A717" s="1">
        <v>251973</v>
      </c>
      <c r="B717" s="1">
        <v>1</v>
      </c>
      <c r="C717" s="1">
        <v>25</v>
      </c>
      <c r="D717" s="2" t="s">
        <v>939</v>
      </c>
      <c r="E717" s="11" t="s">
        <v>939</v>
      </c>
      <c r="F717" s="11">
        <v>255848</v>
      </c>
      <c r="G717" s="2" t="s">
        <v>1494</v>
      </c>
      <c r="H717" s="2" t="s">
        <v>1495</v>
      </c>
      <c r="I717" s="2" t="s">
        <v>1496</v>
      </c>
      <c r="J717" s="2" t="str">
        <f t="shared" si="22"/>
        <v>https://permalinkbnd.bnportugal.gov.pt/viewer/255848/?offset=#page=25&amp;viewer=picture&amp;o=info&amp;n=0&amp;q=</v>
      </c>
      <c r="K717" s="1" t="s">
        <v>940</v>
      </c>
      <c r="L717" s="1" t="str">
        <f>VLOOKUP(A717,Folha2!$A$2:$B$2019,2,FALSE)</f>
        <v>Variações camonianas / José-Augusto França ; José de Guimarães. - [Lisboa] : Imprensa Nacional- Casa da Moeda, imp.1981. consultada cópia interna.</v>
      </c>
      <c r="M717" s="12" t="str">
        <f t="shared" si="23"/>
        <v>https://permalinkbnd.bnportugal.gov.pt/viewer/255848/?offset=#page=25&amp;viewer=picture&amp;o=info&amp;n=0&amp;q=</v>
      </c>
      <c r="N717" s="12" t="s">
        <v>1497</v>
      </c>
      <c r="O717" s="12" t="str">
        <f>CONCATENATE(N717,A717,"\",B717,"\",C717,".jpg")</f>
        <v>C:\Users\mbaptista\OneDrive - Biblioteca Nacional de Portugal\Documentos\python\camoniana\imagens\capas\251973\1\25.jpg</v>
      </c>
      <c r="P717" s="12" t="str">
        <f>HYPERLINK(O717)</f>
        <v>C:\Users\mbaptista\OneDrive - Biblioteca Nacional de Portugal\Documentos\python\camoniana\imagens\capas\251973\1\25.jpg</v>
      </c>
      <c r="Q717" s="12"/>
      <c r="R717" s="6" t="s">
        <v>950</v>
      </c>
      <c r="S717" s="4"/>
      <c r="T717" s="1" t="s">
        <v>941</v>
      </c>
      <c r="U717" s="13"/>
      <c r="V717" s="13"/>
      <c r="W717" s="5" t="s">
        <v>1491</v>
      </c>
    </row>
    <row r="718" spans="1:23" ht="75">
      <c r="A718" s="1">
        <v>251973</v>
      </c>
      <c r="B718" s="1">
        <v>1</v>
      </c>
      <c r="C718" s="1">
        <v>27</v>
      </c>
      <c r="D718" s="2" t="s">
        <v>939</v>
      </c>
      <c r="E718" s="5" t="s">
        <v>939</v>
      </c>
      <c r="F718" s="5">
        <v>255848</v>
      </c>
      <c r="G718" s="2" t="s">
        <v>1494</v>
      </c>
      <c r="H718" s="2" t="s">
        <v>1495</v>
      </c>
      <c r="I718" s="2" t="s">
        <v>1496</v>
      </c>
      <c r="J718" s="2" t="str">
        <f t="shared" si="22"/>
        <v>https://permalinkbnd.bnportugal.gov.pt/viewer/255848/?offset=#page=27&amp;viewer=picture&amp;o=info&amp;n=0&amp;q=</v>
      </c>
      <c r="K718" s="1" t="s">
        <v>940</v>
      </c>
      <c r="L718" s="1" t="str">
        <f>VLOOKUP(A718,Folha2!$A$2:$B$2019,2,FALSE)</f>
        <v>Variações camonianas / José-Augusto França ; José de Guimarães. - [Lisboa] : Imprensa Nacional- Casa da Moeda, imp.1981. consultada cópia interna.</v>
      </c>
      <c r="M718" s="12" t="str">
        <f t="shared" si="23"/>
        <v>https://permalinkbnd.bnportugal.gov.pt/viewer/255848/?offset=#page=27&amp;viewer=picture&amp;o=info&amp;n=0&amp;q=</v>
      </c>
      <c r="N718" s="12" t="s">
        <v>1497</v>
      </c>
      <c r="O718" s="12" t="str">
        <f>CONCATENATE(N718,A718,"\",B718,"\",C718,".jpg")</f>
        <v>C:\Users\mbaptista\OneDrive - Biblioteca Nacional de Portugal\Documentos\python\camoniana\imagens\capas\251973\1\27.jpg</v>
      </c>
      <c r="P718" s="12" t="str">
        <f>HYPERLINK(O718)</f>
        <v>C:\Users\mbaptista\OneDrive - Biblioteca Nacional de Portugal\Documentos\python\camoniana\imagens\capas\251973\1\27.jpg</v>
      </c>
      <c r="Q718" s="12"/>
      <c r="R718" s="6" t="s">
        <v>951</v>
      </c>
      <c r="S718" s="4"/>
      <c r="T718" s="1" t="s">
        <v>941</v>
      </c>
      <c r="U718" s="13"/>
      <c r="V718" s="13"/>
      <c r="W718" s="5" t="s">
        <v>1491</v>
      </c>
    </row>
    <row r="719" spans="1:23" ht="75">
      <c r="A719" s="1">
        <v>251973</v>
      </c>
      <c r="B719" s="1">
        <v>1</v>
      </c>
      <c r="C719" s="1">
        <v>29</v>
      </c>
      <c r="D719" s="2" t="s">
        <v>939</v>
      </c>
      <c r="E719" s="11" t="s">
        <v>939</v>
      </c>
      <c r="F719" s="11">
        <v>255848</v>
      </c>
      <c r="G719" s="2" t="s">
        <v>1494</v>
      </c>
      <c r="H719" s="2" t="s">
        <v>1495</v>
      </c>
      <c r="I719" s="2" t="s">
        <v>1496</v>
      </c>
      <c r="J719" s="2" t="str">
        <f t="shared" si="22"/>
        <v>https://permalinkbnd.bnportugal.gov.pt/viewer/255848/?offset=#page=29&amp;viewer=picture&amp;o=info&amp;n=0&amp;q=</v>
      </c>
      <c r="K719" s="1" t="s">
        <v>940</v>
      </c>
      <c r="L719" s="1" t="str">
        <f>VLOOKUP(A719,Folha2!$A$2:$B$2019,2,FALSE)</f>
        <v>Variações camonianas / José-Augusto França ; José de Guimarães. - [Lisboa] : Imprensa Nacional- Casa da Moeda, imp.1981. consultada cópia interna.</v>
      </c>
      <c r="M719" s="12" t="str">
        <f t="shared" si="23"/>
        <v>https://permalinkbnd.bnportugal.gov.pt/viewer/255848/?offset=#page=29&amp;viewer=picture&amp;o=info&amp;n=0&amp;q=</v>
      </c>
      <c r="N719" s="12" t="s">
        <v>1497</v>
      </c>
      <c r="O719" s="12" t="str">
        <f>CONCATENATE(N719,A719,"\",B719,"\",C719,".jpg")</f>
        <v>C:\Users\mbaptista\OneDrive - Biblioteca Nacional de Portugal\Documentos\python\camoniana\imagens\capas\251973\1\29.jpg</v>
      </c>
      <c r="P719" s="12" t="str">
        <f>HYPERLINK(O719)</f>
        <v>C:\Users\mbaptista\OneDrive - Biblioteca Nacional de Portugal\Documentos\python\camoniana\imagens\capas\251973\1\29.jpg</v>
      </c>
      <c r="Q719" s="12"/>
      <c r="R719" s="6" t="s">
        <v>952</v>
      </c>
      <c r="S719" s="4"/>
      <c r="T719" s="1" t="s">
        <v>941</v>
      </c>
      <c r="U719" s="13"/>
      <c r="V719" s="13"/>
      <c r="W719" s="5" t="s">
        <v>1491</v>
      </c>
    </row>
    <row r="720" spans="1:23" ht="75">
      <c r="A720" s="1">
        <v>251973</v>
      </c>
      <c r="B720" s="1">
        <v>1</v>
      </c>
      <c r="C720" s="1">
        <v>31</v>
      </c>
      <c r="D720" s="2" t="s">
        <v>939</v>
      </c>
      <c r="E720" s="5" t="s">
        <v>939</v>
      </c>
      <c r="F720" s="5">
        <v>255848</v>
      </c>
      <c r="G720" s="2" t="s">
        <v>1494</v>
      </c>
      <c r="H720" s="2" t="s">
        <v>1495</v>
      </c>
      <c r="I720" s="2" t="s">
        <v>1496</v>
      </c>
      <c r="J720" s="2" t="str">
        <f t="shared" si="22"/>
        <v>https://permalinkbnd.bnportugal.gov.pt/viewer/255848/?offset=#page=31&amp;viewer=picture&amp;o=info&amp;n=0&amp;q=</v>
      </c>
      <c r="K720" s="1" t="s">
        <v>940</v>
      </c>
      <c r="L720" s="1" t="str">
        <f>VLOOKUP(A720,Folha2!$A$2:$B$2019,2,FALSE)</f>
        <v>Variações camonianas / José-Augusto França ; José de Guimarães. - [Lisboa] : Imprensa Nacional- Casa da Moeda, imp.1981. consultada cópia interna.</v>
      </c>
      <c r="M720" s="12" t="str">
        <f t="shared" si="23"/>
        <v>https://permalinkbnd.bnportugal.gov.pt/viewer/255848/?offset=#page=31&amp;viewer=picture&amp;o=info&amp;n=0&amp;q=</v>
      </c>
      <c r="N720" s="12" t="s">
        <v>1497</v>
      </c>
      <c r="O720" s="12" t="str">
        <f>CONCATENATE(N720,A720,"\",B720,"\",C720,".jpg")</f>
        <v>C:\Users\mbaptista\OneDrive - Biblioteca Nacional de Portugal\Documentos\python\camoniana\imagens\capas\251973\1\31.jpg</v>
      </c>
      <c r="P720" s="12" t="str">
        <f>HYPERLINK(O720)</f>
        <v>C:\Users\mbaptista\OneDrive - Biblioteca Nacional de Portugal\Documentos\python\camoniana\imagens\capas\251973\1\31.jpg</v>
      </c>
      <c r="Q720" s="12"/>
      <c r="R720" s="6" t="s">
        <v>953</v>
      </c>
      <c r="S720" s="4"/>
      <c r="T720" s="1" t="s">
        <v>941</v>
      </c>
      <c r="U720" s="13"/>
      <c r="V720" s="13"/>
      <c r="W720" s="5" t="s">
        <v>1491</v>
      </c>
    </row>
    <row r="721" spans="1:23" ht="75">
      <c r="A721" s="1">
        <v>251973</v>
      </c>
      <c r="B721" s="1">
        <v>1</v>
      </c>
      <c r="C721" s="1">
        <v>33</v>
      </c>
      <c r="D721" s="2" t="s">
        <v>939</v>
      </c>
      <c r="E721" s="11" t="s">
        <v>939</v>
      </c>
      <c r="F721" s="11">
        <v>255848</v>
      </c>
      <c r="G721" s="2" t="s">
        <v>1494</v>
      </c>
      <c r="H721" s="2" t="s">
        <v>1495</v>
      </c>
      <c r="I721" s="2" t="s">
        <v>1496</v>
      </c>
      <c r="J721" s="2" t="str">
        <f t="shared" si="22"/>
        <v>https://permalinkbnd.bnportugal.gov.pt/viewer/255848/?offset=#page=33&amp;viewer=picture&amp;o=info&amp;n=0&amp;q=</v>
      </c>
      <c r="K721" s="1" t="s">
        <v>940</v>
      </c>
      <c r="L721" s="1" t="str">
        <f>VLOOKUP(A721,Folha2!$A$2:$B$2019,2,FALSE)</f>
        <v>Variações camonianas / José-Augusto França ; José de Guimarães. - [Lisboa] : Imprensa Nacional- Casa da Moeda, imp.1981. consultada cópia interna.</v>
      </c>
      <c r="M721" s="12" t="str">
        <f t="shared" si="23"/>
        <v>https://permalinkbnd.bnportugal.gov.pt/viewer/255848/?offset=#page=33&amp;viewer=picture&amp;o=info&amp;n=0&amp;q=</v>
      </c>
      <c r="N721" s="12" t="s">
        <v>1497</v>
      </c>
      <c r="O721" s="12" t="str">
        <f>CONCATENATE(N721,A721,"\",B721,"\",C721,".jpg")</f>
        <v>C:\Users\mbaptista\OneDrive - Biblioteca Nacional de Portugal\Documentos\python\camoniana\imagens\capas\251973\1\33.jpg</v>
      </c>
      <c r="P721" s="12" t="str">
        <f>HYPERLINK(O721)</f>
        <v>C:\Users\mbaptista\OneDrive - Biblioteca Nacional de Portugal\Documentos\python\camoniana\imagens\capas\251973\1\33.jpg</v>
      </c>
      <c r="Q721" s="12"/>
      <c r="R721" s="6" t="s">
        <v>954</v>
      </c>
      <c r="S721" s="4"/>
      <c r="T721" s="1" t="s">
        <v>941</v>
      </c>
      <c r="U721" s="13"/>
      <c r="V721" s="13"/>
      <c r="W721" s="5" t="s">
        <v>1491</v>
      </c>
    </row>
    <row r="722" spans="1:23" ht="75">
      <c r="A722" s="1">
        <v>251973</v>
      </c>
      <c r="B722" s="1">
        <v>1</v>
      </c>
      <c r="C722" s="1">
        <v>35</v>
      </c>
      <c r="D722" s="2" t="s">
        <v>939</v>
      </c>
      <c r="E722" s="5" t="s">
        <v>939</v>
      </c>
      <c r="F722" s="5">
        <v>255848</v>
      </c>
      <c r="G722" s="2" t="s">
        <v>1494</v>
      </c>
      <c r="H722" s="2" t="s">
        <v>1495</v>
      </c>
      <c r="I722" s="2" t="s">
        <v>1496</v>
      </c>
      <c r="J722" s="2" t="str">
        <f t="shared" si="22"/>
        <v>https://permalinkbnd.bnportugal.gov.pt/viewer/255848/?offset=#page=35&amp;viewer=picture&amp;o=info&amp;n=0&amp;q=</v>
      </c>
      <c r="K722" s="1" t="s">
        <v>940</v>
      </c>
      <c r="L722" s="1" t="str">
        <f>VLOOKUP(A722,Folha2!$A$2:$B$2019,2,FALSE)</f>
        <v>Variações camonianas / José-Augusto França ; José de Guimarães. - [Lisboa] : Imprensa Nacional- Casa da Moeda, imp.1981. consultada cópia interna.</v>
      </c>
      <c r="M722" s="12" t="str">
        <f t="shared" si="23"/>
        <v>https://permalinkbnd.bnportugal.gov.pt/viewer/255848/?offset=#page=35&amp;viewer=picture&amp;o=info&amp;n=0&amp;q=</v>
      </c>
      <c r="N722" s="12" t="s">
        <v>1497</v>
      </c>
      <c r="O722" s="12" t="str">
        <f>CONCATENATE(N722,A722,"\",B722,"\",C722,".jpg")</f>
        <v>C:\Users\mbaptista\OneDrive - Biblioteca Nacional de Portugal\Documentos\python\camoniana\imagens\capas\251973\1\35.jpg</v>
      </c>
      <c r="P722" s="12" t="str">
        <f>HYPERLINK(O722)</f>
        <v>C:\Users\mbaptista\OneDrive - Biblioteca Nacional de Portugal\Documentos\python\camoniana\imagens\capas\251973\1\35.jpg</v>
      </c>
      <c r="Q722" s="12"/>
      <c r="R722" s="6" t="s">
        <v>955</v>
      </c>
      <c r="S722" s="4"/>
      <c r="T722" s="1" t="s">
        <v>941</v>
      </c>
      <c r="U722" s="13"/>
      <c r="V722" s="13"/>
      <c r="W722" s="5" t="s">
        <v>1491</v>
      </c>
    </row>
    <row r="723" spans="1:23" ht="75">
      <c r="A723" s="1">
        <v>251973</v>
      </c>
      <c r="B723" s="1">
        <v>1</v>
      </c>
      <c r="C723" s="1">
        <v>37</v>
      </c>
      <c r="D723" s="2" t="s">
        <v>939</v>
      </c>
      <c r="E723" s="11" t="s">
        <v>939</v>
      </c>
      <c r="F723" s="11">
        <v>255848</v>
      </c>
      <c r="G723" s="2" t="s">
        <v>1494</v>
      </c>
      <c r="H723" s="2" t="s">
        <v>1495</v>
      </c>
      <c r="I723" s="2" t="s">
        <v>1496</v>
      </c>
      <c r="J723" s="2" t="str">
        <f t="shared" si="22"/>
        <v>https://permalinkbnd.bnportugal.gov.pt/viewer/255848/?offset=#page=37&amp;viewer=picture&amp;o=info&amp;n=0&amp;q=</v>
      </c>
      <c r="K723" s="1" t="s">
        <v>940</v>
      </c>
      <c r="L723" s="1" t="str">
        <f>VLOOKUP(A723,Folha2!$A$2:$B$2019,2,FALSE)</f>
        <v>Variações camonianas / José-Augusto França ; José de Guimarães. - [Lisboa] : Imprensa Nacional- Casa da Moeda, imp.1981. consultada cópia interna.</v>
      </c>
      <c r="M723" s="12" t="str">
        <f t="shared" si="23"/>
        <v>https://permalinkbnd.bnportugal.gov.pt/viewer/255848/?offset=#page=37&amp;viewer=picture&amp;o=info&amp;n=0&amp;q=</v>
      </c>
      <c r="N723" s="12" t="s">
        <v>1497</v>
      </c>
      <c r="O723" s="12" t="str">
        <f>CONCATENATE(N723,A723,"\",B723,"\",C723,".jpg")</f>
        <v>C:\Users\mbaptista\OneDrive - Biblioteca Nacional de Portugal\Documentos\python\camoniana\imagens\capas\251973\1\37.jpg</v>
      </c>
      <c r="P723" s="12" t="str">
        <f>HYPERLINK(O723)</f>
        <v>C:\Users\mbaptista\OneDrive - Biblioteca Nacional de Portugal\Documentos\python\camoniana\imagens\capas\251973\1\37.jpg</v>
      </c>
      <c r="Q723" s="12"/>
      <c r="R723" s="6" t="s">
        <v>956</v>
      </c>
      <c r="S723" s="4"/>
      <c r="T723" s="1" t="s">
        <v>941</v>
      </c>
      <c r="U723" s="13"/>
      <c r="V723" s="13"/>
      <c r="W723" s="5" t="s">
        <v>1491</v>
      </c>
    </row>
    <row r="724" spans="1:23" ht="75">
      <c r="A724" s="1">
        <v>251973</v>
      </c>
      <c r="B724" s="1">
        <v>1</v>
      </c>
      <c r="C724" s="1">
        <v>39</v>
      </c>
      <c r="D724" s="2" t="s">
        <v>939</v>
      </c>
      <c r="E724" s="5" t="s">
        <v>939</v>
      </c>
      <c r="F724" s="5">
        <v>255848</v>
      </c>
      <c r="G724" s="2" t="s">
        <v>1494</v>
      </c>
      <c r="H724" s="2" t="s">
        <v>1495</v>
      </c>
      <c r="I724" s="2" t="s">
        <v>1496</v>
      </c>
      <c r="J724" s="2" t="str">
        <f t="shared" si="22"/>
        <v>https://permalinkbnd.bnportugal.gov.pt/viewer/255848/?offset=#page=39&amp;viewer=picture&amp;o=info&amp;n=0&amp;q=</v>
      </c>
      <c r="K724" s="1" t="s">
        <v>940</v>
      </c>
      <c r="L724" s="1" t="str">
        <f>VLOOKUP(A724,Folha2!$A$2:$B$2019,2,FALSE)</f>
        <v>Variações camonianas / José-Augusto França ; José de Guimarães. - [Lisboa] : Imprensa Nacional- Casa da Moeda, imp.1981. consultada cópia interna.</v>
      </c>
      <c r="M724" s="12" t="str">
        <f t="shared" si="23"/>
        <v>https://permalinkbnd.bnportugal.gov.pt/viewer/255848/?offset=#page=39&amp;viewer=picture&amp;o=info&amp;n=0&amp;q=</v>
      </c>
      <c r="N724" s="12" t="s">
        <v>1497</v>
      </c>
      <c r="O724" s="12" t="str">
        <f>CONCATENATE(N724,A724,"\",B724,"\",C724,".jpg")</f>
        <v>C:\Users\mbaptista\OneDrive - Biblioteca Nacional de Portugal\Documentos\python\camoniana\imagens\capas\251973\1\39.jpg</v>
      </c>
      <c r="P724" s="12" t="str">
        <f>HYPERLINK(O724)</f>
        <v>C:\Users\mbaptista\OneDrive - Biblioteca Nacional de Portugal\Documentos\python\camoniana\imagens\capas\251973\1\39.jpg</v>
      </c>
      <c r="Q724" s="12"/>
      <c r="R724" s="6" t="s">
        <v>957</v>
      </c>
      <c r="S724" s="4"/>
      <c r="T724" s="1" t="s">
        <v>941</v>
      </c>
      <c r="U724" s="13"/>
      <c r="V724" s="13"/>
      <c r="W724" s="5" t="s">
        <v>1491</v>
      </c>
    </row>
    <row r="725" spans="1:23" ht="75">
      <c r="A725" s="1">
        <v>251973</v>
      </c>
      <c r="B725" s="1">
        <v>1</v>
      </c>
      <c r="C725" s="1">
        <v>41</v>
      </c>
      <c r="D725" s="2" t="s">
        <v>939</v>
      </c>
      <c r="E725" s="11" t="s">
        <v>939</v>
      </c>
      <c r="F725" s="11">
        <v>255848</v>
      </c>
      <c r="G725" s="2" t="s">
        <v>1494</v>
      </c>
      <c r="H725" s="2" t="s">
        <v>1495</v>
      </c>
      <c r="I725" s="2" t="s">
        <v>1496</v>
      </c>
      <c r="J725" s="2" t="str">
        <f t="shared" si="22"/>
        <v>https://permalinkbnd.bnportugal.gov.pt/viewer/255848/?offset=#page=41&amp;viewer=picture&amp;o=info&amp;n=0&amp;q=</v>
      </c>
      <c r="K725" s="1" t="s">
        <v>940</v>
      </c>
      <c r="L725" s="1" t="str">
        <f>VLOOKUP(A725,Folha2!$A$2:$B$2019,2,FALSE)</f>
        <v>Variações camonianas / José-Augusto França ; José de Guimarães. - [Lisboa] : Imprensa Nacional- Casa da Moeda, imp.1981. consultada cópia interna.</v>
      </c>
      <c r="M725" s="12" t="str">
        <f t="shared" si="23"/>
        <v>https://permalinkbnd.bnportugal.gov.pt/viewer/255848/?offset=#page=41&amp;viewer=picture&amp;o=info&amp;n=0&amp;q=</v>
      </c>
      <c r="N725" s="12" t="s">
        <v>1497</v>
      </c>
      <c r="O725" s="12" t="str">
        <f>CONCATENATE(N725,A725,"\",B725,"\",C725,".jpg")</f>
        <v>C:\Users\mbaptista\OneDrive - Biblioteca Nacional de Portugal\Documentos\python\camoniana\imagens\capas\251973\1\41.jpg</v>
      </c>
      <c r="P725" s="12" t="str">
        <f>HYPERLINK(O725)</f>
        <v>C:\Users\mbaptista\OneDrive - Biblioteca Nacional de Portugal\Documentos\python\camoniana\imagens\capas\251973\1\41.jpg</v>
      </c>
      <c r="Q725" s="12"/>
      <c r="R725" s="6" t="s">
        <v>958</v>
      </c>
      <c r="S725" s="4"/>
      <c r="T725" s="1" t="s">
        <v>941</v>
      </c>
      <c r="U725" s="13"/>
      <c r="V725" s="13"/>
      <c r="W725" s="5" t="s">
        <v>1491</v>
      </c>
    </row>
    <row r="726" spans="1:23" ht="75">
      <c r="A726" s="1">
        <v>251973</v>
      </c>
      <c r="B726" s="1">
        <v>1</v>
      </c>
      <c r="C726" s="1">
        <v>43</v>
      </c>
      <c r="D726" s="2" t="s">
        <v>939</v>
      </c>
      <c r="E726" s="5" t="s">
        <v>939</v>
      </c>
      <c r="F726" s="5">
        <v>255848</v>
      </c>
      <c r="G726" s="2" t="s">
        <v>1494</v>
      </c>
      <c r="H726" s="2" t="s">
        <v>1495</v>
      </c>
      <c r="I726" s="2" t="s">
        <v>1496</v>
      </c>
      <c r="J726" s="2" t="str">
        <f t="shared" si="22"/>
        <v>https://permalinkbnd.bnportugal.gov.pt/viewer/255848/?offset=#page=43&amp;viewer=picture&amp;o=info&amp;n=0&amp;q=</v>
      </c>
      <c r="K726" s="1" t="s">
        <v>940</v>
      </c>
      <c r="L726" s="1" t="str">
        <f>VLOOKUP(A726,Folha2!$A$2:$B$2019,2,FALSE)</f>
        <v>Variações camonianas / José-Augusto França ; José de Guimarães. - [Lisboa] : Imprensa Nacional- Casa da Moeda, imp.1981. consultada cópia interna.</v>
      </c>
      <c r="M726" s="12" t="str">
        <f t="shared" si="23"/>
        <v>https://permalinkbnd.bnportugal.gov.pt/viewer/255848/?offset=#page=43&amp;viewer=picture&amp;o=info&amp;n=0&amp;q=</v>
      </c>
      <c r="N726" s="12" t="s">
        <v>1497</v>
      </c>
      <c r="O726" s="12" t="str">
        <f>CONCATENATE(N726,A726,"\",B726,"\",C726,".jpg")</f>
        <v>C:\Users\mbaptista\OneDrive - Biblioteca Nacional de Portugal\Documentos\python\camoniana\imagens\capas\251973\1\43.jpg</v>
      </c>
      <c r="P726" s="12" t="str">
        <f>HYPERLINK(O726)</f>
        <v>C:\Users\mbaptista\OneDrive - Biblioteca Nacional de Portugal\Documentos\python\camoniana\imagens\capas\251973\1\43.jpg</v>
      </c>
      <c r="Q726" s="12"/>
      <c r="R726" s="6" t="s">
        <v>959</v>
      </c>
      <c r="S726" s="4"/>
      <c r="T726" s="1" t="s">
        <v>941</v>
      </c>
      <c r="U726" s="13"/>
      <c r="V726" s="13"/>
      <c r="W726" s="5" t="s">
        <v>1491</v>
      </c>
    </row>
    <row r="727" spans="1:23" ht="75">
      <c r="A727" s="1">
        <v>251973</v>
      </c>
      <c r="B727" s="1">
        <v>1</v>
      </c>
      <c r="C727" s="1">
        <v>45</v>
      </c>
      <c r="D727" s="2" t="s">
        <v>939</v>
      </c>
      <c r="E727" s="11" t="s">
        <v>939</v>
      </c>
      <c r="F727" s="11">
        <v>255848</v>
      </c>
      <c r="G727" s="2" t="s">
        <v>1494</v>
      </c>
      <c r="H727" s="2" t="s">
        <v>1495</v>
      </c>
      <c r="I727" s="2" t="s">
        <v>1496</v>
      </c>
      <c r="J727" s="2" t="str">
        <f t="shared" si="22"/>
        <v>https://permalinkbnd.bnportugal.gov.pt/viewer/255848/?offset=#page=45&amp;viewer=picture&amp;o=info&amp;n=0&amp;q=</v>
      </c>
      <c r="K727" s="1" t="s">
        <v>940</v>
      </c>
      <c r="L727" s="1" t="str">
        <f>VLOOKUP(A727,Folha2!$A$2:$B$2019,2,FALSE)</f>
        <v>Variações camonianas / José-Augusto França ; José de Guimarães. - [Lisboa] : Imprensa Nacional- Casa da Moeda, imp.1981. consultada cópia interna.</v>
      </c>
      <c r="M727" s="12" t="str">
        <f t="shared" si="23"/>
        <v>https://permalinkbnd.bnportugal.gov.pt/viewer/255848/?offset=#page=45&amp;viewer=picture&amp;o=info&amp;n=0&amp;q=</v>
      </c>
      <c r="N727" s="12" t="s">
        <v>1497</v>
      </c>
      <c r="O727" s="12" t="str">
        <f>CONCATENATE(N727,A727,"\",B727,"\",C727,".jpg")</f>
        <v>C:\Users\mbaptista\OneDrive - Biblioteca Nacional de Portugal\Documentos\python\camoniana\imagens\capas\251973\1\45.jpg</v>
      </c>
      <c r="P727" s="12" t="str">
        <f>HYPERLINK(O727)</f>
        <v>C:\Users\mbaptista\OneDrive - Biblioteca Nacional de Portugal\Documentos\python\camoniana\imagens\capas\251973\1\45.jpg</v>
      </c>
      <c r="Q727" s="12"/>
      <c r="R727" s="6" t="s">
        <v>960</v>
      </c>
      <c r="S727" s="4"/>
      <c r="T727" s="1" t="s">
        <v>941</v>
      </c>
      <c r="U727" s="13"/>
      <c r="V727" s="13"/>
      <c r="W727" s="5" t="s">
        <v>1491</v>
      </c>
    </row>
    <row r="728" spans="1:23" ht="75">
      <c r="A728" s="1">
        <v>251973</v>
      </c>
      <c r="B728" s="1">
        <v>1</v>
      </c>
      <c r="C728" s="1">
        <v>47</v>
      </c>
      <c r="D728" s="2" t="s">
        <v>939</v>
      </c>
      <c r="E728" s="5" t="s">
        <v>939</v>
      </c>
      <c r="F728" s="5">
        <v>255848</v>
      </c>
      <c r="G728" s="2" t="s">
        <v>1494</v>
      </c>
      <c r="H728" s="2" t="s">
        <v>1495</v>
      </c>
      <c r="I728" s="2" t="s">
        <v>1496</v>
      </c>
      <c r="J728" s="2" t="str">
        <f t="shared" si="22"/>
        <v>https://permalinkbnd.bnportugal.gov.pt/viewer/255848/?offset=#page=47&amp;viewer=picture&amp;o=info&amp;n=0&amp;q=</v>
      </c>
      <c r="K728" s="1" t="s">
        <v>940</v>
      </c>
      <c r="L728" s="1" t="str">
        <f>VLOOKUP(A728,Folha2!$A$2:$B$2019,2,FALSE)</f>
        <v>Variações camonianas / José-Augusto França ; José de Guimarães. - [Lisboa] : Imprensa Nacional- Casa da Moeda, imp.1981. consultada cópia interna.</v>
      </c>
      <c r="M728" s="12" t="str">
        <f t="shared" si="23"/>
        <v>https://permalinkbnd.bnportugal.gov.pt/viewer/255848/?offset=#page=47&amp;viewer=picture&amp;o=info&amp;n=0&amp;q=</v>
      </c>
      <c r="N728" s="12" t="s">
        <v>1497</v>
      </c>
      <c r="O728" s="12" t="str">
        <f>CONCATENATE(N728,A728,"\",B728,"\",C728,".jpg")</f>
        <v>C:\Users\mbaptista\OneDrive - Biblioteca Nacional de Portugal\Documentos\python\camoniana\imagens\capas\251973\1\47.jpg</v>
      </c>
      <c r="P728" s="12" t="str">
        <f>HYPERLINK(O728)</f>
        <v>C:\Users\mbaptista\OneDrive - Biblioteca Nacional de Portugal\Documentos\python\camoniana\imagens\capas\251973\1\47.jpg</v>
      </c>
      <c r="Q728" s="12"/>
      <c r="R728" s="6" t="s">
        <v>961</v>
      </c>
      <c r="S728" s="4"/>
      <c r="T728" s="1" t="s">
        <v>941</v>
      </c>
      <c r="U728" s="13"/>
      <c r="V728" s="13"/>
      <c r="W728" s="5" t="s">
        <v>1491</v>
      </c>
    </row>
    <row r="729" spans="1:23" ht="75">
      <c r="A729" s="1">
        <v>251973</v>
      </c>
      <c r="B729" s="1">
        <v>1</v>
      </c>
      <c r="C729" s="1">
        <v>49</v>
      </c>
      <c r="D729" s="2" t="s">
        <v>939</v>
      </c>
      <c r="E729" s="11" t="s">
        <v>939</v>
      </c>
      <c r="F729" s="11">
        <v>255848</v>
      </c>
      <c r="G729" s="2" t="s">
        <v>1494</v>
      </c>
      <c r="H729" s="2" t="s">
        <v>1495</v>
      </c>
      <c r="I729" s="2" t="s">
        <v>1496</v>
      </c>
      <c r="J729" s="2" t="str">
        <f t="shared" si="22"/>
        <v>https://permalinkbnd.bnportugal.gov.pt/viewer/255848/?offset=#page=49&amp;viewer=picture&amp;o=info&amp;n=0&amp;q=</v>
      </c>
      <c r="K729" s="1" t="s">
        <v>940</v>
      </c>
      <c r="L729" s="1" t="str">
        <f>VLOOKUP(A729,Folha2!$A$2:$B$2019,2,FALSE)</f>
        <v>Variações camonianas / José-Augusto França ; José de Guimarães. - [Lisboa] : Imprensa Nacional- Casa da Moeda, imp.1981. consultada cópia interna.</v>
      </c>
      <c r="M729" s="12" t="str">
        <f t="shared" si="23"/>
        <v>https://permalinkbnd.bnportugal.gov.pt/viewer/255848/?offset=#page=49&amp;viewer=picture&amp;o=info&amp;n=0&amp;q=</v>
      </c>
      <c r="N729" s="12" t="s">
        <v>1497</v>
      </c>
      <c r="O729" s="12" t="str">
        <f>CONCATENATE(N729,A729,"\",B729,"\",C729,".jpg")</f>
        <v>C:\Users\mbaptista\OneDrive - Biblioteca Nacional de Portugal\Documentos\python\camoniana\imagens\capas\251973\1\49.jpg</v>
      </c>
      <c r="P729" s="12" t="str">
        <f>HYPERLINK(O729)</f>
        <v>C:\Users\mbaptista\OneDrive - Biblioteca Nacional de Portugal\Documentos\python\camoniana\imagens\capas\251973\1\49.jpg</v>
      </c>
      <c r="Q729" s="12"/>
      <c r="R729" s="6" t="s">
        <v>962</v>
      </c>
      <c r="S729" s="4"/>
      <c r="T729" s="1" t="s">
        <v>941</v>
      </c>
      <c r="U729" s="13"/>
      <c r="V729" s="13"/>
      <c r="W729" s="5" t="s">
        <v>1491</v>
      </c>
    </row>
    <row r="730" spans="1:23" ht="75">
      <c r="A730" s="1">
        <v>251973</v>
      </c>
      <c r="B730" s="1">
        <v>1</v>
      </c>
      <c r="C730" s="1">
        <v>51</v>
      </c>
      <c r="D730" s="2" t="s">
        <v>939</v>
      </c>
      <c r="E730" s="5" t="s">
        <v>939</v>
      </c>
      <c r="F730" s="5">
        <v>255848</v>
      </c>
      <c r="G730" s="2" t="s">
        <v>1494</v>
      </c>
      <c r="H730" s="2" t="s">
        <v>1495</v>
      </c>
      <c r="I730" s="2" t="s">
        <v>1496</v>
      </c>
      <c r="J730" s="2" t="str">
        <f t="shared" si="22"/>
        <v>https://permalinkbnd.bnportugal.gov.pt/viewer/255848/?offset=#page=51&amp;viewer=picture&amp;o=info&amp;n=0&amp;q=</v>
      </c>
      <c r="K730" s="1" t="s">
        <v>940</v>
      </c>
      <c r="L730" s="1" t="str">
        <f>VLOOKUP(A730,Folha2!$A$2:$B$2019,2,FALSE)</f>
        <v>Variações camonianas / José-Augusto França ; José de Guimarães. - [Lisboa] : Imprensa Nacional- Casa da Moeda, imp.1981. consultada cópia interna.</v>
      </c>
      <c r="M730" s="12" t="str">
        <f t="shared" si="23"/>
        <v>https://permalinkbnd.bnportugal.gov.pt/viewer/255848/?offset=#page=51&amp;viewer=picture&amp;o=info&amp;n=0&amp;q=</v>
      </c>
      <c r="N730" s="12" t="s">
        <v>1497</v>
      </c>
      <c r="O730" s="12" t="str">
        <f>CONCATENATE(N730,A730,"\",B730,"\",C730,".jpg")</f>
        <v>C:\Users\mbaptista\OneDrive - Biblioteca Nacional de Portugal\Documentos\python\camoniana\imagens\capas\251973\1\51.jpg</v>
      </c>
      <c r="P730" s="12" t="str">
        <f>HYPERLINK(O730)</f>
        <v>C:\Users\mbaptista\OneDrive - Biblioteca Nacional de Portugal\Documentos\python\camoniana\imagens\capas\251973\1\51.jpg</v>
      </c>
      <c r="Q730" s="12"/>
      <c r="R730" s="6" t="s">
        <v>963</v>
      </c>
      <c r="S730" s="4"/>
      <c r="T730" s="1" t="s">
        <v>941</v>
      </c>
      <c r="U730" s="13"/>
      <c r="V730" s="13"/>
      <c r="W730" s="5" t="s">
        <v>1491</v>
      </c>
    </row>
    <row r="731" spans="1:23" ht="75">
      <c r="A731" s="1">
        <v>253094</v>
      </c>
      <c r="B731" s="1">
        <v>1</v>
      </c>
      <c r="C731" s="1">
        <v>54</v>
      </c>
      <c r="D731" s="2" t="s">
        <v>964</v>
      </c>
      <c r="E731" s="11" t="s">
        <v>964</v>
      </c>
      <c r="F731" s="11">
        <v>274463</v>
      </c>
      <c r="G731" s="2" t="s">
        <v>1494</v>
      </c>
      <c r="H731" s="2" t="s">
        <v>1495</v>
      </c>
      <c r="I731" s="2" t="s">
        <v>1496</v>
      </c>
      <c r="J731" s="2" t="str">
        <f t="shared" si="22"/>
        <v>https://permalinkbnd.bnportugal.gov.pt/viewer/274463/?offset=#page=54&amp;viewer=picture&amp;o=info&amp;n=0&amp;q=</v>
      </c>
      <c r="K731" s="1" t="s">
        <v>965</v>
      </c>
      <c r="L731" s="1" t="str">
        <f>VLOOKUP(A731,Folha2!$A$2:$B$2019,2,FALSE)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1" s="12" t="str">
        <f t="shared" si="23"/>
        <v>https://permalinkbnd.bnportugal.gov.pt/viewer/274463/?offset=#page=54&amp;viewer=picture&amp;o=info&amp;n=0&amp;q=</v>
      </c>
      <c r="N731" s="12" t="s">
        <v>1497</v>
      </c>
      <c r="O731" s="12" t="str">
        <f>CONCATENATE(N731,A731,"\",B731,"\",C731,".jpg")</f>
        <v>C:\Users\mbaptista\OneDrive - Biblioteca Nacional de Portugal\Documentos\python\camoniana\imagens\capas\253094\1\54.jpg</v>
      </c>
      <c r="P731" s="12" t="str">
        <f>HYPERLINK(O731)</f>
        <v>C:\Users\mbaptista\OneDrive - Biblioteca Nacional de Portugal\Documentos\python\camoniana\imagens\capas\253094\1\54.jpg</v>
      </c>
      <c r="Q731" s="12"/>
      <c r="R731" s="6" t="s">
        <v>967</v>
      </c>
      <c r="S731" s="4"/>
      <c r="T731" s="1" t="s">
        <v>966</v>
      </c>
      <c r="U731" s="13"/>
      <c r="V731" s="13"/>
      <c r="W731" s="5" t="s">
        <v>1491</v>
      </c>
    </row>
    <row r="732" spans="1:23" ht="75">
      <c r="A732" s="1">
        <v>253094</v>
      </c>
      <c r="B732" s="1">
        <v>1</v>
      </c>
      <c r="C732" s="1">
        <v>366</v>
      </c>
      <c r="D732" s="2" t="s">
        <v>964</v>
      </c>
      <c r="E732" s="5" t="s">
        <v>964</v>
      </c>
      <c r="F732" s="5">
        <v>274463</v>
      </c>
      <c r="G732" s="2" t="s">
        <v>1494</v>
      </c>
      <c r="H732" s="2" t="s">
        <v>1495</v>
      </c>
      <c r="I732" s="2" t="s">
        <v>1496</v>
      </c>
      <c r="J732" s="2" t="str">
        <f t="shared" si="22"/>
        <v>https://permalinkbnd.bnportugal.gov.pt/viewer/274463/?offset=#page=366&amp;viewer=picture&amp;o=info&amp;n=0&amp;q=</v>
      </c>
      <c r="K732" s="1" t="s">
        <v>965</v>
      </c>
      <c r="L732" s="1" t="str">
        <f>VLOOKUP(A732,Folha2!$A$2:$B$2019,2,FALSE)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2" s="12" t="str">
        <f t="shared" si="23"/>
        <v>https://permalinkbnd.bnportugal.gov.pt/viewer/274463/?offset=#page=366&amp;viewer=picture&amp;o=info&amp;n=0&amp;q=</v>
      </c>
      <c r="N732" s="12" t="s">
        <v>1497</v>
      </c>
      <c r="O732" s="12" t="str">
        <f>CONCATENATE(N732,A732,"\",B732,"\",C732,".jpg")</f>
        <v>C:\Users\mbaptista\OneDrive - Biblioteca Nacional de Portugal\Documentos\python\camoniana\imagens\capas\253094\1\366.jpg</v>
      </c>
      <c r="P732" s="12" t="str">
        <f>HYPERLINK(O732)</f>
        <v>C:\Users\mbaptista\OneDrive - Biblioteca Nacional de Portugal\Documentos\python\camoniana\imagens\capas\253094\1\366.jpg</v>
      </c>
      <c r="Q732" s="12"/>
      <c r="R732" s="6" t="s">
        <v>968</v>
      </c>
      <c r="S732" s="4"/>
      <c r="T732" s="1" t="s">
        <v>966</v>
      </c>
      <c r="U732" s="13"/>
      <c r="V732" s="13"/>
      <c r="W732" s="5" t="s">
        <v>1491</v>
      </c>
    </row>
    <row r="733" spans="1:23" ht="75">
      <c r="A733" s="1">
        <v>258798</v>
      </c>
      <c r="B733" s="1">
        <v>1</v>
      </c>
      <c r="C733" s="1">
        <v>7</v>
      </c>
      <c r="D733" s="2" t="s">
        <v>969</v>
      </c>
      <c r="E733" s="11" t="s">
        <v>969</v>
      </c>
      <c r="F733" s="11">
        <v>14629</v>
      </c>
      <c r="G733" s="2" t="s">
        <v>1494</v>
      </c>
      <c r="H733" s="2" t="s">
        <v>1495</v>
      </c>
      <c r="I733" s="2" t="s">
        <v>1496</v>
      </c>
      <c r="J733" s="2" t="str">
        <f t="shared" si="22"/>
        <v>https://permalinkbnd.bnportugal.gov.pt/viewer/14629/?offset=#page=7&amp;viewer=picture&amp;o=info&amp;n=0&amp;q=</v>
      </c>
      <c r="K733" s="1" t="s">
        <v>970</v>
      </c>
      <c r="L733" s="1" t="str">
        <f>VLOOKUP(A733,Folha2!$A$2:$B$2019,2,FALSE)</f>
        <v>Los Lusiadas / de Luis de Camões ; segundo a ultima edicion correcta publicada por el Dr. Caetano Lopes de Moura ; traduccion de D. Manuel Aranda y Sanjuan. - Barcelona : Empresa Editorial La Ilustracion, 1874.</v>
      </c>
      <c r="M733" s="12" t="str">
        <f t="shared" si="23"/>
        <v>https://permalinkbnd.bnportugal.gov.pt/viewer/14629/?offset=#page=7&amp;viewer=picture&amp;o=info&amp;n=0&amp;q=</v>
      </c>
      <c r="N733" s="12" t="s">
        <v>1497</v>
      </c>
      <c r="O733" s="12" t="str">
        <f>CONCATENATE(N733,A733,"\",B733,"\",C733,".jpg")</f>
        <v>C:\Users\mbaptista\OneDrive - Biblioteca Nacional de Portugal\Documentos\python\camoniana\imagens\capas\258798\1\7.jpg</v>
      </c>
      <c r="P733" s="12" t="str">
        <f>HYPERLINK(O733)</f>
        <v>C:\Users\mbaptista\OneDrive - Biblioteca Nacional de Portugal\Documentos\python\camoniana\imagens\capas\258798\1\7.jpg</v>
      </c>
      <c r="Q733" s="12"/>
      <c r="R733" s="6" t="s">
        <v>972</v>
      </c>
      <c r="S733" s="4"/>
      <c r="T733" s="1" t="s">
        <v>971</v>
      </c>
      <c r="U733" s="13"/>
      <c r="V733" s="13"/>
      <c r="W733" s="5" t="s">
        <v>1491</v>
      </c>
    </row>
    <row r="734" spans="1:23" ht="75">
      <c r="A734" s="1">
        <v>258798</v>
      </c>
      <c r="B734" s="1">
        <v>1</v>
      </c>
      <c r="C734" s="1">
        <v>21</v>
      </c>
      <c r="D734" s="2" t="s">
        <v>969</v>
      </c>
      <c r="E734" s="5" t="s">
        <v>969</v>
      </c>
      <c r="F734" s="5">
        <v>14629</v>
      </c>
      <c r="G734" s="2" t="s">
        <v>1494</v>
      </c>
      <c r="H734" s="2" t="s">
        <v>1495</v>
      </c>
      <c r="I734" s="2" t="s">
        <v>1496</v>
      </c>
      <c r="J734" s="2" t="str">
        <f t="shared" si="22"/>
        <v>https://permalinkbnd.bnportugal.gov.pt/viewer/14629/?offset=#page=21&amp;viewer=picture&amp;o=info&amp;n=0&amp;q=</v>
      </c>
      <c r="K734" s="1" t="s">
        <v>970</v>
      </c>
      <c r="L734" s="1" t="str">
        <f>VLOOKUP(A734,Folha2!$A$2:$B$2019,2,FALSE)</f>
        <v>Los Lusiadas / de Luis de Camões ; segundo a ultima edicion correcta publicada por el Dr. Caetano Lopes de Moura ; traduccion de D. Manuel Aranda y Sanjuan. - Barcelona : Empresa Editorial La Ilustracion, 1874.</v>
      </c>
      <c r="M734" s="12" t="str">
        <f t="shared" si="23"/>
        <v>https://permalinkbnd.bnportugal.gov.pt/viewer/14629/?offset=#page=21&amp;viewer=picture&amp;o=info&amp;n=0&amp;q=</v>
      </c>
      <c r="N734" s="12" t="s">
        <v>1497</v>
      </c>
      <c r="O734" s="12" t="str">
        <f>CONCATENATE(N734,A734,"\",B734,"\",C734,".jpg")</f>
        <v>C:\Users\mbaptista\OneDrive - Biblioteca Nacional de Portugal\Documentos\python\camoniana\imagens\capas\258798\1\21.jpg</v>
      </c>
      <c r="P734" s="12" t="str">
        <f>HYPERLINK(O734)</f>
        <v>C:\Users\mbaptista\OneDrive - Biblioteca Nacional de Portugal\Documentos\python\camoniana\imagens\capas\258798\1\21.jpg</v>
      </c>
      <c r="Q734" s="12"/>
      <c r="R734" s="6" t="s">
        <v>973</v>
      </c>
      <c r="S734" s="4"/>
      <c r="T734" s="1" t="s">
        <v>971</v>
      </c>
      <c r="U734" s="13"/>
      <c r="V734" s="13"/>
      <c r="W734" s="5" t="s">
        <v>1491</v>
      </c>
    </row>
    <row r="735" spans="1:23" ht="75">
      <c r="A735" s="1">
        <v>258798</v>
      </c>
      <c r="B735" s="1">
        <v>1</v>
      </c>
      <c r="C735" s="1">
        <v>48</v>
      </c>
      <c r="D735" s="2" t="s">
        <v>969</v>
      </c>
      <c r="E735" s="11" t="s">
        <v>969</v>
      </c>
      <c r="F735" s="11">
        <v>14629</v>
      </c>
      <c r="G735" s="2" t="s">
        <v>1494</v>
      </c>
      <c r="H735" s="2" t="s">
        <v>1495</v>
      </c>
      <c r="I735" s="2" t="s">
        <v>1496</v>
      </c>
      <c r="J735" s="2" t="str">
        <f t="shared" si="22"/>
        <v>https://permalinkbnd.bnportugal.gov.pt/viewer/14629/?offset=#page=48&amp;viewer=picture&amp;o=info&amp;n=0&amp;q=</v>
      </c>
      <c r="K735" s="1" t="s">
        <v>970</v>
      </c>
      <c r="L735" s="1" t="str">
        <f>VLOOKUP(A735,Folha2!$A$2:$B$2019,2,FALSE)</f>
        <v>Los Lusiadas / de Luis de Camões ; segundo a ultima edicion correcta publicada por el Dr. Caetano Lopes de Moura ; traduccion de D. Manuel Aranda y Sanjuan. - Barcelona : Empresa Editorial La Ilustracion, 1874.</v>
      </c>
      <c r="M735" s="12" t="str">
        <f t="shared" si="23"/>
        <v>https://permalinkbnd.bnportugal.gov.pt/viewer/14629/?offset=#page=48&amp;viewer=picture&amp;o=info&amp;n=0&amp;q=</v>
      </c>
      <c r="N735" s="12" t="s">
        <v>1497</v>
      </c>
      <c r="O735" s="12" t="str">
        <f>CONCATENATE(N735,A735,"\",B735,"\",C735,".jpg")</f>
        <v>C:\Users\mbaptista\OneDrive - Biblioteca Nacional de Portugal\Documentos\python\camoniana\imagens\capas\258798\1\48.jpg</v>
      </c>
      <c r="P735" s="12" t="str">
        <f>HYPERLINK(O735)</f>
        <v>C:\Users\mbaptista\OneDrive - Biblioteca Nacional de Portugal\Documentos\python\camoniana\imagens\capas\258798\1\48.jpg</v>
      </c>
      <c r="Q735" s="12"/>
      <c r="R735" s="6" t="s">
        <v>974</v>
      </c>
      <c r="S735" s="4"/>
      <c r="T735" s="1" t="s">
        <v>971</v>
      </c>
      <c r="U735" s="13"/>
      <c r="V735" s="13"/>
      <c r="W735" s="5" t="s">
        <v>1491</v>
      </c>
    </row>
    <row r="736" spans="1:23" ht="75">
      <c r="A736" s="1">
        <v>258798</v>
      </c>
      <c r="B736" s="1">
        <v>1</v>
      </c>
      <c r="C736" s="1">
        <v>100</v>
      </c>
      <c r="D736" s="2" t="s">
        <v>969</v>
      </c>
      <c r="E736" s="5" t="s">
        <v>969</v>
      </c>
      <c r="F736" s="5">
        <v>14629</v>
      </c>
      <c r="G736" s="2" t="s">
        <v>1494</v>
      </c>
      <c r="H736" s="2" t="s">
        <v>1495</v>
      </c>
      <c r="I736" s="2" t="s">
        <v>1496</v>
      </c>
      <c r="J736" s="2" t="str">
        <f t="shared" si="22"/>
        <v>https://permalinkbnd.bnportugal.gov.pt/viewer/14629/?offset=#page=100&amp;viewer=picture&amp;o=info&amp;n=0&amp;q=</v>
      </c>
      <c r="K736" s="1" t="s">
        <v>970</v>
      </c>
      <c r="L736" s="1" t="str">
        <f>VLOOKUP(A736,Folha2!$A$2:$B$2019,2,FALSE)</f>
        <v>Los Lusiadas / de Luis de Camões ; segundo a ultima edicion correcta publicada por el Dr. Caetano Lopes de Moura ; traduccion de D. Manuel Aranda y Sanjuan. - Barcelona : Empresa Editorial La Ilustracion, 1874.</v>
      </c>
      <c r="M736" s="12" t="str">
        <f t="shared" si="23"/>
        <v>https://permalinkbnd.bnportugal.gov.pt/viewer/14629/?offset=#page=100&amp;viewer=picture&amp;o=info&amp;n=0&amp;q=</v>
      </c>
      <c r="N736" s="12" t="s">
        <v>1497</v>
      </c>
      <c r="O736" s="12" t="str">
        <f>CONCATENATE(N736,A736,"\",B736,"\",C736,".jpg")</f>
        <v>C:\Users\mbaptista\OneDrive - Biblioteca Nacional de Portugal\Documentos\python\camoniana\imagens\capas\258798\1\100.jpg</v>
      </c>
      <c r="P736" s="12" t="str">
        <f>HYPERLINK(O736)</f>
        <v>C:\Users\mbaptista\OneDrive - Biblioteca Nacional de Portugal\Documentos\python\camoniana\imagens\capas\258798\1\100.jpg</v>
      </c>
      <c r="Q736" s="12"/>
      <c r="R736" s="6" t="s">
        <v>975</v>
      </c>
      <c r="S736" s="4"/>
      <c r="T736" s="1" t="s">
        <v>971</v>
      </c>
      <c r="U736" s="13"/>
      <c r="V736" s="13"/>
      <c r="W736" s="5" t="s">
        <v>1491</v>
      </c>
    </row>
    <row r="737" spans="1:23" ht="75">
      <c r="A737" s="1">
        <v>258798</v>
      </c>
      <c r="B737" s="1">
        <v>1</v>
      </c>
      <c r="C737" s="1">
        <v>129</v>
      </c>
      <c r="D737" s="2" t="s">
        <v>969</v>
      </c>
      <c r="E737" s="11" t="s">
        <v>969</v>
      </c>
      <c r="F737" s="11">
        <v>14629</v>
      </c>
      <c r="G737" s="2" t="s">
        <v>1494</v>
      </c>
      <c r="H737" s="2" t="s">
        <v>1495</v>
      </c>
      <c r="I737" s="2" t="s">
        <v>1496</v>
      </c>
      <c r="J737" s="2" t="str">
        <f t="shared" si="22"/>
        <v>https://permalinkbnd.bnportugal.gov.pt/viewer/14629/?offset=#page=129&amp;viewer=picture&amp;o=info&amp;n=0&amp;q=</v>
      </c>
      <c r="K737" s="1" t="s">
        <v>970</v>
      </c>
      <c r="L737" s="1" t="str">
        <f>VLOOKUP(A737,Folha2!$A$2:$B$2019,2,FALSE)</f>
        <v>Los Lusiadas / de Luis de Camões ; segundo a ultima edicion correcta publicada por el Dr. Caetano Lopes de Moura ; traduccion de D. Manuel Aranda y Sanjuan. - Barcelona : Empresa Editorial La Ilustracion, 1874.</v>
      </c>
      <c r="M737" s="12" t="str">
        <f t="shared" si="23"/>
        <v>https://permalinkbnd.bnportugal.gov.pt/viewer/14629/?offset=#page=129&amp;viewer=picture&amp;o=info&amp;n=0&amp;q=</v>
      </c>
      <c r="N737" s="12" t="s">
        <v>1497</v>
      </c>
      <c r="O737" s="12" t="str">
        <f>CONCATENATE(N737,A737,"\",B737,"\",C737,".jpg")</f>
        <v>C:\Users\mbaptista\OneDrive - Biblioteca Nacional de Portugal\Documentos\python\camoniana\imagens\capas\258798\1\129.jpg</v>
      </c>
      <c r="P737" s="12" t="str">
        <f>HYPERLINK(O737)</f>
        <v>C:\Users\mbaptista\OneDrive - Biblioteca Nacional de Portugal\Documentos\python\camoniana\imagens\capas\258798\1\129.jpg</v>
      </c>
      <c r="Q737" s="12"/>
      <c r="R737" s="6" t="s">
        <v>976</v>
      </c>
      <c r="S737" s="4"/>
      <c r="T737" s="1" t="s">
        <v>971</v>
      </c>
      <c r="U737" s="13"/>
      <c r="V737" s="13"/>
      <c r="W737" s="5" t="s">
        <v>1491</v>
      </c>
    </row>
    <row r="738" spans="1:23" ht="75">
      <c r="A738" s="1">
        <v>258798</v>
      </c>
      <c r="B738" s="1">
        <v>1</v>
      </c>
      <c r="C738" s="1">
        <v>152</v>
      </c>
      <c r="D738" s="2" t="s">
        <v>969</v>
      </c>
      <c r="E738" s="5" t="s">
        <v>969</v>
      </c>
      <c r="F738" s="5">
        <v>14629</v>
      </c>
      <c r="G738" s="2" t="s">
        <v>1494</v>
      </c>
      <c r="H738" s="2" t="s">
        <v>1495</v>
      </c>
      <c r="I738" s="2" t="s">
        <v>1496</v>
      </c>
      <c r="J738" s="2" t="str">
        <f t="shared" si="22"/>
        <v>https://permalinkbnd.bnportugal.gov.pt/viewer/14629/?offset=#page=152&amp;viewer=picture&amp;o=info&amp;n=0&amp;q=</v>
      </c>
      <c r="K738" s="1" t="s">
        <v>970</v>
      </c>
      <c r="L738" s="1" t="str">
        <f>VLOOKUP(A738,Folha2!$A$2:$B$2019,2,FALSE)</f>
        <v>Los Lusiadas / de Luis de Camões ; segundo a ultima edicion correcta publicada por el Dr. Caetano Lopes de Moura ; traduccion de D. Manuel Aranda y Sanjuan. - Barcelona : Empresa Editorial La Ilustracion, 1874.</v>
      </c>
      <c r="M738" s="12" t="str">
        <f t="shared" si="23"/>
        <v>https://permalinkbnd.bnportugal.gov.pt/viewer/14629/?offset=#page=152&amp;viewer=picture&amp;o=info&amp;n=0&amp;q=</v>
      </c>
      <c r="N738" s="12" t="s">
        <v>1497</v>
      </c>
      <c r="O738" s="12" t="str">
        <f>CONCATENATE(N738,A738,"\",B738,"\",C738,".jpg")</f>
        <v>C:\Users\mbaptista\OneDrive - Biblioteca Nacional de Portugal\Documentos\python\camoniana\imagens\capas\258798\1\152.jpg</v>
      </c>
      <c r="P738" s="12" t="str">
        <f>HYPERLINK(O738)</f>
        <v>C:\Users\mbaptista\OneDrive - Biblioteca Nacional de Portugal\Documentos\python\camoniana\imagens\capas\258798\1\152.jpg</v>
      </c>
      <c r="Q738" s="12"/>
      <c r="R738" s="6" t="s">
        <v>977</v>
      </c>
      <c r="S738" s="4"/>
      <c r="T738" s="1" t="s">
        <v>971</v>
      </c>
      <c r="U738" s="13"/>
      <c r="V738" s="13"/>
      <c r="W738" s="5" t="s">
        <v>1491</v>
      </c>
    </row>
    <row r="739" spans="1:23" ht="75">
      <c r="A739" s="1">
        <v>258798</v>
      </c>
      <c r="B739" s="1">
        <v>1</v>
      </c>
      <c r="C739" s="1">
        <v>191</v>
      </c>
      <c r="D739" s="2" t="s">
        <v>969</v>
      </c>
      <c r="E739" s="11" t="s">
        <v>969</v>
      </c>
      <c r="F739" s="11">
        <v>14629</v>
      </c>
      <c r="G739" s="2" t="s">
        <v>1494</v>
      </c>
      <c r="H739" s="2" t="s">
        <v>1495</v>
      </c>
      <c r="I739" s="2" t="s">
        <v>1496</v>
      </c>
      <c r="J739" s="2" t="str">
        <f t="shared" si="22"/>
        <v>https://permalinkbnd.bnportugal.gov.pt/viewer/14629/?offset=#page=191&amp;viewer=picture&amp;o=info&amp;n=0&amp;q=</v>
      </c>
      <c r="K739" s="1" t="s">
        <v>970</v>
      </c>
      <c r="L739" s="1" t="str">
        <f>VLOOKUP(A739,Folha2!$A$2:$B$2019,2,FALSE)</f>
        <v>Los Lusiadas / de Luis de Camões ; segundo a ultima edicion correcta publicada por el Dr. Caetano Lopes de Moura ; traduccion de D. Manuel Aranda y Sanjuan. - Barcelona : Empresa Editorial La Ilustracion, 1874.</v>
      </c>
      <c r="M739" s="12" t="str">
        <f t="shared" si="23"/>
        <v>https://permalinkbnd.bnportugal.gov.pt/viewer/14629/?offset=#page=191&amp;viewer=picture&amp;o=info&amp;n=0&amp;q=</v>
      </c>
      <c r="N739" s="12" t="s">
        <v>1497</v>
      </c>
      <c r="O739" s="12" t="str">
        <f>CONCATENATE(N739,A739,"\",B739,"\",C739,".jpg")</f>
        <v>C:\Users\mbaptista\OneDrive - Biblioteca Nacional de Portugal\Documentos\python\camoniana\imagens\capas\258798\1\191.jpg</v>
      </c>
      <c r="P739" s="12" t="str">
        <f>HYPERLINK(O739)</f>
        <v>C:\Users\mbaptista\OneDrive - Biblioteca Nacional de Portugal\Documentos\python\camoniana\imagens\capas\258798\1\191.jpg</v>
      </c>
      <c r="Q739" s="12"/>
      <c r="R739" s="6" t="s">
        <v>978</v>
      </c>
      <c r="S739" s="4"/>
      <c r="T739" s="1" t="s">
        <v>971</v>
      </c>
      <c r="U739" s="13"/>
      <c r="V739" s="13"/>
      <c r="W739" s="5" t="s">
        <v>1491</v>
      </c>
    </row>
    <row r="740" spans="1:23" ht="75">
      <c r="A740" s="1">
        <v>258798</v>
      </c>
      <c r="B740" s="1">
        <v>1</v>
      </c>
      <c r="C740" s="1">
        <v>209</v>
      </c>
      <c r="D740" s="2" t="s">
        <v>969</v>
      </c>
      <c r="E740" s="5" t="s">
        <v>969</v>
      </c>
      <c r="F740" s="5">
        <v>14629</v>
      </c>
      <c r="G740" s="2" t="s">
        <v>1494</v>
      </c>
      <c r="H740" s="2" t="s">
        <v>1495</v>
      </c>
      <c r="I740" s="2" t="s">
        <v>1496</v>
      </c>
      <c r="J740" s="2" t="str">
        <f t="shared" si="22"/>
        <v>https://permalinkbnd.bnportugal.gov.pt/viewer/14629/?offset=#page=209&amp;viewer=picture&amp;o=info&amp;n=0&amp;q=</v>
      </c>
      <c r="K740" s="1" t="s">
        <v>970</v>
      </c>
      <c r="L740" s="1" t="str">
        <f>VLOOKUP(A740,Folha2!$A$2:$B$2019,2,FALSE)</f>
        <v>Los Lusiadas / de Luis de Camões ; segundo a ultima edicion correcta publicada por el Dr. Caetano Lopes de Moura ; traduccion de D. Manuel Aranda y Sanjuan. - Barcelona : Empresa Editorial La Ilustracion, 1874.</v>
      </c>
      <c r="M740" s="12" t="str">
        <f t="shared" si="23"/>
        <v>https://permalinkbnd.bnportugal.gov.pt/viewer/14629/?offset=#page=209&amp;viewer=picture&amp;o=info&amp;n=0&amp;q=</v>
      </c>
      <c r="N740" s="12" t="s">
        <v>1497</v>
      </c>
      <c r="O740" s="12" t="str">
        <f>CONCATENATE(N740,A740,"\",B740,"\",C740,".jpg")</f>
        <v>C:\Users\mbaptista\OneDrive - Biblioteca Nacional de Portugal\Documentos\python\camoniana\imagens\capas\258798\1\209.jpg</v>
      </c>
      <c r="P740" s="12" t="str">
        <f>HYPERLINK(O740)</f>
        <v>C:\Users\mbaptista\OneDrive - Biblioteca Nacional de Portugal\Documentos\python\camoniana\imagens\capas\258798\1\209.jpg</v>
      </c>
      <c r="Q740" s="12"/>
      <c r="R740" s="6" t="s">
        <v>979</v>
      </c>
      <c r="S740" s="4"/>
      <c r="T740" s="1" t="s">
        <v>971</v>
      </c>
      <c r="U740" s="13"/>
      <c r="V740" s="13"/>
      <c r="W740" s="5" t="s">
        <v>1491</v>
      </c>
    </row>
    <row r="741" spans="1:23" ht="75">
      <c r="A741" s="1">
        <v>258798</v>
      </c>
      <c r="B741" s="1">
        <v>1</v>
      </c>
      <c r="C741" s="1">
        <v>264</v>
      </c>
      <c r="D741" s="2" t="s">
        <v>969</v>
      </c>
      <c r="E741" s="11" t="s">
        <v>969</v>
      </c>
      <c r="F741" s="11">
        <v>14629</v>
      </c>
      <c r="G741" s="2" t="s">
        <v>1494</v>
      </c>
      <c r="H741" s="2" t="s">
        <v>1495</v>
      </c>
      <c r="I741" s="2" t="s">
        <v>1496</v>
      </c>
      <c r="J741" s="2" t="str">
        <f t="shared" si="22"/>
        <v>https://permalinkbnd.bnportugal.gov.pt/viewer/14629/?offset=#page=264&amp;viewer=picture&amp;o=info&amp;n=0&amp;q=</v>
      </c>
      <c r="K741" s="1" t="s">
        <v>970</v>
      </c>
      <c r="L741" s="1" t="str">
        <f>VLOOKUP(A741,Folha2!$A$2:$B$2019,2,FALSE)</f>
        <v>Los Lusiadas / de Luis de Camões ; segundo a ultima edicion correcta publicada por el Dr. Caetano Lopes de Moura ; traduccion de D. Manuel Aranda y Sanjuan. - Barcelona : Empresa Editorial La Ilustracion, 1874.</v>
      </c>
      <c r="M741" s="12" t="str">
        <f t="shared" si="23"/>
        <v>https://permalinkbnd.bnportugal.gov.pt/viewer/14629/?offset=#page=264&amp;viewer=picture&amp;o=info&amp;n=0&amp;q=</v>
      </c>
      <c r="N741" s="12" t="s">
        <v>1497</v>
      </c>
      <c r="O741" s="12" t="str">
        <f>CONCATENATE(N741,A741,"\",B741,"\",C741,".jpg")</f>
        <v>C:\Users\mbaptista\OneDrive - Biblioteca Nacional de Portugal\Documentos\python\camoniana\imagens\capas\258798\1\264.jpg</v>
      </c>
      <c r="P741" s="12" t="str">
        <f>HYPERLINK(O741)</f>
        <v>C:\Users\mbaptista\OneDrive - Biblioteca Nacional de Portugal\Documentos\python\camoniana\imagens\capas\258798\1\264.jpg</v>
      </c>
      <c r="Q741" s="12"/>
      <c r="R741" s="6" t="s">
        <v>980</v>
      </c>
      <c r="S741" s="4"/>
      <c r="T741" s="1" t="s">
        <v>971</v>
      </c>
      <c r="U741" s="13"/>
      <c r="V741" s="13"/>
      <c r="W741" s="5" t="s">
        <v>1491</v>
      </c>
    </row>
    <row r="742" spans="1:23" ht="75">
      <c r="A742" s="1">
        <v>258798</v>
      </c>
      <c r="B742" s="1">
        <v>1</v>
      </c>
      <c r="C742" s="1">
        <v>297</v>
      </c>
      <c r="D742" s="2" t="s">
        <v>969</v>
      </c>
      <c r="E742" s="5" t="s">
        <v>969</v>
      </c>
      <c r="F742" s="5">
        <v>14629</v>
      </c>
      <c r="G742" s="2" t="s">
        <v>1494</v>
      </c>
      <c r="H742" s="2" t="s">
        <v>1495</v>
      </c>
      <c r="I742" s="2" t="s">
        <v>1496</v>
      </c>
      <c r="J742" s="2" t="str">
        <f t="shared" si="22"/>
        <v>https://permalinkbnd.bnportugal.gov.pt/viewer/14629/?offset=#page=297&amp;viewer=picture&amp;o=info&amp;n=0&amp;q=</v>
      </c>
      <c r="K742" s="1" t="s">
        <v>970</v>
      </c>
      <c r="L742" s="1" t="str">
        <f>VLOOKUP(A742,Folha2!$A$2:$B$2019,2,FALSE)</f>
        <v>Los Lusiadas / de Luis de Camões ; segundo a ultima edicion correcta publicada por el Dr. Caetano Lopes de Moura ; traduccion de D. Manuel Aranda y Sanjuan. - Barcelona : Empresa Editorial La Ilustracion, 1874.</v>
      </c>
      <c r="M742" s="12" t="str">
        <f t="shared" si="23"/>
        <v>https://permalinkbnd.bnportugal.gov.pt/viewer/14629/?offset=#page=297&amp;viewer=picture&amp;o=info&amp;n=0&amp;q=</v>
      </c>
      <c r="N742" s="12" t="s">
        <v>1497</v>
      </c>
      <c r="O742" s="12" t="str">
        <f>CONCATENATE(N742,A742,"\",B742,"\",C742,".jpg")</f>
        <v>C:\Users\mbaptista\OneDrive - Biblioteca Nacional de Portugal\Documentos\python\camoniana\imagens\capas\258798\1\297.jpg</v>
      </c>
      <c r="P742" s="12" t="str">
        <f>HYPERLINK(O742)</f>
        <v>C:\Users\mbaptista\OneDrive - Biblioteca Nacional de Portugal\Documentos\python\camoniana\imagens\capas\258798\1\297.jpg</v>
      </c>
      <c r="Q742" s="12"/>
      <c r="R742" s="6" t="s">
        <v>981</v>
      </c>
      <c r="S742" s="4"/>
      <c r="T742" s="1" t="s">
        <v>971</v>
      </c>
      <c r="U742" s="13"/>
      <c r="V742" s="13"/>
      <c r="W742" s="5" t="s">
        <v>1491</v>
      </c>
    </row>
    <row r="743" spans="1:23" ht="75">
      <c r="A743" s="1">
        <v>259033</v>
      </c>
      <c r="B743" s="1">
        <v>1</v>
      </c>
      <c r="C743" s="1">
        <v>10</v>
      </c>
      <c r="D743" s="2" t="s">
        <v>982</v>
      </c>
      <c r="E743" s="11" t="s">
        <v>982</v>
      </c>
      <c r="F743" s="11">
        <v>14639</v>
      </c>
      <c r="G743" s="2" t="s">
        <v>1494</v>
      </c>
      <c r="H743" s="2" t="s">
        <v>1495</v>
      </c>
      <c r="I743" s="2" t="s">
        <v>1496</v>
      </c>
      <c r="J743" s="2" t="str">
        <f t="shared" si="22"/>
        <v>https://permalinkbnd.bnportugal.gov.pt/viewer/14639/?offset=#page=10&amp;viewer=picture&amp;o=info&amp;n=0&amp;q=</v>
      </c>
      <c r="K743" s="1" t="s">
        <v>983</v>
      </c>
      <c r="L743" s="1" t="str">
        <f>VLOOKUP(A743,Folha2!$A$2:$B$2019,2,FALSE)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3" s="12" t="str">
        <f t="shared" si="23"/>
        <v>https://permalinkbnd.bnportugal.gov.pt/viewer/14639/?offset=#page=10&amp;viewer=picture&amp;o=info&amp;n=0&amp;q=</v>
      </c>
      <c r="N743" s="12" t="s">
        <v>1497</v>
      </c>
      <c r="O743" s="12" t="str">
        <f>CONCATENATE(N743,A743,"\",B743,"\",C743,".jpg")</f>
        <v>C:\Users\mbaptista\OneDrive - Biblioteca Nacional de Portugal\Documentos\python\camoniana\imagens\capas\259033\1\10.jpg</v>
      </c>
      <c r="P743" s="12" t="str">
        <f>HYPERLINK(O743)</f>
        <v>C:\Users\mbaptista\OneDrive - Biblioteca Nacional de Portugal\Documentos\python\camoniana\imagens\capas\259033\1\10.jpg</v>
      </c>
      <c r="Q743" s="12"/>
      <c r="R743" s="6" t="s">
        <v>985</v>
      </c>
      <c r="S743" s="4"/>
      <c r="T743" s="1" t="s">
        <v>984</v>
      </c>
      <c r="U743" s="13"/>
      <c r="V743" s="13"/>
      <c r="W743" s="5" t="s">
        <v>1491</v>
      </c>
    </row>
    <row r="744" spans="1:23" ht="75">
      <c r="A744" s="1">
        <v>259033</v>
      </c>
      <c r="B744" s="1">
        <v>1</v>
      </c>
      <c r="C744" s="1">
        <v>86</v>
      </c>
      <c r="D744" s="2" t="s">
        <v>982</v>
      </c>
      <c r="E744" s="5" t="s">
        <v>982</v>
      </c>
      <c r="F744" s="5">
        <v>14639</v>
      </c>
      <c r="G744" s="2" t="s">
        <v>1494</v>
      </c>
      <c r="H744" s="2" t="s">
        <v>1495</v>
      </c>
      <c r="I744" s="2" t="s">
        <v>1496</v>
      </c>
      <c r="J744" s="2" t="str">
        <f t="shared" si="22"/>
        <v>https://permalinkbnd.bnportugal.gov.pt/viewer/14639/?offset=#page=86&amp;viewer=picture&amp;o=info&amp;n=0&amp;q=</v>
      </c>
      <c r="K744" s="1" t="s">
        <v>983</v>
      </c>
      <c r="L744" s="1" t="str">
        <f>VLOOKUP(A744,Folha2!$A$2:$B$2019,2,FALSE)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4" s="12" t="str">
        <f t="shared" si="23"/>
        <v>https://permalinkbnd.bnportugal.gov.pt/viewer/14639/?offset=#page=86&amp;viewer=picture&amp;o=info&amp;n=0&amp;q=</v>
      </c>
      <c r="N744" s="12" t="s">
        <v>1497</v>
      </c>
      <c r="O744" s="12" t="str">
        <f>CONCATENATE(N744,A744,"\",B744,"\",C744,".jpg")</f>
        <v>C:\Users\mbaptista\OneDrive - Biblioteca Nacional de Portugal\Documentos\python\camoniana\imagens\capas\259033\1\86.jpg</v>
      </c>
      <c r="P744" s="12" t="str">
        <f>HYPERLINK(O744)</f>
        <v>C:\Users\mbaptista\OneDrive - Biblioteca Nacional de Portugal\Documentos\python\camoniana\imagens\capas\259033\1\86.jpg</v>
      </c>
      <c r="Q744" s="12"/>
      <c r="R744" s="6" t="s">
        <v>986</v>
      </c>
      <c r="S744" s="4"/>
      <c r="T744" s="1" t="s">
        <v>984</v>
      </c>
      <c r="U744" s="13"/>
      <c r="V744" s="13"/>
      <c r="W744" s="5" t="s">
        <v>1491</v>
      </c>
    </row>
    <row r="745" spans="1:23" ht="75">
      <c r="A745" s="1">
        <v>259033</v>
      </c>
      <c r="B745" s="1">
        <v>1</v>
      </c>
      <c r="C745" s="1">
        <v>168</v>
      </c>
      <c r="D745" s="2" t="s">
        <v>982</v>
      </c>
      <c r="E745" s="11" t="s">
        <v>982</v>
      </c>
      <c r="F745" s="11">
        <v>14639</v>
      </c>
      <c r="G745" s="2" t="s">
        <v>1494</v>
      </c>
      <c r="H745" s="2" t="s">
        <v>1495</v>
      </c>
      <c r="I745" s="2" t="s">
        <v>1496</v>
      </c>
      <c r="J745" s="2" t="str">
        <f t="shared" si="22"/>
        <v>https://permalinkbnd.bnportugal.gov.pt/viewer/14639/?offset=#page=168&amp;viewer=picture&amp;o=info&amp;n=0&amp;q=</v>
      </c>
      <c r="K745" s="1" t="s">
        <v>983</v>
      </c>
      <c r="L745" s="1" t="str">
        <f>VLOOKUP(A745,Folha2!$A$2:$B$2019,2,FALSE)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5" s="12" t="str">
        <f t="shared" si="23"/>
        <v>https://permalinkbnd.bnportugal.gov.pt/viewer/14639/?offset=#page=168&amp;viewer=picture&amp;o=info&amp;n=0&amp;q=</v>
      </c>
      <c r="N745" s="12" t="s">
        <v>1497</v>
      </c>
      <c r="O745" s="12" t="str">
        <f>CONCATENATE(N745,A745,"\",B745,"\",C745,".jpg")</f>
        <v>C:\Users\mbaptista\OneDrive - Biblioteca Nacional de Portugal\Documentos\python\camoniana\imagens\capas\259033\1\168.jpg</v>
      </c>
      <c r="P745" s="12" t="str">
        <f>HYPERLINK(O745)</f>
        <v>C:\Users\mbaptista\OneDrive - Biblioteca Nacional de Portugal\Documentos\python\camoniana\imagens\capas\259033\1\168.jpg</v>
      </c>
      <c r="Q745" s="12"/>
      <c r="R745" s="6" t="s">
        <v>987</v>
      </c>
      <c r="S745" s="4"/>
      <c r="T745" s="1" t="s">
        <v>984</v>
      </c>
      <c r="U745" s="13"/>
      <c r="V745" s="13"/>
      <c r="W745" s="5" t="s">
        <v>1491</v>
      </c>
    </row>
    <row r="746" spans="1:23" ht="75">
      <c r="A746" s="1">
        <v>259033</v>
      </c>
      <c r="B746" s="1">
        <v>1</v>
      </c>
      <c r="C746" s="1">
        <v>266</v>
      </c>
      <c r="D746" s="2" t="s">
        <v>982</v>
      </c>
      <c r="E746" s="5" t="s">
        <v>982</v>
      </c>
      <c r="F746" s="5">
        <v>14639</v>
      </c>
      <c r="G746" s="2" t="s">
        <v>1494</v>
      </c>
      <c r="H746" s="2" t="s">
        <v>1495</v>
      </c>
      <c r="I746" s="2" t="s">
        <v>1496</v>
      </c>
      <c r="J746" s="2" t="str">
        <f t="shared" si="22"/>
        <v>https://permalinkbnd.bnportugal.gov.pt/viewer/14639/?offset=#page=266&amp;viewer=picture&amp;o=info&amp;n=0&amp;q=</v>
      </c>
      <c r="K746" s="1" t="s">
        <v>983</v>
      </c>
      <c r="L746" s="1" t="str">
        <f>VLOOKUP(A746,Folha2!$A$2:$B$2019,2,FALSE)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6" s="12" t="str">
        <f t="shared" si="23"/>
        <v>https://permalinkbnd.bnportugal.gov.pt/viewer/14639/?offset=#page=266&amp;viewer=picture&amp;o=info&amp;n=0&amp;q=</v>
      </c>
      <c r="N746" s="12" t="s">
        <v>1497</v>
      </c>
      <c r="O746" s="12" t="str">
        <f>CONCATENATE(N746,A746,"\",B746,"\",C746,".jpg")</f>
        <v>C:\Users\mbaptista\OneDrive - Biblioteca Nacional de Portugal\Documentos\python\camoniana\imagens\capas\259033\1\266.jpg</v>
      </c>
      <c r="P746" s="12" t="str">
        <f>HYPERLINK(O746)</f>
        <v>C:\Users\mbaptista\OneDrive - Biblioteca Nacional de Portugal\Documentos\python\camoniana\imagens\capas\259033\1\266.jpg</v>
      </c>
      <c r="Q746" s="12"/>
      <c r="R746" s="6" t="s">
        <v>988</v>
      </c>
      <c r="S746" s="4"/>
      <c r="T746" s="1" t="s">
        <v>984</v>
      </c>
      <c r="U746" s="13"/>
      <c r="V746" s="13"/>
      <c r="W746" s="5" t="s">
        <v>1491</v>
      </c>
    </row>
    <row r="747" spans="1:23" ht="75">
      <c r="A747" s="1">
        <v>259033</v>
      </c>
      <c r="B747" s="1">
        <v>2</v>
      </c>
      <c r="C747" s="1">
        <v>12</v>
      </c>
      <c r="D747" s="2" t="s">
        <v>982</v>
      </c>
      <c r="E747" s="11" t="s">
        <v>982</v>
      </c>
      <c r="F747" s="11">
        <v>14639</v>
      </c>
      <c r="G747" s="2" t="s">
        <v>1494</v>
      </c>
      <c r="H747" s="2" t="s">
        <v>1495</v>
      </c>
      <c r="I747" s="2" t="s">
        <v>1496</v>
      </c>
      <c r="J747" s="2" t="str">
        <f t="shared" si="22"/>
        <v>https://permalinkbnd.bnportugal.gov.pt/viewer/14639/?offset=#page=12&amp;viewer=picture&amp;o=info&amp;n=0&amp;q=</v>
      </c>
      <c r="K747" s="1" t="s">
        <v>983</v>
      </c>
      <c r="L747" s="1" t="str">
        <f>VLOOKUP(A747,Folha2!$A$2:$B$2019,2,FALSE)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7" s="12" t="s">
        <v>1524</v>
      </c>
      <c r="N747" s="12" t="s">
        <v>1497</v>
      </c>
      <c r="O747" s="12" t="str">
        <f>CONCATENATE(N747,A747,"\",B747,"\",C747,".jpg")</f>
        <v>C:\Users\mbaptista\OneDrive - Biblioteca Nacional de Portugal\Documentos\python\camoniana\imagens\capas\259033\2\12.jpg</v>
      </c>
      <c r="P747" s="12" t="str">
        <f>HYPERLINK(O747)</f>
        <v>C:\Users\mbaptista\OneDrive - Biblioteca Nacional de Portugal\Documentos\python\camoniana\imagens\capas\259033\2\12.jpg</v>
      </c>
      <c r="Q747" s="12"/>
      <c r="R747" s="6" t="s">
        <v>989</v>
      </c>
      <c r="S747" s="4"/>
      <c r="T747" s="1" t="s">
        <v>984</v>
      </c>
      <c r="U747" s="13"/>
      <c r="V747" s="13"/>
      <c r="W747" s="5" t="s">
        <v>1491</v>
      </c>
    </row>
    <row r="748" spans="1:23" ht="75">
      <c r="A748" s="1">
        <v>259033</v>
      </c>
      <c r="B748" s="1">
        <v>2</v>
      </c>
      <c r="C748" s="1">
        <v>102</v>
      </c>
      <c r="D748" s="2" t="s">
        <v>982</v>
      </c>
      <c r="E748" s="5" t="s">
        <v>982</v>
      </c>
      <c r="F748" s="5">
        <v>14639</v>
      </c>
      <c r="G748" s="2" t="s">
        <v>1494</v>
      </c>
      <c r="H748" s="2" t="s">
        <v>1495</v>
      </c>
      <c r="I748" s="2" t="s">
        <v>1496</v>
      </c>
      <c r="J748" s="2" t="str">
        <f t="shared" si="22"/>
        <v>https://permalinkbnd.bnportugal.gov.pt/viewer/14639/?offset=#page=102&amp;viewer=picture&amp;o=info&amp;n=0&amp;q=</v>
      </c>
      <c r="K748" s="1" t="s">
        <v>983</v>
      </c>
      <c r="L748" s="1" t="str">
        <f>VLOOKUP(A748,Folha2!$A$2:$B$2019,2,FALSE)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8" s="12" t="s">
        <v>1525</v>
      </c>
      <c r="N748" s="12" t="s">
        <v>1497</v>
      </c>
      <c r="O748" s="12" t="str">
        <f>CONCATENATE(N748,A748,"\",B748,"\",C748,".jpg")</f>
        <v>C:\Users\mbaptista\OneDrive - Biblioteca Nacional de Portugal\Documentos\python\camoniana\imagens\capas\259033\2\102.jpg</v>
      </c>
      <c r="P748" s="12" t="str">
        <f>HYPERLINK(O748)</f>
        <v>C:\Users\mbaptista\OneDrive - Biblioteca Nacional de Portugal\Documentos\python\camoniana\imagens\capas\259033\2\102.jpg</v>
      </c>
      <c r="Q748" s="12"/>
      <c r="R748" s="6" t="s">
        <v>990</v>
      </c>
      <c r="S748" s="4"/>
      <c r="T748" s="1" t="s">
        <v>984</v>
      </c>
      <c r="U748" s="13"/>
      <c r="V748" s="13"/>
      <c r="W748" s="5" t="s">
        <v>1491</v>
      </c>
    </row>
    <row r="749" spans="1:23" ht="75">
      <c r="A749" s="1">
        <v>259033</v>
      </c>
      <c r="B749" s="1">
        <v>2</v>
      </c>
      <c r="C749" s="1">
        <v>202</v>
      </c>
      <c r="D749" s="2" t="s">
        <v>982</v>
      </c>
      <c r="E749" s="11" t="s">
        <v>982</v>
      </c>
      <c r="F749" s="11">
        <v>14639</v>
      </c>
      <c r="G749" s="2" t="s">
        <v>1494</v>
      </c>
      <c r="H749" s="2" t="s">
        <v>1495</v>
      </c>
      <c r="I749" s="2" t="s">
        <v>1496</v>
      </c>
      <c r="J749" s="2" t="str">
        <f t="shared" si="22"/>
        <v>https://permalinkbnd.bnportugal.gov.pt/viewer/14639/?offset=#page=202&amp;viewer=picture&amp;o=info&amp;n=0&amp;q=</v>
      </c>
      <c r="K749" s="1" t="s">
        <v>983</v>
      </c>
      <c r="L749" s="1" t="str">
        <f>VLOOKUP(A749,Folha2!$A$2:$B$2019,2,FALSE)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9" s="12" t="s">
        <v>1526</v>
      </c>
      <c r="N749" s="12" t="s">
        <v>1497</v>
      </c>
      <c r="O749" s="12" t="str">
        <f>CONCATENATE(N749,A749,"\",B749,"\",C749,".jpg")</f>
        <v>C:\Users\mbaptista\OneDrive - Biblioteca Nacional de Portugal\Documentos\python\camoniana\imagens\capas\259033\2\202.jpg</v>
      </c>
      <c r="P749" s="12" t="str">
        <f>HYPERLINK(O749)</f>
        <v>C:\Users\mbaptista\OneDrive - Biblioteca Nacional de Portugal\Documentos\python\camoniana\imagens\capas\259033\2\202.jpg</v>
      </c>
      <c r="Q749" s="12"/>
      <c r="R749" s="6" t="s">
        <v>991</v>
      </c>
      <c r="S749" s="4"/>
      <c r="T749" s="1" t="s">
        <v>984</v>
      </c>
      <c r="U749" s="13"/>
      <c r="V749" s="13"/>
      <c r="W749" s="5" t="s">
        <v>1491</v>
      </c>
    </row>
    <row r="750" spans="1:23" ht="75">
      <c r="A750" s="1">
        <v>259033</v>
      </c>
      <c r="B750" s="1">
        <v>2</v>
      </c>
      <c r="C750" s="1">
        <v>282</v>
      </c>
      <c r="D750" s="2" t="s">
        <v>982</v>
      </c>
      <c r="E750" s="5" t="s">
        <v>982</v>
      </c>
      <c r="F750" s="5">
        <v>14639</v>
      </c>
      <c r="G750" s="2" t="s">
        <v>1494</v>
      </c>
      <c r="H750" s="2" t="s">
        <v>1495</v>
      </c>
      <c r="I750" s="2" t="s">
        <v>1496</v>
      </c>
      <c r="J750" s="2" t="str">
        <f t="shared" si="22"/>
        <v>https://permalinkbnd.bnportugal.gov.pt/viewer/14639/?offset=#page=282&amp;viewer=picture&amp;o=info&amp;n=0&amp;q=</v>
      </c>
      <c r="K750" s="1" t="s">
        <v>983</v>
      </c>
      <c r="L750" s="1" t="str">
        <f>VLOOKUP(A750,Folha2!$A$2:$B$2019,2,FALSE)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0" s="12" t="s">
        <v>1527</v>
      </c>
      <c r="N750" s="12" t="s">
        <v>1497</v>
      </c>
      <c r="O750" s="12" t="str">
        <f>CONCATENATE(N750,A750,"\",B750,"\",C750,".jpg")</f>
        <v>C:\Users\mbaptista\OneDrive - Biblioteca Nacional de Portugal\Documentos\python\camoniana\imagens\capas\259033\2\282.jpg</v>
      </c>
      <c r="P750" s="12" t="str">
        <f>HYPERLINK(O750)</f>
        <v>C:\Users\mbaptista\OneDrive - Biblioteca Nacional de Portugal\Documentos\python\camoniana\imagens\capas\259033\2\282.jpg</v>
      </c>
      <c r="Q750" s="12"/>
      <c r="R750" s="6" t="s">
        <v>992</v>
      </c>
      <c r="S750" s="4"/>
      <c r="T750" s="1" t="s">
        <v>984</v>
      </c>
      <c r="U750" s="13"/>
      <c r="V750" s="13"/>
      <c r="W750" s="5" t="s">
        <v>1491</v>
      </c>
    </row>
    <row r="751" spans="1:23" ht="105">
      <c r="A751" s="3">
        <v>259033</v>
      </c>
      <c r="B751" s="3">
        <v>3</v>
      </c>
      <c r="C751" s="3">
        <v>12</v>
      </c>
      <c r="D751" s="2" t="s">
        <v>982</v>
      </c>
      <c r="E751" s="11" t="s">
        <v>982</v>
      </c>
      <c r="F751" s="11">
        <v>14639</v>
      </c>
      <c r="G751" s="2" t="s">
        <v>1494</v>
      </c>
      <c r="H751" s="2" t="s">
        <v>1495</v>
      </c>
      <c r="I751" s="2" t="s">
        <v>1496</v>
      </c>
      <c r="J751" s="2" t="str">
        <f t="shared" si="22"/>
        <v>https://permalinkbnd.bnportugal.gov.pt/viewer/14639/?offset=#page=12&amp;viewer=picture&amp;o=info&amp;n=0&amp;q=</v>
      </c>
      <c r="K751" s="3" t="s">
        <v>983</v>
      </c>
      <c r="L751" s="1" t="str">
        <f>VLOOKUP(A751,Folha2!$A$2:$B$2019,2,FALSE)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1" s="12" t="s">
        <v>1528</v>
      </c>
      <c r="N751" s="12" t="s">
        <v>1497</v>
      </c>
      <c r="O751" s="12" t="str">
        <f>CONCATENATE(N751,A751,"\",B751,"\",C751,".jpg")</f>
        <v>C:\Users\mbaptista\OneDrive - Biblioteca Nacional de Portugal\Documentos\python\camoniana\imagens\capas\259033\3\12.jpg</v>
      </c>
      <c r="P751" s="12" t="str">
        <f>HYPERLINK(O751)</f>
        <v>C:\Users\mbaptista\OneDrive - Biblioteca Nacional de Portugal\Documentos\python\camoniana\imagens\capas\259033\3\12.jpg</v>
      </c>
      <c r="Q751" s="12"/>
      <c r="R751" s="6" t="s">
        <v>989</v>
      </c>
      <c r="S751" s="4"/>
      <c r="T751" s="15" t="s">
        <v>984</v>
      </c>
      <c r="U751" s="15" t="s">
        <v>993</v>
      </c>
      <c r="V751" s="15"/>
      <c r="W751" s="5" t="s">
        <v>1491</v>
      </c>
    </row>
    <row r="752" spans="1:23" ht="105">
      <c r="A752" s="1">
        <v>259033</v>
      </c>
      <c r="B752" s="1">
        <v>3</v>
      </c>
      <c r="C752" s="1">
        <v>98</v>
      </c>
      <c r="D752" s="2" t="s">
        <v>982</v>
      </c>
      <c r="E752" s="5" t="s">
        <v>982</v>
      </c>
      <c r="F752" s="5">
        <v>14639</v>
      </c>
      <c r="G752" s="2" t="s">
        <v>1494</v>
      </c>
      <c r="H752" s="2" t="s">
        <v>1495</v>
      </c>
      <c r="I752" s="2" t="s">
        <v>1496</v>
      </c>
      <c r="J752" s="2" t="str">
        <f t="shared" si="22"/>
        <v>https://permalinkbnd.bnportugal.gov.pt/viewer/14639/?offset=#page=98&amp;viewer=picture&amp;o=info&amp;n=0&amp;q=</v>
      </c>
      <c r="K752" s="1" t="s">
        <v>983</v>
      </c>
      <c r="L752" s="1" t="str">
        <f>VLOOKUP(A752,Folha2!$A$2:$B$2019,2,FALSE)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2" s="12" t="s">
        <v>1529</v>
      </c>
      <c r="N752" s="12" t="s">
        <v>1497</v>
      </c>
      <c r="O752" s="12" t="str">
        <f>CONCATENATE(N752,A752,"\",B752,"\",C752,".jpg")</f>
        <v>C:\Users\mbaptista\OneDrive - Biblioteca Nacional de Portugal\Documentos\python\camoniana\imagens\capas\259033\3\98.jpg</v>
      </c>
      <c r="P752" s="12" t="str">
        <f>HYPERLINK(O752)</f>
        <v>C:\Users\mbaptista\OneDrive - Biblioteca Nacional de Portugal\Documentos\python\camoniana\imagens\capas\259033\3\98.jpg</v>
      </c>
      <c r="Q752" s="12"/>
      <c r="R752" s="6" t="s">
        <v>994</v>
      </c>
      <c r="S752" s="4"/>
      <c r="T752" s="1" t="s">
        <v>984</v>
      </c>
      <c r="U752" s="13"/>
      <c r="V752" s="13"/>
      <c r="W752" s="5" t="s">
        <v>1491</v>
      </c>
    </row>
    <row r="753" spans="1:23" ht="105">
      <c r="A753" s="1">
        <v>259033</v>
      </c>
      <c r="B753" s="1">
        <v>3</v>
      </c>
      <c r="C753" s="1">
        <v>176</v>
      </c>
      <c r="D753" s="2" t="s">
        <v>982</v>
      </c>
      <c r="E753" s="11" t="s">
        <v>982</v>
      </c>
      <c r="F753" s="11">
        <v>14639</v>
      </c>
      <c r="G753" s="2" t="s">
        <v>1494</v>
      </c>
      <c r="H753" s="2" t="s">
        <v>1495</v>
      </c>
      <c r="I753" s="2" t="s">
        <v>1496</v>
      </c>
      <c r="J753" s="2" t="str">
        <f t="shared" si="22"/>
        <v>https://permalinkbnd.bnportugal.gov.pt/viewer/14639/?offset=#page=176&amp;viewer=picture&amp;o=info&amp;n=0&amp;q=</v>
      </c>
      <c r="K753" s="1" t="s">
        <v>983</v>
      </c>
      <c r="L753" s="1" t="str">
        <f>VLOOKUP(A753,Folha2!$A$2:$B$2019,2,FALSE)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3" s="12" t="s">
        <v>1530</v>
      </c>
      <c r="N753" s="12" t="s">
        <v>1497</v>
      </c>
      <c r="O753" s="12" t="str">
        <f>CONCATENATE(N753,A753,"\",B753,"\",C753,".jpg")</f>
        <v>C:\Users\mbaptista\OneDrive - Biblioteca Nacional de Portugal\Documentos\python\camoniana\imagens\capas\259033\3\176.jpg</v>
      </c>
      <c r="P753" s="12" t="str">
        <f>HYPERLINK(O753)</f>
        <v>C:\Users\mbaptista\OneDrive - Biblioteca Nacional de Portugal\Documentos\python\camoniana\imagens\capas\259033\3\176.jpg</v>
      </c>
      <c r="Q753" s="12"/>
      <c r="R753" s="6" t="s">
        <v>995</v>
      </c>
      <c r="S753" s="4"/>
      <c r="T753" s="1" t="s">
        <v>984</v>
      </c>
      <c r="U753" s="13"/>
      <c r="V753" s="13"/>
      <c r="W753" s="5" t="s">
        <v>1491</v>
      </c>
    </row>
    <row r="754" spans="1:23" ht="75">
      <c r="A754" s="1">
        <v>259828</v>
      </c>
      <c r="B754" s="1">
        <v>1</v>
      </c>
      <c r="C754" s="1">
        <v>9</v>
      </c>
      <c r="D754" s="2" t="s">
        <v>996</v>
      </c>
      <c r="E754" s="5" t="s">
        <v>996</v>
      </c>
      <c r="F754" s="5">
        <v>14621</v>
      </c>
      <c r="G754" s="2" t="s">
        <v>1494</v>
      </c>
      <c r="H754" s="2" t="s">
        <v>1495</v>
      </c>
      <c r="I754" s="2" t="s">
        <v>1496</v>
      </c>
      <c r="J754" s="2" t="str">
        <f t="shared" si="22"/>
        <v>https://permalinkbnd.bnportugal.gov.pt/viewer/14621/?offset=#page=9&amp;viewer=picture&amp;o=info&amp;n=0&amp;q=</v>
      </c>
      <c r="K754" s="1" t="s">
        <v>997</v>
      </c>
      <c r="L754" s="1" t="str">
        <f>VLOOKUP(A754,Folha2!$A$2:$B$2019,2,FALSE)</f>
        <v>De Lusiade van Louis Camoëns : heldendicht in X Zangen ; naer het Fransch door Lambartus Stoppendaal Pieters Zoon. - Te Middelburg : by Willem Abrahams, 1777</v>
      </c>
      <c r="M754" s="12" t="str">
        <f t="shared" si="23"/>
        <v>https://permalinkbnd.bnportugal.gov.pt/viewer/14621/?offset=#page=9&amp;viewer=picture&amp;o=info&amp;n=0&amp;q=</v>
      </c>
      <c r="N754" s="12" t="s">
        <v>1497</v>
      </c>
      <c r="O754" s="12" t="str">
        <f>CONCATENATE(N754,A754,"\",B754,"\",C754,".jpg")</f>
        <v>C:\Users\mbaptista\OneDrive - Biblioteca Nacional de Portugal\Documentos\python\camoniana\imagens\capas\259828\1\9.jpg</v>
      </c>
      <c r="P754" s="12" t="str">
        <f>HYPERLINK(O754)</f>
        <v>C:\Users\mbaptista\OneDrive - Biblioteca Nacional de Portugal\Documentos\python\camoniana\imagens\capas\259828\1\9.jpg</v>
      </c>
      <c r="Q754" s="12"/>
      <c r="R754" s="6" t="s">
        <v>998</v>
      </c>
      <c r="S754" s="4"/>
      <c r="T754" s="1" t="s">
        <v>997</v>
      </c>
      <c r="U754" s="13"/>
      <c r="V754" s="13"/>
      <c r="W754" s="5" t="s">
        <v>1491</v>
      </c>
    </row>
    <row r="755" spans="1:23" ht="75">
      <c r="A755" s="1">
        <v>259828</v>
      </c>
      <c r="B755" s="1">
        <v>1</v>
      </c>
      <c r="C755" s="1">
        <v>37</v>
      </c>
      <c r="D755" s="2" t="s">
        <v>996</v>
      </c>
      <c r="E755" s="11" t="s">
        <v>996</v>
      </c>
      <c r="F755" s="11">
        <v>14621</v>
      </c>
      <c r="G755" s="2" t="s">
        <v>1494</v>
      </c>
      <c r="H755" s="2" t="s">
        <v>1495</v>
      </c>
      <c r="I755" s="2" t="s">
        <v>1496</v>
      </c>
      <c r="J755" s="2" t="str">
        <f t="shared" si="22"/>
        <v>https://permalinkbnd.bnportugal.gov.pt/viewer/14621/?offset=#page=37&amp;viewer=picture&amp;o=info&amp;n=0&amp;q=</v>
      </c>
      <c r="K755" s="1" t="s">
        <v>997</v>
      </c>
      <c r="L755" s="1" t="str">
        <f>VLOOKUP(A755,Folha2!$A$2:$B$2019,2,FALSE)</f>
        <v>De Lusiade van Louis Camoëns : heldendicht in X Zangen ; naer het Fransch door Lambartus Stoppendaal Pieters Zoon. - Te Middelburg : by Willem Abrahams, 1777</v>
      </c>
      <c r="M755" s="12" t="str">
        <f t="shared" si="23"/>
        <v>https://permalinkbnd.bnportugal.gov.pt/viewer/14621/?offset=#page=37&amp;viewer=picture&amp;o=info&amp;n=0&amp;q=</v>
      </c>
      <c r="N755" s="12" t="s">
        <v>1497</v>
      </c>
      <c r="O755" s="12" t="str">
        <f>CONCATENATE(N755,A755,"\",B755,"\",C755,".jpg")</f>
        <v>C:\Users\mbaptista\OneDrive - Biblioteca Nacional de Portugal\Documentos\python\camoniana\imagens\capas\259828\1\37.jpg</v>
      </c>
      <c r="P755" s="12" t="str">
        <f>HYPERLINK(O755)</f>
        <v>C:\Users\mbaptista\OneDrive - Biblioteca Nacional de Portugal\Documentos\python\camoniana\imagens\capas\259828\1\37.jpg</v>
      </c>
      <c r="Q755" s="12"/>
      <c r="R755" s="6" t="s">
        <v>999</v>
      </c>
      <c r="S755" s="4"/>
      <c r="T755" s="1" t="s">
        <v>997</v>
      </c>
      <c r="U755" s="13"/>
      <c r="V755" s="13"/>
      <c r="W755" s="5" t="s">
        <v>1491</v>
      </c>
    </row>
    <row r="756" spans="1:23" ht="75">
      <c r="A756" s="1">
        <v>259828</v>
      </c>
      <c r="B756" s="1">
        <v>1</v>
      </c>
      <c r="C756" s="1">
        <v>75</v>
      </c>
      <c r="D756" s="2" t="s">
        <v>996</v>
      </c>
      <c r="E756" s="5" t="s">
        <v>996</v>
      </c>
      <c r="F756" s="5">
        <v>14621</v>
      </c>
      <c r="G756" s="2" t="s">
        <v>1494</v>
      </c>
      <c r="H756" s="2" t="s">
        <v>1495</v>
      </c>
      <c r="I756" s="2" t="s">
        <v>1496</v>
      </c>
      <c r="J756" s="2" t="str">
        <f t="shared" si="22"/>
        <v>https://permalinkbnd.bnportugal.gov.pt/viewer/14621/?offset=#page=75&amp;viewer=picture&amp;o=info&amp;n=0&amp;q=</v>
      </c>
      <c r="K756" s="1" t="s">
        <v>997</v>
      </c>
      <c r="L756" s="1" t="str">
        <f>VLOOKUP(A756,Folha2!$A$2:$B$2019,2,FALSE)</f>
        <v>De Lusiade van Louis Camoëns : heldendicht in X Zangen ; naer het Fransch door Lambartus Stoppendaal Pieters Zoon. - Te Middelburg : by Willem Abrahams, 1777</v>
      </c>
      <c r="M756" s="12" t="str">
        <f t="shared" si="23"/>
        <v>https://permalinkbnd.bnportugal.gov.pt/viewer/14621/?offset=#page=75&amp;viewer=picture&amp;o=info&amp;n=0&amp;q=</v>
      </c>
      <c r="N756" s="12" t="s">
        <v>1497</v>
      </c>
      <c r="O756" s="12" t="str">
        <f>CONCATENATE(N756,A756,"\",B756,"\",C756,".jpg")</f>
        <v>C:\Users\mbaptista\OneDrive - Biblioteca Nacional de Portugal\Documentos\python\camoniana\imagens\capas\259828\1\75.jpg</v>
      </c>
      <c r="P756" s="12" t="str">
        <f>HYPERLINK(O756)</f>
        <v>C:\Users\mbaptista\OneDrive - Biblioteca Nacional de Portugal\Documentos\python\camoniana\imagens\capas\259828\1\75.jpg</v>
      </c>
      <c r="Q756" s="12"/>
      <c r="R756" s="6" t="s">
        <v>1000</v>
      </c>
      <c r="S756" s="4"/>
      <c r="T756" s="1" t="s">
        <v>997</v>
      </c>
      <c r="U756" s="13"/>
      <c r="V756" s="13"/>
      <c r="W756" s="5" t="s">
        <v>1491</v>
      </c>
    </row>
    <row r="757" spans="1:23" ht="75">
      <c r="A757" s="1">
        <v>259828</v>
      </c>
      <c r="B757" s="1">
        <v>1</v>
      </c>
      <c r="C757" s="1">
        <v>115</v>
      </c>
      <c r="D757" s="2" t="s">
        <v>996</v>
      </c>
      <c r="E757" s="11" t="s">
        <v>996</v>
      </c>
      <c r="F757" s="11">
        <v>14621</v>
      </c>
      <c r="G757" s="2" t="s">
        <v>1494</v>
      </c>
      <c r="H757" s="2" t="s">
        <v>1495</v>
      </c>
      <c r="I757" s="2" t="s">
        <v>1496</v>
      </c>
      <c r="J757" s="2" t="str">
        <f t="shared" si="22"/>
        <v>https://permalinkbnd.bnportugal.gov.pt/viewer/14621/?offset=#page=115&amp;viewer=picture&amp;o=info&amp;n=0&amp;q=</v>
      </c>
      <c r="K757" s="1" t="s">
        <v>997</v>
      </c>
      <c r="L757" s="1" t="str">
        <f>VLOOKUP(A757,Folha2!$A$2:$B$2019,2,FALSE)</f>
        <v>De Lusiade van Louis Camoëns : heldendicht in X Zangen ; naer het Fransch door Lambartus Stoppendaal Pieters Zoon. - Te Middelburg : by Willem Abrahams, 1777</v>
      </c>
      <c r="M757" s="12" t="str">
        <f t="shared" si="23"/>
        <v>https://permalinkbnd.bnportugal.gov.pt/viewer/14621/?offset=#page=115&amp;viewer=picture&amp;o=info&amp;n=0&amp;q=</v>
      </c>
      <c r="N757" s="12" t="s">
        <v>1497</v>
      </c>
      <c r="O757" s="12" t="str">
        <f>CONCATENATE(N757,A757,"\",B757,"\",C757,".jpg")</f>
        <v>C:\Users\mbaptista\OneDrive - Biblioteca Nacional de Portugal\Documentos\python\camoniana\imagens\capas\259828\1\115.jpg</v>
      </c>
      <c r="P757" s="12" t="str">
        <f>HYPERLINK(O757)</f>
        <v>C:\Users\mbaptista\OneDrive - Biblioteca Nacional de Portugal\Documentos\python\camoniana\imagens\capas\259828\1\115.jpg</v>
      </c>
      <c r="Q757" s="12"/>
      <c r="R757" s="6" t="s">
        <v>1001</v>
      </c>
      <c r="S757" s="4"/>
      <c r="T757" s="1" t="s">
        <v>997</v>
      </c>
      <c r="U757" s="13"/>
      <c r="V757" s="13"/>
      <c r="W757" s="5" t="s">
        <v>1491</v>
      </c>
    </row>
    <row r="758" spans="1:23" ht="75">
      <c r="A758" s="1">
        <v>259828</v>
      </c>
      <c r="B758" s="1">
        <v>1</v>
      </c>
      <c r="C758" s="1">
        <v>171</v>
      </c>
      <c r="D758" s="2" t="s">
        <v>996</v>
      </c>
      <c r="E758" s="5" t="s">
        <v>996</v>
      </c>
      <c r="F758" s="5">
        <v>14621</v>
      </c>
      <c r="G758" s="2" t="s">
        <v>1494</v>
      </c>
      <c r="H758" s="2" t="s">
        <v>1495</v>
      </c>
      <c r="I758" s="2" t="s">
        <v>1496</v>
      </c>
      <c r="J758" s="2" t="str">
        <f t="shared" si="22"/>
        <v>https://permalinkbnd.bnportugal.gov.pt/viewer/14621/?offset=#page=171&amp;viewer=picture&amp;o=info&amp;n=0&amp;q=</v>
      </c>
      <c r="K758" s="1" t="s">
        <v>997</v>
      </c>
      <c r="L758" s="1" t="str">
        <f>VLOOKUP(A758,Folha2!$A$2:$B$2019,2,FALSE)</f>
        <v>De Lusiade van Louis Camoëns : heldendicht in X Zangen ; naer het Fransch door Lambartus Stoppendaal Pieters Zoon. - Te Middelburg : by Willem Abrahams, 1777</v>
      </c>
      <c r="M758" s="12" t="str">
        <f t="shared" si="23"/>
        <v>https://permalinkbnd.bnportugal.gov.pt/viewer/14621/?offset=#page=171&amp;viewer=picture&amp;o=info&amp;n=0&amp;q=</v>
      </c>
      <c r="N758" s="12" t="s">
        <v>1497</v>
      </c>
      <c r="O758" s="12" t="str">
        <f>CONCATENATE(N758,A758,"\",B758,"\",C758,".jpg")</f>
        <v>C:\Users\mbaptista\OneDrive - Biblioteca Nacional de Portugal\Documentos\python\camoniana\imagens\capas\259828\1\171.jpg</v>
      </c>
      <c r="P758" s="12" t="str">
        <f>HYPERLINK(O758)</f>
        <v>C:\Users\mbaptista\OneDrive - Biblioteca Nacional de Portugal\Documentos\python\camoniana\imagens\capas\259828\1\171.jpg</v>
      </c>
      <c r="Q758" s="12"/>
      <c r="R758" s="6" t="s">
        <v>1002</v>
      </c>
      <c r="S758" s="4"/>
      <c r="T758" s="1" t="s">
        <v>997</v>
      </c>
      <c r="U758" s="13"/>
      <c r="V758" s="13"/>
      <c r="W758" s="5" t="s">
        <v>1491</v>
      </c>
    </row>
    <row r="759" spans="1:23" ht="75">
      <c r="A759" s="1">
        <v>259828</v>
      </c>
      <c r="B759" s="1">
        <v>1</v>
      </c>
      <c r="C759" s="1">
        <v>211</v>
      </c>
      <c r="D759" s="2" t="s">
        <v>996</v>
      </c>
      <c r="E759" s="11" t="s">
        <v>996</v>
      </c>
      <c r="F759" s="11">
        <v>14621</v>
      </c>
      <c r="G759" s="2" t="s">
        <v>1494</v>
      </c>
      <c r="H759" s="2" t="s">
        <v>1495</v>
      </c>
      <c r="I759" s="2" t="s">
        <v>1496</v>
      </c>
      <c r="J759" s="2" t="str">
        <f t="shared" si="22"/>
        <v>https://permalinkbnd.bnportugal.gov.pt/viewer/14621/?offset=#page=211&amp;viewer=picture&amp;o=info&amp;n=0&amp;q=</v>
      </c>
      <c r="K759" s="1" t="s">
        <v>997</v>
      </c>
      <c r="L759" s="1" t="str">
        <f>VLOOKUP(A759,Folha2!$A$2:$B$2019,2,FALSE)</f>
        <v>De Lusiade van Louis Camoëns : heldendicht in X Zangen ; naer het Fransch door Lambartus Stoppendaal Pieters Zoon. - Te Middelburg : by Willem Abrahams, 1777</v>
      </c>
      <c r="M759" s="12" t="str">
        <f t="shared" si="23"/>
        <v>https://permalinkbnd.bnportugal.gov.pt/viewer/14621/?offset=#page=211&amp;viewer=picture&amp;o=info&amp;n=0&amp;q=</v>
      </c>
      <c r="N759" s="12" t="s">
        <v>1497</v>
      </c>
      <c r="O759" s="12" t="str">
        <f>CONCATENATE(N759,A759,"\",B759,"\",C759,".jpg")</f>
        <v>C:\Users\mbaptista\OneDrive - Biblioteca Nacional de Portugal\Documentos\python\camoniana\imagens\capas\259828\1\211.jpg</v>
      </c>
      <c r="P759" s="12" t="str">
        <f>HYPERLINK(O759)</f>
        <v>C:\Users\mbaptista\OneDrive - Biblioteca Nacional de Portugal\Documentos\python\camoniana\imagens\capas\259828\1\211.jpg</v>
      </c>
      <c r="Q759" s="12"/>
      <c r="R759" s="6" t="s">
        <v>1003</v>
      </c>
      <c r="S759" s="4"/>
      <c r="T759" s="1" t="s">
        <v>997</v>
      </c>
      <c r="U759" s="13"/>
      <c r="V759" s="13"/>
      <c r="W759" s="5" t="s">
        <v>1491</v>
      </c>
    </row>
    <row r="760" spans="1:23" ht="75">
      <c r="A760" s="1">
        <v>259828</v>
      </c>
      <c r="B760" s="1">
        <v>1</v>
      </c>
      <c r="C760" s="1">
        <v>259</v>
      </c>
      <c r="D760" s="2" t="s">
        <v>996</v>
      </c>
      <c r="E760" s="5" t="s">
        <v>996</v>
      </c>
      <c r="F760" s="5">
        <v>14621</v>
      </c>
      <c r="G760" s="2" t="s">
        <v>1494</v>
      </c>
      <c r="H760" s="2" t="s">
        <v>1495</v>
      </c>
      <c r="I760" s="2" t="s">
        <v>1496</v>
      </c>
      <c r="J760" s="2" t="str">
        <f t="shared" si="22"/>
        <v>https://permalinkbnd.bnportugal.gov.pt/viewer/14621/?offset=#page=259&amp;viewer=picture&amp;o=info&amp;n=0&amp;q=</v>
      </c>
      <c r="K760" s="1" t="s">
        <v>997</v>
      </c>
      <c r="L760" s="1" t="str">
        <f>VLOOKUP(A760,Folha2!$A$2:$B$2019,2,FALSE)</f>
        <v>De Lusiade van Louis Camoëns : heldendicht in X Zangen ; naer het Fransch door Lambartus Stoppendaal Pieters Zoon. - Te Middelburg : by Willem Abrahams, 1777</v>
      </c>
      <c r="M760" s="12" t="str">
        <f t="shared" si="23"/>
        <v>https://permalinkbnd.bnportugal.gov.pt/viewer/14621/?offset=#page=259&amp;viewer=picture&amp;o=info&amp;n=0&amp;q=</v>
      </c>
      <c r="N760" s="12" t="s">
        <v>1497</v>
      </c>
      <c r="O760" s="12" t="str">
        <f>CONCATENATE(N760,A760,"\",B760,"\",C760,".jpg")</f>
        <v>C:\Users\mbaptista\OneDrive - Biblioteca Nacional de Portugal\Documentos\python\camoniana\imagens\capas\259828\1\259.jpg</v>
      </c>
      <c r="P760" s="12" t="str">
        <f>HYPERLINK(O760)</f>
        <v>C:\Users\mbaptista\OneDrive - Biblioteca Nacional de Portugal\Documentos\python\camoniana\imagens\capas\259828\1\259.jpg</v>
      </c>
      <c r="Q760" s="12"/>
      <c r="R760" s="6" t="s">
        <v>1004</v>
      </c>
      <c r="S760" s="4"/>
      <c r="T760" s="1" t="s">
        <v>997</v>
      </c>
      <c r="U760" s="13"/>
      <c r="V760" s="13"/>
      <c r="W760" s="5" t="s">
        <v>1491</v>
      </c>
    </row>
    <row r="761" spans="1:23" ht="75">
      <c r="A761" s="1">
        <v>259828</v>
      </c>
      <c r="B761" s="1">
        <v>1</v>
      </c>
      <c r="C761" s="1">
        <v>293</v>
      </c>
      <c r="D761" s="2" t="s">
        <v>996</v>
      </c>
      <c r="E761" s="11" t="s">
        <v>996</v>
      </c>
      <c r="F761" s="11">
        <v>14621</v>
      </c>
      <c r="G761" s="2" t="s">
        <v>1494</v>
      </c>
      <c r="H761" s="2" t="s">
        <v>1495</v>
      </c>
      <c r="I761" s="2" t="s">
        <v>1496</v>
      </c>
      <c r="J761" s="2" t="str">
        <f t="shared" si="22"/>
        <v>https://permalinkbnd.bnportugal.gov.pt/viewer/14621/?offset=#page=293&amp;viewer=picture&amp;o=info&amp;n=0&amp;q=</v>
      </c>
      <c r="K761" s="1" t="s">
        <v>997</v>
      </c>
      <c r="L761" s="1" t="str">
        <f>VLOOKUP(A761,Folha2!$A$2:$B$2019,2,FALSE)</f>
        <v>De Lusiade van Louis Camoëns : heldendicht in X Zangen ; naer het Fransch door Lambartus Stoppendaal Pieters Zoon. - Te Middelburg : by Willem Abrahams, 1777</v>
      </c>
      <c r="M761" s="12" t="str">
        <f t="shared" si="23"/>
        <v>https://permalinkbnd.bnportugal.gov.pt/viewer/14621/?offset=#page=293&amp;viewer=picture&amp;o=info&amp;n=0&amp;q=</v>
      </c>
      <c r="N761" s="12" t="s">
        <v>1497</v>
      </c>
      <c r="O761" s="12" t="str">
        <f>CONCATENATE(N761,A761,"\",B761,"\",C761,".jpg")</f>
        <v>C:\Users\mbaptista\OneDrive - Biblioteca Nacional de Portugal\Documentos\python\camoniana\imagens\capas\259828\1\293.jpg</v>
      </c>
      <c r="P761" s="12" t="str">
        <f>HYPERLINK(O761)</f>
        <v>C:\Users\mbaptista\OneDrive - Biblioteca Nacional de Portugal\Documentos\python\camoniana\imagens\capas\259828\1\293.jpg</v>
      </c>
      <c r="Q761" s="12"/>
      <c r="R761" s="6" t="s">
        <v>1005</v>
      </c>
      <c r="S761" s="4"/>
      <c r="T761" s="1" t="s">
        <v>997</v>
      </c>
      <c r="U761" s="13"/>
      <c r="V761" s="13"/>
      <c r="W761" s="5" t="s">
        <v>1491</v>
      </c>
    </row>
    <row r="762" spans="1:23" ht="75">
      <c r="A762" s="1">
        <v>259828</v>
      </c>
      <c r="B762" s="1">
        <v>1</v>
      </c>
      <c r="C762" s="1">
        <v>325</v>
      </c>
      <c r="D762" s="2" t="s">
        <v>996</v>
      </c>
      <c r="E762" s="5" t="s">
        <v>996</v>
      </c>
      <c r="F762" s="5">
        <v>14621</v>
      </c>
      <c r="G762" s="2" t="s">
        <v>1494</v>
      </c>
      <c r="H762" s="2" t="s">
        <v>1495</v>
      </c>
      <c r="I762" s="2" t="s">
        <v>1496</v>
      </c>
      <c r="J762" s="2" t="str">
        <f t="shared" si="22"/>
        <v>https://permalinkbnd.bnportugal.gov.pt/viewer/14621/?offset=#page=325&amp;viewer=picture&amp;o=info&amp;n=0&amp;q=</v>
      </c>
      <c r="K762" s="1" t="s">
        <v>997</v>
      </c>
      <c r="L762" s="1" t="str">
        <f>VLOOKUP(A762,Folha2!$A$2:$B$2019,2,FALSE)</f>
        <v>De Lusiade van Louis Camoëns : heldendicht in X Zangen ; naer het Fransch door Lambartus Stoppendaal Pieters Zoon. - Te Middelburg : by Willem Abrahams, 1777</v>
      </c>
      <c r="M762" s="12" t="str">
        <f t="shared" si="23"/>
        <v>https://permalinkbnd.bnportugal.gov.pt/viewer/14621/?offset=#page=325&amp;viewer=picture&amp;o=info&amp;n=0&amp;q=</v>
      </c>
      <c r="N762" s="12" t="s">
        <v>1497</v>
      </c>
      <c r="O762" s="12" t="str">
        <f>CONCATENATE(N762,A762,"\",B762,"\",C762,".jpg")</f>
        <v>C:\Users\mbaptista\OneDrive - Biblioteca Nacional de Portugal\Documentos\python\camoniana\imagens\capas\259828\1\325.jpg</v>
      </c>
      <c r="P762" s="12" t="str">
        <f>HYPERLINK(O762)</f>
        <v>C:\Users\mbaptista\OneDrive - Biblioteca Nacional de Portugal\Documentos\python\camoniana\imagens\capas\259828\1\325.jpg</v>
      </c>
      <c r="Q762" s="12"/>
      <c r="R762" s="6" t="s">
        <v>1006</v>
      </c>
      <c r="S762" s="4"/>
      <c r="T762" s="1" t="s">
        <v>997</v>
      </c>
      <c r="U762" s="13"/>
      <c r="V762" s="13"/>
      <c r="W762" s="5" t="s">
        <v>1491</v>
      </c>
    </row>
    <row r="763" spans="1:23" ht="75">
      <c r="A763" s="1">
        <v>259828</v>
      </c>
      <c r="B763" s="1">
        <v>1</v>
      </c>
      <c r="C763" s="1">
        <v>365</v>
      </c>
      <c r="D763" s="2" t="s">
        <v>996</v>
      </c>
      <c r="E763" s="11" t="s">
        <v>996</v>
      </c>
      <c r="F763" s="11">
        <v>14621</v>
      </c>
      <c r="G763" s="2" t="s">
        <v>1494</v>
      </c>
      <c r="H763" s="2" t="s">
        <v>1495</v>
      </c>
      <c r="I763" s="2" t="s">
        <v>1496</v>
      </c>
      <c r="J763" s="2" t="str">
        <f t="shared" si="22"/>
        <v>https://permalinkbnd.bnportugal.gov.pt/viewer/14621/?offset=#page=365&amp;viewer=picture&amp;o=info&amp;n=0&amp;q=</v>
      </c>
      <c r="K763" s="1" t="s">
        <v>997</v>
      </c>
      <c r="L763" s="1" t="str">
        <f>VLOOKUP(A763,Folha2!$A$2:$B$2019,2,FALSE)</f>
        <v>De Lusiade van Louis Camoëns : heldendicht in X Zangen ; naer het Fransch door Lambartus Stoppendaal Pieters Zoon. - Te Middelburg : by Willem Abrahams, 1777</v>
      </c>
      <c r="M763" s="12" t="str">
        <f t="shared" si="23"/>
        <v>https://permalinkbnd.bnportugal.gov.pt/viewer/14621/?offset=#page=365&amp;viewer=picture&amp;o=info&amp;n=0&amp;q=</v>
      </c>
      <c r="N763" s="12" t="s">
        <v>1497</v>
      </c>
      <c r="O763" s="12" t="str">
        <f>CONCATENATE(N763,A763,"\",B763,"\",C763,".jpg")</f>
        <v>C:\Users\mbaptista\OneDrive - Biblioteca Nacional de Portugal\Documentos\python\camoniana\imagens\capas\259828\1\365.jpg</v>
      </c>
      <c r="P763" s="12" t="str">
        <f>HYPERLINK(O763)</f>
        <v>C:\Users\mbaptista\OneDrive - Biblioteca Nacional de Portugal\Documentos\python\camoniana\imagens\capas\259828\1\365.jpg</v>
      </c>
      <c r="Q763" s="12"/>
      <c r="R763" s="6" t="s">
        <v>1007</v>
      </c>
      <c r="S763" s="4"/>
      <c r="T763" s="1" t="s">
        <v>997</v>
      </c>
      <c r="U763" s="13"/>
      <c r="V763" s="13"/>
      <c r="W763" s="5" t="s">
        <v>1491</v>
      </c>
    </row>
    <row r="764" spans="1:23" ht="75">
      <c r="A764" s="1">
        <v>259828</v>
      </c>
      <c r="B764" s="1">
        <v>1</v>
      </c>
      <c r="C764" s="1">
        <v>401</v>
      </c>
      <c r="D764" s="2" t="s">
        <v>996</v>
      </c>
      <c r="E764" s="5" t="s">
        <v>996</v>
      </c>
      <c r="F764" s="5">
        <v>14621</v>
      </c>
      <c r="G764" s="2" t="s">
        <v>1494</v>
      </c>
      <c r="H764" s="2" t="s">
        <v>1495</v>
      </c>
      <c r="I764" s="2" t="s">
        <v>1496</v>
      </c>
      <c r="J764" s="2" t="str">
        <f t="shared" si="22"/>
        <v>https://permalinkbnd.bnportugal.gov.pt/viewer/14621/?offset=#page=401&amp;viewer=picture&amp;o=info&amp;n=0&amp;q=</v>
      </c>
      <c r="K764" s="1" t="s">
        <v>997</v>
      </c>
      <c r="L764" s="1" t="str">
        <f>VLOOKUP(A764,Folha2!$A$2:$B$2019,2,FALSE)</f>
        <v>De Lusiade van Louis Camoëns : heldendicht in X Zangen ; naer het Fransch door Lambartus Stoppendaal Pieters Zoon. - Te Middelburg : by Willem Abrahams, 1777</v>
      </c>
      <c r="M764" s="12" t="str">
        <f t="shared" si="23"/>
        <v>https://permalinkbnd.bnportugal.gov.pt/viewer/14621/?offset=#page=401&amp;viewer=picture&amp;o=info&amp;n=0&amp;q=</v>
      </c>
      <c r="N764" s="12" t="s">
        <v>1497</v>
      </c>
      <c r="O764" s="12" t="str">
        <f>CONCATENATE(N764,A764,"\",B764,"\",C764,".jpg")</f>
        <v>C:\Users\mbaptista\OneDrive - Biblioteca Nacional de Portugal\Documentos\python\camoniana\imagens\capas\259828\1\401.jpg</v>
      </c>
      <c r="P764" s="12" t="str">
        <f>HYPERLINK(O764)</f>
        <v>C:\Users\mbaptista\OneDrive - Biblioteca Nacional de Portugal\Documentos\python\camoniana\imagens\capas\259828\1\401.jpg</v>
      </c>
      <c r="Q764" s="12"/>
      <c r="R764" s="6" t="s">
        <v>1008</v>
      </c>
      <c r="S764" s="4"/>
      <c r="T764" s="1" t="s">
        <v>997</v>
      </c>
      <c r="U764" s="13"/>
      <c r="V764" s="13"/>
      <c r="W764" s="5" t="s">
        <v>1491</v>
      </c>
    </row>
    <row r="765" spans="1:23" ht="75">
      <c r="A765" s="1">
        <v>303898</v>
      </c>
      <c r="B765" s="1">
        <v>1</v>
      </c>
      <c r="C765" s="1">
        <v>10</v>
      </c>
      <c r="D765" s="2" t="s">
        <v>1009</v>
      </c>
      <c r="E765" s="11" t="s">
        <v>1009</v>
      </c>
      <c r="F765" s="11">
        <v>14573</v>
      </c>
      <c r="G765" s="2" t="s">
        <v>1494</v>
      </c>
      <c r="H765" s="2" t="s">
        <v>1495</v>
      </c>
      <c r="I765" s="2" t="s">
        <v>1496</v>
      </c>
      <c r="J765" s="2" t="str">
        <f t="shared" si="22"/>
        <v>https://permalinkbnd.bnportugal.gov.pt/viewer/14573/?offset=#page=10&amp;viewer=picture&amp;o=info&amp;n=0&amp;q=</v>
      </c>
      <c r="K765" s="1" t="s">
        <v>333</v>
      </c>
      <c r="L765" s="1" t="str">
        <f>VLOOKUP(A765,Folha2!$A$2:$B$2019,2,FALSE)</f>
        <v>Poems from the portuguese / of Luis de Camoens ; with remarks on his life and writings notes by Lord Viscount Strangford. - London : J. Carpenter, 1803.  Fragmentos épica, Canto VI e os Doze.</v>
      </c>
      <c r="M765" s="12" t="str">
        <f t="shared" si="23"/>
        <v>https://permalinkbnd.bnportugal.gov.pt/viewer/14573/?offset=#page=10&amp;viewer=picture&amp;o=info&amp;n=0&amp;q=</v>
      </c>
      <c r="N765" s="12" t="s">
        <v>1497</v>
      </c>
      <c r="O765" s="12" t="str">
        <f>CONCATENATE(N765,A765,"\",B765,"\",C765,".jpg")</f>
        <v>C:\Users\mbaptista\OneDrive - Biblioteca Nacional de Portugal\Documentos\python\camoniana\imagens\capas\303898\1\10.jpg</v>
      </c>
      <c r="P765" s="12" t="str">
        <f>HYPERLINK(O765)</f>
        <v>C:\Users\mbaptista\OneDrive - Biblioteca Nacional de Portugal\Documentos\python\camoniana\imagens\capas\303898\1\10.jpg</v>
      </c>
      <c r="Q765" s="12"/>
      <c r="R765" s="6" t="s">
        <v>1010</v>
      </c>
      <c r="S765" s="4"/>
      <c r="T765" s="1">
        <v>10</v>
      </c>
      <c r="U765" s="13"/>
      <c r="V765" s="13"/>
      <c r="W765" s="5" t="s">
        <v>1491</v>
      </c>
    </row>
    <row r="766" spans="1:23" ht="75">
      <c r="A766" s="1">
        <v>323612</v>
      </c>
      <c r="B766" s="1">
        <v>1</v>
      </c>
      <c r="C766" s="1">
        <v>19</v>
      </c>
      <c r="D766" s="2" t="s">
        <v>1011</v>
      </c>
      <c r="E766" s="5" t="s">
        <v>1011</v>
      </c>
      <c r="F766" s="5">
        <v>14605</v>
      </c>
      <c r="G766" s="2" t="s">
        <v>1494</v>
      </c>
      <c r="H766" s="2" t="s">
        <v>1495</v>
      </c>
      <c r="I766" s="2" t="s">
        <v>1496</v>
      </c>
      <c r="J766" s="2" t="str">
        <f t="shared" si="22"/>
        <v>https://permalinkbnd.bnportugal.gov.pt/viewer/14605/?offset=#page=19&amp;viewer=picture&amp;o=info&amp;n=0&amp;q=</v>
      </c>
      <c r="K766" s="1">
        <v>19</v>
      </c>
      <c r="L766" s="1" t="str">
        <f>VLOOKUP(A766,Folha2!$A$2:$B$2019,2,FALSE)</f>
        <v>Os Lusiadas / de Luis de Camões. - Em Lisboa : em casa de Antonio Gõçaluez, 1572, sem argumentos.</v>
      </c>
      <c r="M766" s="12" t="str">
        <f t="shared" si="23"/>
        <v>https://permalinkbnd.bnportugal.gov.pt/viewer/14605/?offset=#page=19&amp;viewer=picture&amp;o=info&amp;n=0&amp;q=</v>
      </c>
      <c r="N766" s="12" t="s">
        <v>1497</v>
      </c>
      <c r="O766" s="12" t="str">
        <f>CONCATENATE(N766,A766,"\",B766,"\",C766,".jpg")</f>
        <v>C:\Users\mbaptista\OneDrive - Biblioteca Nacional de Portugal\Documentos\python\camoniana\imagens\capas\323612\1\19.jpg</v>
      </c>
      <c r="P766" s="12" t="str">
        <f>HYPERLINK(O766)</f>
        <v>C:\Users\mbaptista\OneDrive - Biblioteca Nacional de Portugal\Documentos\python\camoniana\imagens\capas\323612\1\19.jpg</v>
      </c>
      <c r="Q766" s="12"/>
      <c r="R766" s="6" t="s">
        <v>1012</v>
      </c>
      <c r="S766" s="4"/>
      <c r="T766" s="1">
        <v>19</v>
      </c>
      <c r="U766" s="13"/>
      <c r="V766" s="13"/>
      <c r="W766" s="5" t="s">
        <v>1491</v>
      </c>
    </row>
    <row r="767" spans="1:23" ht="75">
      <c r="A767" s="1">
        <v>323613</v>
      </c>
      <c r="B767" s="1">
        <v>1</v>
      </c>
      <c r="C767" s="1">
        <v>7</v>
      </c>
      <c r="D767" s="2" t="s">
        <v>1013</v>
      </c>
      <c r="E767" s="11" t="s">
        <v>1013</v>
      </c>
      <c r="F767" s="11">
        <v>14632</v>
      </c>
      <c r="G767" s="2" t="s">
        <v>1494</v>
      </c>
      <c r="H767" s="2" t="s">
        <v>1495</v>
      </c>
      <c r="I767" s="2" t="s">
        <v>1496</v>
      </c>
      <c r="J767" s="2" t="str">
        <f t="shared" si="22"/>
        <v>https://permalinkbnd.bnportugal.gov.pt/viewer/14632/?offset=#page=7&amp;viewer=picture&amp;o=info&amp;n=0&amp;q=</v>
      </c>
      <c r="K767" s="1">
        <v>7</v>
      </c>
      <c r="L767" s="1" t="str">
        <f>VLOOKUP(A767,Folha2!$A$2:$B$2019,2,FALSE)</f>
        <v>Os Lusiadas / de Luis de Camões. - Lisboa : em casa de Antonio Gõçaluez, 1572, sem argumentos. Erros gráficos na paginação.</v>
      </c>
      <c r="M767" s="12" t="str">
        <f t="shared" si="23"/>
        <v>https://permalinkbnd.bnportugal.gov.pt/viewer/14632/?offset=#page=7&amp;viewer=picture&amp;o=info&amp;n=0&amp;q=</v>
      </c>
      <c r="N767" s="12" t="s">
        <v>1497</v>
      </c>
      <c r="O767" s="12" t="str">
        <f>CONCATENATE(N767,A767,"\",B767,"\",C767,".jpg")</f>
        <v>C:\Users\mbaptista\OneDrive - Biblioteca Nacional de Portugal\Documentos\python\camoniana\imagens\capas\323613\1\7.jpg</v>
      </c>
      <c r="P767" s="12" t="str">
        <f>HYPERLINK(O767)</f>
        <v>C:\Users\mbaptista\OneDrive - Biblioteca Nacional de Portugal\Documentos\python\camoniana\imagens\capas\323613\1\7.jpg</v>
      </c>
      <c r="Q767" s="12"/>
      <c r="R767" s="6" t="s">
        <v>1014</v>
      </c>
      <c r="S767" s="4"/>
      <c r="T767" s="1">
        <v>7</v>
      </c>
      <c r="U767" s="13"/>
      <c r="V767" s="13"/>
      <c r="W767" s="5" t="s">
        <v>1491</v>
      </c>
    </row>
    <row r="768" spans="1:23" ht="75">
      <c r="A768" s="1">
        <v>323614</v>
      </c>
      <c r="B768" s="1">
        <v>1</v>
      </c>
      <c r="C768" s="1">
        <v>23</v>
      </c>
      <c r="D768" s="2" t="s">
        <v>1015</v>
      </c>
      <c r="E768" s="5" t="s">
        <v>1015</v>
      </c>
      <c r="F768" s="5">
        <v>14680</v>
      </c>
      <c r="G768" s="2" t="s">
        <v>1494</v>
      </c>
      <c r="H768" s="2" t="s">
        <v>1495</v>
      </c>
      <c r="I768" s="2" t="s">
        <v>1496</v>
      </c>
      <c r="J768" s="2" t="str">
        <f t="shared" si="22"/>
        <v>https://permalinkbnd.bnportugal.gov.pt/viewer/14680/?offset=#page=23&amp;viewer=picture&amp;o=info&amp;n=0&amp;q=</v>
      </c>
      <c r="K768" s="1" t="s">
        <v>1016</v>
      </c>
      <c r="L768" s="1" t="str">
        <f>VLOOKUP(A768,Folha2!$A$2:$B$2019,2,FALSE)</f>
        <v xml:space="preserve">Imag. 45 réplica com moldura da portada. </v>
      </c>
      <c r="M768" s="12" t="str">
        <f t="shared" si="23"/>
        <v>https://permalinkbnd.bnportugal.gov.pt/viewer/14680/?offset=#page=23&amp;viewer=picture&amp;o=info&amp;n=0&amp;q=</v>
      </c>
      <c r="N768" s="12" t="s">
        <v>1497</v>
      </c>
      <c r="O768" s="12" t="str">
        <f>CONCATENATE(N768,A768,"\",B768,"\",C768,".jpg")</f>
        <v>C:\Users\mbaptista\OneDrive - Biblioteca Nacional de Portugal\Documentos\python\camoniana\imagens\capas\323614\1\23.jpg</v>
      </c>
      <c r="P768" s="12" t="str">
        <f>HYPERLINK(O768)</f>
        <v>C:\Users\mbaptista\OneDrive - Biblioteca Nacional de Portugal\Documentos\python\camoniana\imagens\capas\323614\1\23.jpg</v>
      </c>
      <c r="Q768" s="12"/>
      <c r="R768" s="6" t="s">
        <v>1017</v>
      </c>
      <c r="S768" s="4"/>
      <c r="T768" s="1" t="s">
        <v>1016</v>
      </c>
      <c r="U768" s="13"/>
      <c r="V768" s="13"/>
      <c r="W768" s="5" t="s">
        <v>1491</v>
      </c>
    </row>
    <row r="769" spans="1:23" ht="75">
      <c r="A769" s="1">
        <v>323614</v>
      </c>
      <c r="B769" s="1">
        <v>1</v>
      </c>
      <c r="C769" s="1">
        <v>45</v>
      </c>
      <c r="D769" s="2" t="s">
        <v>1015</v>
      </c>
      <c r="E769" s="11" t="s">
        <v>1015</v>
      </c>
      <c r="F769" s="11">
        <v>14680</v>
      </c>
      <c r="G769" s="2" t="s">
        <v>1494</v>
      </c>
      <c r="H769" s="2" t="s">
        <v>1495</v>
      </c>
      <c r="I769" s="2" t="s">
        <v>1496</v>
      </c>
      <c r="J769" s="2" t="str">
        <f t="shared" si="22"/>
        <v>https://permalinkbnd.bnportugal.gov.pt/viewer/14680/?offset=#page=45&amp;viewer=picture&amp;o=info&amp;n=0&amp;q=</v>
      </c>
      <c r="K769" s="1" t="s">
        <v>1016</v>
      </c>
      <c r="L769" s="1" t="str">
        <f>VLOOKUP(A769,Folha2!$A$2:$B$2019,2,FALSE)</f>
        <v xml:space="preserve">Imag. 45 réplica com moldura da portada. </v>
      </c>
      <c r="M769" s="12" t="str">
        <f t="shared" si="23"/>
        <v>https://permalinkbnd.bnportugal.gov.pt/viewer/14680/?offset=#page=45&amp;viewer=picture&amp;o=info&amp;n=0&amp;q=</v>
      </c>
      <c r="N769" s="12" t="s">
        <v>1497</v>
      </c>
      <c r="O769" s="12" t="str">
        <f>CONCATENATE(N769,A769,"\",B769,"\",C769,".jpg")</f>
        <v>C:\Users\mbaptista\OneDrive - Biblioteca Nacional de Portugal\Documentos\python\camoniana\imagens\capas\323614\1\45.jpg</v>
      </c>
      <c r="P769" s="12" t="str">
        <f>HYPERLINK(O769)</f>
        <v>C:\Users\mbaptista\OneDrive - Biblioteca Nacional de Portugal\Documentos\python\camoniana\imagens\capas\323614\1\45.jpg</v>
      </c>
      <c r="Q769" s="12"/>
      <c r="R769" s="6" t="s">
        <v>1018</v>
      </c>
      <c r="S769" s="4"/>
      <c r="T769" s="1" t="s">
        <v>1016</v>
      </c>
      <c r="U769" s="13"/>
      <c r="V769" s="13"/>
      <c r="W769" s="5" t="s">
        <v>1491</v>
      </c>
    </row>
    <row r="770" spans="1:23" ht="75">
      <c r="A770" s="1">
        <v>323615</v>
      </c>
      <c r="B770" s="1">
        <v>1</v>
      </c>
      <c r="C770" s="1">
        <v>9</v>
      </c>
      <c r="D770" s="2" t="s">
        <v>1019</v>
      </c>
      <c r="E770" s="5" t="s">
        <v>1019</v>
      </c>
      <c r="F770" s="5">
        <v>14556</v>
      </c>
      <c r="G770" s="2" t="s">
        <v>1494</v>
      </c>
      <c r="H770" s="2" t="s">
        <v>1495</v>
      </c>
      <c r="I770" s="2" t="s">
        <v>1496</v>
      </c>
      <c r="J770" s="2" t="str">
        <f t="shared" ref="J770:J833" si="24">CONCATENATE(G770,F770,H770,C770,I770)</f>
        <v>https://permalinkbnd.bnportugal.gov.pt/viewer/14556/?offset=#page=9&amp;viewer=picture&amp;o=info&amp;n=0&amp;q=</v>
      </c>
      <c r="K770" s="1">
        <v>9</v>
      </c>
      <c r="L770" s="1" t="str">
        <f>VLOOKUP(A770,Folha2!$A$2:$B$2019,2,FALSE)</f>
        <v>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v>
      </c>
      <c r="M770" s="12" t="str">
        <f t="shared" ref="M770:M833" si="25">HYPERLINK(J770)</f>
        <v>https://permalinkbnd.bnportugal.gov.pt/viewer/14556/?offset=#page=9&amp;viewer=picture&amp;o=info&amp;n=0&amp;q=</v>
      </c>
      <c r="N770" s="12" t="s">
        <v>1497</v>
      </c>
      <c r="O770" s="12" t="str">
        <f>CONCATENATE(N770,A770,"\",B770,"\",C770,".jpg")</f>
        <v>C:\Users\mbaptista\OneDrive - Biblioteca Nacional de Portugal\Documentos\python\camoniana\imagens\capas\323615\1\9.jpg</v>
      </c>
      <c r="P770" s="12" t="str">
        <f>HYPERLINK(O770)</f>
        <v>C:\Users\mbaptista\OneDrive - Biblioteca Nacional de Portugal\Documentos\python\camoniana\imagens\capas\323615\1\9.jpg</v>
      </c>
      <c r="Q770" s="12"/>
      <c r="R770" s="6" t="s">
        <v>1020</v>
      </c>
      <c r="S770" s="4"/>
      <c r="T770" s="1">
        <v>9</v>
      </c>
      <c r="U770" s="13"/>
      <c r="V770" s="13"/>
      <c r="W770" s="5" t="s">
        <v>1491</v>
      </c>
    </row>
    <row r="771" spans="1:23" ht="75">
      <c r="A771" s="1">
        <v>323616</v>
      </c>
      <c r="B771" s="1">
        <v>1</v>
      </c>
      <c r="C771" s="1">
        <v>5</v>
      </c>
      <c r="D771" s="2" t="s">
        <v>1021</v>
      </c>
      <c r="E771" s="11" t="s">
        <v>1021</v>
      </c>
      <c r="F771" s="11">
        <v>14578</v>
      </c>
      <c r="G771" s="2" t="s">
        <v>1494</v>
      </c>
      <c r="H771" s="2" t="s">
        <v>1495</v>
      </c>
      <c r="I771" s="2" t="s">
        <v>1496</v>
      </c>
      <c r="J771" s="2" t="str">
        <f t="shared" si="24"/>
        <v>https://permalinkbnd.bnportugal.gov.pt/viewer/14578/?offset=#page=5&amp;viewer=picture&amp;o=info&amp;n=0&amp;q=</v>
      </c>
      <c r="K771" s="1">
        <v>5</v>
      </c>
      <c r="L771" s="1" t="str">
        <f>VLOOKUP(A771,Folha2!$A$2:$B$2019,2,FALSE)</f>
        <v>Os Lusiadas / de Luis de Camões. - Polo original antigo agora nouamente impressos. - Em Lisboa : por Manoel de Lyra : á custa de Esteuão Lopez, 1597, sem argumentos. Erros gráficos na paginação.</v>
      </c>
      <c r="M771" s="12" t="str">
        <f t="shared" si="25"/>
        <v>https://permalinkbnd.bnportugal.gov.pt/viewer/14578/?offset=#page=5&amp;viewer=picture&amp;o=info&amp;n=0&amp;q=</v>
      </c>
      <c r="N771" s="12" t="s">
        <v>1497</v>
      </c>
      <c r="O771" s="12" t="str">
        <f>CONCATENATE(N771,A771,"\",B771,"\",C771,".jpg")</f>
        <v>C:\Users\mbaptista\OneDrive - Biblioteca Nacional de Portugal\Documentos\python\camoniana\imagens\capas\323616\1\5.jpg</v>
      </c>
      <c r="P771" s="12" t="str">
        <f>HYPERLINK(O771)</f>
        <v>C:\Users\mbaptista\OneDrive - Biblioteca Nacional de Portugal\Documentos\python\camoniana\imagens\capas\323616\1\5.jpg</v>
      </c>
      <c r="Q771" s="12"/>
      <c r="R771" s="6" t="s">
        <v>1022</v>
      </c>
      <c r="S771" s="4"/>
      <c r="T771" s="1">
        <v>5</v>
      </c>
      <c r="U771" s="13"/>
      <c r="V771" s="13"/>
      <c r="W771" s="5" t="s">
        <v>1491</v>
      </c>
    </row>
    <row r="772" spans="1:23" ht="90">
      <c r="A772" s="1">
        <v>323617</v>
      </c>
      <c r="B772" s="1">
        <v>1</v>
      </c>
      <c r="C772" s="1">
        <v>9</v>
      </c>
      <c r="D772" s="2" t="s">
        <v>1023</v>
      </c>
      <c r="E772" s="5" t="s">
        <v>1023</v>
      </c>
      <c r="F772" s="5">
        <v>14576</v>
      </c>
      <c r="G772" s="2" t="s">
        <v>1494</v>
      </c>
      <c r="H772" s="2" t="s">
        <v>1495</v>
      </c>
      <c r="I772" s="2" t="s">
        <v>1496</v>
      </c>
      <c r="J772" s="2" t="str">
        <f t="shared" si="24"/>
        <v>https://permalinkbnd.bnportugal.gov.pt/viewer/14576/?offset=#page=9&amp;viewer=picture&amp;o=info&amp;n=0&amp;q=</v>
      </c>
      <c r="K772" s="1">
        <v>9</v>
      </c>
      <c r="L772" s="1" t="str">
        <f>VLOOKUP(A772,Folha2!$A$2:$B$2019,2,FALSE)</f>
        <v>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v>
      </c>
      <c r="M772" s="12" t="str">
        <f t="shared" si="25"/>
        <v>https://permalinkbnd.bnportugal.gov.pt/viewer/14576/?offset=#page=9&amp;viewer=picture&amp;o=info&amp;n=0&amp;q=</v>
      </c>
      <c r="N772" s="12" t="s">
        <v>1497</v>
      </c>
      <c r="O772" s="12" t="str">
        <f>CONCATENATE(N772,A772,"\",B772,"\",C772,".jpg")</f>
        <v>C:\Users\mbaptista\OneDrive - Biblioteca Nacional de Portugal\Documentos\python\camoniana\imagens\capas\323617\1\9.jpg</v>
      </c>
      <c r="P772" s="12" t="str">
        <f>HYPERLINK(O772)</f>
        <v>C:\Users\mbaptista\OneDrive - Biblioteca Nacional de Portugal\Documentos\python\camoniana\imagens\capas\323617\1\9.jpg</v>
      </c>
      <c r="Q772" s="12"/>
      <c r="R772" s="6" t="s">
        <v>1024</v>
      </c>
      <c r="S772" s="4"/>
      <c r="T772" s="1">
        <v>9</v>
      </c>
      <c r="U772" s="13"/>
      <c r="V772" s="13"/>
      <c r="W772" s="5" t="s">
        <v>1491</v>
      </c>
    </row>
    <row r="773" spans="1:23" ht="75">
      <c r="A773" s="1">
        <v>329698</v>
      </c>
      <c r="B773" s="1">
        <v>1</v>
      </c>
      <c r="C773" s="1">
        <v>3</v>
      </c>
      <c r="D773" s="2" t="s">
        <v>1025</v>
      </c>
      <c r="E773" s="11" t="s">
        <v>1025</v>
      </c>
      <c r="F773" s="11">
        <v>14592</v>
      </c>
      <c r="G773" s="2" t="s">
        <v>1494</v>
      </c>
      <c r="H773" s="2" t="s">
        <v>1495</v>
      </c>
      <c r="I773" s="2" t="s">
        <v>1496</v>
      </c>
      <c r="J773" s="2" t="str">
        <f t="shared" si="24"/>
        <v>https://permalinkbnd.bnportugal.gov.pt/viewer/14592/?offset=#page=3&amp;viewer=picture&amp;o=info&amp;n=0&amp;q=</v>
      </c>
      <c r="K773" s="1" t="s">
        <v>1026</v>
      </c>
      <c r="L773" s="1" t="str">
        <f>VLOOKUP(A773,Folha2!$A$2:$B$2019,2,FALSE)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3" s="12" t="str">
        <f t="shared" si="25"/>
        <v>https://permalinkbnd.bnportugal.gov.pt/viewer/14592/?offset=#page=3&amp;viewer=picture&amp;o=info&amp;n=0&amp;q=</v>
      </c>
      <c r="N773" s="12" t="s">
        <v>1497</v>
      </c>
      <c r="O773" s="12" t="str">
        <f>CONCATENATE(N773,A773,"\",B773,"\",C773,".jpg")</f>
        <v>C:\Users\mbaptista\OneDrive - Biblioteca Nacional de Portugal\Documentos\python\camoniana\imagens\capas\329698\1\3.jpg</v>
      </c>
      <c r="P773" s="12" t="str">
        <f>HYPERLINK(O773)</f>
        <v>C:\Users\mbaptista\OneDrive - Biblioteca Nacional de Portugal\Documentos\python\camoniana\imagens\capas\329698\1\3.jpg</v>
      </c>
      <c r="Q773" s="12"/>
      <c r="R773" s="6" t="s">
        <v>1028</v>
      </c>
      <c r="S773" s="4"/>
      <c r="T773" s="1" t="s">
        <v>1027</v>
      </c>
      <c r="U773" s="13"/>
      <c r="V773" s="13"/>
      <c r="W773" s="5" t="s">
        <v>1491</v>
      </c>
    </row>
    <row r="774" spans="1:23" ht="75">
      <c r="A774" s="1">
        <v>329698</v>
      </c>
      <c r="B774" s="1">
        <v>1</v>
      </c>
      <c r="C774" s="1">
        <v>8</v>
      </c>
      <c r="D774" s="2" t="s">
        <v>1025</v>
      </c>
      <c r="E774" s="5" t="s">
        <v>1025</v>
      </c>
      <c r="F774" s="5">
        <v>14592</v>
      </c>
      <c r="G774" s="2" t="s">
        <v>1494</v>
      </c>
      <c r="H774" s="2" t="s">
        <v>1495</v>
      </c>
      <c r="I774" s="2" t="s">
        <v>1496</v>
      </c>
      <c r="J774" s="2" t="str">
        <f t="shared" si="24"/>
        <v>https://permalinkbnd.bnportugal.gov.pt/viewer/14592/?offset=#page=8&amp;viewer=picture&amp;o=info&amp;n=0&amp;q=</v>
      </c>
      <c r="K774" s="1" t="s">
        <v>1026</v>
      </c>
      <c r="L774" s="1" t="str">
        <f>VLOOKUP(A774,Folha2!$A$2:$B$2019,2,FALSE)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4" s="12" t="str">
        <f t="shared" si="25"/>
        <v>https://permalinkbnd.bnportugal.gov.pt/viewer/14592/?offset=#page=8&amp;viewer=picture&amp;o=info&amp;n=0&amp;q=</v>
      </c>
      <c r="N774" s="12" t="s">
        <v>1497</v>
      </c>
      <c r="O774" s="12" t="str">
        <f>CONCATENATE(N774,A774,"\",B774,"\",C774,".jpg")</f>
        <v>C:\Users\mbaptista\OneDrive - Biblioteca Nacional de Portugal\Documentos\python\camoniana\imagens\capas\329698\1\8.jpg</v>
      </c>
      <c r="P774" s="12" t="str">
        <f>HYPERLINK(O774)</f>
        <v>C:\Users\mbaptista\OneDrive - Biblioteca Nacional de Portugal\Documentos\python\camoniana\imagens\capas\329698\1\8.jpg</v>
      </c>
      <c r="Q774" s="12"/>
      <c r="R774" s="6" t="s">
        <v>1029</v>
      </c>
      <c r="S774" s="4"/>
      <c r="T774" s="1" t="s">
        <v>1027</v>
      </c>
      <c r="U774" s="13"/>
      <c r="V774" s="13"/>
      <c r="W774" s="5" t="s">
        <v>1491</v>
      </c>
    </row>
    <row r="775" spans="1:23" ht="75">
      <c r="A775" s="1">
        <v>329698</v>
      </c>
      <c r="B775" s="1">
        <v>1</v>
      </c>
      <c r="C775" s="1">
        <v>12</v>
      </c>
      <c r="D775" s="2" t="s">
        <v>1025</v>
      </c>
      <c r="E775" s="11" t="s">
        <v>1025</v>
      </c>
      <c r="F775" s="11">
        <v>14592</v>
      </c>
      <c r="G775" s="2" t="s">
        <v>1494</v>
      </c>
      <c r="H775" s="2" t="s">
        <v>1495</v>
      </c>
      <c r="I775" s="2" t="s">
        <v>1496</v>
      </c>
      <c r="J775" s="2" t="str">
        <f t="shared" si="24"/>
        <v>https://permalinkbnd.bnportugal.gov.pt/viewer/14592/?offset=#page=12&amp;viewer=picture&amp;o=info&amp;n=0&amp;q=</v>
      </c>
      <c r="K775" s="1" t="s">
        <v>1026</v>
      </c>
      <c r="L775" s="1" t="str">
        <f>VLOOKUP(A775,Folha2!$A$2:$B$2019,2,FALSE)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5" s="12" t="str">
        <f t="shared" si="25"/>
        <v>https://permalinkbnd.bnportugal.gov.pt/viewer/14592/?offset=#page=12&amp;viewer=picture&amp;o=info&amp;n=0&amp;q=</v>
      </c>
      <c r="N775" s="12" t="s">
        <v>1497</v>
      </c>
      <c r="O775" s="12" t="str">
        <f>CONCATENATE(N775,A775,"\",B775,"\",C775,".jpg")</f>
        <v>C:\Users\mbaptista\OneDrive - Biblioteca Nacional de Portugal\Documentos\python\camoniana\imagens\capas\329698\1\12.jpg</v>
      </c>
      <c r="P775" s="12" t="str">
        <f>HYPERLINK(O775)</f>
        <v>C:\Users\mbaptista\OneDrive - Biblioteca Nacional de Portugal\Documentos\python\camoniana\imagens\capas\329698\1\12.jpg</v>
      </c>
      <c r="Q775" s="12"/>
      <c r="R775" s="6" t="s">
        <v>1030</v>
      </c>
      <c r="S775" s="4"/>
      <c r="T775" s="1" t="s">
        <v>1027</v>
      </c>
      <c r="U775" s="13"/>
      <c r="V775" s="13"/>
      <c r="W775" s="5" t="s">
        <v>1491</v>
      </c>
    </row>
    <row r="776" spans="1:23" ht="75">
      <c r="A776" s="1">
        <v>331404</v>
      </c>
      <c r="B776" s="1">
        <v>1</v>
      </c>
      <c r="C776" s="1">
        <v>10</v>
      </c>
      <c r="D776" s="2" t="s">
        <v>1031</v>
      </c>
      <c r="E776" s="5" t="s">
        <v>1031</v>
      </c>
      <c r="F776" s="5">
        <v>14566</v>
      </c>
      <c r="G776" s="2" t="s">
        <v>1494</v>
      </c>
      <c r="H776" s="2" t="s">
        <v>1495</v>
      </c>
      <c r="I776" s="2" t="s">
        <v>1496</v>
      </c>
      <c r="J776" s="2" t="str">
        <f t="shared" si="24"/>
        <v>https://permalinkbnd.bnportugal.gov.pt/viewer/14566/?offset=#page=10&amp;viewer=picture&amp;o=info&amp;n=0&amp;q=</v>
      </c>
      <c r="K776" s="1" t="s">
        <v>1032</v>
      </c>
      <c r="L776" s="1" t="str">
        <f>VLOOKUP(A776,Folha2!$A$2:$B$2019,2,FALSE)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6" s="12" t="str">
        <f t="shared" si="25"/>
        <v>https://permalinkbnd.bnportugal.gov.pt/viewer/14566/?offset=#page=10&amp;viewer=picture&amp;o=info&amp;n=0&amp;q=</v>
      </c>
      <c r="N776" s="12" t="s">
        <v>1497</v>
      </c>
      <c r="O776" s="12" t="str">
        <f>CONCATENATE(N776,A776,"\",B776,"\",C776,".jpg")</f>
        <v>C:\Users\mbaptista\OneDrive - Biblioteca Nacional de Portugal\Documentos\python\camoniana\imagens\capas\331404\1\10.jpg</v>
      </c>
      <c r="P776" s="12" t="str">
        <f>HYPERLINK(O776)</f>
        <v>C:\Users\mbaptista\OneDrive - Biblioteca Nacional de Portugal\Documentos\python\camoniana\imagens\capas\331404\1\10.jpg</v>
      </c>
      <c r="Q776" s="12"/>
      <c r="R776" s="6" t="s">
        <v>1033</v>
      </c>
      <c r="S776" s="4"/>
      <c r="T776" s="1" t="s">
        <v>522</v>
      </c>
      <c r="U776" s="13"/>
      <c r="V776" s="13"/>
      <c r="W776" s="5" t="s">
        <v>1491</v>
      </c>
    </row>
    <row r="777" spans="1:23" ht="75">
      <c r="A777" s="1">
        <v>331404</v>
      </c>
      <c r="B777" s="1">
        <v>1</v>
      </c>
      <c r="C777" s="1">
        <v>11</v>
      </c>
      <c r="D777" s="2" t="s">
        <v>1031</v>
      </c>
      <c r="E777" s="11" t="s">
        <v>1031</v>
      </c>
      <c r="F777" s="11">
        <v>14566</v>
      </c>
      <c r="G777" s="2" t="s">
        <v>1494</v>
      </c>
      <c r="H777" s="2" t="s">
        <v>1495</v>
      </c>
      <c r="I777" s="2" t="s">
        <v>1496</v>
      </c>
      <c r="J777" s="2" t="str">
        <f t="shared" si="24"/>
        <v>https://permalinkbnd.bnportugal.gov.pt/viewer/14566/?offset=#page=11&amp;viewer=picture&amp;o=info&amp;n=0&amp;q=</v>
      </c>
      <c r="K777" s="1" t="s">
        <v>1032</v>
      </c>
      <c r="L777" s="1" t="str">
        <f>VLOOKUP(A777,Folha2!$A$2:$B$2019,2,FALSE)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7" s="12" t="str">
        <f t="shared" si="25"/>
        <v>https://permalinkbnd.bnportugal.gov.pt/viewer/14566/?offset=#page=11&amp;viewer=picture&amp;o=info&amp;n=0&amp;q=</v>
      </c>
      <c r="N777" s="12" t="s">
        <v>1497</v>
      </c>
      <c r="O777" s="12" t="str">
        <f>CONCATENATE(N777,A777,"\",B777,"\",C777,".jpg")</f>
        <v>C:\Users\mbaptista\OneDrive - Biblioteca Nacional de Portugal\Documentos\python\camoniana\imagens\capas\331404\1\11.jpg</v>
      </c>
      <c r="P777" s="12" t="str">
        <f>HYPERLINK(O777)</f>
        <v>C:\Users\mbaptista\OneDrive - Biblioteca Nacional de Portugal\Documentos\python\camoniana\imagens\capas\331404\1\11.jpg</v>
      </c>
      <c r="Q777" s="12"/>
      <c r="R777" s="6" t="s">
        <v>1034</v>
      </c>
      <c r="S777" s="4"/>
      <c r="T777" s="1" t="s">
        <v>522</v>
      </c>
      <c r="U777" s="13"/>
      <c r="V777" s="13"/>
      <c r="W777" s="5" t="s">
        <v>1491</v>
      </c>
    </row>
    <row r="778" spans="1:23" ht="90">
      <c r="A778" s="1">
        <v>331411</v>
      </c>
      <c r="B778" s="1">
        <v>1</v>
      </c>
      <c r="C778" s="1">
        <v>6</v>
      </c>
      <c r="D778" s="2" t="s">
        <v>1035</v>
      </c>
      <c r="E778" s="5" t="s">
        <v>1035</v>
      </c>
      <c r="F778" s="5">
        <v>274466</v>
      </c>
      <c r="G778" s="2" t="s">
        <v>1494</v>
      </c>
      <c r="H778" s="2" t="s">
        <v>1495</v>
      </c>
      <c r="I778" s="2" t="s">
        <v>1496</v>
      </c>
      <c r="J778" s="2" t="str">
        <f t="shared" si="24"/>
        <v>https://permalinkbnd.bnportugal.gov.pt/viewer/274466/?offset=#page=6&amp;viewer=picture&amp;o=info&amp;n=0&amp;q=</v>
      </c>
      <c r="K778" s="1" t="s">
        <v>1036</v>
      </c>
      <c r="L778" s="1" t="str">
        <f>VLOOKUP(A778,Folha2!$A$2:$B$2019,2,FALSE)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8" s="12" t="str">
        <f t="shared" si="25"/>
        <v>https://permalinkbnd.bnportugal.gov.pt/viewer/274466/?offset=#page=6&amp;viewer=picture&amp;o=info&amp;n=0&amp;q=</v>
      </c>
      <c r="N778" s="12" t="s">
        <v>1497</v>
      </c>
      <c r="O778" s="12" t="str">
        <f>CONCATENATE(N778,A778,"\",B778,"\",C778,".jpg")</f>
        <v>C:\Users\mbaptista\OneDrive - Biblioteca Nacional de Portugal\Documentos\python\camoniana\imagens\capas\331411\1\6.jpg</v>
      </c>
      <c r="P778" s="12" t="str">
        <f>HYPERLINK(O778)</f>
        <v>C:\Users\mbaptista\OneDrive - Biblioteca Nacional de Portugal\Documentos\python\camoniana\imagens\capas\331411\1\6.jpg</v>
      </c>
      <c r="Q778" s="12"/>
      <c r="R778" s="6" t="s">
        <v>1038</v>
      </c>
      <c r="S778" s="4"/>
      <c r="T778" s="1" t="s">
        <v>1037</v>
      </c>
      <c r="U778" s="13"/>
      <c r="V778" s="13"/>
      <c r="W778" s="5" t="s">
        <v>1491</v>
      </c>
    </row>
    <row r="779" spans="1:23" ht="90">
      <c r="A779" s="1">
        <v>331411</v>
      </c>
      <c r="B779" s="1">
        <v>1</v>
      </c>
      <c r="C779" s="1">
        <v>12</v>
      </c>
      <c r="D779" s="2" t="s">
        <v>1035</v>
      </c>
      <c r="E779" s="11" t="s">
        <v>1035</v>
      </c>
      <c r="F779" s="11">
        <v>274466</v>
      </c>
      <c r="G779" s="2" t="s">
        <v>1494</v>
      </c>
      <c r="H779" s="2" t="s">
        <v>1495</v>
      </c>
      <c r="I779" s="2" t="s">
        <v>1496</v>
      </c>
      <c r="J779" s="2" t="str">
        <f t="shared" si="24"/>
        <v>https://permalinkbnd.bnportugal.gov.pt/viewer/274466/?offset=#page=12&amp;viewer=picture&amp;o=info&amp;n=0&amp;q=</v>
      </c>
      <c r="K779" s="1" t="s">
        <v>1036</v>
      </c>
      <c r="L779" s="1" t="str">
        <f>VLOOKUP(A779,Folha2!$A$2:$B$2019,2,FALSE)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9" s="12" t="str">
        <f t="shared" si="25"/>
        <v>https://permalinkbnd.bnportugal.gov.pt/viewer/274466/?offset=#page=12&amp;viewer=picture&amp;o=info&amp;n=0&amp;q=</v>
      </c>
      <c r="N779" s="12" t="s">
        <v>1497</v>
      </c>
      <c r="O779" s="12" t="str">
        <f>CONCATENATE(N779,A779,"\",B779,"\",C779,".jpg")</f>
        <v>C:\Users\mbaptista\OneDrive - Biblioteca Nacional de Portugal\Documentos\python\camoniana\imagens\capas\331411\1\12.jpg</v>
      </c>
      <c r="P779" s="12" t="str">
        <f>HYPERLINK(O779)</f>
        <v>C:\Users\mbaptista\OneDrive - Biblioteca Nacional de Portugal\Documentos\python\camoniana\imagens\capas\331411\1\12.jpg</v>
      </c>
      <c r="Q779" s="12"/>
      <c r="R779" s="6" t="s">
        <v>1039</v>
      </c>
      <c r="S779" s="4"/>
      <c r="T779" s="1" t="s">
        <v>1037</v>
      </c>
      <c r="U779" s="13"/>
      <c r="V779" s="13"/>
      <c r="W779" s="5" t="s">
        <v>1491</v>
      </c>
    </row>
    <row r="780" spans="1:23" ht="75">
      <c r="A780" s="1">
        <v>380835</v>
      </c>
      <c r="B780" s="1">
        <v>1</v>
      </c>
      <c r="C780" s="1">
        <v>1</v>
      </c>
      <c r="D780" s="2" t="s">
        <v>1040</v>
      </c>
      <c r="E780" s="5" t="s">
        <v>1040</v>
      </c>
      <c r="F780" s="5">
        <v>278408</v>
      </c>
      <c r="G780" s="2" t="s">
        <v>1494</v>
      </c>
      <c r="H780" s="2" t="s">
        <v>1495</v>
      </c>
      <c r="I780" s="2" t="s">
        <v>1496</v>
      </c>
      <c r="J780" s="2" t="str">
        <f t="shared" si="24"/>
        <v>https://permalinkbnd.bnportugal.gov.pt/viewer/278408/?offset=#page=1&amp;viewer=picture&amp;o=info&amp;n=0&amp;q=</v>
      </c>
      <c r="K780" s="1" t="s">
        <v>1041</v>
      </c>
      <c r="L780" s="1" t="str">
        <f>VLOOKUP(A780,Folha2!$A$2:$B$2019,2,FALSE)</f>
        <v>The second canto of The Lusiad / translated into english verse / by James E. Hewitt ; accompanied by the portuguese text. - Rio de Janeiro : Camoens Printing Office-Fonseca Brother &amp; Sousa Lima, 1883. Bilingue.</v>
      </c>
      <c r="M780" s="12" t="str">
        <f t="shared" si="25"/>
        <v>https://permalinkbnd.bnportugal.gov.pt/viewer/278408/?offset=#page=1&amp;viewer=picture&amp;o=info&amp;n=0&amp;q=</v>
      </c>
      <c r="N780" s="12" t="s">
        <v>1497</v>
      </c>
      <c r="O780" s="12" t="str">
        <f>CONCATENATE(N780,A780,"\",B780,"\",C780,".jpg")</f>
        <v>C:\Users\mbaptista\OneDrive - Biblioteca Nacional de Portugal\Documentos\python\camoniana\imagens\capas\380835\1\1.jpg</v>
      </c>
      <c r="P780" s="12" t="str">
        <f>HYPERLINK(O780)</f>
        <v>C:\Users\mbaptista\OneDrive - Biblioteca Nacional de Portugal\Documentos\python\camoniana\imagens\capas\380835\1\1.jpg</v>
      </c>
      <c r="Q780" s="12"/>
      <c r="R780" s="6" t="s">
        <v>1042</v>
      </c>
      <c r="S780" s="4"/>
      <c r="T780" s="1">
        <v>1</v>
      </c>
      <c r="U780" s="13"/>
      <c r="V780" s="13"/>
      <c r="W780" s="5" t="s">
        <v>1491</v>
      </c>
    </row>
    <row r="781" spans="1:23" ht="75">
      <c r="A781" s="1">
        <v>381202</v>
      </c>
      <c r="B781" s="1">
        <v>1</v>
      </c>
      <c r="C781" s="1">
        <v>29</v>
      </c>
      <c r="D781" s="2" t="s">
        <v>1043</v>
      </c>
      <c r="E781" s="11" t="s">
        <v>1043</v>
      </c>
      <c r="F781" s="11">
        <v>14624</v>
      </c>
      <c r="G781" s="2" t="s">
        <v>1494</v>
      </c>
      <c r="H781" s="2" t="s">
        <v>1495</v>
      </c>
      <c r="I781" s="2" t="s">
        <v>1496</v>
      </c>
      <c r="J781" s="2" t="str">
        <f t="shared" si="24"/>
        <v>https://permalinkbnd.bnportugal.gov.pt/viewer/14624/?offset=#page=29&amp;viewer=picture&amp;o=info&amp;n=0&amp;q=</v>
      </c>
      <c r="K781" s="1" t="s">
        <v>1044</v>
      </c>
      <c r="L781" s="1" t="str">
        <f>VLOOKUP(A781,Folha2!$A$2:$B$2019,2,FALSE)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1" s="12" t="str">
        <f t="shared" si="25"/>
        <v>https://permalinkbnd.bnportugal.gov.pt/viewer/14624/?offset=#page=29&amp;viewer=picture&amp;o=info&amp;n=0&amp;q=</v>
      </c>
      <c r="N781" s="12" t="s">
        <v>1497</v>
      </c>
      <c r="O781" s="12" t="str">
        <f>CONCATENATE(N781,A781,"\",B781,"\",C781,".jpg")</f>
        <v>C:\Users\mbaptista\OneDrive - Biblioteca Nacional de Portugal\Documentos\python\camoniana\imagens\capas\381202\1\29.jpg</v>
      </c>
      <c r="P781" s="12" t="str">
        <f>HYPERLINK(O781)</f>
        <v>C:\Users\mbaptista\OneDrive - Biblioteca Nacional de Portugal\Documentos\python\camoniana\imagens\capas\381202\1\29.jpg</v>
      </c>
      <c r="Q781" s="12"/>
      <c r="R781" s="6" t="s">
        <v>1046</v>
      </c>
      <c r="S781" s="4"/>
      <c r="T781" s="1" t="s">
        <v>1045</v>
      </c>
      <c r="U781" s="13"/>
      <c r="V781" s="13"/>
      <c r="W781" s="5" t="s">
        <v>1491</v>
      </c>
    </row>
    <row r="782" spans="1:23" ht="75">
      <c r="A782" s="1">
        <v>381202</v>
      </c>
      <c r="B782" s="1">
        <v>1</v>
      </c>
      <c r="C782" s="1">
        <v>100</v>
      </c>
      <c r="D782" s="2" t="s">
        <v>1043</v>
      </c>
      <c r="E782" s="5" t="s">
        <v>1043</v>
      </c>
      <c r="F782" s="5">
        <v>14624</v>
      </c>
      <c r="G782" s="2" t="s">
        <v>1494</v>
      </c>
      <c r="H782" s="2" t="s">
        <v>1495</v>
      </c>
      <c r="I782" s="2" t="s">
        <v>1496</v>
      </c>
      <c r="J782" s="2" t="str">
        <f t="shared" si="24"/>
        <v>https://permalinkbnd.bnportugal.gov.pt/viewer/14624/?offset=#page=100&amp;viewer=picture&amp;o=info&amp;n=0&amp;q=</v>
      </c>
      <c r="K782" s="1" t="s">
        <v>1044</v>
      </c>
      <c r="L782" s="1" t="str">
        <f>VLOOKUP(A782,Folha2!$A$2:$B$2019,2,FALSE)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2" s="12" t="str">
        <f t="shared" si="25"/>
        <v>https://permalinkbnd.bnportugal.gov.pt/viewer/14624/?offset=#page=100&amp;viewer=picture&amp;o=info&amp;n=0&amp;q=</v>
      </c>
      <c r="N782" s="12" t="s">
        <v>1497</v>
      </c>
      <c r="O782" s="12" t="str">
        <f>CONCATENATE(N782,A782,"\",B782,"\",C782,".jpg")</f>
        <v>C:\Users\mbaptista\OneDrive - Biblioteca Nacional de Portugal\Documentos\python\camoniana\imagens\capas\381202\1\100.jpg</v>
      </c>
      <c r="P782" s="12" t="str">
        <f>HYPERLINK(O782)</f>
        <v>C:\Users\mbaptista\OneDrive - Biblioteca Nacional de Portugal\Documentos\python\camoniana\imagens\capas\381202\1\100.jpg</v>
      </c>
      <c r="Q782" s="12"/>
      <c r="R782" s="6" t="s">
        <v>1047</v>
      </c>
      <c r="S782" s="4"/>
      <c r="T782" s="1" t="s">
        <v>1045</v>
      </c>
      <c r="U782" s="13"/>
      <c r="V782" s="13"/>
      <c r="W782" s="5" t="s">
        <v>1491</v>
      </c>
    </row>
    <row r="783" spans="1:23" ht="75">
      <c r="A783" s="1">
        <v>381202</v>
      </c>
      <c r="B783" s="1">
        <v>1</v>
      </c>
      <c r="C783" s="1">
        <v>216</v>
      </c>
      <c r="D783" s="2" t="s">
        <v>1043</v>
      </c>
      <c r="E783" s="11" t="s">
        <v>1043</v>
      </c>
      <c r="F783" s="11">
        <v>14624</v>
      </c>
      <c r="G783" s="2" t="s">
        <v>1494</v>
      </c>
      <c r="H783" s="2" t="s">
        <v>1495</v>
      </c>
      <c r="I783" s="2" t="s">
        <v>1496</v>
      </c>
      <c r="J783" s="2" t="str">
        <f t="shared" si="24"/>
        <v>https://permalinkbnd.bnportugal.gov.pt/viewer/14624/?offset=#page=216&amp;viewer=picture&amp;o=info&amp;n=0&amp;q=</v>
      </c>
      <c r="K783" s="1" t="s">
        <v>1044</v>
      </c>
      <c r="L783" s="1" t="str">
        <f>VLOOKUP(A783,Folha2!$A$2:$B$2019,2,FALSE)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3" s="12" t="str">
        <f t="shared" si="25"/>
        <v>https://permalinkbnd.bnportugal.gov.pt/viewer/14624/?offset=#page=216&amp;viewer=picture&amp;o=info&amp;n=0&amp;q=</v>
      </c>
      <c r="N783" s="12" t="s">
        <v>1497</v>
      </c>
      <c r="O783" s="12" t="str">
        <f>CONCATENATE(N783,A783,"\",B783,"\",C783,".jpg")</f>
        <v>C:\Users\mbaptista\OneDrive - Biblioteca Nacional de Portugal\Documentos\python\camoniana\imagens\capas\381202\1\216.jpg</v>
      </c>
      <c r="P783" s="12" t="str">
        <f>HYPERLINK(O783)</f>
        <v>C:\Users\mbaptista\OneDrive - Biblioteca Nacional de Portugal\Documentos\python\camoniana\imagens\capas\381202\1\216.jpg</v>
      </c>
      <c r="Q783" s="12"/>
      <c r="R783" s="6" t="s">
        <v>1048</v>
      </c>
      <c r="S783" s="4"/>
      <c r="T783" s="1" t="s">
        <v>1045</v>
      </c>
      <c r="U783" s="13"/>
      <c r="V783" s="13"/>
      <c r="W783" s="5" t="s">
        <v>1491</v>
      </c>
    </row>
    <row r="784" spans="1:23" ht="75">
      <c r="A784" s="1">
        <v>381202</v>
      </c>
      <c r="B784" s="1">
        <v>1</v>
      </c>
      <c r="C784" s="1">
        <v>297</v>
      </c>
      <c r="D784" s="2" t="s">
        <v>1043</v>
      </c>
      <c r="E784" s="5" t="s">
        <v>1043</v>
      </c>
      <c r="F784" s="5">
        <v>14624</v>
      </c>
      <c r="G784" s="2" t="s">
        <v>1494</v>
      </c>
      <c r="H784" s="2" t="s">
        <v>1495</v>
      </c>
      <c r="I784" s="2" t="s">
        <v>1496</v>
      </c>
      <c r="J784" s="2" t="str">
        <f t="shared" si="24"/>
        <v>https://permalinkbnd.bnportugal.gov.pt/viewer/14624/?offset=#page=297&amp;viewer=picture&amp;o=info&amp;n=0&amp;q=</v>
      </c>
      <c r="K784" s="1" t="s">
        <v>1044</v>
      </c>
      <c r="L784" s="1" t="str">
        <f>VLOOKUP(A784,Folha2!$A$2:$B$2019,2,FALSE)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4" s="12" t="str">
        <f t="shared" si="25"/>
        <v>https://permalinkbnd.bnportugal.gov.pt/viewer/14624/?offset=#page=297&amp;viewer=picture&amp;o=info&amp;n=0&amp;q=</v>
      </c>
      <c r="N784" s="12" t="s">
        <v>1497</v>
      </c>
      <c r="O784" s="12" t="str">
        <f>CONCATENATE(N784,A784,"\",B784,"\",C784,".jpg")</f>
        <v>C:\Users\mbaptista\OneDrive - Biblioteca Nacional de Portugal\Documentos\python\camoniana\imagens\capas\381202\1\297.jpg</v>
      </c>
      <c r="P784" s="12" t="str">
        <f>HYPERLINK(O784)</f>
        <v>C:\Users\mbaptista\OneDrive - Biblioteca Nacional de Portugal\Documentos\python\camoniana\imagens\capas\381202\1\297.jpg</v>
      </c>
      <c r="Q784" s="12"/>
      <c r="R784" s="6" t="s">
        <v>1049</v>
      </c>
      <c r="S784" s="4"/>
      <c r="T784" s="1" t="s">
        <v>1045</v>
      </c>
      <c r="U784" s="13"/>
      <c r="V784" s="13"/>
      <c r="W784" s="5" t="s">
        <v>1491</v>
      </c>
    </row>
    <row r="785" spans="1:23" ht="75">
      <c r="A785" s="1">
        <v>381202</v>
      </c>
      <c r="B785" s="1">
        <v>1</v>
      </c>
      <c r="C785" s="1">
        <v>308</v>
      </c>
      <c r="D785" s="2" t="s">
        <v>1043</v>
      </c>
      <c r="E785" s="11" t="s">
        <v>1043</v>
      </c>
      <c r="F785" s="11">
        <v>14624</v>
      </c>
      <c r="G785" s="2" t="s">
        <v>1494</v>
      </c>
      <c r="H785" s="2" t="s">
        <v>1495</v>
      </c>
      <c r="I785" s="2" t="s">
        <v>1496</v>
      </c>
      <c r="J785" s="2" t="str">
        <f t="shared" si="24"/>
        <v>https://permalinkbnd.bnportugal.gov.pt/viewer/14624/?offset=#page=308&amp;viewer=picture&amp;o=info&amp;n=0&amp;q=</v>
      </c>
      <c r="K785" s="1" t="s">
        <v>1044</v>
      </c>
      <c r="L785" s="1" t="str">
        <f>VLOOKUP(A785,Folha2!$A$2:$B$2019,2,FALSE)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5" s="12" t="str">
        <f t="shared" si="25"/>
        <v>https://permalinkbnd.bnportugal.gov.pt/viewer/14624/?offset=#page=308&amp;viewer=picture&amp;o=info&amp;n=0&amp;q=</v>
      </c>
      <c r="N785" s="12" t="s">
        <v>1497</v>
      </c>
      <c r="O785" s="12" t="str">
        <f>CONCATENATE(N785,A785,"\",B785,"\",C785,".jpg")</f>
        <v>C:\Users\mbaptista\OneDrive - Biblioteca Nacional de Portugal\Documentos\python\camoniana\imagens\capas\381202\1\308.jpg</v>
      </c>
      <c r="P785" s="12" t="str">
        <f>HYPERLINK(O785)</f>
        <v>C:\Users\mbaptista\OneDrive - Biblioteca Nacional de Portugal\Documentos\python\camoniana\imagens\capas\381202\1\308.jpg</v>
      </c>
      <c r="Q785" s="12"/>
      <c r="R785" s="6" t="s">
        <v>1050</v>
      </c>
      <c r="S785" s="4"/>
      <c r="T785" s="1" t="s">
        <v>1045</v>
      </c>
      <c r="U785" s="13"/>
      <c r="V785" s="13"/>
      <c r="W785" s="5" t="s">
        <v>1491</v>
      </c>
    </row>
    <row r="786" spans="1:23" ht="75">
      <c r="A786" s="1">
        <v>381202</v>
      </c>
      <c r="B786" s="1">
        <v>1</v>
      </c>
      <c r="C786" s="1">
        <v>347</v>
      </c>
      <c r="D786" s="2" t="s">
        <v>1043</v>
      </c>
      <c r="E786" s="5" t="s">
        <v>1043</v>
      </c>
      <c r="F786" s="5">
        <v>14624</v>
      </c>
      <c r="G786" s="2" t="s">
        <v>1494</v>
      </c>
      <c r="H786" s="2" t="s">
        <v>1495</v>
      </c>
      <c r="I786" s="2" t="s">
        <v>1496</v>
      </c>
      <c r="J786" s="2" t="str">
        <f t="shared" si="24"/>
        <v>https://permalinkbnd.bnportugal.gov.pt/viewer/14624/?offset=#page=347&amp;viewer=picture&amp;o=info&amp;n=0&amp;q=</v>
      </c>
      <c r="K786" s="1" t="s">
        <v>1044</v>
      </c>
      <c r="L786" s="1" t="str">
        <f>VLOOKUP(A786,Folha2!$A$2:$B$2019,2,FALSE)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6" s="12" t="str">
        <f t="shared" si="25"/>
        <v>https://permalinkbnd.bnportugal.gov.pt/viewer/14624/?offset=#page=347&amp;viewer=picture&amp;o=info&amp;n=0&amp;q=</v>
      </c>
      <c r="N786" s="12" t="s">
        <v>1497</v>
      </c>
      <c r="O786" s="12" t="str">
        <f>CONCATENATE(N786,A786,"\",B786,"\",C786,".jpg")</f>
        <v>C:\Users\mbaptista\OneDrive - Biblioteca Nacional de Portugal\Documentos\python\camoniana\imagens\capas\381202\1\347.jpg</v>
      </c>
      <c r="P786" s="12" t="str">
        <f>HYPERLINK(O786)</f>
        <v>C:\Users\mbaptista\OneDrive - Biblioteca Nacional de Portugal\Documentos\python\camoniana\imagens\capas\381202\1\347.jpg</v>
      </c>
      <c r="Q786" s="12"/>
      <c r="R786" s="6"/>
      <c r="S786" s="4"/>
      <c r="T786" s="1"/>
      <c r="U786" s="13"/>
      <c r="V786" s="13"/>
      <c r="W786" s="5"/>
    </row>
    <row r="787" spans="1:23" ht="75">
      <c r="A787" s="1">
        <v>381202</v>
      </c>
      <c r="B787" s="1">
        <v>1</v>
      </c>
      <c r="C787" s="1">
        <v>348</v>
      </c>
      <c r="D787" s="2" t="s">
        <v>1043</v>
      </c>
      <c r="E787" s="11" t="s">
        <v>1043</v>
      </c>
      <c r="F787" s="11">
        <v>14624</v>
      </c>
      <c r="G787" s="2" t="s">
        <v>1494</v>
      </c>
      <c r="H787" s="2" t="s">
        <v>1495</v>
      </c>
      <c r="I787" s="2" t="s">
        <v>1496</v>
      </c>
      <c r="J787" s="2" t="str">
        <f t="shared" si="24"/>
        <v>https://permalinkbnd.bnportugal.gov.pt/viewer/14624/?offset=#page=348&amp;viewer=picture&amp;o=info&amp;n=0&amp;q=</v>
      </c>
      <c r="K787" s="1" t="s">
        <v>1044</v>
      </c>
      <c r="L787" s="1" t="str">
        <f>VLOOKUP(A787,Folha2!$A$2:$B$2019,2,FALSE)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7" s="12" t="str">
        <f t="shared" si="25"/>
        <v>https://permalinkbnd.bnportugal.gov.pt/viewer/14624/?offset=#page=348&amp;viewer=picture&amp;o=info&amp;n=0&amp;q=</v>
      </c>
      <c r="N787" s="12" t="s">
        <v>1497</v>
      </c>
      <c r="O787" s="12" t="str">
        <f>CONCATENATE(N787,A787,"\",B787,"\",C787,".jpg")</f>
        <v>C:\Users\mbaptista\OneDrive - Biblioteca Nacional de Portugal\Documentos\python\camoniana\imagens\capas\381202\1\348.jpg</v>
      </c>
      <c r="P787" s="12" t="str">
        <f>HYPERLINK(O787)</f>
        <v>C:\Users\mbaptista\OneDrive - Biblioteca Nacional de Portugal\Documentos\python\camoniana\imagens\capas\381202\1\348.jpg</v>
      </c>
      <c r="Q787" s="12"/>
      <c r="R787" s="6"/>
      <c r="S787" s="4"/>
      <c r="T787" s="1"/>
      <c r="U787" s="13"/>
      <c r="V787" s="13"/>
      <c r="W787" s="5"/>
    </row>
    <row r="788" spans="1:23" ht="75">
      <c r="A788" s="1">
        <v>381202</v>
      </c>
      <c r="B788" s="1">
        <v>1</v>
      </c>
      <c r="C788" s="1">
        <v>349</v>
      </c>
      <c r="D788" s="2" t="s">
        <v>1043</v>
      </c>
      <c r="E788" s="5" t="s">
        <v>1043</v>
      </c>
      <c r="F788" s="5">
        <v>14624</v>
      </c>
      <c r="G788" s="2" t="s">
        <v>1494</v>
      </c>
      <c r="H788" s="2" t="s">
        <v>1495</v>
      </c>
      <c r="I788" s="2" t="s">
        <v>1496</v>
      </c>
      <c r="J788" s="2" t="str">
        <f t="shared" si="24"/>
        <v>https://permalinkbnd.bnportugal.gov.pt/viewer/14624/?offset=#page=349&amp;viewer=picture&amp;o=info&amp;n=0&amp;q=</v>
      </c>
      <c r="K788" s="1" t="s">
        <v>1044</v>
      </c>
      <c r="L788" s="1" t="str">
        <f>VLOOKUP(A788,Folha2!$A$2:$B$2019,2,FALSE)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8" s="12" t="str">
        <f t="shared" si="25"/>
        <v>https://permalinkbnd.bnportugal.gov.pt/viewer/14624/?offset=#page=349&amp;viewer=picture&amp;o=info&amp;n=0&amp;q=</v>
      </c>
      <c r="N788" s="12" t="s">
        <v>1497</v>
      </c>
      <c r="O788" s="12" t="str">
        <f>CONCATENATE(N788,A788,"\",B788,"\",C788,".jpg")</f>
        <v>C:\Users\mbaptista\OneDrive - Biblioteca Nacional de Portugal\Documentos\python\camoniana\imagens\capas\381202\1\349.jpg</v>
      </c>
      <c r="P788" s="12" t="str">
        <f>HYPERLINK(O788)</f>
        <v>C:\Users\mbaptista\OneDrive - Biblioteca Nacional de Portugal\Documentos\python\camoniana\imagens\capas\381202\1\349.jpg</v>
      </c>
      <c r="Q788" s="12"/>
      <c r="R788" s="6"/>
      <c r="S788" s="4"/>
      <c r="T788" s="1"/>
      <c r="U788" s="13"/>
      <c r="V788" s="13"/>
      <c r="W788" s="5"/>
    </row>
    <row r="789" spans="1:23" ht="75">
      <c r="A789" s="1">
        <v>381202</v>
      </c>
      <c r="B789" s="1">
        <v>1</v>
      </c>
      <c r="C789" s="1">
        <v>424</v>
      </c>
      <c r="D789" s="2" t="s">
        <v>1043</v>
      </c>
      <c r="E789" s="11" t="s">
        <v>1043</v>
      </c>
      <c r="F789" s="11">
        <v>14624</v>
      </c>
      <c r="G789" s="2" t="s">
        <v>1494</v>
      </c>
      <c r="H789" s="2" t="s">
        <v>1495</v>
      </c>
      <c r="I789" s="2" t="s">
        <v>1496</v>
      </c>
      <c r="J789" s="2" t="str">
        <f t="shared" si="24"/>
        <v>https://permalinkbnd.bnportugal.gov.pt/viewer/14624/?offset=#page=424&amp;viewer=picture&amp;o=info&amp;n=0&amp;q=</v>
      </c>
      <c r="K789" s="1" t="s">
        <v>1044</v>
      </c>
      <c r="L789" s="1" t="str">
        <f>VLOOKUP(A789,Folha2!$A$2:$B$2019,2,FALSE)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9" s="12" t="str">
        <f t="shared" si="25"/>
        <v>https://permalinkbnd.bnportugal.gov.pt/viewer/14624/?offset=#page=424&amp;viewer=picture&amp;o=info&amp;n=0&amp;q=</v>
      </c>
      <c r="N789" s="12" t="s">
        <v>1497</v>
      </c>
      <c r="O789" s="12" t="str">
        <f>CONCATENATE(N789,A789,"\",B789,"\",C789,".jpg")</f>
        <v>C:\Users\mbaptista\OneDrive - Biblioteca Nacional de Portugal\Documentos\python\camoniana\imagens\capas\381202\1\424.jpg</v>
      </c>
      <c r="P789" s="12" t="str">
        <f>HYPERLINK(O789)</f>
        <v>C:\Users\mbaptista\OneDrive - Biblioteca Nacional de Portugal\Documentos\python\camoniana\imagens\capas\381202\1\424.jpg</v>
      </c>
      <c r="Q789" s="12"/>
      <c r="R789" s="6" t="s">
        <v>1051</v>
      </c>
      <c r="S789" s="4"/>
      <c r="T789" s="1" t="s">
        <v>1045</v>
      </c>
      <c r="U789" s="13"/>
      <c r="V789" s="13"/>
      <c r="W789" s="5" t="s">
        <v>1491</v>
      </c>
    </row>
    <row r="790" spans="1:23" ht="75">
      <c r="A790" s="1">
        <v>381202</v>
      </c>
      <c r="B790" s="1">
        <v>1</v>
      </c>
      <c r="C790" s="1">
        <v>530</v>
      </c>
      <c r="D790" s="2" t="s">
        <v>1043</v>
      </c>
      <c r="E790" s="5" t="s">
        <v>1043</v>
      </c>
      <c r="F790" s="5">
        <v>14624</v>
      </c>
      <c r="G790" s="2" t="s">
        <v>1494</v>
      </c>
      <c r="H790" s="2" t="s">
        <v>1495</v>
      </c>
      <c r="I790" s="2" t="s">
        <v>1496</v>
      </c>
      <c r="J790" s="2" t="str">
        <f t="shared" si="24"/>
        <v>https://permalinkbnd.bnportugal.gov.pt/viewer/14624/?offset=#page=530&amp;viewer=picture&amp;o=info&amp;n=0&amp;q=</v>
      </c>
      <c r="K790" s="1" t="s">
        <v>1044</v>
      </c>
      <c r="L790" s="1" t="str">
        <f>VLOOKUP(A790,Folha2!$A$2:$B$2019,2,FALSE)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0" s="12" t="str">
        <f t="shared" si="25"/>
        <v>https://permalinkbnd.bnportugal.gov.pt/viewer/14624/?offset=#page=530&amp;viewer=picture&amp;o=info&amp;n=0&amp;q=</v>
      </c>
      <c r="N790" s="12" t="s">
        <v>1497</v>
      </c>
      <c r="O790" s="12" t="str">
        <f>CONCATENATE(N790,A790,"\",B790,"\",C790,".jpg")</f>
        <v>C:\Users\mbaptista\OneDrive - Biblioteca Nacional de Portugal\Documentos\python\camoniana\imagens\capas\381202\1\530.jpg</v>
      </c>
      <c r="P790" s="12" t="str">
        <f>HYPERLINK(O790)</f>
        <v>C:\Users\mbaptista\OneDrive - Biblioteca Nacional de Portugal\Documentos\python\camoniana\imagens\capas\381202\1\530.jpg</v>
      </c>
      <c r="Q790" s="12"/>
      <c r="R790" s="6" t="s">
        <v>1052</v>
      </c>
      <c r="S790" s="4"/>
      <c r="T790" s="1" t="s">
        <v>1045</v>
      </c>
      <c r="U790" s="13"/>
      <c r="V790" s="13"/>
      <c r="W790" s="5" t="s">
        <v>1491</v>
      </c>
    </row>
    <row r="791" spans="1:23" ht="75">
      <c r="A791" s="1">
        <v>381202</v>
      </c>
      <c r="B791" s="1">
        <v>2</v>
      </c>
      <c r="C791" s="1">
        <v>7</v>
      </c>
      <c r="D791" s="2" t="s">
        <v>1043</v>
      </c>
      <c r="E791" s="11" t="s">
        <v>1043</v>
      </c>
      <c r="F791" s="11">
        <v>14624</v>
      </c>
      <c r="G791" s="2" t="s">
        <v>1494</v>
      </c>
      <c r="H791" s="2" t="s">
        <v>1495</v>
      </c>
      <c r="I791" s="2" t="s">
        <v>1496</v>
      </c>
      <c r="J791" s="2" t="str">
        <f t="shared" si="24"/>
        <v>https://permalinkbnd.bnportugal.gov.pt/viewer/14624/?offset=#page=7&amp;viewer=picture&amp;o=info&amp;n=0&amp;q=</v>
      </c>
      <c r="K791" s="1" t="s">
        <v>1044</v>
      </c>
      <c r="L791" s="1" t="str">
        <f>VLOOKUP(A791,Folha2!$A$2:$B$2019,2,FALSE)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1" s="12" t="s">
        <v>1531</v>
      </c>
      <c r="N791" s="12" t="s">
        <v>1497</v>
      </c>
      <c r="O791" s="12" t="str">
        <f>CONCATENATE(N791,A791,"\",B791,"\",C791,".jpg")</f>
        <v>C:\Users\mbaptista\OneDrive - Biblioteca Nacional de Portugal\Documentos\python\camoniana\imagens\capas\381202\2\7.jpg</v>
      </c>
      <c r="P791" s="12" t="str">
        <f>HYPERLINK(O791)</f>
        <v>C:\Users\mbaptista\OneDrive - Biblioteca Nacional de Portugal\Documentos\python\camoniana\imagens\capas\381202\2\7.jpg</v>
      </c>
      <c r="Q791" s="12"/>
      <c r="R791" s="6" t="s">
        <v>1053</v>
      </c>
      <c r="S791" s="4"/>
      <c r="T791" s="1" t="s">
        <v>1045</v>
      </c>
      <c r="U791" s="13"/>
      <c r="V791" s="13"/>
      <c r="W791" s="5" t="s">
        <v>1491</v>
      </c>
    </row>
    <row r="792" spans="1:23" ht="75">
      <c r="A792" s="1">
        <v>381202</v>
      </c>
      <c r="B792" s="1">
        <v>2</v>
      </c>
      <c r="C792" s="1">
        <v>10</v>
      </c>
      <c r="D792" s="2" t="s">
        <v>1043</v>
      </c>
      <c r="E792" s="5" t="s">
        <v>1043</v>
      </c>
      <c r="F792" s="5">
        <v>14624</v>
      </c>
      <c r="G792" s="2" t="s">
        <v>1494</v>
      </c>
      <c r="H792" s="2" t="s">
        <v>1495</v>
      </c>
      <c r="I792" s="2" t="s">
        <v>1496</v>
      </c>
      <c r="J792" s="2" t="str">
        <f t="shared" si="24"/>
        <v>https://permalinkbnd.bnportugal.gov.pt/viewer/14624/?offset=#page=10&amp;viewer=picture&amp;o=info&amp;n=0&amp;q=</v>
      </c>
      <c r="K792" s="1" t="s">
        <v>1044</v>
      </c>
      <c r="L792" s="1" t="str">
        <f>VLOOKUP(A792,Folha2!$A$2:$B$2019,2,FALSE)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2" s="12" t="s">
        <v>1532</v>
      </c>
      <c r="N792" s="12" t="s">
        <v>1497</v>
      </c>
      <c r="O792" s="12" t="str">
        <f>CONCATENATE(N792,A792,"\",B792,"\",C792,".jpg")</f>
        <v>C:\Users\mbaptista\OneDrive - Biblioteca Nacional de Portugal\Documentos\python\camoniana\imagens\capas\381202\2\10.jpg</v>
      </c>
      <c r="P792" s="12" t="str">
        <f>HYPERLINK(O792)</f>
        <v>C:\Users\mbaptista\OneDrive - Biblioteca Nacional de Portugal\Documentos\python\camoniana\imagens\capas\381202\2\10.jpg</v>
      </c>
      <c r="Q792" s="12"/>
      <c r="R792" s="6" t="s">
        <v>1054</v>
      </c>
      <c r="S792" s="4"/>
      <c r="T792" s="1" t="s">
        <v>1045</v>
      </c>
      <c r="U792" s="13"/>
      <c r="V792" s="13"/>
      <c r="W792" s="5" t="s">
        <v>1491</v>
      </c>
    </row>
    <row r="793" spans="1:23" ht="75">
      <c r="A793" s="1">
        <v>381202</v>
      </c>
      <c r="B793" s="1">
        <v>2</v>
      </c>
      <c r="C793" s="1">
        <v>76</v>
      </c>
      <c r="D793" s="2" t="s">
        <v>1043</v>
      </c>
      <c r="E793" s="11" t="s">
        <v>1043</v>
      </c>
      <c r="F793" s="11">
        <v>14624</v>
      </c>
      <c r="G793" s="2" t="s">
        <v>1494</v>
      </c>
      <c r="H793" s="2" t="s">
        <v>1495</v>
      </c>
      <c r="I793" s="2" t="s">
        <v>1496</v>
      </c>
      <c r="J793" s="2" t="str">
        <f t="shared" si="24"/>
        <v>https://permalinkbnd.bnportugal.gov.pt/viewer/14624/?offset=#page=76&amp;viewer=picture&amp;o=info&amp;n=0&amp;q=</v>
      </c>
      <c r="K793" s="1" t="s">
        <v>1044</v>
      </c>
      <c r="L793" s="1" t="str">
        <f>VLOOKUP(A793,Folha2!$A$2:$B$2019,2,FALSE)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3" s="12" t="s">
        <v>1533</v>
      </c>
      <c r="N793" s="12" t="s">
        <v>1497</v>
      </c>
      <c r="O793" s="12" t="str">
        <f>CONCATENATE(N793,A793,"\",B793,"\",C793,".jpg")</f>
        <v>C:\Users\mbaptista\OneDrive - Biblioteca Nacional de Portugal\Documentos\python\camoniana\imagens\capas\381202\2\76.jpg</v>
      </c>
      <c r="P793" s="12" t="str">
        <f>HYPERLINK(O793)</f>
        <v>C:\Users\mbaptista\OneDrive - Biblioteca Nacional de Portugal\Documentos\python\camoniana\imagens\capas\381202\2\76.jpg</v>
      </c>
      <c r="Q793" s="12"/>
      <c r="R793" s="6" t="s">
        <v>1055</v>
      </c>
      <c r="S793" s="4"/>
      <c r="T793" s="1" t="s">
        <v>1045</v>
      </c>
      <c r="U793" s="13"/>
      <c r="V793" s="13"/>
      <c r="W793" s="5" t="s">
        <v>1491</v>
      </c>
    </row>
    <row r="794" spans="1:23" ht="75">
      <c r="A794" s="1">
        <v>381202</v>
      </c>
      <c r="B794" s="1">
        <v>2</v>
      </c>
      <c r="C794" s="1">
        <v>114</v>
      </c>
      <c r="D794" s="2" t="s">
        <v>1043</v>
      </c>
      <c r="E794" s="5" t="s">
        <v>1043</v>
      </c>
      <c r="F794" s="5">
        <v>14624</v>
      </c>
      <c r="G794" s="2" t="s">
        <v>1494</v>
      </c>
      <c r="H794" s="2" t="s">
        <v>1495</v>
      </c>
      <c r="I794" s="2" t="s">
        <v>1496</v>
      </c>
      <c r="J794" s="2" t="str">
        <f t="shared" si="24"/>
        <v>https://permalinkbnd.bnportugal.gov.pt/viewer/14624/?offset=#page=114&amp;viewer=picture&amp;o=info&amp;n=0&amp;q=</v>
      </c>
      <c r="K794" s="1" t="s">
        <v>1044</v>
      </c>
      <c r="L794" s="1" t="str">
        <f>VLOOKUP(A794,Folha2!$A$2:$B$2019,2,FALSE)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4" s="12" t="s">
        <v>1534</v>
      </c>
      <c r="N794" s="12" t="s">
        <v>1497</v>
      </c>
      <c r="O794" s="12" t="str">
        <f>CONCATENATE(N794,A794,"\",B794,"\",C794,".jpg")</f>
        <v>C:\Users\mbaptista\OneDrive - Biblioteca Nacional de Portugal\Documentos\python\camoniana\imagens\capas\381202\2\114.jpg</v>
      </c>
      <c r="P794" s="12" t="str">
        <f>HYPERLINK(O794)</f>
        <v>C:\Users\mbaptista\OneDrive - Biblioteca Nacional de Portugal\Documentos\python\camoniana\imagens\capas\381202\2\114.jpg</v>
      </c>
      <c r="Q794" s="12"/>
      <c r="R794" s="6" t="s">
        <v>1056</v>
      </c>
      <c r="S794" s="4"/>
      <c r="T794" s="1" t="s">
        <v>1045</v>
      </c>
      <c r="U794" s="13"/>
      <c r="V794" s="13"/>
      <c r="W794" s="5" t="s">
        <v>1491</v>
      </c>
    </row>
    <row r="795" spans="1:23" ht="75">
      <c r="A795" s="1">
        <v>381202</v>
      </c>
      <c r="B795" s="1">
        <v>2</v>
      </c>
      <c r="C795" s="1">
        <v>194</v>
      </c>
      <c r="D795" s="2" t="s">
        <v>1043</v>
      </c>
      <c r="E795" s="11" t="s">
        <v>1043</v>
      </c>
      <c r="F795" s="11">
        <v>14624</v>
      </c>
      <c r="G795" s="2" t="s">
        <v>1494</v>
      </c>
      <c r="H795" s="2" t="s">
        <v>1495</v>
      </c>
      <c r="I795" s="2" t="s">
        <v>1496</v>
      </c>
      <c r="J795" s="2" t="str">
        <f t="shared" si="24"/>
        <v>https://permalinkbnd.bnportugal.gov.pt/viewer/14624/?offset=#page=194&amp;viewer=picture&amp;o=info&amp;n=0&amp;q=</v>
      </c>
      <c r="K795" s="1" t="s">
        <v>1044</v>
      </c>
      <c r="L795" s="1" t="str">
        <f>VLOOKUP(A795,Folha2!$A$2:$B$2019,2,FALSE)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5" s="12" t="s">
        <v>1535</v>
      </c>
      <c r="N795" s="12" t="s">
        <v>1497</v>
      </c>
      <c r="O795" s="12" t="str">
        <f>CONCATENATE(N795,A795,"\",B795,"\",C795,".jpg")</f>
        <v>C:\Users\mbaptista\OneDrive - Biblioteca Nacional de Portugal\Documentos\python\camoniana\imagens\capas\381202\2\194.jpg</v>
      </c>
      <c r="P795" s="12" t="str">
        <f>HYPERLINK(O795)</f>
        <v>C:\Users\mbaptista\OneDrive - Biblioteca Nacional de Portugal\Documentos\python\camoniana\imagens\capas\381202\2\194.jpg</v>
      </c>
      <c r="Q795" s="12"/>
      <c r="R795" s="6" t="s">
        <v>1057</v>
      </c>
      <c r="S795" s="4"/>
      <c r="T795" s="1" t="s">
        <v>1045</v>
      </c>
      <c r="U795" s="13"/>
      <c r="V795" s="13"/>
      <c r="W795" s="5" t="s">
        <v>1491</v>
      </c>
    </row>
    <row r="796" spans="1:23" ht="75">
      <c r="A796" s="1">
        <v>381202</v>
      </c>
      <c r="B796" s="1">
        <v>2</v>
      </c>
      <c r="C796" s="1">
        <v>274</v>
      </c>
      <c r="D796" s="2" t="s">
        <v>1043</v>
      </c>
      <c r="E796" s="5" t="s">
        <v>1043</v>
      </c>
      <c r="F796" s="5">
        <v>14624</v>
      </c>
      <c r="G796" s="2" t="s">
        <v>1494</v>
      </c>
      <c r="H796" s="2" t="s">
        <v>1495</v>
      </c>
      <c r="I796" s="2" t="s">
        <v>1496</v>
      </c>
      <c r="J796" s="2" t="str">
        <f t="shared" si="24"/>
        <v>https://permalinkbnd.bnportugal.gov.pt/viewer/14624/?offset=#page=274&amp;viewer=picture&amp;o=info&amp;n=0&amp;q=</v>
      </c>
      <c r="K796" s="1" t="s">
        <v>1044</v>
      </c>
      <c r="L796" s="1" t="str">
        <f>VLOOKUP(A796,Folha2!$A$2:$B$2019,2,FALSE)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6" s="12" t="s">
        <v>1536</v>
      </c>
      <c r="N796" s="12" t="s">
        <v>1497</v>
      </c>
      <c r="O796" s="12" t="str">
        <f>CONCATENATE(N796,A796,"\",B796,"\",C796,".jpg")</f>
        <v>C:\Users\mbaptista\OneDrive - Biblioteca Nacional de Portugal\Documentos\python\camoniana\imagens\capas\381202\2\274.jpg</v>
      </c>
      <c r="P796" s="12" t="str">
        <f>HYPERLINK(O796)</f>
        <v>C:\Users\mbaptista\OneDrive - Biblioteca Nacional de Portugal\Documentos\python\camoniana\imagens\capas\381202\2\274.jpg</v>
      </c>
      <c r="Q796" s="12"/>
      <c r="R796" s="6" t="s">
        <v>1058</v>
      </c>
      <c r="S796" s="4"/>
      <c r="T796" s="1" t="s">
        <v>1045</v>
      </c>
      <c r="U796" s="13"/>
      <c r="V796" s="13"/>
      <c r="W796" s="5" t="s">
        <v>1491</v>
      </c>
    </row>
    <row r="797" spans="1:23" ht="75">
      <c r="A797" s="1">
        <v>381202</v>
      </c>
      <c r="B797" s="1">
        <v>2</v>
      </c>
      <c r="C797" s="1">
        <v>418</v>
      </c>
      <c r="D797" s="2" t="s">
        <v>1043</v>
      </c>
      <c r="E797" s="11" t="s">
        <v>1043</v>
      </c>
      <c r="F797" s="11">
        <v>14624</v>
      </c>
      <c r="G797" s="2" t="s">
        <v>1494</v>
      </c>
      <c r="H797" s="2" t="s">
        <v>1495</v>
      </c>
      <c r="I797" s="2" t="s">
        <v>1496</v>
      </c>
      <c r="J797" s="2" t="str">
        <f t="shared" si="24"/>
        <v>https://permalinkbnd.bnportugal.gov.pt/viewer/14624/?offset=#page=418&amp;viewer=picture&amp;o=info&amp;n=0&amp;q=</v>
      </c>
      <c r="K797" s="1" t="s">
        <v>1044</v>
      </c>
      <c r="L797" s="1" t="str">
        <f>VLOOKUP(A797,Folha2!$A$2:$B$2019,2,FALSE)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7" s="12" t="s">
        <v>1537</v>
      </c>
      <c r="N797" s="12" t="s">
        <v>1497</v>
      </c>
      <c r="O797" s="12" t="str">
        <f>CONCATENATE(N797,A797,"\",B797,"\",C797,".jpg")</f>
        <v>C:\Users\mbaptista\OneDrive - Biblioteca Nacional de Portugal\Documentos\python\camoniana\imagens\capas\381202\2\418.jpg</v>
      </c>
      <c r="P797" s="12" t="str">
        <f>HYPERLINK(O797)</f>
        <v>C:\Users\mbaptista\OneDrive - Biblioteca Nacional de Portugal\Documentos\python\camoniana\imagens\capas\381202\2\418.jpg</v>
      </c>
      <c r="Q797" s="12"/>
      <c r="R797" s="6" t="s">
        <v>1059</v>
      </c>
      <c r="S797" s="4"/>
      <c r="T797" s="1" t="s">
        <v>1045</v>
      </c>
      <c r="U797" s="13"/>
      <c r="V797" s="13"/>
      <c r="W797" s="5" t="s">
        <v>1491</v>
      </c>
    </row>
    <row r="798" spans="1:23" ht="75">
      <c r="A798" s="1">
        <v>381202</v>
      </c>
      <c r="B798" s="1">
        <v>2</v>
      </c>
      <c r="C798" s="1">
        <v>454</v>
      </c>
      <c r="D798" s="2" t="s">
        <v>1043</v>
      </c>
      <c r="E798" s="5" t="s">
        <v>1043</v>
      </c>
      <c r="F798" s="5">
        <v>14624</v>
      </c>
      <c r="G798" s="2" t="s">
        <v>1494</v>
      </c>
      <c r="H798" s="2" t="s">
        <v>1495</v>
      </c>
      <c r="I798" s="2" t="s">
        <v>1496</v>
      </c>
      <c r="J798" s="2" t="str">
        <f t="shared" si="24"/>
        <v>https://permalinkbnd.bnportugal.gov.pt/viewer/14624/?offset=#page=454&amp;viewer=picture&amp;o=info&amp;n=0&amp;q=</v>
      </c>
      <c r="K798" s="1" t="s">
        <v>1044</v>
      </c>
      <c r="L798" s="1" t="str">
        <f>VLOOKUP(A798,Folha2!$A$2:$B$2019,2,FALSE)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8" s="12" t="s">
        <v>1538</v>
      </c>
      <c r="N798" s="12" t="s">
        <v>1497</v>
      </c>
      <c r="O798" s="12" t="str">
        <f>CONCATENATE(N798,A798,"\",B798,"\",C798,".jpg")</f>
        <v>C:\Users\mbaptista\OneDrive - Biblioteca Nacional de Portugal\Documentos\python\camoniana\imagens\capas\381202\2\454.jpg</v>
      </c>
      <c r="P798" s="12" t="str">
        <f>HYPERLINK(O798)</f>
        <v>C:\Users\mbaptista\OneDrive - Biblioteca Nacional de Portugal\Documentos\python\camoniana\imagens\capas\381202\2\454.jpg</v>
      </c>
      <c r="Q798" s="12"/>
      <c r="R798" s="6" t="s">
        <v>1060</v>
      </c>
      <c r="S798" s="4"/>
      <c r="T798" s="1" t="s">
        <v>1045</v>
      </c>
      <c r="U798" s="13"/>
      <c r="V798" s="13"/>
      <c r="W798" s="5" t="s">
        <v>1491</v>
      </c>
    </row>
    <row r="799" spans="1:23" ht="75">
      <c r="A799" s="1">
        <v>381202</v>
      </c>
      <c r="B799" s="1">
        <v>2</v>
      </c>
      <c r="C799" s="1">
        <v>463</v>
      </c>
      <c r="D799" s="2" t="s">
        <v>1043</v>
      </c>
      <c r="E799" s="11" t="s">
        <v>1043</v>
      </c>
      <c r="F799" s="11">
        <v>14624</v>
      </c>
      <c r="G799" s="2" t="s">
        <v>1494</v>
      </c>
      <c r="H799" s="2" t="s">
        <v>1495</v>
      </c>
      <c r="I799" s="2" t="s">
        <v>1496</v>
      </c>
      <c r="J799" s="2" t="str">
        <f t="shared" si="24"/>
        <v>https://permalinkbnd.bnportugal.gov.pt/viewer/14624/?offset=#page=463&amp;viewer=picture&amp;o=info&amp;n=0&amp;q=</v>
      </c>
      <c r="K799" s="1" t="s">
        <v>1044</v>
      </c>
      <c r="L799" s="1" t="str">
        <f>VLOOKUP(A799,Folha2!$A$2:$B$2019,2,FALSE)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9" s="12" t="s">
        <v>1539</v>
      </c>
      <c r="N799" s="12" t="s">
        <v>1497</v>
      </c>
      <c r="O799" s="12" t="str">
        <f>CONCATENATE(N799,A799,"\",B799,"\",C799,".jpg")</f>
        <v>C:\Users\mbaptista\OneDrive - Biblioteca Nacional de Portugal\Documentos\python\camoniana\imagens\capas\381202\2\463.jpg</v>
      </c>
      <c r="P799" s="12" t="str">
        <f>HYPERLINK(O799)</f>
        <v>C:\Users\mbaptista\OneDrive - Biblioteca Nacional de Portugal\Documentos\python\camoniana\imagens\capas\381202\2\463.jpg</v>
      </c>
      <c r="Q799" s="12"/>
      <c r="R799" s="6" t="s">
        <v>1061</v>
      </c>
      <c r="S799" s="4"/>
      <c r="T799" s="1" t="s">
        <v>1045</v>
      </c>
      <c r="U799" s="13"/>
      <c r="V799" s="13"/>
      <c r="W799" s="5" t="s">
        <v>1491</v>
      </c>
    </row>
    <row r="800" spans="1:23" ht="75">
      <c r="A800" s="1">
        <v>381202</v>
      </c>
      <c r="B800" s="1">
        <v>2</v>
      </c>
      <c r="C800" s="1">
        <v>465</v>
      </c>
      <c r="D800" s="2" t="s">
        <v>1043</v>
      </c>
      <c r="E800" s="5" t="s">
        <v>1043</v>
      </c>
      <c r="F800" s="5">
        <v>14624</v>
      </c>
      <c r="G800" s="2" t="s">
        <v>1494</v>
      </c>
      <c r="H800" s="2" t="s">
        <v>1495</v>
      </c>
      <c r="I800" s="2" t="s">
        <v>1496</v>
      </c>
      <c r="J800" s="2" t="str">
        <f t="shared" si="24"/>
        <v>https://permalinkbnd.bnportugal.gov.pt/viewer/14624/?offset=#page=465&amp;viewer=picture&amp;o=info&amp;n=0&amp;q=</v>
      </c>
      <c r="K800" s="1" t="s">
        <v>1044</v>
      </c>
      <c r="L800" s="1" t="str">
        <f>VLOOKUP(A800,Folha2!$A$2:$B$2019,2,FALSE)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0" s="12" t="s">
        <v>1540</v>
      </c>
      <c r="N800" s="12" t="s">
        <v>1497</v>
      </c>
      <c r="O800" s="12" t="str">
        <f>CONCATENATE(N800,A800,"\",B800,"\",C800,".jpg")</f>
        <v>C:\Users\mbaptista\OneDrive - Biblioteca Nacional de Portugal\Documentos\python\camoniana\imagens\capas\381202\2\465.jpg</v>
      </c>
      <c r="P800" s="12" t="str">
        <f>HYPERLINK(O800)</f>
        <v>C:\Users\mbaptista\OneDrive - Biblioteca Nacional de Portugal\Documentos\python\camoniana\imagens\capas\381202\2\465.jpg</v>
      </c>
      <c r="Q800" s="12"/>
      <c r="R800" s="6" t="s">
        <v>1062</v>
      </c>
      <c r="S800" s="4"/>
      <c r="T800" s="1" t="s">
        <v>1045</v>
      </c>
      <c r="U800" s="13"/>
      <c r="V800" s="13"/>
      <c r="W800" s="5" t="s">
        <v>1491</v>
      </c>
    </row>
    <row r="801" spans="1:23" ht="75">
      <c r="A801" s="1">
        <v>381202</v>
      </c>
      <c r="B801" s="1">
        <v>2</v>
      </c>
      <c r="C801" s="1">
        <v>466</v>
      </c>
      <c r="D801" s="2" t="s">
        <v>1043</v>
      </c>
      <c r="E801" s="11" t="s">
        <v>1043</v>
      </c>
      <c r="F801" s="11">
        <v>14624</v>
      </c>
      <c r="G801" s="2" t="s">
        <v>1494</v>
      </c>
      <c r="H801" s="2" t="s">
        <v>1495</v>
      </c>
      <c r="I801" s="2" t="s">
        <v>1496</v>
      </c>
      <c r="J801" s="2" t="str">
        <f t="shared" si="24"/>
        <v>https://permalinkbnd.bnportugal.gov.pt/viewer/14624/?offset=#page=466&amp;viewer=picture&amp;o=info&amp;n=0&amp;q=</v>
      </c>
      <c r="K801" s="1" t="s">
        <v>1044</v>
      </c>
      <c r="L801" s="1" t="str">
        <f>VLOOKUP(A801,Folha2!$A$2:$B$2019,2,FALSE)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1" s="12" t="s">
        <v>1541</v>
      </c>
      <c r="N801" s="12" t="s">
        <v>1497</v>
      </c>
      <c r="O801" s="12" t="str">
        <f>CONCATENATE(N801,A801,"\",B801,"\",C801,".jpg")</f>
        <v>C:\Users\mbaptista\OneDrive - Biblioteca Nacional de Portugal\Documentos\python\camoniana\imagens\capas\381202\2\466.jpg</v>
      </c>
      <c r="P801" s="12" t="str">
        <f>HYPERLINK(O801)</f>
        <v>C:\Users\mbaptista\OneDrive - Biblioteca Nacional de Portugal\Documentos\python\camoniana\imagens\capas\381202\2\466.jpg</v>
      </c>
      <c r="Q801" s="12"/>
      <c r="R801" s="6" t="s">
        <v>1063</v>
      </c>
      <c r="S801" s="4"/>
      <c r="T801" s="1" t="s">
        <v>1045</v>
      </c>
      <c r="U801" s="13"/>
      <c r="V801" s="13"/>
      <c r="W801" s="5" t="s">
        <v>1491</v>
      </c>
    </row>
    <row r="802" spans="1:23" ht="75">
      <c r="A802" s="1">
        <v>381202</v>
      </c>
      <c r="B802" s="1">
        <v>2</v>
      </c>
      <c r="C802" s="1">
        <v>468</v>
      </c>
      <c r="D802" s="2" t="s">
        <v>1043</v>
      </c>
      <c r="E802" s="5" t="s">
        <v>1043</v>
      </c>
      <c r="F802" s="5">
        <v>14624</v>
      </c>
      <c r="G802" s="2" t="s">
        <v>1494</v>
      </c>
      <c r="H802" s="2" t="s">
        <v>1495</v>
      </c>
      <c r="I802" s="2" t="s">
        <v>1496</v>
      </c>
      <c r="J802" s="2" t="str">
        <f t="shared" si="24"/>
        <v>https://permalinkbnd.bnportugal.gov.pt/viewer/14624/?offset=#page=468&amp;viewer=picture&amp;o=info&amp;n=0&amp;q=</v>
      </c>
      <c r="K802" s="1" t="s">
        <v>1044</v>
      </c>
      <c r="L802" s="1" t="str">
        <f>VLOOKUP(A802,Folha2!$A$2:$B$2019,2,FALSE)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2" s="12" t="s">
        <v>1542</v>
      </c>
      <c r="N802" s="12" t="s">
        <v>1497</v>
      </c>
      <c r="O802" s="12" t="str">
        <f>CONCATENATE(N802,A802,"\",B802,"\",C802,".jpg")</f>
        <v>C:\Users\mbaptista\OneDrive - Biblioteca Nacional de Portugal\Documentos\python\camoniana\imagens\capas\381202\2\468.jpg</v>
      </c>
      <c r="P802" s="12" t="str">
        <f>HYPERLINK(O802)</f>
        <v>C:\Users\mbaptista\OneDrive - Biblioteca Nacional de Portugal\Documentos\python\camoniana\imagens\capas\381202\2\468.jpg</v>
      </c>
      <c r="Q802" s="12"/>
      <c r="R802" s="6" t="s">
        <v>1064</v>
      </c>
      <c r="S802" s="4"/>
      <c r="T802" s="1" t="s">
        <v>1045</v>
      </c>
      <c r="U802" s="13"/>
      <c r="V802" s="13"/>
      <c r="W802" s="5" t="s">
        <v>1491</v>
      </c>
    </row>
    <row r="803" spans="1:23" ht="75">
      <c r="A803" s="1">
        <v>381202</v>
      </c>
      <c r="B803" s="1">
        <v>2</v>
      </c>
      <c r="C803" s="1">
        <v>472</v>
      </c>
      <c r="D803" s="2" t="s">
        <v>1043</v>
      </c>
      <c r="E803" s="11" t="s">
        <v>1043</v>
      </c>
      <c r="F803" s="11">
        <v>14624</v>
      </c>
      <c r="G803" s="2" t="s">
        <v>1494</v>
      </c>
      <c r="H803" s="2" t="s">
        <v>1495</v>
      </c>
      <c r="I803" s="2" t="s">
        <v>1496</v>
      </c>
      <c r="J803" s="2" t="str">
        <f t="shared" si="24"/>
        <v>https://permalinkbnd.bnportugal.gov.pt/viewer/14624/?offset=#page=472&amp;viewer=picture&amp;o=info&amp;n=0&amp;q=</v>
      </c>
      <c r="K803" s="1" t="s">
        <v>1044</v>
      </c>
      <c r="L803" s="1" t="str">
        <f>VLOOKUP(A803,Folha2!$A$2:$B$2019,2,FALSE)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3" s="12" t="s">
        <v>1543</v>
      </c>
      <c r="N803" s="12" t="s">
        <v>1497</v>
      </c>
      <c r="O803" s="12" t="str">
        <f>CONCATENATE(N803,A803,"\",B803,"\",C803,".jpg")</f>
        <v>C:\Users\mbaptista\OneDrive - Biblioteca Nacional de Portugal\Documentos\python\camoniana\imagens\capas\381202\2\472.jpg</v>
      </c>
      <c r="P803" s="12" t="str">
        <f>HYPERLINK(O803)</f>
        <v>C:\Users\mbaptista\OneDrive - Biblioteca Nacional de Portugal\Documentos\python\camoniana\imagens\capas\381202\2\472.jpg</v>
      </c>
      <c r="Q803" s="12"/>
      <c r="R803" s="6" t="s">
        <v>1065</v>
      </c>
      <c r="S803" s="4"/>
      <c r="T803" s="1" t="s">
        <v>1045</v>
      </c>
      <c r="U803" s="13"/>
      <c r="V803" s="13"/>
      <c r="W803" s="5" t="s">
        <v>1491</v>
      </c>
    </row>
    <row r="804" spans="1:23" ht="75">
      <c r="A804" s="1">
        <v>381202</v>
      </c>
      <c r="B804" s="1">
        <v>2</v>
      </c>
      <c r="C804" s="1">
        <v>473</v>
      </c>
      <c r="D804" s="2" t="s">
        <v>1043</v>
      </c>
      <c r="E804" s="5" t="s">
        <v>1043</v>
      </c>
      <c r="F804" s="5">
        <v>14624</v>
      </c>
      <c r="G804" s="2" t="s">
        <v>1494</v>
      </c>
      <c r="H804" s="2" t="s">
        <v>1495</v>
      </c>
      <c r="I804" s="2" t="s">
        <v>1496</v>
      </c>
      <c r="J804" s="2" t="str">
        <f t="shared" si="24"/>
        <v>https://permalinkbnd.bnportugal.gov.pt/viewer/14624/?offset=#page=473&amp;viewer=picture&amp;o=info&amp;n=0&amp;q=</v>
      </c>
      <c r="K804" s="1" t="s">
        <v>1044</v>
      </c>
      <c r="L804" s="1" t="str">
        <f>VLOOKUP(A804,Folha2!$A$2:$B$2019,2,FALSE)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4" s="12" t="s">
        <v>1543</v>
      </c>
      <c r="N804" s="12" t="s">
        <v>1497</v>
      </c>
      <c r="O804" s="12" t="str">
        <f>CONCATENATE(N804,A804,"\",B804,"\",C804,".jpg")</f>
        <v>C:\Users\mbaptista\OneDrive - Biblioteca Nacional de Portugal\Documentos\python\camoniana\imagens\capas\381202\2\473.jpg</v>
      </c>
      <c r="P804" s="12" t="str">
        <f>HYPERLINK(O804)</f>
        <v>C:\Users\mbaptista\OneDrive - Biblioteca Nacional de Portugal\Documentos\python\camoniana\imagens\capas\381202\2\473.jpg</v>
      </c>
      <c r="Q804" s="12"/>
      <c r="R804" s="6" t="s">
        <v>1066</v>
      </c>
      <c r="S804" s="4"/>
      <c r="T804" s="1" t="s">
        <v>1045</v>
      </c>
      <c r="U804" s="13"/>
      <c r="V804" s="13"/>
      <c r="W804" s="5" t="s">
        <v>1491</v>
      </c>
    </row>
    <row r="805" spans="1:23" ht="75">
      <c r="A805" s="1">
        <v>381202</v>
      </c>
      <c r="B805" s="1">
        <v>2</v>
      </c>
      <c r="C805" s="1">
        <v>474</v>
      </c>
      <c r="D805" s="2" t="s">
        <v>1043</v>
      </c>
      <c r="E805" s="11" t="s">
        <v>1043</v>
      </c>
      <c r="F805" s="11">
        <v>14624</v>
      </c>
      <c r="G805" s="2" t="s">
        <v>1494</v>
      </c>
      <c r="H805" s="2" t="s">
        <v>1495</v>
      </c>
      <c r="I805" s="2" t="s">
        <v>1496</v>
      </c>
      <c r="J805" s="2" t="str">
        <f t="shared" si="24"/>
        <v>https://permalinkbnd.bnportugal.gov.pt/viewer/14624/?offset=#page=474&amp;viewer=picture&amp;o=info&amp;n=0&amp;q=</v>
      </c>
      <c r="K805" s="1" t="s">
        <v>1044</v>
      </c>
      <c r="L805" s="1" t="str">
        <f>VLOOKUP(A805,Folha2!$A$2:$B$2019,2,FALSE)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5" s="12" t="s">
        <v>1544</v>
      </c>
      <c r="N805" s="12" t="s">
        <v>1497</v>
      </c>
      <c r="O805" s="12" t="str">
        <f>CONCATENATE(N805,A805,"\",B805,"\",C805,".jpg")</f>
        <v>C:\Users\mbaptista\OneDrive - Biblioteca Nacional de Portugal\Documentos\python\camoniana\imagens\capas\381202\2\474.jpg</v>
      </c>
      <c r="P805" s="12" t="str">
        <f>HYPERLINK(O805)</f>
        <v>C:\Users\mbaptista\OneDrive - Biblioteca Nacional de Portugal\Documentos\python\camoniana\imagens\capas\381202\2\474.jpg</v>
      </c>
      <c r="Q805" s="12"/>
      <c r="R805" s="6" t="s">
        <v>1067</v>
      </c>
      <c r="S805" s="4"/>
      <c r="T805" s="1" t="s">
        <v>1045</v>
      </c>
      <c r="U805" s="13"/>
      <c r="V805" s="13"/>
      <c r="W805" s="5" t="s">
        <v>1491</v>
      </c>
    </row>
    <row r="806" spans="1:23" ht="75">
      <c r="A806" s="1">
        <v>381202</v>
      </c>
      <c r="B806" s="1">
        <v>2</v>
      </c>
      <c r="C806" s="1">
        <v>476</v>
      </c>
      <c r="D806" s="2" t="s">
        <v>1043</v>
      </c>
      <c r="E806" s="5" t="s">
        <v>1043</v>
      </c>
      <c r="F806" s="5">
        <v>14624</v>
      </c>
      <c r="G806" s="2" t="s">
        <v>1494</v>
      </c>
      <c r="H806" s="2" t="s">
        <v>1495</v>
      </c>
      <c r="I806" s="2" t="s">
        <v>1496</v>
      </c>
      <c r="J806" s="2" t="str">
        <f t="shared" si="24"/>
        <v>https://permalinkbnd.bnportugal.gov.pt/viewer/14624/?offset=#page=476&amp;viewer=picture&amp;o=info&amp;n=0&amp;q=</v>
      </c>
      <c r="K806" s="1" t="s">
        <v>1044</v>
      </c>
      <c r="L806" s="1" t="str">
        <f>VLOOKUP(A806,Folha2!$A$2:$B$2019,2,FALSE)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6" s="12" t="s">
        <v>1545</v>
      </c>
      <c r="N806" s="12" t="s">
        <v>1497</v>
      </c>
      <c r="O806" s="12" t="str">
        <f>CONCATENATE(N806,A806,"\",B806,"\",C806,".jpg")</f>
        <v>C:\Users\mbaptista\OneDrive - Biblioteca Nacional de Portugal\Documentos\python\camoniana\imagens\capas\381202\2\476.jpg</v>
      </c>
      <c r="P806" s="12" t="str">
        <f>HYPERLINK(O806)</f>
        <v>C:\Users\mbaptista\OneDrive - Biblioteca Nacional de Portugal\Documentos\python\camoniana\imagens\capas\381202\2\476.jpg</v>
      </c>
      <c r="Q806" s="12"/>
      <c r="R806" s="6" t="s">
        <v>1068</v>
      </c>
      <c r="S806" s="4"/>
      <c r="T806" s="1" t="s">
        <v>1045</v>
      </c>
      <c r="U806" s="13"/>
      <c r="V806" s="13"/>
      <c r="W806" s="5" t="s">
        <v>1491</v>
      </c>
    </row>
    <row r="807" spans="1:23" ht="75">
      <c r="A807" s="1">
        <v>381202</v>
      </c>
      <c r="B807" s="1">
        <v>2</v>
      </c>
      <c r="C807" s="1">
        <v>480</v>
      </c>
      <c r="D807" s="2" t="s">
        <v>1043</v>
      </c>
      <c r="E807" s="11" t="s">
        <v>1043</v>
      </c>
      <c r="F807" s="11">
        <v>14624</v>
      </c>
      <c r="G807" s="2" t="s">
        <v>1494</v>
      </c>
      <c r="H807" s="2" t="s">
        <v>1495</v>
      </c>
      <c r="I807" s="2" t="s">
        <v>1496</v>
      </c>
      <c r="J807" s="2" t="str">
        <f t="shared" si="24"/>
        <v>https://permalinkbnd.bnportugal.gov.pt/viewer/14624/?offset=#page=480&amp;viewer=picture&amp;o=info&amp;n=0&amp;q=</v>
      </c>
      <c r="K807" s="1" t="s">
        <v>1044</v>
      </c>
      <c r="L807" s="1" t="str">
        <f>VLOOKUP(A807,Folha2!$A$2:$B$2019,2,FALSE)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7" s="12" t="s">
        <v>1546</v>
      </c>
      <c r="N807" s="12" t="s">
        <v>1497</v>
      </c>
      <c r="O807" s="12" t="str">
        <f>CONCATENATE(N807,A807,"\",B807,"\",C807,".jpg")</f>
        <v>C:\Users\mbaptista\OneDrive - Biblioteca Nacional de Portugal\Documentos\python\camoniana\imagens\capas\381202\2\480.jpg</v>
      </c>
      <c r="P807" s="12" t="str">
        <f>HYPERLINK(O807)</f>
        <v>C:\Users\mbaptista\OneDrive - Biblioteca Nacional de Portugal\Documentos\python\camoniana\imagens\capas\381202\2\480.jpg</v>
      </c>
      <c r="Q807" s="12"/>
      <c r="R807" s="6" t="s">
        <v>1069</v>
      </c>
      <c r="S807" s="4"/>
      <c r="T807" s="1" t="s">
        <v>1045</v>
      </c>
      <c r="U807" s="13"/>
      <c r="V807" s="13"/>
      <c r="W807" s="5" t="s">
        <v>1491</v>
      </c>
    </row>
    <row r="808" spans="1:23" ht="75">
      <c r="A808" s="1">
        <v>381202</v>
      </c>
      <c r="B808" s="1">
        <v>2</v>
      </c>
      <c r="C808" s="1">
        <v>514</v>
      </c>
      <c r="D808" s="2" t="s">
        <v>1043</v>
      </c>
      <c r="E808" s="5" t="s">
        <v>1043</v>
      </c>
      <c r="F808" s="5">
        <v>14624</v>
      </c>
      <c r="G808" s="2" t="s">
        <v>1494</v>
      </c>
      <c r="H808" s="2" t="s">
        <v>1495</v>
      </c>
      <c r="I808" s="2" t="s">
        <v>1496</v>
      </c>
      <c r="J808" s="2" t="str">
        <f t="shared" si="24"/>
        <v>https://permalinkbnd.bnportugal.gov.pt/viewer/14624/?offset=#page=514&amp;viewer=picture&amp;o=info&amp;n=0&amp;q=</v>
      </c>
      <c r="K808" s="1" t="s">
        <v>1044</v>
      </c>
      <c r="L808" s="1" t="str">
        <f>VLOOKUP(A808,Folha2!$A$2:$B$2019,2,FALSE)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8" s="12" t="s">
        <v>1547</v>
      </c>
      <c r="N808" s="12" t="s">
        <v>1497</v>
      </c>
      <c r="O808" s="12" t="str">
        <f>CONCATENATE(N808,A808,"\",B808,"\",C808,".jpg")</f>
        <v>C:\Users\mbaptista\OneDrive - Biblioteca Nacional de Portugal\Documentos\python\camoniana\imagens\capas\381202\2\514.jpg</v>
      </c>
      <c r="P808" s="12" t="str">
        <f>HYPERLINK(O808)</f>
        <v>C:\Users\mbaptista\OneDrive - Biblioteca Nacional de Portugal\Documentos\python\camoniana\imagens\capas\381202\2\514.jpg</v>
      </c>
      <c r="Q808" s="12"/>
      <c r="R808" s="6" t="s">
        <v>1070</v>
      </c>
      <c r="S808" s="4"/>
      <c r="T808" s="1" t="s">
        <v>1045</v>
      </c>
      <c r="U808" s="13"/>
      <c r="V808" s="13"/>
      <c r="W808" s="5" t="s">
        <v>1491</v>
      </c>
    </row>
    <row r="809" spans="1:23" ht="75">
      <c r="A809" s="1">
        <v>381202</v>
      </c>
      <c r="B809" s="1">
        <v>2</v>
      </c>
      <c r="C809" s="1">
        <v>520</v>
      </c>
      <c r="D809" s="2" t="s">
        <v>1043</v>
      </c>
      <c r="E809" s="11" t="s">
        <v>1043</v>
      </c>
      <c r="F809" s="11">
        <v>14624</v>
      </c>
      <c r="G809" s="2" t="s">
        <v>1494</v>
      </c>
      <c r="H809" s="2" t="s">
        <v>1495</v>
      </c>
      <c r="I809" s="2" t="s">
        <v>1496</v>
      </c>
      <c r="J809" s="2" t="str">
        <f t="shared" si="24"/>
        <v>https://permalinkbnd.bnportugal.gov.pt/viewer/14624/?offset=#page=520&amp;viewer=picture&amp;o=info&amp;n=0&amp;q=</v>
      </c>
      <c r="K809" s="1" t="s">
        <v>1044</v>
      </c>
      <c r="L809" s="1" t="str">
        <f>VLOOKUP(A809,Folha2!$A$2:$B$2019,2,FALSE)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9" s="12" t="s">
        <v>1548</v>
      </c>
      <c r="N809" s="12" t="s">
        <v>1497</v>
      </c>
      <c r="O809" s="12" t="str">
        <f>CONCATENATE(N809,A809,"\",B809,"\",C809,".jpg")</f>
        <v>C:\Users\mbaptista\OneDrive - Biblioteca Nacional de Portugal\Documentos\python\camoniana\imagens\capas\381202\2\520.jpg</v>
      </c>
      <c r="P809" s="12" t="str">
        <f>HYPERLINK(O809)</f>
        <v>C:\Users\mbaptista\OneDrive - Biblioteca Nacional de Portugal\Documentos\python\camoniana\imagens\capas\381202\2\520.jpg</v>
      </c>
      <c r="Q809" s="12"/>
      <c r="R809" s="6" t="s">
        <v>1071</v>
      </c>
      <c r="S809" s="4"/>
      <c r="T809" s="1" t="s">
        <v>1045</v>
      </c>
      <c r="U809" s="13"/>
      <c r="V809" s="13"/>
      <c r="W809" s="5" t="s">
        <v>1491</v>
      </c>
    </row>
    <row r="810" spans="1:23" ht="75">
      <c r="A810" s="1">
        <v>381202</v>
      </c>
      <c r="B810" s="1">
        <v>2</v>
      </c>
      <c r="C810" s="1">
        <v>521</v>
      </c>
      <c r="D810" s="2" t="s">
        <v>1043</v>
      </c>
      <c r="E810" s="5" t="s">
        <v>1043</v>
      </c>
      <c r="F810" s="5">
        <v>14624</v>
      </c>
      <c r="G810" s="2" t="s">
        <v>1494</v>
      </c>
      <c r="H810" s="2" t="s">
        <v>1495</v>
      </c>
      <c r="I810" s="2" t="s">
        <v>1496</v>
      </c>
      <c r="J810" s="2" t="str">
        <f t="shared" si="24"/>
        <v>https://permalinkbnd.bnportugal.gov.pt/viewer/14624/?offset=#page=521&amp;viewer=picture&amp;o=info&amp;n=0&amp;q=</v>
      </c>
      <c r="K810" s="1" t="s">
        <v>1044</v>
      </c>
      <c r="L810" s="1" t="str">
        <f>VLOOKUP(A810,Folha2!$A$2:$B$2019,2,FALSE)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10" s="12" t="s">
        <v>1549</v>
      </c>
      <c r="N810" s="12" t="s">
        <v>1497</v>
      </c>
      <c r="O810" s="12" t="str">
        <f>CONCATENATE(N810,A810,"\",B810,"\",C810,".jpg")</f>
        <v>C:\Users\mbaptista\OneDrive - Biblioteca Nacional de Portugal\Documentos\python\camoniana\imagens\capas\381202\2\521.jpg</v>
      </c>
      <c r="P810" s="12" t="str">
        <f>HYPERLINK(O810)</f>
        <v>C:\Users\mbaptista\OneDrive - Biblioteca Nacional de Portugal\Documentos\python\camoniana\imagens\capas\381202\2\521.jpg</v>
      </c>
      <c r="Q810" s="12"/>
      <c r="R810" s="6" t="s">
        <v>1072</v>
      </c>
      <c r="S810" s="4"/>
      <c r="T810" s="1" t="s">
        <v>1045</v>
      </c>
      <c r="U810" s="13"/>
      <c r="V810" s="13"/>
      <c r="W810" s="5" t="s">
        <v>1491</v>
      </c>
    </row>
    <row r="811" spans="1:23" ht="75">
      <c r="A811" s="1">
        <v>381444</v>
      </c>
      <c r="B811" s="1">
        <v>1</v>
      </c>
      <c r="C811" s="1">
        <v>9</v>
      </c>
      <c r="D811" s="12" t="s">
        <v>1073</v>
      </c>
      <c r="E811" s="11" t="s">
        <v>1073</v>
      </c>
      <c r="F811" s="11">
        <v>14587</v>
      </c>
      <c r="G811" s="2" t="s">
        <v>1494</v>
      </c>
      <c r="H811" s="2" t="s">
        <v>1495</v>
      </c>
      <c r="I811" s="2" t="s">
        <v>1496</v>
      </c>
      <c r="J811" s="2" t="str">
        <f t="shared" si="24"/>
        <v>https://permalinkbnd.bnportugal.gov.pt/viewer/14587/?offset=#page=9&amp;viewer=picture&amp;o=info&amp;n=0&amp;q=</v>
      </c>
      <c r="K811" s="1" t="s">
        <v>1074</v>
      </c>
      <c r="L811" s="1" t="str">
        <f>VLOOKUP(A811,Folha2!$A$2:$B$2019,2,FALSE)</f>
        <v>Os Lusiadas / Luiz de Camões ; edição ilustrada com vinte heliogravuras... por Alfred Bramtot e cincoenta e cinco desenhos por Paulin Bord. - Paris ;. - Lisboa : Guillard Aillaud &amp; Cª editores, 1890, com notas sobre a ilustrações. Paratextos argumentos.</v>
      </c>
      <c r="M811" s="12" t="str">
        <f t="shared" si="25"/>
        <v>https://permalinkbnd.bnportugal.gov.pt/viewer/14587/?offset=#page=9&amp;viewer=picture&amp;o=info&amp;n=0&amp;q=</v>
      </c>
      <c r="N811" s="12" t="s">
        <v>1497</v>
      </c>
      <c r="O811" s="12" t="str">
        <f>CONCATENATE(N811,A811,"\",B811,"\",C811,".jpg")</f>
        <v>C:\Users\mbaptista\OneDrive - Biblioteca Nacional de Portugal\Documentos\python\camoniana\imagens\capas\381444\1\9.jpg</v>
      </c>
      <c r="P811" s="12" t="str">
        <f>HYPERLINK(O811)</f>
        <v>C:\Users\mbaptista\OneDrive - Biblioteca Nacional de Portugal\Documentos\python\camoniana\imagens\capas\381444\1\9.jpg</v>
      </c>
      <c r="Q811" s="12"/>
      <c r="R811" s="6" t="s">
        <v>1076</v>
      </c>
      <c r="S811" s="4"/>
      <c r="T811" s="1" t="s">
        <v>1075</v>
      </c>
      <c r="U811" s="13"/>
      <c r="V811" s="13"/>
      <c r="W811" s="5" t="s">
        <v>1491</v>
      </c>
    </row>
    <row r="812" spans="1:23" ht="75">
      <c r="A812" s="1">
        <v>381444</v>
      </c>
      <c r="B812" s="1">
        <v>1</v>
      </c>
      <c r="C812" s="1">
        <v>23</v>
      </c>
      <c r="D812" s="2" t="s">
        <v>1073</v>
      </c>
      <c r="E812" s="5" t="s">
        <v>1073</v>
      </c>
      <c r="F812" s="5">
        <v>14587</v>
      </c>
      <c r="G812" s="2" t="s">
        <v>1494</v>
      </c>
      <c r="H812" s="2" t="s">
        <v>1495</v>
      </c>
      <c r="I812" s="2" t="s">
        <v>1496</v>
      </c>
      <c r="J812" s="2" t="str">
        <f t="shared" si="24"/>
        <v>https://permalinkbnd.bnportugal.gov.pt/viewer/14587/?offset=#page=23&amp;viewer=picture&amp;o=info&amp;n=0&amp;q=</v>
      </c>
      <c r="K812" s="1" t="s">
        <v>1074</v>
      </c>
      <c r="L812" s="1" t="str">
        <f>VLOOKUP(A812,Folha2!$A$2:$B$2019,2,FALSE)</f>
        <v>Os Lusiadas / Luiz de Camões ; edição ilustrada com vinte heliogravuras... por Alfred Bramtot e cincoenta e cinco desenhos por Paulin Bord. - Paris ;. - Lisboa : Guillard Aillaud &amp; Cª editores, 1890, com notas sobre a ilustrações. Paratextos argumentos.</v>
      </c>
      <c r="M812" s="12" t="str">
        <f t="shared" si="25"/>
        <v>https://permalinkbnd.bnportugal.gov.pt/viewer/14587/?offset=#page=23&amp;viewer=picture&amp;o=info&amp;n=0&amp;q=</v>
      </c>
      <c r="N812" s="12" t="s">
        <v>1497</v>
      </c>
      <c r="O812" s="12" t="str">
        <f>CONCATENATE(N812,A812,"\",B812,"\",C812,".jpg")</f>
        <v>C:\Users\mbaptista\OneDrive - Biblioteca Nacional de Portugal\Documentos\python\camoniana\imagens\capas\381444\1\23.jpg</v>
      </c>
      <c r="P812" s="12" t="str">
        <f>HYPERLINK(O812)</f>
        <v>C:\Users\mbaptista\OneDrive - Biblioteca Nacional de Portugal\Documentos\python\camoniana\imagens\capas\381444\1\23.jpg</v>
      </c>
      <c r="Q812" s="12"/>
      <c r="R812" s="6" t="s">
        <v>1077</v>
      </c>
      <c r="S812" s="4"/>
      <c r="T812" s="1" t="s">
        <v>1075</v>
      </c>
      <c r="U812" s="13"/>
      <c r="V812" s="13"/>
      <c r="W812" s="5" t="s">
        <v>1491</v>
      </c>
    </row>
    <row r="813" spans="1:23" ht="75">
      <c r="A813" s="1">
        <v>381444</v>
      </c>
      <c r="B813" s="1">
        <v>1</v>
      </c>
      <c r="C813" s="1">
        <v>33</v>
      </c>
      <c r="D813" s="2" t="s">
        <v>1073</v>
      </c>
      <c r="E813" s="11" t="s">
        <v>1073</v>
      </c>
      <c r="F813" s="11">
        <v>14587</v>
      </c>
      <c r="G813" s="2" t="s">
        <v>1494</v>
      </c>
      <c r="H813" s="2" t="s">
        <v>1495</v>
      </c>
      <c r="I813" s="2" t="s">
        <v>1496</v>
      </c>
      <c r="J813" s="2" t="str">
        <f t="shared" si="24"/>
        <v>https://permalinkbnd.bnportugal.gov.pt/viewer/14587/?offset=#page=33&amp;viewer=picture&amp;o=info&amp;n=0&amp;q=</v>
      </c>
      <c r="K813" s="1" t="s">
        <v>1074</v>
      </c>
      <c r="L813" s="1" t="str">
        <f>VLOOKUP(A813,Folha2!$A$2:$B$2019,2,FALSE)</f>
        <v>Os Lusiadas / Luiz de Camões ; edição ilustrada com vinte heliogravuras... por Alfred Bramtot e cincoenta e cinco desenhos por Paulin Bord. - Paris ;. - Lisboa : Guillard Aillaud &amp; Cª editores, 1890, com notas sobre a ilustrações. Paratextos argumentos.</v>
      </c>
      <c r="M813" s="12" t="str">
        <f t="shared" si="25"/>
        <v>https://permalinkbnd.bnportugal.gov.pt/viewer/14587/?offset=#page=33&amp;viewer=picture&amp;o=info&amp;n=0&amp;q=</v>
      </c>
      <c r="N813" s="12" t="s">
        <v>1497</v>
      </c>
      <c r="O813" s="12" t="str">
        <f>CONCATENATE(N813,A813,"\",B813,"\",C813,".jpg")</f>
        <v>C:\Users\mbaptista\OneDrive - Biblioteca Nacional de Portugal\Documentos\python\camoniana\imagens\capas\381444\1\33.jpg</v>
      </c>
      <c r="P813" s="12" t="str">
        <f>HYPERLINK(O813)</f>
        <v>C:\Users\mbaptista\OneDrive - Biblioteca Nacional de Portugal\Documentos\python\camoniana\imagens\capas\381444\1\33.jpg</v>
      </c>
      <c r="Q813" s="12"/>
      <c r="R813" s="6" t="s">
        <v>1078</v>
      </c>
      <c r="S813" s="4"/>
      <c r="T813" s="1" t="s">
        <v>1075</v>
      </c>
      <c r="U813" s="13"/>
      <c r="V813" s="13"/>
      <c r="W813" s="5" t="s">
        <v>1491</v>
      </c>
    </row>
    <row r="814" spans="1:23" ht="75">
      <c r="A814" s="1">
        <v>381444</v>
      </c>
      <c r="B814" s="1">
        <v>1</v>
      </c>
      <c r="C814" s="1">
        <v>57</v>
      </c>
      <c r="D814" s="2" t="s">
        <v>1073</v>
      </c>
      <c r="E814" s="5" t="s">
        <v>1073</v>
      </c>
      <c r="F814" s="5">
        <v>14587</v>
      </c>
      <c r="G814" s="2" t="s">
        <v>1494</v>
      </c>
      <c r="H814" s="2" t="s">
        <v>1495</v>
      </c>
      <c r="I814" s="2" t="s">
        <v>1496</v>
      </c>
      <c r="J814" s="2" t="str">
        <f t="shared" si="24"/>
        <v>https://permalinkbnd.bnportugal.gov.pt/viewer/14587/?offset=#page=57&amp;viewer=picture&amp;o=info&amp;n=0&amp;q=</v>
      </c>
      <c r="K814" s="1" t="s">
        <v>1074</v>
      </c>
      <c r="L814" s="1" t="str">
        <f>VLOOKUP(A814,Folha2!$A$2:$B$2019,2,FALSE)</f>
        <v>Os Lusiadas / Luiz de Camões ; edição ilustrada com vinte heliogravuras... por Alfred Bramtot e cincoenta e cinco desenhos por Paulin Bord. - Paris ;. - Lisboa : Guillard Aillaud &amp; Cª editores, 1890, com notas sobre a ilustrações. Paratextos argumentos.</v>
      </c>
      <c r="M814" s="12" t="str">
        <f t="shared" si="25"/>
        <v>https://permalinkbnd.bnportugal.gov.pt/viewer/14587/?offset=#page=57&amp;viewer=picture&amp;o=info&amp;n=0&amp;q=</v>
      </c>
      <c r="N814" s="12" t="s">
        <v>1497</v>
      </c>
      <c r="O814" s="12" t="str">
        <f>CONCATENATE(N814,A814,"\",B814,"\",C814,".jpg")</f>
        <v>C:\Users\mbaptista\OneDrive - Biblioteca Nacional de Portugal\Documentos\python\camoniana\imagens\capas\381444\1\57.jpg</v>
      </c>
      <c r="P814" s="12" t="str">
        <f>HYPERLINK(O814)</f>
        <v>C:\Users\mbaptista\OneDrive - Biblioteca Nacional de Portugal\Documentos\python\camoniana\imagens\capas\381444\1\57.jpg</v>
      </c>
      <c r="Q814" s="12"/>
      <c r="R814" s="6" t="s">
        <v>1079</v>
      </c>
      <c r="S814" s="4"/>
      <c r="T814" s="1" t="s">
        <v>1075</v>
      </c>
      <c r="U814" s="13"/>
      <c r="V814" s="13"/>
      <c r="W814" s="5" t="s">
        <v>1491</v>
      </c>
    </row>
    <row r="815" spans="1:23" ht="75">
      <c r="A815" s="1">
        <v>381444</v>
      </c>
      <c r="B815" s="1">
        <v>1</v>
      </c>
      <c r="C815" s="1">
        <v>77</v>
      </c>
      <c r="D815" s="2" t="s">
        <v>1073</v>
      </c>
      <c r="E815" s="11" t="s">
        <v>1073</v>
      </c>
      <c r="F815" s="11">
        <v>14587</v>
      </c>
      <c r="G815" s="2" t="s">
        <v>1494</v>
      </c>
      <c r="H815" s="2" t="s">
        <v>1495</v>
      </c>
      <c r="I815" s="2" t="s">
        <v>1496</v>
      </c>
      <c r="J815" s="2" t="str">
        <f t="shared" si="24"/>
        <v>https://permalinkbnd.bnportugal.gov.pt/viewer/14587/?offset=#page=77&amp;viewer=picture&amp;o=info&amp;n=0&amp;q=</v>
      </c>
      <c r="K815" s="1" t="s">
        <v>1074</v>
      </c>
      <c r="L815" s="1" t="str">
        <f>VLOOKUP(A815,Folha2!$A$2:$B$2019,2,FALSE)</f>
        <v>Os Lusiadas / Luiz de Camões ; edição ilustrada com vinte heliogravuras... por Alfred Bramtot e cincoenta e cinco desenhos por Paulin Bord. - Paris ;. - Lisboa : Guillard Aillaud &amp; Cª editores, 1890, com notas sobre a ilustrações. Paratextos argumentos.</v>
      </c>
      <c r="M815" s="12" t="str">
        <f t="shared" si="25"/>
        <v>https://permalinkbnd.bnportugal.gov.pt/viewer/14587/?offset=#page=77&amp;viewer=picture&amp;o=info&amp;n=0&amp;q=</v>
      </c>
      <c r="N815" s="12" t="s">
        <v>1497</v>
      </c>
      <c r="O815" s="12" t="str">
        <f>CONCATENATE(N815,A815,"\",B815,"\",C815,".jpg")</f>
        <v>C:\Users\mbaptista\OneDrive - Biblioteca Nacional de Portugal\Documentos\python\camoniana\imagens\capas\381444\1\77.jpg</v>
      </c>
      <c r="P815" s="12" t="str">
        <f>HYPERLINK(O815)</f>
        <v>C:\Users\mbaptista\OneDrive - Biblioteca Nacional de Portugal\Documentos\python\camoniana\imagens\capas\381444\1\77.jpg</v>
      </c>
      <c r="Q815" s="12"/>
      <c r="R815" s="6" t="s">
        <v>1080</v>
      </c>
      <c r="S815" s="4"/>
      <c r="T815" s="1" t="s">
        <v>1075</v>
      </c>
      <c r="U815" s="13"/>
      <c r="V815" s="13"/>
      <c r="W815" s="5" t="s">
        <v>1491</v>
      </c>
    </row>
    <row r="816" spans="1:23" ht="75">
      <c r="A816" s="1">
        <v>381444</v>
      </c>
      <c r="B816" s="1">
        <v>1</v>
      </c>
      <c r="C816" s="1">
        <v>99</v>
      </c>
      <c r="D816" s="2" t="s">
        <v>1073</v>
      </c>
      <c r="E816" s="5" t="s">
        <v>1073</v>
      </c>
      <c r="F816" s="5">
        <v>14587</v>
      </c>
      <c r="G816" s="2" t="s">
        <v>1494</v>
      </c>
      <c r="H816" s="2" t="s">
        <v>1495</v>
      </c>
      <c r="I816" s="2" t="s">
        <v>1496</v>
      </c>
      <c r="J816" s="2" t="str">
        <f t="shared" si="24"/>
        <v>https://permalinkbnd.bnportugal.gov.pt/viewer/14587/?offset=#page=99&amp;viewer=picture&amp;o=info&amp;n=0&amp;q=</v>
      </c>
      <c r="K816" s="1" t="s">
        <v>1074</v>
      </c>
      <c r="L816" s="1" t="str">
        <f>VLOOKUP(A816,Folha2!$A$2:$B$2019,2,FALSE)</f>
        <v>Os Lusiadas / Luiz de Camões ; edição ilustrada com vinte heliogravuras... por Alfred Bramtot e cincoenta e cinco desenhos por Paulin Bord. - Paris ;. - Lisboa : Guillard Aillaud &amp; Cª editores, 1890, com notas sobre a ilustrações. Paratextos argumentos.</v>
      </c>
      <c r="M816" s="12" t="str">
        <f t="shared" si="25"/>
        <v>https://permalinkbnd.bnportugal.gov.pt/viewer/14587/?offset=#page=99&amp;viewer=picture&amp;o=info&amp;n=0&amp;q=</v>
      </c>
      <c r="N816" s="12" t="s">
        <v>1497</v>
      </c>
      <c r="O816" s="12" t="str">
        <f>CONCATENATE(N816,A816,"\",B816,"\",C816,".jpg")</f>
        <v>C:\Users\mbaptista\OneDrive - Biblioteca Nacional de Portugal\Documentos\python\camoniana\imagens\capas\381444\1\99.jpg</v>
      </c>
      <c r="P816" s="12" t="str">
        <f>HYPERLINK(O816)</f>
        <v>C:\Users\mbaptista\OneDrive - Biblioteca Nacional de Portugal\Documentos\python\camoniana\imagens\capas\381444\1\99.jpg</v>
      </c>
      <c r="Q816" s="12"/>
      <c r="R816" s="6" t="s">
        <v>1081</v>
      </c>
      <c r="S816" s="4"/>
      <c r="T816" s="1" t="s">
        <v>1075</v>
      </c>
      <c r="U816" s="13"/>
      <c r="V816" s="13"/>
      <c r="W816" s="5" t="s">
        <v>1491</v>
      </c>
    </row>
    <row r="817" spans="1:23" ht="75">
      <c r="A817" s="1">
        <v>381444</v>
      </c>
      <c r="B817" s="1">
        <v>1</v>
      </c>
      <c r="C817" s="1">
        <v>125</v>
      </c>
      <c r="D817" s="2" t="s">
        <v>1073</v>
      </c>
      <c r="E817" s="11" t="s">
        <v>1073</v>
      </c>
      <c r="F817" s="11">
        <v>14587</v>
      </c>
      <c r="G817" s="2" t="s">
        <v>1494</v>
      </c>
      <c r="H817" s="2" t="s">
        <v>1495</v>
      </c>
      <c r="I817" s="2" t="s">
        <v>1496</v>
      </c>
      <c r="J817" s="2" t="str">
        <f t="shared" si="24"/>
        <v>https://permalinkbnd.bnportugal.gov.pt/viewer/14587/?offset=#page=125&amp;viewer=picture&amp;o=info&amp;n=0&amp;q=</v>
      </c>
      <c r="K817" s="1" t="s">
        <v>1074</v>
      </c>
      <c r="L817" s="1" t="str">
        <f>VLOOKUP(A817,Folha2!$A$2:$B$2019,2,FALSE)</f>
        <v>Os Lusiadas / Luiz de Camões ; edição ilustrada com vinte heliogravuras... por Alfred Bramtot e cincoenta e cinco desenhos por Paulin Bord. - Paris ;. - Lisboa : Guillard Aillaud &amp; Cª editores, 1890, com notas sobre a ilustrações. Paratextos argumentos.</v>
      </c>
      <c r="M817" s="12" t="str">
        <f t="shared" si="25"/>
        <v>https://permalinkbnd.bnportugal.gov.pt/viewer/14587/?offset=#page=125&amp;viewer=picture&amp;o=info&amp;n=0&amp;q=</v>
      </c>
      <c r="N817" s="12" t="s">
        <v>1497</v>
      </c>
      <c r="O817" s="12" t="str">
        <f>CONCATENATE(N817,A817,"\",B817,"\",C817,".jpg")</f>
        <v>C:\Users\mbaptista\OneDrive - Biblioteca Nacional de Portugal\Documentos\python\camoniana\imagens\capas\381444\1\125.jpg</v>
      </c>
      <c r="P817" s="12" t="str">
        <f>HYPERLINK(O817)</f>
        <v>C:\Users\mbaptista\OneDrive - Biblioteca Nacional de Portugal\Documentos\python\camoniana\imagens\capas\381444\1\125.jpg</v>
      </c>
      <c r="Q817" s="12"/>
      <c r="R817" s="6" t="s">
        <v>1082</v>
      </c>
      <c r="S817" s="4"/>
      <c r="T817" s="1" t="s">
        <v>1075</v>
      </c>
      <c r="U817" s="13"/>
      <c r="V817" s="13"/>
      <c r="W817" s="5" t="s">
        <v>1491</v>
      </c>
    </row>
    <row r="818" spans="1:23" ht="75">
      <c r="A818" s="1">
        <v>381444</v>
      </c>
      <c r="B818" s="1">
        <v>1</v>
      </c>
      <c r="C818" s="1">
        <v>147</v>
      </c>
      <c r="D818" s="2" t="s">
        <v>1073</v>
      </c>
      <c r="E818" s="5" t="s">
        <v>1073</v>
      </c>
      <c r="F818" s="5">
        <v>14587</v>
      </c>
      <c r="G818" s="2" t="s">
        <v>1494</v>
      </c>
      <c r="H818" s="2" t="s">
        <v>1495</v>
      </c>
      <c r="I818" s="2" t="s">
        <v>1496</v>
      </c>
      <c r="J818" s="2" t="str">
        <f t="shared" si="24"/>
        <v>https://permalinkbnd.bnportugal.gov.pt/viewer/14587/?offset=#page=147&amp;viewer=picture&amp;o=info&amp;n=0&amp;q=</v>
      </c>
      <c r="K818" s="1" t="s">
        <v>1074</v>
      </c>
      <c r="L818" s="1" t="str">
        <f>VLOOKUP(A818,Folha2!$A$2:$B$2019,2,FALSE)</f>
        <v>Os Lusiadas / Luiz de Camões ; edição ilustrada com vinte heliogravuras... por Alfred Bramtot e cincoenta e cinco desenhos por Paulin Bord. - Paris ;. - Lisboa : Guillard Aillaud &amp; Cª editores, 1890, com notas sobre a ilustrações. Paratextos argumentos.</v>
      </c>
      <c r="M818" s="12" t="str">
        <f t="shared" si="25"/>
        <v>https://permalinkbnd.bnportugal.gov.pt/viewer/14587/?offset=#page=147&amp;viewer=picture&amp;o=info&amp;n=0&amp;q=</v>
      </c>
      <c r="N818" s="12" t="s">
        <v>1497</v>
      </c>
      <c r="O818" s="12" t="str">
        <f>CONCATENATE(N818,A818,"\",B818,"\",C818,".jpg")</f>
        <v>C:\Users\mbaptista\OneDrive - Biblioteca Nacional de Portugal\Documentos\python\camoniana\imagens\capas\381444\1\147.jpg</v>
      </c>
      <c r="P818" s="12" t="str">
        <f>HYPERLINK(O818)</f>
        <v>C:\Users\mbaptista\OneDrive - Biblioteca Nacional de Portugal\Documentos\python\camoniana\imagens\capas\381444\1\147.jpg</v>
      </c>
      <c r="Q818" s="12"/>
      <c r="R818" s="6" t="s">
        <v>1083</v>
      </c>
      <c r="S818" s="4"/>
      <c r="T818" s="1" t="s">
        <v>1075</v>
      </c>
      <c r="U818" s="13"/>
      <c r="V818" s="13"/>
      <c r="W818" s="5" t="s">
        <v>1491</v>
      </c>
    </row>
    <row r="819" spans="1:23" ht="75">
      <c r="A819" s="1">
        <v>381444</v>
      </c>
      <c r="B819" s="1">
        <v>1</v>
      </c>
      <c r="C819" s="1">
        <v>157</v>
      </c>
      <c r="D819" s="2" t="s">
        <v>1073</v>
      </c>
      <c r="E819" s="11" t="s">
        <v>1073</v>
      </c>
      <c r="F819" s="11">
        <v>14587</v>
      </c>
      <c r="G819" s="2" t="s">
        <v>1494</v>
      </c>
      <c r="H819" s="2" t="s">
        <v>1495</v>
      </c>
      <c r="I819" s="2" t="s">
        <v>1496</v>
      </c>
      <c r="J819" s="2" t="str">
        <f t="shared" si="24"/>
        <v>https://permalinkbnd.bnportugal.gov.pt/viewer/14587/?offset=#page=157&amp;viewer=picture&amp;o=info&amp;n=0&amp;q=</v>
      </c>
      <c r="K819" s="1" t="s">
        <v>1074</v>
      </c>
      <c r="L819" s="1" t="str">
        <f>VLOOKUP(A819,Folha2!$A$2:$B$2019,2,FALSE)</f>
        <v>Os Lusiadas / Luiz de Camões ; edição ilustrada com vinte heliogravuras... por Alfred Bramtot e cincoenta e cinco desenhos por Paulin Bord. - Paris ;. - Lisboa : Guillard Aillaud &amp; Cª editores, 1890, com notas sobre a ilustrações. Paratextos argumentos.</v>
      </c>
      <c r="M819" s="12" t="str">
        <f t="shared" si="25"/>
        <v>https://permalinkbnd.bnportugal.gov.pt/viewer/14587/?offset=#page=157&amp;viewer=picture&amp;o=info&amp;n=0&amp;q=</v>
      </c>
      <c r="N819" s="12" t="s">
        <v>1497</v>
      </c>
      <c r="O819" s="12" t="str">
        <f>CONCATENATE(N819,A819,"\",B819,"\",C819,".jpg")</f>
        <v>C:\Users\mbaptista\OneDrive - Biblioteca Nacional de Portugal\Documentos\python\camoniana\imagens\capas\381444\1\157.jpg</v>
      </c>
      <c r="P819" s="12" t="str">
        <f>HYPERLINK(O819)</f>
        <v>C:\Users\mbaptista\OneDrive - Biblioteca Nacional de Portugal\Documentos\python\camoniana\imagens\capas\381444\1\157.jpg</v>
      </c>
      <c r="Q819" s="12"/>
      <c r="R819" s="6" t="s">
        <v>1084</v>
      </c>
      <c r="S819" s="4"/>
      <c r="T819" s="1" t="s">
        <v>1075</v>
      </c>
      <c r="U819" s="13"/>
      <c r="V819" s="13"/>
      <c r="W819" s="5" t="s">
        <v>1491</v>
      </c>
    </row>
    <row r="820" spans="1:23" ht="75">
      <c r="A820" s="1">
        <v>381444</v>
      </c>
      <c r="B820" s="1">
        <v>1</v>
      </c>
      <c r="C820" s="1">
        <v>173</v>
      </c>
      <c r="D820" s="2" t="s">
        <v>1073</v>
      </c>
      <c r="E820" s="5" t="s">
        <v>1073</v>
      </c>
      <c r="F820" s="5">
        <v>14587</v>
      </c>
      <c r="G820" s="2" t="s">
        <v>1494</v>
      </c>
      <c r="H820" s="2" t="s">
        <v>1495</v>
      </c>
      <c r="I820" s="2" t="s">
        <v>1496</v>
      </c>
      <c r="J820" s="2" t="str">
        <f t="shared" si="24"/>
        <v>https://permalinkbnd.bnportugal.gov.pt/viewer/14587/?offset=#page=173&amp;viewer=picture&amp;o=info&amp;n=0&amp;q=</v>
      </c>
      <c r="K820" s="1" t="s">
        <v>1074</v>
      </c>
      <c r="L820" s="1" t="str">
        <f>VLOOKUP(A820,Folha2!$A$2:$B$2019,2,FALSE)</f>
        <v>Os Lusiadas / Luiz de Camões ; edição ilustrada com vinte heliogravuras... por Alfred Bramtot e cincoenta e cinco desenhos por Paulin Bord. - Paris ;. - Lisboa : Guillard Aillaud &amp; Cª editores, 1890, com notas sobre a ilustrações. Paratextos argumentos.</v>
      </c>
      <c r="M820" s="12" t="str">
        <f t="shared" si="25"/>
        <v>https://permalinkbnd.bnportugal.gov.pt/viewer/14587/?offset=#page=173&amp;viewer=picture&amp;o=info&amp;n=0&amp;q=</v>
      </c>
      <c r="N820" s="12" t="s">
        <v>1497</v>
      </c>
      <c r="O820" s="12" t="str">
        <f>CONCATENATE(N820,A820,"\",B820,"\",C820,".jpg")</f>
        <v>C:\Users\mbaptista\OneDrive - Biblioteca Nacional de Portugal\Documentos\python\camoniana\imagens\capas\381444\1\173.jpg</v>
      </c>
      <c r="P820" s="12" t="str">
        <f>HYPERLINK(O820)</f>
        <v>C:\Users\mbaptista\OneDrive - Biblioteca Nacional de Portugal\Documentos\python\camoniana\imagens\capas\381444\1\173.jpg</v>
      </c>
      <c r="Q820" s="12"/>
      <c r="R820" s="6" t="s">
        <v>1085</v>
      </c>
      <c r="S820" s="4"/>
      <c r="T820" s="1" t="s">
        <v>1075</v>
      </c>
      <c r="U820" s="13"/>
      <c r="V820" s="13"/>
      <c r="W820" s="5" t="s">
        <v>1491</v>
      </c>
    </row>
    <row r="821" spans="1:23" ht="75">
      <c r="A821" s="1">
        <v>381444</v>
      </c>
      <c r="B821" s="1">
        <v>1</v>
      </c>
      <c r="C821" s="1">
        <v>185</v>
      </c>
      <c r="D821" s="2" t="s">
        <v>1073</v>
      </c>
      <c r="E821" s="11" t="s">
        <v>1073</v>
      </c>
      <c r="F821" s="11">
        <v>14587</v>
      </c>
      <c r="G821" s="2" t="s">
        <v>1494</v>
      </c>
      <c r="H821" s="2" t="s">
        <v>1495</v>
      </c>
      <c r="I821" s="2" t="s">
        <v>1496</v>
      </c>
      <c r="J821" s="2" t="str">
        <f t="shared" si="24"/>
        <v>https://permalinkbnd.bnportugal.gov.pt/viewer/14587/?offset=#page=185&amp;viewer=picture&amp;o=info&amp;n=0&amp;q=</v>
      </c>
      <c r="K821" s="1" t="s">
        <v>1074</v>
      </c>
      <c r="L821" s="1" t="str">
        <f>VLOOKUP(A821,Folha2!$A$2:$B$2019,2,FALSE)</f>
        <v>Os Lusiadas / Luiz de Camões ; edição ilustrada com vinte heliogravuras... por Alfred Bramtot e cincoenta e cinco desenhos por Paulin Bord. - Paris ;. - Lisboa : Guillard Aillaud &amp; Cª editores, 1890, com notas sobre a ilustrações. Paratextos argumentos.</v>
      </c>
      <c r="M821" s="12" t="str">
        <f t="shared" si="25"/>
        <v>https://permalinkbnd.bnportugal.gov.pt/viewer/14587/?offset=#page=185&amp;viewer=picture&amp;o=info&amp;n=0&amp;q=</v>
      </c>
      <c r="N821" s="12" t="s">
        <v>1497</v>
      </c>
      <c r="O821" s="12" t="str">
        <f>CONCATENATE(N821,A821,"\",B821,"\",C821,".jpg")</f>
        <v>C:\Users\mbaptista\OneDrive - Biblioteca Nacional de Portugal\Documentos\python\camoniana\imagens\capas\381444\1\185.jpg</v>
      </c>
      <c r="P821" s="12" t="str">
        <f>HYPERLINK(O821)</f>
        <v>C:\Users\mbaptista\OneDrive - Biblioteca Nacional de Portugal\Documentos\python\camoniana\imagens\capas\381444\1\185.jpg</v>
      </c>
      <c r="Q821" s="12"/>
      <c r="R821" s="6" t="s">
        <v>1086</v>
      </c>
      <c r="S821" s="4"/>
      <c r="T821" s="1" t="s">
        <v>1075</v>
      </c>
      <c r="U821" s="13"/>
      <c r="V821" s="13"/>
      <c r="W821" s="5" t="s">
        <v>1491</v>
      </c>
    </row>
    <row r="822" spans="1:23" ht="75">
      <c r="A822" s="1">
        <v>381444</v>
      </c>
      <c r="B822" s="1">
        <v>1</v>
      </c>
      <c r="C822" s="1">
        <v>223</v>
      </c>
      <c r="D822" s="2" t="s">
        <v>1073</v>
      </c>
      <c r="E822" s="5" t="s">
        <v>1073</v>
      </c>
      <c r="F822" s="5">
        <v>14587</v>
      </c>
      <c r="G822" s="2" t="s">
        <v>1494</v>
      </c>
      <c r="H822" s="2" t="s">
        <v>1495</v>
      </c>
      <c r="I822" s="2" t="s">
        <v>1496</v>
      </c>
      <c r="J822" s="2" t="str">
        <f t="shared" si="24"/>
        <v>https://permalinkbnd.bnportugal.gov.pt/viewer/14587/?offset=#page=223&amp;viewer=picture&amp;o=info&amp;n=0&amp;q=</v>
      </c>
      <c r="K822" s="1" t="s">
        <v>1074</v>
      </c>
      <c r="L822" s="1" t="str">
        <f>VLOOKUP(A822,Folha2!$A$2:$B$2019,2,FALSE)</f>
        <v>Os Lusiadas / Luiz de Camões ; edição ilustrada com vinte heliogravuras... por Alfred Bramtot e cincoenta e cinco desenhos por Paulin Bord. - Paris ;. - Lisboa : Guillard Aillaud &amp; Cª editores, 1890, com notas sobre a ilustrações. Paratextos argumentos.</v>
      </c>
      <c r="M822" s="12" t="str">
        <f t="shared" si="25"/>
        <v>https://permalinkbnd.bnportugal.gov.pt/viewer/14587/?offset=#page=223&amp;viewer=picture&amp;o=info&amp;n=0&amp;q=</v>
      </c>
      <c r="N822" s="12" t="s">
        <v>1497</v>
      </c>
      <c r="O822" s="12" t="str">
        <f>CONCATENATE(N822,A822,"\",B822,"\",C822,".jpg")</f>
        <v>C:\Users\mbaptista\OneDrive - Biblioteca Nacional de Portugal\Documentos\python\camoniana\imagens\capas\381444\1\223.jpg</v>
      </c>
      <c r="P822" s="12" t="str">
        <f>HYPERLINK(O822)</f>
        <v>C:\Users\mbaptista\OneDrive - Biblioteca Nacional de Portugal\Documentos\python\camoniana\imagens\capas\381444\1\223.jpg</v>
      </c>
      <c r="Q822" s="12"/>
      <c r="R822" s="6" t="s">
        <v>1087</v>
      </c>
      <c r="S822" s="4"/>
      <c r="T822" s="1" t="s">
        <v>1075</v>
      </c>
      <c r="U822" s="13"/>
      <c r="V822" s="13"/>
      <c r="W822" s="5" t="s">
        <v>1491</v>
      </c>
    </row>
    <row r="823" spans="1:23" ht="75">
      <c r="A823" s="1">
        <v>381444</v>
      </c>
      <c r="B823" s="1">
        <v>1</v>
      </c>
      <c r="C823" s="1">
        <v>231</v>
      </c>
      <c r="D823" s="2" t="s">
        <v>1073</v>
      </c>
      <c r="E823" s="11" t="s">
        <v>1073</v>
      </c>
      <c r="F823" s="11">
        <v>14587</v>
      </c>
      <c r="G823" s="2" t="s">
        <v>1494</v>
      </c>
      <c r="H823" s="2" t="s">
        <v>1495</v>
      </c>
      <c r="I823" s="2" t="s">
        <v>1496</v>
      </c>
      <c r="J823" s="2" t="str">
        <f t="shared" si="24"/>
        <v>https://permalinkbnd.bnportugal.gov.pt/viewer/14587/?offset=#page=231&amp;viewer=picture&amp;o=info&amp;n=0&amp;q=</v>
      </c>
      <c r="K823" s="1" t="s">
        <v>1074</v>
      </c>
      <c r="L823" s="1" t="str">
        <f>VLOOKUP(A823,Folha2!$A$2:$B$2019,2,FALSE)</f>
        <v>Os Lusiadas / Luiz de Camões ; edição ilustrada com vinte heliogravuras... por Alfred Bramtot e cincoenta e cinco desenhos por Paulin Bord. - Paris ;. - Lisboa : Guillard Aillaud &amp; Cª editores, 1890, com notas sobre a ilustrações. Paratextos argumentos.</v>
      </c>
      <c r="M823" s="12" t="str">
        <f t="shared" si="25"/>
        <v>https://permalinkbnd.bnportugal.gov.pt/viewer/14587/?offset=#page=231&amp;viewer=picture&amp;o=info&amp;n=0&amp;q=</v>
      </c>
      <c r="N823" s="12" t="s">
        <v>1497</v>
      </c>
      <c r="O823" s="12" t="str">
        <f>CONCATENATE(N823,A823,"\",B823,"\",C823,".jpg")</f>
        <v>C:\Users\mbaptista\OneDrive - Biblioteca Nacional de Portugal\Documentos\python\camoniana\imagens\capas\381444\1\231.jpg</v>
      </c>
      <c r="P823" s="12" t="str">
        <f>HYPERLINK(O823)</f>
        <v>C:\Users\mbaptista\OneDrive - Biblioteca Nacional de Portugal\Documentos\python\camoniana\imagens\capas\381444\1\231.jpg</v>
      </c>
      <c r="Q823" s="12"/>
      <c r="R823" s="6" t="s">
        <v>1088</v>
      </c>
      <c r="S823" s="4"/>
      <c r="T823" s="1" t="s">
        <v>1075</v>
      </c>
      <c r="U823" s="13"/>
      <c r="V823" s="13"/>
      <c r="W823" s="5" t="s">
        <v>1491</v>
      </c>
    </row>
    <row r="824" spans="1:23" ht="75">
      <c r="A824" s="1">
        <v>381444</v>
      </c>
      <c r="B824" s="1">
        <v>1</v>
      </c>
      <c r="C824" s="1">
        <v>255</v>
      </c>
      <c r="D824" s="2" t="s">
        <v>1073</v>
      </c>
      <c r="E824" s="5" t="s">
        <v>1073</v>
      </c>
      <c r="F824" s="5">
        <v>14587</v>
      </c>
      <c r="G824" s="2" t="s">
        <v>1494</v>
      </c>
      <c r="H824" s="2" t="s">
        <v>1495</v>
      </c>
      <c r="I824" s="2" t="s">
        <v>1496</v>
      </c>
      <c r="J824" s="2" t="str">
        <f t="shared" si="24"/>
        <v>https://permalinkbnd.bnportugal.gov.pt/viewer/14587/?offset=#page=255&amp;viewer=picture&amp;o=info&amp;n=0&amp;q=</v>
      </c>
      <c r="K824" s="1" t="s">
        <v>1074</v>
      </c>
      <c r="L824" s="1" t="str">
        <f>VLOOKUP(A824,Folha2!$A$2:$B$2019,2,FALSE)</f>
        <v>Os Lusiadas / Luiz de Camões ; edição ilustrada com vinte heliogravuras... por Alfred Bramtot e cincoenta e cinco desenhos por Paulin Bord. - Paris ;. - Lisboa : Guillard Aillaud &amp; Cª editores, 1890, com notas sobre a ilustrações. Paratextos argumentos.</v>
      </c>
      <c r="M824" s="12" t="str">
        <f t="shared" si="25"/>
        <v>https://permalinkbnd.bnportugal.gov.pt/viewer/14587/?offset=#page=255&amp;viewer=picture&amp;o=info&amp;n=0&amp;q=</v>
      </c>
      <c r="N824" s="12" t="s">
        <v>1497</v>
      </c>
      <c r="O824" s="12" t="str">
        <f>CONCATENATE(N824,A824,"\",B824,"\",C824,".jpg")</f>
        <v>C:\Users\mbaptista\OneDrive - Biblioteca Nacional de Portugal\Documentos\python\camoniana\imagens\capas\381444\1\255.jpg</v>
      </c>
      <c r="P824" s="12" t="str">
        <f>HYPERLINK(O824)</f>
        <v>C:\Users\mbaptista\OneDrive - Biblioteca Nacional de Portugal\Documentos\python\camoniana\imagens\capas\381444\1\255.jpg</v>
      </c>
      <c r="Q824" s="12"/>
      <c r="R824" s="6" t="s">
        <v>1089</v>
      </c>
      <c r="S824" s="4"/>
      <c r="T824" s="1" t="s">
        <v>1075</v>
      </c>
      <c r="U824" s="13"/>
      <c r="V824" s="13"/>
      <c r="W824" s="5" t="s">
        <v>1491</v>
      </c>
    </row>
    <row r="825" spans="1:23" ht="75">
      <c r="A825" s="1">
        <v>381444</v>
      </c>
      <c r="B825" s="1">
        <v>1</v>
      </c>
      <c r="C825" s="1">
        <v>265</v>
      </c>
      <c r="D825" s="2" t="s">
        <v>1073</v>
      </c>
      <c r="E825" s="11" t="s">
        <v>1073</v>
      </c>
      <c r="F825" s="11">
        <v>14587</v>
      </c>
      <c r="G825" s="2" t="s">
        <v>1494</v>
      </c>
      <c r="H825" s="2" t="s">
        <v>1495</v>
      </c>
      <c r="I825" s="2" t="s">
        <v>1496</v>
      </c>
      <c r="J825" s="2" t="str">
        <f t="shared" si="24"/>
        <v>https://permalinkbnd.bnportugal.gov.pt/viewer/14587/?offset=#page=265&amp;viewer=picture&amp;o=info&amp;n=0&amp;q=</v>
      </c>
      <c r="K825" s="1" t="s">
        <v>1074</v>
      </c>
      <c r="L825" s="1" t="str">
        <f>VLOOKUP(A825,Folha2!$A$2:$B$2019,2,FALSE)</f>
        <v>Os Lusiadas / Luiz de Camões ; edição ilustrada com vinte heliogravuras... por Alfred Bramtot e cincoenta e cinco desenhos por Paulin Bord. - Paris ;. - Lisboa : Guillard Aillaud &amp; Cª editores, 1890, com notas sobre a ilustrações. Paratextos argumentos.</v>
      </c>
      <c r="M825" s="12" t="str">
        <f t="shared" si="25"/>
        <v>https://permalinkbnd.bnportugal.gov.pt/viewer/14587/?offset=#page=265&amp;viewer=picture&amp;o=info&amp;n=0&amp;q=</v>
      </c>
      <c r="N825" s="12" t="s">
        <v>1497</v>
      </c>
      <c r="O825" s="12" t="str">
        <f>CONCATENATE(N825,A825,"\",B825,"\",C825,".jpg")</f>
        <v>C:\Users\mbaptista\OneDrive - Biblioteca Nacional de Portugal\Documentos\python\camoniana\imagens\capas\381444\1\265.jpg</v>
      </c>
      <c r="P825" s="12" t="str">
        <f>HYPERLINK(O825)</f>
        <v>C:\Users\mbaptista\OneDrive - Biblioteca Nacional de Portugal\Documentos\python\camoniana\imagens\capas\381444\1\265.jpg</v>
      </c>
      <c r="Q825" s="12"/>
      <c r="R825" s="6" t="s">
        <v>1090</v>
      </c>
      <c r="S825" s="4"/>
      <c r="T825" s="1" t="s">
        <v>1075</v>
      </c>
      <c r="U825" s="13"/>
      <c r="V825" s="13"/>
      <c r="W825" s="5" t="s">
        <v>1491</v>
      </c>
    </row>
    <row r="826" spans="1:23" ht="75">
      <c r="A826" s="1">
        <v>381444</v>
      </c>
      <c r="B826" s="1">
        <v>1</v>
      </c>
      <c r="C826" s="1">
        <v>289</v>
      </c>
      <c r="D826" s="2" t="s">
        <v>1073</v>
      </c>
      <c r="E826" s="5" t="s">
        <v>1073</v>
      </c>
      <c r="F826" s="5">
        <v>14587</v>
      </c>
      <c r="G826" s="2" t="s">
        <v>1494</v>
      </c>
      <c r="H826" s="2" t="s">
        <v>1495</v>
      </c>
      <c r="I826" s="2" t="s">
        <v>1496</v>
      </c>
      <c r="J826" s="2" t="str">
        <f t="shared" si="24"/>
        <v>https://permalinkbnd.bnportugal.gov.pt/viewer/14587/?offset=#page=289&amp;viewer=picture&amp;o=info&amp;n=0&amp;q=</v>
      </c>
      <c r="K826" s="1" t="s">
        <v>1074</v>
      </c>
      <c r="L826" s="1" t="str">
        <f>VLOOKUP(A826,Folha2!$A$2:$B$2019,2,FALSE)</f>
        <v>Os Lusiadas / Luiz de Camões ; edição ilustrada com vinte heliogravuras... por Alfred Bramtot e cincoenta e cinco desenhos por Paulin Bord. - Paris ;. - Lisboa : Guillard Aillaud &amp; Cª editores, 1890, com notas sobre a ilustrações. Paratextos argumentos.</v>
      </c>
      <c r="M826" s="12" t="str">
        <f t="shared" si="25"/>
        <v>https://permalinkbnd.bnportugal.gov.pt/viewer/14587/?offset=#page=289&amp;viewer=picture&amp;o=info&amp;n=0&amp;q=</v>
      </c>
      <c r="N826" s="12" t="s">
        <v>1497</v>
      </c>
      <c r="O826" s="12" t="str">
        <f>CONCATENATE(N826,A826,"\",B826,"\",C826,".jpg")</f>
        <v>C:\Users\mbaptista\OneDrive - Biblioteca Nacional de Portugal\Documentos\python\camoniana\imagens\capas\381444\1\289.jpg</v>
      </c>
      <c r="P826" s="12" t="str">
        <f>HYPERLINK(O826)</f>
        <v>C:\Users\mbaptista\OneDrive - Biblioteca Nacional de Portugal\Documentos\python\camoniana\imagens\capas\381444\1\289.jpg</v>
      </c>
      <c r="Q826" s="12"/>
      <c r="R826" s="6" t="s">
        <v>1091</v>
      </c>
      <c r="S826" s="4"/>
      <c r="T826" s="1" t="s">
        <v>1075</v>
      </c>
      <c r="U826" s="13"/>
      <c r="V826" s="13"/>
      <c r="W826" s="5" t="s">
        <v>1491</v>
      </c>
    </row>
    <row r="827" spans="1:23" ht="75">
      <c r="A827" s="1">
        <v>381444</v>
      </c>
      <c r="B827" s="1">
        <v>1</v>
      </c>
      <c r="C827" s="1">
        <v>295</v>
      </c>
      <c r="D827" s="2" t="s">
        <v>1073</v>
      </c>
      <c r="E827" s="11" t="s">
        <v>1073</v>
      </c>
      <c r="F827" s="11">
        <v>14587</v>
      </c>
      <c r="G827" s="2" t="s">
        <v>1494</v>
      </c>
      <c r="H827" s="2" t="s">
        <v>1495</v>
      </c>
      <c r="I827" s="2" t="s">
        <v>1496</v>
      </c>
      <c r="J827" s="2" t="str">
        <f t="shared" si="24"/>
        <v>https://permalinkbnd.bnportugal.gov.pt/viewer/14587/?offset=#page=295&amp;viewer=picture&amp;o=info&amp;n=0&amp;q=</v>
      </c>
      <c r="K827" s="1" t="s">
        <v>1074</v>
      </c>
      <c r="L827" s="1" t="str">
        <f>VLOOKUP(A827,Folha2!$A$2:$B$2019,2,FALSE)</f>
        <v>Os Lusiadas / Luiz de Camões ; edição ilustrada com vinte heliogravuras... por Alfred Bramtot e cincoenta e cinco desenhos por Paulin Bord. - Paris ;. - Lisboa : Guillard Aillaud &amp; Cª editores, 1890, com notas sobre a ilustrações. Paratextos argumentos.</v>
      </c>
      <c r="M827" s="12" t="str">
        <f t="shared" si="25"/>
        <v>https://permalinkbnd.bnportugal.gov.pt/viewer/14587/?offset=#page=295&amp;viewer=picture&amp;o=info&amp;n=0&amp;q=</v>
      </c>
      <c r="N827" s="12" t="s">
        <v>1497</v>
      </c>
      <c r="O827" s="12" t="str">
        <f>CONCATENATE(N827,A827,"\",B827,"\",C827,".jpg")</f>
        <v>C:\Users\mbaptista\OneDrive - Biblioteca Nacional de Portugal\Documentos\python\camoniana\imagens\capas\381444\1\295.jpg</v>
      </c>
      <c r="P827" s="12" t="str">
        <f>HYPERLINK(O827)</f>
        <v>C:\Users\mbaptista\OneDrive - Biblioteca Nacional de Portugal\Documentos\python\camoniana\imagens\capas\381444\1\295.jpg</v>
      </c>
      <c r="Q827" s="12"/>
      <c r="R827" s="6" t="s">
        <v>1092</v>
      </c>
      <c r="S827" s="4"/>
      <c r="T827" s="1" t="s">
        <v>1075</v>
      </c>
      <c r="U827" s="13"/>
      <c r="V827" s="13"/>
      <c r="W827" s="5" t="s">
        <v>1491</v>
      </c>
    </row>
    <row r="828" spans="1:23" ht="75">
      <c r="A828" s="1">
        <v>381444</v>
      </c>
      <c r="B828" s="1">
        <v>1</v>
      </c>
      <c r="C828" s="1">
        <v>323</v>
      </c>
      <c r="D828" s="2" t="s">
        <v>1073</v>
      </c>
      <c r="E828" s="5" t="s">
        <v>1073</v>
      </c>
      <c r="F828" s="5">
        <v>14587</v>
      </c>
      <c r="G828" s="2" t="s">
        <v>1494</v>
      </c>
      <c r="H828" s="2" t="s">
        <v>1495</v>
      </c>
      <c r="I828" s="2" t="s">
        <v>1496</v>
      </c>
      <c r="J828" s="2" t="str">
        <f t="shared" si="24"/>
        <v>https://permalinkbnd.bnportugal.gov.pt/viewer/14587/?offset=#page=323&amp;viewer=picture&amp;o=info&amp;n=0&amp;q=</v>
      </c>
      <c r="K828" s="1" t="s">
        <v>1074</v>
      </c>
      <c r="L828" s="1" t="str">
        <f>VLOOKUP(A828,Folha2!$A$2:$B$2019,2,FALSE)</f>
        <v>Os Lusiadas / Luiz de Camões ; edição ilustrada com vinte heliogravuras... por Alfred Bramtot e cincoenta e cinco desenhos por Paulin Bord. - Paris ;. - Lisboa : Guillard Aillaud &amp; Cª editores, 1890, com notas sobre a ilustrações. Paratextos argumentos.</v>
      </c>
      <c r="M828" s="12" t="str">
        <f t="shared" si="25"/>
        <v>https://permalinkbnd.bnportugal.gov.pt/viewer/14587/?offset=#page=323&amp;viewer=picture&amp;o=info&amp;n=0&amp;q=</v>
      </c>
      <c r="N828" s="12" t="s">
        <v>1497</v>
      </c>
      <c r="O828" s="12" t="str">
        <f>CONCATENATE(N828,A828,"\",B828,"\",C828,".jpg")</f>
        <v>C:\Users\mbaptista\OneDrive - Biblioteca Nacional de Portugal\Documentos\python\camoniana\imagens\capas\381444\1\323.jpg</v>
      </c>
      <c r="P828" s="12" t="str">
        <f>HYPERLINK(O828)</f>
        <v>C:\Users\mbaptista\OneDrive - Biblioteca Nacional de Portugal\Documentos\python\camoniana\imagens\capas\381444\1\323.jpg</v>
      </c>
      <c r="Q828" s="12"/>
      <c r="R828" s="6" t="s">
        <v>1093</v>
      </c>
      <c r="S828" s="4"/>
      <c r="T828" s="1" t="s">
        <v>1075</v>
      </c>
      <c r="U828" s="13"/>
      <c r="V828" s="13"/>
      <c r="W828" s="5" t="s">
        <v>1491</v>
      </c>
    </row>
    <row r="829" spans="1:23" ht="75">
      <c r="A829" s="1">
        <v>381444</v>
      </c>
      <c r="B829" s="1">
        <v>1</v>
      </c>
      <c r="C829" s="1">
        <v>331</v>
      </c>
      <c r="D829" s="2" t="s">
        <v>1073</v>
      </c>
      <c r="E829" s="11" t="s">
        <v>1073</v>
      </c>
      <c r="F829" s="11">
        <v>14587</v>
      </c>
      <c r="G829" s="2" t="s">
        <v>1494</v>
      </c>
      <c r="H829" s="2" t="s">
        <v>1495</v>
      </c>
      <c r="I829" s="2" t="s">
        <v>1496</v>
      </c>
      <c r="J829" s="2" t="str">
        <f t="shared" si="24"/>
        <v>https://permalinkbnd.bnportugal.gov.pt/viewer/14587/?offset=#page=331&amp;viewer=picture&amp;o=info&amp;n=0&amp;q=</v>
      </c>
      <c r="K829" s="1" t="s">
        <v>1074</v>
      </c>
      <c r="L829" s="1" t="str">
        <f>VLOOKUP(A829,Folha2!$A$2:$B$2019,2,FALSE)</f>
        <v>Os Lusiadas / Luiz de Camões ; edição ilustrada com vinte heliogravuras... por Alfred Bramtot e cincoenta e cinco desenhos por Paulin Bord. - Paris ;. - Lisboa : Guillard Aillaud &amp; Cª editores, 1890, com notas sobre a ilustrações. Paratextos argumentos.</v>
      </c>
      <c r="M829" s="12" t="str">
        <f t="shared" si="25"/>
        <v>https://permalinkbnd.bnportugal.gov.pt/viewer/14587/?offset=#page=331&amp;viewer=picture&amp;o=info&amp;n=0&amp;q=</v>
      </c>
      <c r="N829" s="12" t="s">
        <v>1497</v>
      </c>
      <c r="O829" s="12" t="str">
        <f>CONCATENATE(N829,A829,"\",B829,"\",C829,".jpg")</f>
        <v>C:\Users\mbaptista\OneDrive - Biblioteca Nacional de Portugal\Documentos\python\camoniana\imagens\capas\381444\1\331.jpg</v>
      </c>
      <c r="P829" s="12" t="str">
        <f>HYPERLINK(O829)</f>
        <v>C:\Users\mbaptista\OneDrive - Biblioteca Nacional de Portugal\Documentos\python\camoniana\imagens\capas\381444\1\331.jpg</v>
      </c>
      <c r="Q829" s="12"/>
      <c r="R829" s="6" t="s">
        <v>1094</v>
      </c>
      <c r="S829" s="4"/>
      <c r="T829" s="1" t="s">
        <v>1075</v>
      </c>
      <c r="U829" s="13"/>
      <c r="V829" s="13"/>
      <c r="W829" s="5" t="s">
        <v>1491</v>
      </c>
    </row>
    <row r="830" spans="1:23" ht="75">
      <c r="A830" s="1">
        <v>381444</v>
      </c>
      <c r="B830" s="1">
        <v>1</v>
      </c>
      <c r="C830" s="1">
        <v>340</v>
      </c>
      <c r="D830" s="2" t="s">
        <v>1073</v>
      </c>
      <c r="E830" s="5" t="s">
        <v>1073</v>
      </c>
      <c r="F830" s="5">
        <v>14587</v>
      </c>
      <c r="G830" s="2" t="s">
        <v>1494</v>
      </c>
      <c r="H830" s="2" t="s">
        <v>1495</v>
      </c>
      <c r="I830" s="2" t="s">
        <v>1496</v>
      </c>
      <c r="J830" s="2" t="str">
        <f t="shared" si="24"/>
        <v>https://permalinkbnd.bnportugal.gov.pt/viewer/14587/?offset=#page=340&amp;viewer=picture&amp;o=info&amp;n=0&amp;q=</v>
      </c>
      <c r="K830" s="1" t="s">
        <v>1074</v>
      </c>
      <c r="L830" s="1" t="str">
        <f>VLOOKUP(A830,Folha2!$A$2:$B$2019,2,FALSE)</f>
        <v>Os Lusiadas / Luiz de Camões ; edição ilustrada com vinte heliogravuras... por Alfred Bramtot e cincoenta e cinco desenhos por Paulin Bord. - Paris ;. - Lisboa : Guillard Aillaud &amp; Cª editores, 1890, com notas sobre a ilustrações. Paratextos argumentos.</v>
      </c>
      <c r="M830" s="12" t="str">
        <f t="shared" si="25"/>
        <v>https://permalinkbnd.bnportugal.gov.pt/viewer/14587/?offset=#page=340&amp;viewer=picture&amp;o=info&amp;n=0&amp;q=</v>
      </c>
      <c r="N830" s="12" t="s">
        <v>1497</v>
      </c>
      <c r="O830" s="12" t="str">
        <f>CONCATENATE(N830,A830,"\",B830,"\",C830,".jpg")</f>
        <v>C:\Users\mbaptista\OneDrive - Biblioteca Nacional de Portugal\Documentos\python\camoniana\imagens\capas\381444\1\340.jpg</v>
      </c>
      <c r="P830" s="12" t="str">
        <f>HYPERLINK(O830)</f>
        <v>C:\Users\mbaptista\OneDrive - Biblioteca Nacional de Portugal\Documentos\python\camoniana\imagens\capas\381444\1\340.jpg</v>
      </c>
      <c r="Q830" s="12"/>
      <c r="R830" s="6"/>
      <c r="S830" s="4"/>
      <c r="T830" s="1"/>
      <c r="U830" s="13"/>
      <c r="V830" s="13"/>
      <c r="W830" s="5"/>
    </row>
    <row r="831" spans="1:23" ht="75">
      <c r="A831" s="1">
        <v>381444</v>
      </c>
      <c r="B831" s="1">
        <v>1</v>
      </c>
      <c r="C831" s="1">
        <v>365</v>
      </c>
      <c r="D831" s="2" t="s">
        <v>1073</v>
      </c>
      <c r="E831" s="11" t="s">
        <v>1073</v>
      </c>
      <c r="F831" s="11">
        <v>14587</v>
      </c>
      <c r="G831" s="2" t="s">
        <v>1494</v>
      </c>
      <c r="H831" s="2" t="s">
        <v>1495</v>
      </c>
      <c r="I831" s="2" t="s">
        <v>1496</v>
      </c>
      <c r="J831" s="2" t="str">
        <f t="shared" si="24"/>
        <v>https://permalinkbnd.bnportugal.gov.pt/viewer/14587/?offset=#page=365&amp;viewer=picture&amp;o=info&amp;n=0&amp;q=</v>
      </c>
      <c r="K831" s="1" t="s">
        <v>1074</v>
      </c>
      <c r="L831" s="1" t="str">
        <f>VLOOKUP(A831,Folha2!$A$2:$B$2019,2,FALSE)</f>
        <v>Os Lusiadas / Luiz de Camões ; edição ilustrada com vinte heliogravuras... por Alfred Bramtot e cincoenta e cinco desenhos por Paulin Bord. - Paris ;. - Lisboa : Guillard Aillaud &amp; Cª editores, 1890, com notas sobre a ilustrações. Paratextos argumentos.</v>
      </c>
      <c r="M831" s="12" t="str">
        <f t="shared" si="25"/>
        <v>https://permalinkbnd.bnportugal.gov.pt/viewer/14587/?offset=#page=365&amp;viewer=picture&amp;o=info&amp;n=0&amp;q=</v>
      </c>
      <c r="N831" s="12" t="s">
        <v>1497</v>
      </c>
      <c r="O831" s="12" t="str">
        <f>CONCATENATE(N831,A831,"\",B831,"\",C831,".jpg")</f>
        <v>C:\Users\mbaptista\OneDrive - Biblioteca Nacional de Portugal\Documentos\python\camoniana\imagens\capas\381444\1\365.jpg</v>
      </c>
      <c r="P831" s="12" t="str">
        <f>HYPERLINK(O831)</f>
        <v>C:\Users\mbaptista\OneDrive - Biblioteca Nacional de Portugal\Documentos\python\camoniana\imagens\capas\381444\1\365.jpg</v>
      </c>
      <c r="Q831" s="12"/>
      <c r="R831" s="6" t="s">
        <v>1095</v>
      </c>
      <c r="S831" s="4"/>
      <c r="T831" s="1" t="s">
        <v>1075</v>
      </c>
      <c r="U831" s="13"/>
      <c r="V831" s="13"/>
      <c r="W831" s="5" t="s">
        <v>1491</v>
      </c>
    </row>
    <row r="832" spans="1:23" ht="75">
      <c r="A832" s="1">
        <v>381444</v>
      </c>
      <c r="B832" s="1">
        <v>1</v>
      </c>
      <c r="C832" s="1">
        <v>385</v>
      </c>
      <c r="D832" s="2" t="s">
        <v>1073</v>
      </c>
      <c r="E832" s="5" t="s">
        <v>1073</v>
      </c>
      <c r="F832" s="5">
        <v>14587</v>
      </c>
      <c r="G832" s="2" t="s">
        <v>1494</v>
      </c>
      <c r="H832" s="2" t="s">
        <v>1495</v>
      </c>
      <c r="I832" s="2" t="s">
        <v>1496</v>
      </c>
      <c r="J832" s="2" t="str">
        <f t="shared" si="24"/>
        <v>https://permalinkbnd.bnportugal.gov.pt/viewer/14587/?offset=#page=385&amp;viewer=picture&amp;o=info&amp;n=0&amp;q=</v>
      </c>
      <c r="K832" s="1" t="s">
        <v>1074</v>
      </c>
      <c r="L832" s="1" t="str">
        <f>VLOOKUP(A832,Folha2!$A$2:$B$2019,2,FALSE)</f>
        <v>Os Lusiadas / Luiz de Camões ; edição ilustrada com vinte heliogravuras... por Alfred Bramtot e cincoenta e cinco desenhos por Paulin Bord. - Paris ;. - Lisboa : Guillard Aillaud &amp; Cª editores, 1890, com notas sobre a ilustrações. Paratextos argumentos.</v>
      </c>
      <c r="M832" s="12" t="str">
        <f t="shared" si="25"/>
        <v>https://permalinkbnd.bnportugal.gov.pt/viewer/14587/?offset=#page=385&amp;viewer=picture&amp;o=info&amp;n=0&amp;q=</v>
      </c>
      <c r="N832" s="12" t="s">
        <v>1497</v>
      </c>
      <c r="O832" s="12" t="str">
        <f>CONCATENATE(N832,A832,"\",B832,"\",C832,".jpg")</f>
        <v>C:\Users\mbaptista\OneDrive - Biblioteca Nacional de Portugal\Documentos\python\camoniana\imagens\capas\381444\1\385.jpg</v>
      </c>
      <c r="P832" s="12" t="str">
        <f>HYPERLINK(O832)</f>
        <v>C:\Users\mbaptista\OneDrive - Biblioteca Nacional de Portugal\Documentos\python\camoniana\imagens\capas\381444\1\385.jpg</v>
      </c>
      <c r="Q832" s="12"/>
      <c r="R832" s="6" t="s">
        <v>1096</v>
      </c>
      <c r="S832" s="4"/>
      <c r="T832" s="1" t="s">
        <v>1075</v>
      </c>
      <c r="U832" s="13"/>
      <c r="V832" s="13"/>
      <c r="W832" s="5" t="s">
        <v>1491</v>
      </c>
    </row>
    <row r="833" spans="1:23" ht="75">
      <c r="A833" s="1">
        <v>381504</v>
      </c>
      <c r="B833" s="1">
        <v>1</v>
      </c>
      <c r="C833" s="1">
        <v>8</v>
      </c>
      <c r="D833" s="2" t="s">
        <v>1097</v>
      </c>
      <c r="E833" s="11" t="s">
        <v>1097</v>
      </c>
      <c r="F833" s="11">
        <v>14650</v>
      </c>
      <c r="G833" s="2" t="s">
        <v>1494</v>
      </c>
      <c r="H833" s="2" t="s">
        <v>1495</v>
      </c>
      <c r="I833" s="2" t="s">
        <v>1496</v>
      </c>
      <c r="J833" s="2" t="str">
        <f t="shared" si="24"/>
        <v>https://permalinkbnd.bnportugal.gov.pt/viewer/14650/?offset=#page=8&amp;viewer=picture&amp;o=info&amp;n=0&amp;q=</v>
      </c>
      <c r="K833" s="1" t="s">
        <v>1098</v>
      </c>
      <c r="L833" s="1" t="str">
        <f>VLOOKUP(A833,Folha2!$A$2:$B$2019,2,FALSE)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3" s="12" t="str">
        <f t="shared" si="25"/>
        <v>https://permalinkbnd.bnportugal.gov.pt/viewer/14650/?offset=#page=8&amp;viewer=picture&amp;o=info&amp;n=0&amp;q=</v>
      </c>
      <c r="N833" s="12" t="s">
        <v>1497</v>
      </c>
      <c r="O833" s="12" t="str">
        <f>CONCATENATE(N833,A833,"\",B833,"\",C833,".jpg")</f>
        <v>C:\Users\mbaptista\OneDrive - Biblioteca Nacional de Portugal\Documentos\python\camoniana\imagens\capas\381504\1\8.jpg</v>
      </c>
      <c r="P833" s="12" t="str">
        <f>HYPERLINK(O833)</f>
        <v>C:\Users\mbaptista\OneDrive - Biblioteca Nacional de Portugal\Documentos\python\camoniana\imagens\capas\381504\1\8.jpg</v>
      </c>
      <c r="Q833" s="12"/>
      <c r="R833" s="6" t="s">
        <v>1100</v>
      </c>
      <c r="S833" s="4"/>
      <c r="T833" s="1" t="s">
        <v>1099</v>
      </c>
      <c r="U833" s="13"/>
      <c r="V833" s="13"/>
      <c r="W833" s="5" t="s">
        <v>1491</v>
      </c>
    </row>
    <row r="834" spans="1:23" ht="75">
      <c r="A834" s="1">
        <v>381504</v>
      </c>
      <c r="B834" s="1">
        <v>1</v>
      </c>
      <c r="C834" s="1">
        <v>30</v>
      </c>
      <c r="D834" s="2" t="s">
        <v>1097</v>
      </c>
      <c r="E834" s="5" t="s">
        <v>1097</v>
      </c>
      <c r="F834" s="5">
        <v>14650</v>
      </c>
      <c r="G834" s="2" t="s">
        <v>1494</v>
      </c>
      <c r="H834" s="2" t="s">
        <v>1495</v>
      </c>
      <c r="I834" s="2" t="s">
        <v>1496</v>
      </c>
      <c r="J834" s="2" t="str">
        <f t="shared" ref="J834:J897" si="26">CONCATENATE(G834,F834,H834,C834,I834)</f>
        <v>https://permalinkbnd.bnportugal.gov.pt/viewer/14650/?offset=#page=30&amp;viewer=picture&amp;o=info&amp;n=0&amp;q=</v>
      </c>
      <c r="K834" s="1" t="s">
        <v>1098</v>
      </c>
      <c r="L834" s="1" t="str">
        <f>VLOOKUP(A834,Folha2!$A$2:$B$2019,2,FALSE)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4" s="12" t="str">
        <f t="shared" ref="M834:M897" si="27">HYPERLINK(J834)</f>
        <v>https://permalinkbnd.bnportugal.gov.pt/viewer/14650/?offset=#page=30&amp;viewer=picture&amp;o=info&amp;n=0&amp;q=</v>
      </c>
      <c r="N834" s="12" t="s">
        <v>1497</v>
      </c>
      <c r="O834" s="12" t="str">
        <f>CONCATENATE(N834,A834,"\",B834,"\",C834,".jpg")</f>
        <v>C:\Users\mbaptista\OneDrive - Biblioteca Nacional de Portugal\Documentos\python\camoniana\imagens\capas\381504\1\30.jpg</v>
      </c>
      <c r="P834" s="12" t="str">
        <f>HYPERLINK(O834)</f>
        <v>C:\Users\mbaptista\OneDrive - Biblioteca Nacional de Portugal\Documentos\python\camoniana\imagens\capas\381504\1\30.jpg</v>
      </c>
      <c r="Q834" s="12"/>
      <c r="R834" s="6" t="s">
        <v>1101</v>
      </c>
      <c r="S834" s="4"/>
      <c r="T834" s="1" t="s">
        <v>1099</v>
      </c>
      <c r="U834" s="13"/>
      <c r="V834" s="13"/>
      <c r="W834" s="5" t="s">
        <v>1491</v>
      </c>
    </row>
    <row r="835" spans="1:23" ht="75">
      <c r="A835" s="1">
        <v>381504</v>
      </c>
      <c r="B835" s="1">
        <v>1</v>
      </c>
      <c r="C835" s="1">
        <v>31</v>
      </c>
      <c r="D835" s="2" t="s">
        <v>1097</v>
      </c>
      <c r="E835" s="11" t="s">
        <v>1097</v>
      </c>
      <c r="F835" s="11">
        <v>14650</v>
      </c>
      <c r="G835" s="2" t="s">
        <v>1494</v>
      </c>
      <c r="H835" s="2" t="s">
        <v>1495</v>
      </c>
      <c r="I835" s="2" t="s">
        <v>1496</v>
      </c>
      <c r="J835" s="2" t="str">
        <f t="shared" si="26"/>
        <v>https://permalinkbnd.bnportugal.gov.pt/viewer/14650/?offset=#page=31&amp;viewer=picture&amp;o=info&amp;n=0&amp;q=</v>
      </c>
      <c r="K835" s="1" t="s">
        <v>1098</v>
      </c>
      <c r="L835" s="1" t="str">
        <f>VLOOKUP(A835,Folha2!$A$2:$B$2019,2,FALSE)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5" s="12" t="str">
        <f t="shared" si="27"/>
        <v>https://permalinkbnd.bnportugal.gov.pt/viewer/14650/?offset=#page=31&amp;viewer=picture&amp;o=info&amp;n=0&amp;q=</v>
      </c>
      <c r="N835" s="12" t="s">
        <v>1497</v>
      </c>
      <c r="O835" s="12" t="str">
        <f>CONCATENATE(N835,A835,"\",B835,"\",C835,".jpg")</f>
        <v>C:\Users\mbaptista\OneDrive - Biblioteca Nacional de Portugal\Documentos\python\camoniana\imagens\capas\381504\1\31.jpg</v>
      </c>
      <c r="P835" s="12" t="str">
        <f>HYPERLINK(O835)</f>
        <v>C:\Users\mbaptista\OneDrive - Biblioteca Nacional de Portugal\Documentos\python\camoniana\imagens\capas\381504\1\31.jpg</v>
      </c>
      <c r="Q835" s="12"/>
      <c r="R835" s="6" t="s">
        <v>1102</v>
      </c>
      <c r="S835" s="4"/>
      <c r="T835" s="1" t="s">
        <v>1099</v>
      </c>
      <c r="U835" s="13"/>
      <c r="V835" s="13"/>
      <c r="W835" s="5" t="s">
        <v>1491</v>
      </c>
    </row>
    <row r="836" spans="1:23" ht="75">
      <c r="A836" s="1">
        <v>381588</v>
      </c>
      <c r="B836" s="1">
        <v>1</v>
      </c>
      <c r="C836" s="1">
        <v>6</v>
      </c>
      <c r="D836" s="2" t="s">
        <v>1103</v>
      </c>
      <c r="E836" s="5" t="s">
        <v>1103</v>
      </c>
      <c r="F836" s="5">
        <v>14604</v>
      </c>
      <c r="G836" s="2" t="s">
        <v>1494</v>
      </c>
      <c r="H836" s="2" t="s">
        <v>1495</v>
      </c>
      <c r="I836" s="2" t="s">
        <v>1496</v>
      </c>
      <c r="J836" s="2" t="str">
        <f t="shared" si="26"/>
        <v>https://permalinkbnd.bnportugal.gov.pt/viewer/14604/?offset=#page=6&amp;viewer=picture&amp;o=info&amp;n=0&amp;q=</v>
      </c>
      <c r="K836" s="1" t="s">
        <v>1104</v>
      </c>
      <c r="L836" s="1" t="str">
        <f>VLOOKUP(A836,Folha2!$A$2:$B$2019,2,FALSE)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6" s="12" t="str">
        <f t="shared" si="27"/>
        <v>https://permalinkbnd.bnportugal.gov.pt/viewer/14604/?offset=#page=6&amp;viewer=picture&amp;o=info&amp;n=0&amp;q=</v>
      </c>
      <c r="N836" s="12" t="s">
        <v>1497</v>
      </c>
      <c r="O836" s="12" t="str">
        <f>CONCATENATE(N836,A836,"\",B836,"\",C836,".jpg")</f>
        <v>C:\Users\mbaptista\OneDrive - Biblioteca Nacional de Portugal\Documentos\python\camoniana\imagens\capas\381588\1\6.jpg</v>
      </c>
      <c r="P836" s="12" t="str">
        <f>HYPERLINK(O836)</f>
        <v>C:\Users\mbaptista\OneDrive - Biblioteca Nacional de Portugal\Documentos\python\camoniana\imagens\capas\381588\1\6.jpg</v>
      </c>
      <c r="Q836" s="12"/>
      <c r="R836" s="6" t="s">
        <v>1106</v>
      </c>
      <c r="S836" s="4"/>
      <c r="T836" s="1" t="s">
        <v>1105</v>
      </c>
      <c r="U836" s="13"/>
      <c r="V836" s="13"/>
      <c r="W836" s="5" t="s">
        <v>1491</v>
      </c>
    </row>
    <row r="837" spans="1:23" ht="75">
      <c r="A837" s="1">
        <v>381588</v>
      </c>
      <c r="B837" s="1">
        <v>1</v>
      </c>
      <c r="C837" s="1">
        <v>35</v>
      </c>
      <c r="D837" s="2" t="s">
        <v>1103</v>
      </c>
      <c r="E837" s="11" t="s">
        <v>1103</v>
      </c>
      <c r="F837" s="11">
        <v>14604</v>
      </c>
      <c r="G837" s="2" t="s">
        <v>1494</v>
      </c>
      <c r="H837" s="2" t="s">
        <v>1495</v>
      </c>
      <c r="I837" s="2" t="s">
        <v>1496</v>
      </c>
      <c r="J837" s="2" t="str">
        <f t="shared" si="26"/>
        <v>https://permalinkbnd.bnportugal.gov.pt/viewer/14604/?offset=#page=35&amp;viewer=picture&amp;o=info&amp;n=0&amp;q=</v>
      </c>
      <c r="K837" s="1" t="s">
        <v>1104</v>
      </c>
      <c r="L837" s="1" t="str">
        <f>VLOOKUP(A837,Folha2!$A$2:$B$2019,2,FALSE)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7" s="12" t="str">
        <f t="shared" si="27"/>
        <v>https://permalinkbnd.bnportugal.gov.pt/viewer/14604/?offset=#page=35&amp;viewer=picture&amp;o=info&amp;n=0&amp;q=</v>
      </c>
      <c r="N837" s="12" t="s">
        <v>1497</v>
      </c>
      <c r="O837" s="12" t="str">
        <f>CONCATENATE(N837,A837,"\",B837,"\",C837,".jpg")</f>
        <v>C:\Users\mbaptista\OneDrive - Biblioteca Nacional de Portugal\Documentos\python\camoniana\imagens\capas\381588\1\35.jpg</v>
      </c>
      <c r="P837" s="12" t="str">
        <f>HYPERLINK(O837)</f>
        <v>C:\Users\mbaptista\OneDrive - Biblioteca Nacional de Portugal\Documentos\python\camoniana\imagens\capas\381588\1\35.jpg</v>
      </c>
      <c r="Q837" s="12"/>
      <c r="R837" s="6" t="s">
        <v>1107</v>
      </c>
      <c r="S837" s="4"/>
      <c r="T837" s="1" t="s">
        <v>1105</v>
      </c>
      <c r="U837" s="13"/>
      <c r="V837" s="13"/>
      <c r="W837" s="5" t="s">
        <v>1491</v>
      </c>
    </row>
    <row r="838" spans="1:23" ht="75">
      <c r="A838" s="1">
        <v>397754</v>
      </c>
      <c r="B838" s="1">
        <v>1</v>
      </c>
      <c r="C838" s="1">
        <v>13</v>
      </c>
      <c r="D838" s="2" t="s">
        <v>1108</v>
      </c>
      <c r="E838" s="5" t="s">
        <v>1108</v>
      </c>
      <c r="F838" s="5">
        <v>278482</v>
      </c>
      <c r="G838" s="2" t="s">
        <v>1494</v>
      </c>
      <c r="H838" s="2" t="s">
        <v>1495</v>
      </c>
      <c r="I838" s="2" t="s">
        <v>1496</v>
      </c>
      <c r="J838" s="2" t="str">
        <f t="shared" si="26"/>
        <v>https://permalinkbnd.bnportugal.gov.pt/viewer/278482/?offset=#page=13&amp;viewer=picture&amp;o=info&amp;n=0&amp;q=</v>
      </c>
      <c r="K838" s="1" t="s">
        <v>1109</v>
      </c>
      <c r="L838" s="1" t="str">
        <f>VLOOKUP(A838,Folha2!$A$2:$B$2019,2,FALSE)</f>
        <v>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v>
      </c>
      <c r="M838" s="12" t="str">
        <f t="shared" si="27"/>
        <v>https://permalinkbnd.bnportugal.gov.pt/viewer/278482/?offset=#page=13&amp;viewer=picture&amp;o=info&amp;n=0&amp;q=</v>
      </c>
      <c r="N838" s="12" t="s">
        <v>1497</v>
      </c>
      <c r="O838" s="12" t="str">
        <f>CONCATENATE(N838,A838,"\",B838,"\",C838,".jpg")</f>
        <v>C:\Users\mbaptista\OneDrive - Biblioteca Nacional de Portugal\Documentos\python\camoniana\imagens\capas\397754\1\13.jpg</v>
      </c>
      <c r="P838" s="12" t="str">
        <f>HYPERLINK(O838)</f>
        <v>C:\Users\mbaptista\OneDrive - Biblioteca Nacional de Portugal\Documentos\python\camoniana\imagens\capas\397754\1\13.jpg</v>
      </c>
      <c r="Q838" s="12"/>
      <c r="R838" s="6" t="s">
        <v>1110</v>
      </c>
      <c r="S838" s="4"/>
      <c r="T838" s="1">
        <v>13</v>
      </c>
      <c r="U838" s="13"/>
      <c r="V838" s="13"/>
      <c r="W838" s="5" t="s">
        <v>1491</v>
      </c>
    </row>
    <row r="839" spans="1:23" ht="75">
      <c r="A839" s="1">
        <v>452326</v>
      </c>
      <c r="B839" s="1">
        <v>1</v>
      </c>
      <c r="C839" s="1">
        <v>12</v>
      </c>
      <c r="D839" s="2" t="s">
        <v>1111</v>
      </c>
      <c r="E839" s="11" t="s">
        <v>1111</v>
      </c>
      <c r="F839" s="11">
        <v>14622</v>
      </c>
      <c r="G839" s="2" t="s">
        <v>1494</v>
      </c>
      <c r="H839" s="2" t="s">
        <v>1495</v>
      </c>
      <c r="I839" s="2" t="s">
        <v>1496</v>
      </c>
      <c r="J839" s="2" t="str">
        <f t="shared" si="26"/>
        <v>https://permalinkbnd.bnportugal.gov.pt/viewer/14622/?offset=#page=12&amp;viewer=picture&amp;o=info&amp;n=0&amp;q=</v>
      </c>
      <c r="K839" s="1" t="s">
        <v>1112</v>
      </c>
      <c r="L839" s="1" t="str">
        <f>VLOOKUP(A839,Folha2!$A$2:$B$2019,2,FALSE)</f>
        <v>Vie de Camoens : le poéte des "Lusiades" et le Portugal de son temps / par Virginia de Castro e Almeida... ; préf. de Pierre de Lamet. - Tours : [s.n.], 1935, com notas finais.</v>
      </c>
      <c r="M839" s="12" t="str">
        <f t="shared" si="27"/>
        <v>https://permalinkbnd.bnportugal.gov.pt/viewer/14622/?offset=#page=12&amp;viewer=picture&amp;o=info&amp;n=0&amp;q=</v>
      </c>
      <c r="N839" s="12" t="s">
        <v>1497</v>
      </c>
      <c r="O839" s="12" t="str">
        <f>CONCATENATE(N839,A839,"\",B839,"\",C839,".jpg")</f>
        <v>C:\Users\mbaptista\OneDrive - Biblioteca Nacional de Portugal\Documentos\python\camoniana\imagens\capas\452326\1\12.jpg</v>
      </c>
      <c r="P839" s="12" t="str">
        <f>HYPERLINK(O839)</f>
        <v>C:\Users\mbaptista\OneDrive - Biblioteca Nacional de Portugal\Documentos\python\camoniana\imagens\capas\452326\1\12.jpg</v>
      </c>
      <c r="Q839" s="12"/>
      <c r="R839" s="6" t="s">
        <v>1114</v>
      </c>
      <c r="S839" s="4"/>
      <c r="T839" s="1" t="s">
        <v>1113</v>
      </c>
      <c r="U839" s="13"/>
      <c r="V839" s="13"/>
      <c r="W839" s="5" t="s">
        <v>1491</v>
      </c>
    </row>
    <row r="840" spans="1:23" ht="75">
      <c r="A840" s="1">
        <v>452326</v>
      </c>
      <c r="B840" s="1">
        <v>1</v>
      </c>
      <c r="C840" s="1">
        <v>21</v>
      </c>
      <c r="D840" s="2" t="s">
        <v>1111</v>
      </c>
      <c r="E840" s="5" t="s">
        <v>1111</v>
      </c>
      <c r="F840" s="5">
        <v>14622</v>
      </c>
      <c r="G840" s="2" t="s">
        <v>1494</v>
      </c>
      <c r="H840" s="2" t="s">
        <v>1495</v>
      </c>
      <c r="I840" s="2" t="s">
        <v>1496</v>
      </c>
      <c r="J840" s="2" t="str">
        <f t="shared" si="26"/>
        <v>https://permalinkbnd.bnportugal.gov.pt/viewer/14622/?offset=#page=21&amp;viewer=picture&amp;o=info&amp;n=0&amp;q=</v>
      </c>
      <c r="K840" s="1" t="s">
        <v>1112</v>
      </c>
      <c r="L840" s="1" t="str">
        <f>VLOOKUP(A840,Folha2!$A$2:$B$2019,2,FALSE)</f>
        <v>Vie de Camoens : le poéte des "Lusiades" et le Portugal de son temps / par Virginia de Castro e Almeida... ; préf. de Pierre de Lamet. - Tours : [s.n.], 1935, com notas finais.</v>
      </c>
      <c r="M840" s="12" t="str">
        <f t="shared" si="27"/>
        <v>https://permalinkbnd.bnportugal.gov.pt/viewer/14622/?offset=#page=21&amp;viewer=picture&amp;o=info&amp;n=0&amp;q=</v>
      </c>
      <c r="N840" s="12" t="s">
        <v>1497</v>
      </c>
      <c r="O840" s="12" t="str">
        <f>CONCATENATE(N840,A840,"\",B840,"\",C840,".jpg")</f>
        <v>C:\Users\mbaptista\OneDrive - Biblioteca Nacional de Portugal\Documentos\python\camoniana\imagens\capas\452326\1\21.jpg</v>
      </c>
      <c r="P840" s="12" t="str">
        <f>HYPERLINK(O840)</f>
        <v>C:\Users\mbaptista\OneDrive - Biblioteca Nacional de Portugal\Documentos\python\camoniana\imagens\capas\452326\1\21.jpg</v>
      </c>
      <c r="Q840" s="12"/>
      <c r="R840" s="6" t="s">
        <v>1115</v>
      </c>
      <c r="S840" s="4"/>
      <c r="T840" s="1" t="s">
        <v>1113</v>
      </c>
      <c r="U840" s="13"/>
      <c r="V840" s="13"/>
      <c r="W840" s="5" t="s">
        <v>1491</v>
      </c>
    </row>
    <row r="841" spans="1:23" ht="75">
      <c r="A841" s="1">
        <v>452326</v>
      </c>
      <c r="B841" s="1">
        <v>1</v>
      </c>
      <c r="C841" s="1">
        <v>108</v>
      </c>
      <c r="D841" s="2" t="s">
        <v>1111</v>
      </c>
      <c r="E841" s="11" t="s">
        <v>1111</v>
      </c>
      <c r="F841" s="11">
        <v>14622</v>
      </c>
      <c r="G841" s="2" t="s">
        <v>1494</v>
      </c>
      <c r="H841" s="2" t="s">
        <v>1495</v>
      </c>
      <c r="I841" s="2" t="s">
        <v>1496</v>
      </c>
      <c r="J841" s="2" t="str">
        <f t="shared" si="26"/>
        <v>https://permalinkbnd.bnportugal.gov.pt/viewer/14622/?offset=#page=108&amp;viewer=picture&amp;o=info&amp;n=0&amp;q=</v>
      </c>
      <c r="K841" s="1" t="s">
        <v>1112</v>
      </c>
      <c r="L841" s="1" t="str">
        <f>VLOOKUP(A841,Folha2!$A$2:$B$2019,2,FALSE)</f>
        <v>Vie de Camoens : le poéte des "Lusiades" et le Portugal de son temps / par Virginia de Castro e Almeida... ; préf. de Pierre de Lamet. - Tours : [s.n.], 1935, com notas finais.</v>
      </c>
      <c r="M841" s="12" t="str">
        <f t="shared" si="27"/>
        <v>https://permalinkbnd.bnportugal.gov.pt/viewer/14622/?offset=#page=108&amp;viewer=picture&amp;o=info&amp;n=0&amp;q=</v>
      </c>
      <c r="N841" s="12" t="s">
        <v>1497</v>
      </c>
      <c r="O841" s="12" t="str">
        <f>CONCATENATE(N841,A841,"\",B841,"\",C841,".jpg")</f>
        <v>C:\Users\mbaptista\OneDrive - Biblioteca Nacional de Portugal\Documentos\python\camoniana\imagens\capas\452326\1\108.jpg</v>
      </c>
      <c r="P841" s="12" t="str">
        <f>HYPERLINK(O841)</f>
        <v>C:\Users\mbaptista\OneDrive - Biblioteca Nacional de Portugal\Documentos\python\camoniana\imagens\capas\452326\1\108.jpg</v>
      </c>
      <c r="Q841" s="12"/>
      <c r="R841" s="6" t="s">
        <v>1116</v>
      </c>
      <c r="S841" s="4"/>
      <c r="T841" s="1" t="s">
        <v>1113</v>
      </c>
      <c r="U841" s="13"/>
      <c r="V841" s="13"/>
      <c r="W841" s="5" t="s">
        <v>1491</v>
      </c>
    </row>
    <row r="842" spans="1:23" ht="75">
      <c r="A842" s="1">
        <v>452326</v>
      </c>
      <c r="B842" s="1">
        <v>1</v>
      </c>
      <c r="C842" s="1">
        <v>125</v>
      </c>
      <c r="D842" s="2" t="s">
        <v>1111</v>
      </c>
      <c r="E842" s="5" t="s">
        <v>1111</v>
      </c>
      <c r="F842" s="5">
        <v>14622</v>
      </c>
      <c r="G842" s="2" t="s">
        <v>1494</v>
      </c>
      <c r="H842" s="2" t="s">
        <v>1495</v>
      </c>
      <c r="I842" s="2" t="s">
        <v>1496</v>
      </c>
      <c r="J842" s="2" t="str">
        <f t="shared" si="26"/>
        <v>https://permalinkbnd.bnportugal.gov.pt/viewer/14622/?offset=#page=125&amp;viewer=picture&amp;o=info&amp;n=0&amp;q=</v>
      </c>
      <c r="K842" s="1" t="s">
        <v>1112</v>
      </c>
      <c r="L842" s="1" t="str">
        <f>VLOOKUP(A842,Folha2!$A$2:$B$2019,2,FALSE)</f>
        <v>Vie de Camoens : le poéte des "Lusiades" et le Portugal de son temps / par Virginia de Castro e Almeida... ; préf. de Pierre de Lamet. - Tours : [s.n.], 1935, com notas finais.</v>
      </c>
      <c r="M842" s="12" t="str">
        <f t="shared" si="27"/>
        <v>https://permalinkbnd.bnportugal.gov.pt/viewer/14622/?offset=#page=125&amp;viewer=picture&amp;o=info&amp;n=0&amp;q=</v>
      </c>
      <c r="N842" s="12" t="s">
        <v>1497</v>
      </c>
      <c r="O842" s="12" t="str">
        <f>CONCATENATE(N842,A842,"\",B842,"\",C842,".jpg")</f>
        <v>C:\Users\mbaptista\OneDrive - Biblioteca Nacional de Portugal\Documentos\python\camoniana\imagens\capas\452326\1\125.jpg</v>
      </c>
      <c r="P842" s="12" t="str">
        <f>HYPERLINK(O842)</f>
        <v>C:\Users\mbaptista\OneDrive - Biblioteca Nacional de Portugal\Documentos\python\camoniana\imagens\capas\452326\1\125.jpg</v>
      </c>
      <c r="Q842" s="12"/>
      <c r="R842" s="6" t="s">
        <v>1117</v>
      </c>
      <c r="S842" s="4"/>
      <c r="T842" s="1" t="s">
        <v>1113</v>
      </c>
      <c r="U842" s="13"/>
      <c r="V842" s="13"/>
      <c r="W842" s="5" t="s">
        <v>1491</v>
      </c>
    </row>
    <row r="843" spans="1:23" ht="75">
      <c r="A843" s="1">
        <v>452510</v>
      </c>
      <c r="B843" s="1">
        <v>1</v>
      </c>
      <c r="C843" s="1">
        <v>6</v>
      </c>
      <c r="D843" s="2" t="s">
        <v>1118</v>
      </c>
      <c r="E843" s="11" t="s">
        <v>1118</v>
      </c>
      <c r="F843" s="11">
        <v>86723</v>
      </c>
      <c r="G843" s="2" t="s">
        <v>1494</v>
      </c>
      <c r="H843" s="2" t="s">
        <v>1495</v>
      </c>
      <c r="I843" s="2" t="s">
        <v>1496</v>
      </c>
      <c r="J843" s="2" t="str">
        <f t="shared" si="26"/>
        <v>https://permalinkbnd.bnportugal.gov.pt/viewer/86723/?offset=#page=6&amp;viewer=picture&amp;o=info&amp;n=0&amp;q=</v>
      </c>
      <c r="K843" s="1" t="s">
        <v>1119</v>
      </c>
      <c r="L843" s="1" t="str">
        <f>VLOOKUP(A843,Folha2!$A$2:$B$2019,2,FALSE)</f>
        <v>As traduções italianas dos "Lusiadas" / Joaquim de Araújo. - Livorno : Tip. Raffaello Giusti, 1897.</v>
      </c>
      <c r="M843" s="12" t="str">
        <f t="shared" si="27"/>
        <v>https://permalinkbnd.bnportugal.gov.pt/viewer/86723/?offset=#page=6&amp;viewer=picture&amp;o=info&amp;n=0&amp;q=</v>
      </c>
      <c r="N843" s="12" t="s">
        <v>1497</v>
      </c>
      <c r="O843" s="12" t="str">
        <f>CONCATENATE(N843,A843,"\",B843,"\",C843,".jpg")</f>
        <v>C:\Users\mbaptista\OneDrive - Biblioteca Nacional de Portugal\Documentos\python\camoniana\imagens\capas\452510\1\6.jpg</v>
      </c>
      <c r="P843" s="12" t="str">
        <f>HYPERLINK(O843)</f>
        <v>C:\Users\mbaptista\OneDrive - Biblioteca Nacional de Portugal\Documentos\python\camoniana\imagens\capas\452510\1\6.jpg</v>
      </c>
      <c r="Q843" s="12"/>
      <c r="R843" s="6" t="s">
        <v>1121</v>
      </c>
      <c r="S843" s="4"/>
      <c r="T843" s="1" t="s">
        <v>1120</v>
      </c>
      <c r="U843" s="13"/>
      <c r="V843" s="13"/>
      <c r="W843" s="5" t="s">
        <v>1491</v>
      </c>
    </row>
    <row r="844" spans="1:23" ht="75">
      <c r="A844" s="1">
        <v>452510</v>
      </c>
      <c r="B844" s="1">
        <v>1</v>
      </c>
      <c r="C844" s="1">
        <v>11</v>
      </c>
      <c r="D844" s="2" t="s">
        <v>1118</v>
      </c>
      <c r="E844" s="5" t="s">
        <v>1118</v>
      </c>
      <c r="F844" s="5">
        <v>86723</v>
      </c>
      <c r="G844" s="2" t="s">
        <v>1494</v>
      </c>
      <c r="H844" s="2" t="s">
        <v>1495</v>
      </c>
      <c r="I844" s="2" t="s">
        <v>1496</v>
      </c>
      <c r="J844" s="2" t="str">
        <f t="shared" si="26"/>
        <v>https://permalinkbnd.bnportugal.gov.pt/viewer/86723/?offset=#page=11&amp;viewer=picture&amp;o=info&amp;n=0&amp;q=</v>
      </c>
      <c r="K844" s="1" t="s">
        <v>1119</v>
      </c>
      <c r="L844" s="1" t="str">
        <f>VLOOKUP(A844,Folha2!$A$2:$B$2019,2,FALSE)</f>
        <v>As traduções italianas dos "Lusiadas" / Joaquim de Araújo. - Livorno : Tip. Raffaello Giusti, 1897.</v>
      </c>
      <c r="M844" s="12" t="str">
        <f t="shared" si="27"/>
        <v>https://permalinkbnd.bnportugal.gov.pt/viewer/86723/?offset=#page=11&amp;viewer=picture&amp;o=info&amp;n=0&amp;q=</v>
      </c>
      <c r="N844" s="12" t="s">
        <v>1497</v>
      </c>
      <c r="O844" s="12" t="str">
        <f>CONCATENATE(N844,A844,"\",B844,"\",C844,".jpg")</f>
        <v>C:\Users\mbaptista\OneDrive - Biblioteca Nacional de Portugal\Documentos\python\camoniana\imagens\capas\452510\1\11.jpg</v>
      </c>
      <c r="P844" s="12" t="str">
        <f>HYPERLINK(O844)</f>
        <v>C:\Users\mbaptista\OneDrive - Biblioteca Nacional de Portugal\Documentos\python\camoniana\imagens\capas\452510\1\11.jpg</v>
      </c>
      <c r="Q844" s="12"/>
      <c r="R844" s="6" t="s">
        <v>1122</v>
      </c>
      <c r="S844" s="4"/>
      <c r="T844" s="1" t="s">
        <v>1120</v>
      </c>
      <c r="U844" s="13"/>
      <c r="V844" s="13"/>
      <c r="W844" s="5" t="s">
        <v>1491</v>
      </c>
    </row>
    <row r="845" spans="1:23" ht="75">
      <c r="A845" s="1">
        <v>464971</v>
      </c>
      <c r="B845" s="1">
        <v>1</v>
      </c>
      <c r="C845" s="1">
        <v>17</v>
      </c>
      <c r="D845" s="2" t="s">
        <v>1123</v>
      </c>
      <c r="E845" s="11" t="s">
        <v>1123</v>
      </c>
      <c r="F845" s="11">
        <v>278583</v>
      </c>
      <c r="G845" s="2" t="s">
        <v>1494</v>
      </c>
      <c r="H845" s="2" t="s">
        <v>1495</v>
      </c>
      <c r="I845" s="2" t="s">
        <v>1496</v>
      </c>
      <c r="J845" s="2" t="str">
        <f t="shared" si="26"/>
        <v>https://permalinkbnd.bnportugal.gov.pt/viewer/278583/?offset=#page=17&amp;viewer=picture&amp;o=info&amp;n=0&amp;q=</v>
      </c>
      <c r="K845" s="1" t="s">
        <v>1124</v>
      </c>
      <c r="L845" s="1" t="str">
        <f>VLOOKUP(A845,Folha2!$A$2:$B$2019,2,FALSE)</f>
        <v>Lusiadas de Luis de Camões. Canto terceiro. - [Lisboa : s.n., 1880?]. A inserir Obra, fragmentos, épica, paratextos gerais: fica em paratextos gerais épica, outros.</v>
      </c>
      <c r="M845" s="12" t="str">
        <f t="shared" si="27"/>
        <v>https://permalinkbnd.bnportugal.gov.pt/viewer/278583/?offset=#page=17&amp;viewer=picture&amp;o=info&amp;n=0&amp;q=</v>
      </c>
      <c r="N845" s="12" t="s">
        <v>1497</v>
      </c>
      <c r="O845" s="12" t="str">
        <f>CONCATENATE(N845,A845,"\",B845,"\",C845,".jpg")</f>
        <v>C:\Users\mbaptista\OneDrive - Biblioteca Nacional de Portugal\Documentos\python\camoniana\imagens\capas\464971\1\17.jpg</v>
      </c>
      <c r="P845" s="12" t="str">
        <f>HYPERLINK(O845)</f>
        <v>C:\Users\mbaptista\OneDrive - Biblioteca Nacional de Portugal\Documentos\python\camoniana\imagens\capas\464971\1\17.jpg</v>
      </c>
      <c r="Q845" s="12"/>
      <c r="R845" s="6" t="s">
        <v>1125</v>
      </c>
      <c r="S845" s="4"/>
      <c r="T845" s="1">
        <v>17</v>
      </c>
      <c r="U845" s="13"/>
      <c r="V845" s="13"/>
      <c r="W845" s="5" t="s">
        <v>1491</v>
      </c>
    </row>
    <row r="846" spans="1:23" ht="75">
      <c r="A846" s="1">
        <v>465618</v>
      </c>
      <c r="B846" s="1">
        <v>1</v>
      </c>
      <c r="C846" s="1">
        <v>8</v>
      </c>
      <c r="D846" s="2" t="s">
        <v>1126</v>
      </c>
      <c r="E846" s="5" t="s">
        <v>1126</v>
      </c>
      <c r="F846" s="5">
        <v>274032</v>
      </c>
      <c r="G846" s="2" t="s">
        <v>1494</v>
      </c>
      <c r="H846" s="2" t="s">
        <v>1495</v>
      </c>
      <c r="I846" s="2" t="s">
        <v>1496</v>
      </c>
      <c r="J846" s="2" t="str">
        <f t="shared" si="26"/>
        <v>https://permalinkbnd.bnportugal.gov.pt/viewer/274032/?offset=#page=8&amp;viewer=picture&amp;o=info&amp;n=0&amp;q=</v>
      </c>
      <c r="K846" s="1" t="s">
        <v>1127</v>
      </c>
      <c r="L846" s="1" t="str">
        <f>VLOOKUP(A846,Folha2!$A$2:$B$2019,2,FALSE)</f>
        <v>G. de la Landelle. A velhice de Camões. Trad. e ed. de J. L. Rodrigues Trigueiros. Lisboa. 1860. A inserir Celebrações (1860), recepção criativa, tematização e vida</v>
      </c>
      <c r="M846" s="12" t="str">
        <f t="shared" si="27"/>
        <v>https://permalinkbnd.bnportugal.gov.pt/viewer/274032/?offset=#page=8&amp;viewer=picture&amp;o=info&amp;n=0&amp;q=</v>
      </c>
      <c r="N846" s="12" t="s">
        <v>1497</v>
      </c>
      <c r="O846" s="12" t="str">
        <f>CONCATENATE(N846,A846,"\",B846,"\",C846,".jpg")</f>
        <v>C:\Users\mbaptista\OneDrive - Biblioteca Nacional de Portugal\Documentos\python\camoniana\imagens\capas\465618\1\8.jpg</v>
      </c>
      <c r="P846" s="12" t="str">
        <f>HYPERLINK(O846)</f>
        <v>C:\Users\mbaptista\OneDrive - Biblioteca Nacional de Portugal\Documentos\python\camoniana\imagens\capas\465618\1\8.jpg</v>
      </c>
      <c r="Q846" s="12"/>
      <c r="R846" s="6" t="s">
        <v>1129</v>
      </c>
      <c r="S846" s="4"/>
      <c r="T846" s="1" t="s">
        <v>1128</v>
      </c>
      <c r="U846" s="13"/>
      <c r="V846" s="13"/>
      <c r="W846" s="5" t="s">
        <v>1491</v>
      </c>
    </row>
    <row r="847" spans="1:23" ht="75">
      <c r="A847" s="1">
        <v>465618</v>
      </c>
      <c r="B847" s="1">
        <v>1</v>
      </c>
      <c r="C847" s="1">
        <v>55</v>
      </c>
      <c r="D847" s="2" t="s">
        <v>1126</v>
      </c>
      <c r="E847" s="11" t="s">
        <v>1126</v>
      </c>
      <c r="F847" s="11">
        <v>274032</v>
      </c>
      <c r="G847" s="2" t="s">
        <v>1494</v>
      </c>
      <c r="H847" s="2" t="s">
        <v>1495</v>
      </c>
      <c r="I847" s="2" t="s">
        <v>1496</v>
      </c>
      <c r="J847" s="2" t="str">
        <f t="shared" si="26"/>
        <v>https://permalinkbnd.bnportugal.gov.pt/viewer/274032/?offset=#page=55&amp;viewer=picture&amp;o=info&amp;n=0&amp;q=</v>
      </c>
      <c r="K847" s="1" t="s">
        <v>1127</v>
      </c>
      <c r="L847" s="1" t="str">
        <f>VLOOKUP(A847,Folha2!$A$2:$B$2019,2,FALSE)</f>
        <v>G. de la Landelle. A velhice de Camões. Trad. e ed. de J. L. Rodrigues Trigueiros. Lisboa. 1860. A inserir Celebrações (1860), recepção criativa, tematização e vida</v>
      </c>
      <c r="M847" s="12" t="str">
        <f t="shared" si="27"/>
        <v>https://permalinkbnd.bnportugal.gov.pt/viewer/274032/?offset=#page=55&amp;viewer=picture&amp;o=info&amp;n=0&amp;q=</v>
      </c>
      <c r="N847" s="12" t="s">
        <v>1497</v>
      </c>
      <c r="O847" s="12" t="str">
        <f>CONCATENATE(N847,A847,"\",B847,"\",C847,".jpg")</f>
        <v>C:\Users\mbaptista\OneDrive - Biblioteca Nacional de Portugal\Documentos\python\camoniana\imagens\capas\465618\1\55.jpg</v>
      </c>
      <c r="P847" s="12" t="str">
        <f>HYPERLINK(O847)</f>
        <v>C:\Users\mbaptista\OneDrive - Biblioteca Nacional de Portugal\Documentos\python\camoniana\imagens\capas\465618\1\55.jpg</v>
      </c>
      <c r="Q847" s="12"/>
      <c r="R847" s="6" t="s">
        <v>1130</v>
      </c>
      <c r="S847" s="4"/>
      <c r="T847" s="1" t="s">
        <v>1128</v>
      </c>
      <c r="U847" s="13"/>
      <c r="V847" s="13"/>
      <c r="W847" s="5" t="s">
        <v>1491</v>
      </c>
    </row>
    <row r="848" spans="1:23" ht="75">
      <c r="A848" s="1">
        <v>465618</v>
      </c>
      <c r="B848" s="1">
        <v>1</v>
      </c>
      <c r="C848" s="1">
        <v>81</v>
      </c>
      <c r="D848" s="2" t="s">
        <v>1126</v>
      </c>
      <c r="E848" s="5" t="s">
        <v>1126</v>
      </c>
      <c r="F848" s="5">
        <v>274032</v>
      </c>
      <c r="G848" s="2" t="s">
        <v>1494</v>
      </c>
      <c r="H848" s="2" t="s">
        <v>1495</v>
      </c>
      <c r="I848" s="2" t="s">
        <v>1496</v>
      </c>
      <c r="J848" s="2" t="str">
        <f t="shared" si="26"/>
        <v>https://permalinkbnd.bnportugal.gov.pt/viewer/274032/?offset=#page=81&amp;viewer=picture&amp;o=info&amp;n=0&amp;q=</v>
      </c>
      <c r="K848" s="1" t="s">
        <v>1127</v>
      </c>
      <c r="L848" s="1" t="str">
        <f>VLOOKUP(A848,Folha2!$A$2:$B$2019,2,FALSE)</f>
        <v>G. de la Landelle. A velhice de Camões. Trad. e ed. de J. L. Rodrigues Trigueiros. Lisboa. 1860. A inserir Celebrações (1860), recepção criativa, tematização e vida</v>
      </c>
      <c r="M848" s="12" t="str">
        <f t="shared" si="27"/>
        <v>https://permalinkbnd.bnportugal.gov.pt/viewer/274032/?offset=#page=81&amp;viewer=picture&amp;o=info&amp;n=0&amp;q=</v>
      </c>
      <c r="N848" s="12" t="s">
        <v>1497</v>
      </c>
      <c r="O848" s="12" t="str">
        <f>CONCATENATE(N848,A848,"\",B848,"\",C848,".jpg")</f>
        <v>C:\Users\mbaptista\OneDrive - Biblioteca Nacional de Portugal\Documentos\python\camoniana\imagens\capas\465618\1\81.jpg</v>
      </c>
      <c r="P848" s="12" t="str">
        <f>HYPERLINK(O848)</f>
        <v>C:\Users\mbaptista\OneDrive - Biblioteca Nacional de Portugal\Documentos\python\camoniana\imagens\capas\465618\1\81.jpg</v>
      </c>
      <c r="Q848" s="12"/>
      <c r="R848" s="6" t="s">
        <v>1131</v>
      </c>
      <c r="S848" s="4"/>
      <c r="T848" s="1" t="s">
        <v>1128</v>
      </c>
      <c r="U848" s="13"/>
      <c r="V848" s="13"/>
      <c r="W848" s="5" t="s">
        <v>1491</v>
      </c>
    </row>
    <row r="849" spans="1:23" ht="75">
      <c r="A849" s="1">
        <v>465618</v>
      </c>
      <c r="B849" s="1">
        <v>1</v>
      </c>
      <c r="C849" s="1">
        <v>198</v>
      </c>
      <c r="D849" s="2" t="s">
        <v>1126</v>
      </c>
      <c r="E849" s="11" t="s">
        <v>1126</v>
      </c>
      <c r="F849" s="11">
        <v>274032</v>
      </c>
      <c r="G849" s="2" t="s">
        <v>1494</v>
      </c>
      <c r="H849" s="2" t="s">
        <v>1495</v>
      </c>
      <c r="I849" s="2" t="s">
        <v>1496</v>
      </c>
      <c r="J849" s="2" t="str">
        <f t="shared" si="26"/>
        <v>https://permalinkbnd.bnportugal.gov.pt/viewer/274032/?offset=#page=198&amp;viewer=picture&amp;o=info&amp;n=0&amp;q=</v>
      </c>
      <c r="K849" s="1" t="s">
        <v>1127</v>
      </c>
      <c r="L849" s="1" t="str">
        <f>VLOOKUP(A849,Folha2!$A$2:$B$2019,2,FALSE)</f>
        <v>G. de la Landelle. A velhice de Camões. Trad. e ed. de J. L. Rodrigues Trigueiros. Lisboa. 1860. A inserir Celebrações (1860), recepção criativa, tematização e vida</v>
      </c>
      <c r="M849" s="12" t="str">
        <f t="shared" si="27"/>
        <v>https://permalinkbnd.bnportugal.gov.pt/viewer/274032/?offset=#page=198&amp;viewer=picture&amp;o=info&amp;n=0&amp;q=</v>
      </c>
      <c r="N849" s="12" t="s">
        <v>1497</v>
      </c>
      <c r="O849" s="12" t="str">
        <f>CONCATENATE(N849,A849,"\",B849,"\",C849,".jpg")</f>
        <v>C:\Users\mbaptista\OneDrive - Biblioteca Nacional de Portugal\Documentos\python\camoniana\imagens\capas\465618\1\198.jpg</v>
      </c>
      <c r="P849" s="12" t="str">
        <f>HYPERLINK(O849)</f>
        <v>C:\Users\mbaptista\OneDrive - Biblioteca Nacional de Portugal\Documentos\python\camoniana\imagens\capas\465618\1\198.jpg</v>
      </c>
      <c r="Q849" s="12"/>
      <c r="R849" s="6" t="s">
        <v>1132</v>
      </c>
      <c r="S849" s="4"/>
      <c r="T849" s="1" t="s">
        <v>1128</v>
      </c>
      <c r="U849" s="13"/>
      <c r="V849" s="13"/>
      <c r="W849" s="5" t="s">
        <v>1491</v>
      </c>
    </row>
    <row r="850" spans="1:23" ht="75">
      <c r="A850" s="1">
        <v>465618</v>
      </c>
      <c r="B850" s="1">
        <v>1</v>
      </c>
      <c r="C850" s="1">
        <v>307</v>
      </c>
      <c r="D850" s="2" t="s">
        <v>1126</v>
      </c>
      <c r="E850" s="5" t="s">
        <v>1126</v>
      </c>
      <c r="F850" s="5">
        <v>274032</v>
      </c>
      <c r="G850" s="2" t="s">
        <v>1494</v>
      </c>
      <c r="H850" s="2" t="s">
        <v>1495</v>
      </c>
      <c r="I850" s="2" t="s">
        <v>1496</v>
      </c>
      <c r="J850" s="2" t="str">
        <f t="shared" si="26"/>
        <v>https://permalinkbnd.bnportugal.gov.pt/viewer/274032/?offset=#page=307&amp;viewer=picture&amp;o=info&amp;n=0&amp;q=</v>
      </c>
      <c r="K850" s="1" t="s">
        <v>1127</v>
      </c>
      <c r="L850" s="1" t="str">
        <f>VLOOKUP(A850,Folha2!$A$2:$B$2019,2,FALSE)</f>
        <v>G. de la Landelle. A velhice de Camões. Trad. e ed. de J. L. Rodrigues Trigueiros. Lisboa. 1860. A inserir Celebrações (1860), recepção criativa, tematização e vida</v>
      </c>
      <c r="M850" s="12" t="str">
        <f t="shared" si="27"/>
        <v>https://permalinkbnd.bnportugal.gov.pt/viewer/274032/?offset=#page=307&amp;viewer=picture&amp;o=info&amp;n=0&amp;q=</v>
      </c>
      <c r="N850" s="12" t="s">
        <v>1497</v>
      </c>
      <c r="O850" s="12" t="str">
        <f>CONCATENATE(N850,A850,"\",B850,"\",C850,".jpg")</f>
        <v>C:\Users\mbaptista\OneDrive - Biblioteca Nacional de Portugal\Documentos\python\camoniana\imagens\capas\465618\1\307.jpg</v>
      </c>
      <c r="P850" s="12" t="str">
        <f>HYPERLINK(O850)</f>
        <v>C:\Users\mbaptista\OneDrive - Biblioteca Nacional de Portugal\Documentos\python\camoniana\imagens\capas\465618\1\307.jpg</v>
      </c>
      <c r="Q850" s="12"/>
      <c r="R850" s="6" t="s">
        <v>1133</v>
      </c>
      <c r="S850" s="4"/>
      <c r="T850" s="1" t="s">
        <v>1128</v>
      </c>
      <c r="U850" s="13"/>
      <c r="V850" s="13"/>
      <c r="W850" s="5" t="s">
        <v>1491</v>
      </c>
    </row>
    <row r="851" spans="1:23" ht="75">
      <c r="A851" s="1">
        <v>465618</v>
      </c>
      <c r="B851" s="1">
        <v>1</v>
      </c>
      <c r="C851" s="1">
        <v>369</v>
      </c>
      <c r="D851" s="2" t="s">
        <v>1126</v>
      </c>
      <c r="E851" s="11" t="s">
        <v>1126</v>
      </c>
      <c r="F851" s="11">
        <v>274032</v>
      </c>
      <c r="G851" s="2" t="s">
        <v>1494</v>
      </c>
      <c r="H851" s="2" t="s">
        <v>1495</v>
      </c>
      <c r="I851" s="2" t="s">
        <v>1496</v>
      </c>
      <c r="J851" s="2" t="str">
        <f t="shared" si="26"/>
        <v>https://permalinkbnd.bnportugal.gov.pt/viewer/274032/?offset=#page=369&amp;viewer=picture&amp;o=info&amp;n=0&amp;q=</v>
      </c>
      <c r="K851" s="1" t="s">
        <v>1127</v>
      </c>
      <c r="L851" s="1" t="str">
        <f>VLOOKUP(A851,Folha2!$A$2:$B$2019,2,FALSE)</f>
        <v>G. de la Landelle. A velhice de Camões. Trad. e ed. de J. L. Rodrigues Trigueiros. Lisboa. 1860. A inserir Celebrações (1860), recepção criativa, tematização e vida</v>
      </c>
      <c r="M851" s="12" t="str">
        <f t="shared" si="27"/>
        <v>https://permalinkbnd.bnportugal.gov.pt/viewer/274032/?offset=#page=369&amp;viewer=picture&amp;o=info&amp;n=0&amp;q=</v>
      </c>
      <c r="N851" s="12" t="s">
        <v>1497</v>
      </c>
      <c r="O851" s="12" t="str">
        <f>CONCATENATE(N851,A851,"\",B851,"\",C851,".jpg")</f>
        <v>C:\Users\mbaptista\OneDrive - Biblioteca Nacional de Portugal\Documentos\python\camoniana\imagens\capas\465618\1\369.jpg</v>
      </c>
      <c r="P851" s="12" t="str">
        <f>HYPERLINK(O851)</f>
        <v>C:\Users\mbaptista\OneDrive - Biblioteca Nacional de Portugal\Documentos\python\camoniana\imagens\capas\465618\1\369.jpg</v>
      </c>
      <c r="Q851" s="12"/>
      <c r="R851" s="6" t="s">
        <v>1134</v>
      </c>
      <c r="S851" s="4"/>
      <c r="T851" s="1" t="s">
        <v>1128</v>
      </c>
      <c r="U851" s="13"/>
      <c r="V851" s="13"/>
      <c r="W851" s="5" t="s">
        <v>1491</v>
      </c>
    </row>
    <row r="852" spans="1:23" ht="75">
      <c r="A852" s="1">
        <v>478277</v>
      </c>
      <c r="B852" s="1">
        <v>1</v>
      </c>
      <c r="C852" s="1">
        <v>1</v>
      </c>
      <c r="D852" s="2" t="s">
        <v>1135</v>
      </c>
      <c r="E852" s="5" t="s">
        <v>1135</v>
      </c>
      <c r="F852" s="5">
        <v>6839</v>
      </c>
      <c r="G852" s="2" t="s">
        <v>1494</v>
      </c>
      <c r="H852" s="2" t="s">
        <v>1495</v>
      </c>
      <c r="I852" s="2" t="s">
        <v>1496</v>
      </c>
      <c r="J852" s="2" t="str">
        <f t="shared" si="26"/>
        <v>https://permalinkbnd.bnportugal.gov.pt/viewer/6839/?offset=#page=1&amp;viewer=picture&amp;o=info&amp;n=0&amp;q=</v>
      </c>
      <c r="K852" s="1" t="s">
        <v>1136</v>
      </c>
      <c r="L852" s="1" t="str">
        <f>VLOOKUP(A852,Folha2!$A$2:$B$2019,2,FALSE)</f>
        <v>Portugal a Camões : publicação extraordinaria do jornal de viagens commemorando o tricentenario do cantor dos Lusiadas / dir. Emygdio dªOliveira, D. Benigno Joaquim Martinez. - 10 Jun. 1880. - Porto : Impr. Int. de Ferreira de Brito &amp; A. Monteiro, 1880</v>
      </c>
      <c r="M852" s="12" t="str">
        <f t="shared" si="27"/>
        <v>https://permalinkbnd.bnportugal.gov.pt/viewer/6839/?offset=#page=1&amp;viewer=picture&amp;o=info&amp;n=0&amp;q=</v>
      </c>
      <c r="N852" s="12" t="s">
        <v>1497</v>
      </c>
      <c r="O852" s="12" t="str">
        <f>CONCATENATE(N852,A852,"\",B852,"\",C852,".jpg")</f>
        <v>C:\Users\mbaptista\OneDrive - Biblioteca Nacional de Portugal\Documentos\python\camoniana\imagens\capas\478277\1\1.jpg</v>
      </c>
      <c r="P852" s="12" t="str">
        <f>HYPERLINK(O852)</f>
        <v>C:\Users\mbaptista\OneDrive - Biblioteca Nacional de Portugal\Documentos\python\camoniana\imagens\capas\478277\1\1.jpg</v>
      </c>
      <c r="Q852" s="12"/>
      <c r="R852" s="6" t="s">
        <v>1138</v>
      </c>
      <c r="S852" s="4"/>
      <c r="T852" s="1" t="s">
        <v>1137</v>
      </c>
      <c r="U852" s="13"/>
      <c r="V852" s="13"/>
      <c r="W852" s="5" t="s">
        <v>1491</v>
      </c>
    </row>
    <row r="853" spans="1:23" ht="75">
      <c r="A853" s="1">
        <v>478277</v>
      </c>
      <c r="B853" s="1">
        <v>1</v>
      </c>
      <c r="C853" s="1">
        <v>6</v>
      </c>
      <c r="D853" s="2" t="s">
        <v>1135</v>
      </c>
      <c r="E853" s="11" t="s">
        <v>1135</v>
      </c>
      <c r="F853" s="11">
        <v>6839</v>
      </c>
      <c r="G853" s="2" t="s">
        <v>1494</v>
      </c>
      <c r="H853" s="2" t="s">
        <v>1495</v>
      </c>
      <c r="I853" s="2" t="s">
        <v>1496</v>
      </c>
      <c r="J853" s="2" t="str">
        <f t="shared" si="26"/>
        <v>https://permalinkbnd.bnportugal.gov.pt/viewer/6839/?offset=#page=6&amp;viewer=picture&amp;o=info&amp;n=0&amp;q=</v>
      </c>
      <c r="K853" s="1" t="s">
        <v>1136</v>
      </c>
      <c r="L853" s="1" t="str">
        <f>VLOOKUP(A853,Folha2!$A$2:$B$2019,2,FALSE)</f>
        <v>Portugal a Camões : publicação extraordinaria do jornal de viagens commemorando o tricentenario do cantor dos Lusiadas / dir. Emygdio dªOliveira, D. Benigno Joaquim Martinez. - 10 Jun. 1880. - Porto : Impr. Int. de Ferreira de Brito &amp; A. Monteiro, 1880</v>
      </c>
      <c r="M853" s="12" t="str">
        <f t="shared" si="27"/>
        <v>https://permalinkbnd.bnportugal.gov.pt/viewer/6839/?offset=#page=6&amp;viewer=picture&amp;o=info&amp;n=0&amp;q=</v>
      </c>
      <c r="N853" s="12" t="s">
        <v>1497</v>
      </c>
      <c r="O853" s="12" t="str">
        <f>CONCATENATE(N853,A853,"\",B853,"\",C853,".jpg")</f>
        <v>C:\Users\mbaptista\OneDrive - Biblioteca Nacional de Portugal\Documentos\python\camoniana\imagens\capas\478277\1\6.jpg</v>
      </c>
      <c r="P853" s="12" t="str">
        <f>HYPERLINK(O853)</f>
        <v>C:\Users\mbaptista\OneDrive - Biblioteca Nacional de Portugal\Documentos\python\camoniana\imagens\capas\478277\1\6.jpg</v>
      </c>
      <c r="Q853" s="12"/>
      <c r="R853" s="6"/>
      <c r="S853" s="4"/>
      <c r="T853" s="1"/>
      <c r="U853" s="13"/>
      <c r="V853" s="13"/>
      <c r="W853" s="5"/>
    </row>
    <row r="854" spans="1:23" ht="75">
      <c r="A854" s="1">
        <v>478277</v>
      </c>
      <c r="B854" s="1">
        <v>1</v>
      </c>
      <c r="C854" s="1">
        <v>7</v>
      </c>
      <c r="D854" s="2" t="s">
        <v>1135</v>
      </c>
      <c r="E854" s="5" t="s">
        <v>1135</v>
      </c>
      <c r="F854" s="5">
        <v>6839</v>
      </c>
      <c r="G854" s="2" t="s">
        <v>1494</v>
      </c>
      <c r="H854" s="2" t="s">
        <v>1495</v>
      </c>
      <c r="I854" s="2" t="s">
        <v>1496</v>
      </c>
      <c r="J854" s="2" t="str">
        <f t="shared" si="26"/>
        <v>https://permalinkbnd.bnportugal.gov.pt/viewer/6839/?offset=#page=7&amp;viewer=picture&amp;o=info&amp;n=0&amp;q=</v>
      </c>
      <c r="K854" s="1" t="s">
        <v>1136</v>
      </c>
      <c r="L854" s="1" t="str">
        <f>VLOOKUP(A854,Folha2!$A$2:$B$2019,2,FALSE)</f>
        <v>Portugal a Camões : publicação extraordinaria do jornal de viagens commemorando o tricentenario do cantor dos Lusiadas / dir. Emygdio dªOliveira, D. Benigno Joaquim Martinez. - 10 Jun. 1880. - Porto : Impr. Int. de Ferreira de Brito &amp; A. Monteiro, 1880</v>
      </c>
      <c r="M854" s="12" t="str">
        <f t="shared" si="27"/>
        <v>https://permalinkbnd.bnportugal.gov.pt/viewer/6839/?offset=#page=7&amp;viewer=picture&amp;o=info&amp;n=0&amp;q=</v>
      </c>
      <c r="N854" s="12" t="s">
        <v>1497</v>
      </c>
      <c r="O854" s="12" t="str">
        <f>CONCATENATE(N854,A854,"\",B854,"\",C854,".jpg")</f>
        <v>C:\Users\mbaptista\OneDrive - Biblioteca Nacional de Portugal\Documentos\python\camoniana\imagens\capas\478277\1\7.jpg</v>
      </c>
      <c r="P854" s="12" t="str">
        <f>HYPERLINK(O854)</f>
        <v>C:\Users\mbaptista\OneDrive - Biblioteca Nacional de Portugal\Documentos\python\camoniana\imagens\capas\478277\1\7.jpg</v>
      </c>
      <c r="Q854" s="12"/>
      <c r="R854" s="6"/>
      <c r="S854" s="4"/>
      <c r="T854" s="1"/>
      <c r="U854" s="13"/>
      <c r="V854" s="13"/>
      <c r="W854" s="5"/>
    </row>
    <row r="855" spans="1:23" ht="75">
      <c r="A855" s="1">
        <v>478277</v>
      </c>
      <c r="B855" s="1">
        <v>1</v>
      </c>
      <c r="C855" s="1">
        <v>10</v>
      </c>
      <c r="D855" s="2" t="s">
        <v>1135</v>
      </c>
      <c r="E855" s="11" t="s">
        <v>1135</v>
      </c>
      <c r="F855" s="11">
        <v>6839</v>
      </c>
      <c r="G855" s="2" t="s">
        <v>1494</v>
      </c>
      <c r="H855" s="2" t="s">
        <v>1495</v>
      </c>
      <c r="I855" s="2" t="s">
        <v>1496</v>
      </c>
      <c r="J855" s="2" t="str">
        <f t="shared" si="26"/>
        <v>https://permalinkbnd.bnportugal.gov.pt/viewer/6839/?offset=#page=10&amp;viewer=picture&amp;o=info&amp;n=0&amp;q=</v>
      </c>
      <c r="K855" s="1" t="s">
        <v>1136</v>
      </c>
      <c r="L855" s="1" t="str">
        <f>VLOOKUP(A855,Folha2!$A$2:$B$2019,2,FALSE)</f>
        <v>Portugal a Camões : publicação extraordinaria do jornal de viagens commemorando o tricentenario do cantor dos Lusiadas / dir. Emygdio dªOliveira, D. Benigno Joaquim Martinez. - 10 Jun. 1880. - Porto : Impr. Int. de Ferreira de Brito &amp; A. Monteiro, 1880</v>
      </c>
      <c r="M855" s="12" t="str">
        <f t="shared" si="27"/>
        <v>https://permalinkbnd.bnportugal.gov.pt/viewer/6839/?offset=#page=10&amp;viewer=picture&amp;o=info&amp;n=0&amp;q=</v>
      </c>
      <c r="N855" s="12" t="s">
        <v>1497</v>
      </c>
      <c r="O855" s="12" t="str">
        <f>CONCATENATE(N855,A855,"\",B855,"\",C855,".jpg")</f>
        <v>C:\Users\mbaptista\OneDrive - Biblioteca Nacional de Portugal\Documentos\python\camoniana\imagens\capas\478277\1\10.jpg</v>
      </c>
      <c r="P855" s="12" t="str">
        <f>HYPERLINK(O855)</f>
        <v>C:\Users\mbaptista\OneDrive - Biblioteca Nacional de Portugal\Documentos\python\camoniana\imagens\capas\478277\1\10.jpg</v>
      </c>
      <c r="Q855" s="12"/>
      <c r="R855" s="6" t="s">
        <v>1139</v>
      </c>
      <c r="S855" s="4"/>
      <c r="T855" s="1" t="s">
        <v>1137</v>
      </c>
      <c r="U855" s="13"/>
      <c r="V855" s="13"/>
      <c r="W855" s="5" t="s">
        <v>1491</v>
      </c>
    </row>
    <row r="856" spans="1:23" ht="75">
      <c r="A856" s="1">
        <v>478277</v>
      </c>
      <c r="B856" s="1">
        <v>1</v>
      </c>
      <c r="C856" s="1">
        <v>11</v>
      </c>
      <c r="D856" s="2" t="s">
        <v>1135</v>
      </c>
      <c r="E856" s="5" t="s">
        <v>1135</v>
      </c>
      <c r="F856" s="5">
        <v>6839</v>
      </c>
      <c r="G856" s="2" t="s">
        <v>1494</v>
      </c>
      <c r="H856" s="2" t="s">
        <v>1495</v>
      </c>
      <c r="I856" s="2" t="s">
        <v>1496</v>
      </c>
      <c r="J856" s="2" t="str">
        <f t="shared" si="26"/>
        <v>https://permalinkbnd.bnportugal.gov.pt/viewer/6839/?offset=#page=11&amp;viewer=picture&amp;o=info&amp;n=0&amp;q=</v>
      </c>
      <c r="K856" s="1" t="s">
        <v>1136</v>
      </c>
      <c r="L856" s="1" t="str">
        <f>VLOOKUP(A856,Folha2!$A$2:$B$2019,2,FALSE)</f>
        <v>Portugal a Camões : publicação extraordinaria do jornal de viagens commemorando o tricentenario do cantor dos Lusiadas / dir. Emygdio dªOliveira, D. Benigno Joaquim Martinez. - 10 Jun. 1880. - Porto : Impr. Int. de Ferreira de Brito &amp; A. Monteiro, 1880</v>
      </c>
      <c r="M856" s="12" t="str">
        <f t="shared" si="27"/>
        <v>https://permalinkbnd.bnportugal.gov.pt/viewer/6839/?offset=#page=11&amp;viewer=picture&amp;o=info&amp;n=0&amp;q=</v>
      </c>
      <c r="N856" s="12" t="s">
        <v>1497</v>
      </c>
      <c r="O856" s="12" t="str">
        <f>CONCATENATE(N856,A856,"\",B856,"\",C856,".jpg")</f>
        <v>C:\Users\mbaptista\OneDrive - Biblioteca Nacional de Portugal\Documentos\python\camoniana\imagens\capas\478277\1\11.jpg</v>
      </c>
      <c r="P856" s="12" t="str">
        <f>HYPERLINK(O856)</f>
        <v>C:\Users\mbaptista\OneDrive - Biblioteca Nacional de Portugal\Documentos\python\camoniana\imagens\capas\478277\1\11.jpg</v>
      </c>
      <c r="Q856" s="12"/>
      <c r="R856" s="6" t="s">
        <v>1140</v>
      </c>
      <c r="S856" s="4"/>
      <c r="T856" s="1" t="s">
        <v>1137</v>
      </c>
      <c r="U856" s="13"/>
      <c r="V856" s="13"/>
      <c r="W856" s="5" t="s">
        <v>1491</v>
      </c>
    </row>
    <row r="857" spans="1:23" ht="75">
      <c r="A857" s="1">
        <v>478277</v>
      </c>
      <c r="B857" s="1">
        <v>1</v>
      </c>
      <c r="C857" s="1">
        <v>14</v>
      </c>
      <c r="D857" s="2" t="s">
        <v>1135</v>
      </c>
      <c r="E857" s="11" t="s">
        <v>1135</v>
      </c>
      <c r="F857" s="11">
        <v>6839</v>
      </c>
      <c r="G857" s="2" t="s">
        <v>1494</v>
      </c>
      <c r="H857" s="2" t="s">
        <v>1495</v>
      </c>
      <c r="I857" s="2" t="s">
        <v>1496</v>
      </c>
      <c r="J857" s="2" t="str">
        <f t="shared" si="26"/>
        <v>https://permalinkbnd.bnportugal.gov.pt/viewer/6839/?offset=#page=14&amp;viewer=picture&amp;o=info&amp;n=0&amp;q=</v>
      </c>
      <c r="K857" s="1" t="s">
        <v>1136</v>
      </c>
      <c r="L857" s="1" t="str">
        <f>VLOOKUP(A857,Folha2!$A$2:$B$2019,2,FALSE)</f>
        <v>Portugal a Camões : publicação extraordinaria do jornal de viagens commemorando o tricentenario do cantor dos Lusiadas / dir. Emygdio dªOliveira, D. Benigno Joaquim Martinez. - 10 Jun. 1880. - Porto : Impr. Int. de Ferreira de Brito &amp; A. Monteiro, 1880</v>
      </c>
      <c r="M857" s="12" t="str">
        <f t="shared" si="27"/>
        <v>https://permalinkbnd.bnportugal.gov.pt/viewer/6839/?offset=#page=14&amp;viewer=picture&amp;o=info&amp;n=0&amp;q=</v>
      </c>
      <c r="N857" s="12" t="s">
        <v>1497</v>
      </c>
      <c r="O857" s="12" t="str">
        <f>CONCATENATE(N857,A857,"\",B857,"\",C857,".jpg")</f>
        <v>C:\Users\mbaptista\OneDrive - Biblioteca Nacional de Portugal\Documentos\python\camoniana\imagens\capas\478277\1\14.jpg</v>
      </c>
      <c r="P857" s="12" t="str">
        <f>HYPERLINK(O857)</f>
        <v>C:\Users\mbaptista\OneDrive - Biblioteca Nacional de Portugal\Documentos\python\camoniana\imagens\capas\478277\1\14.jpg</v>
      </c>
      <c r="Q857" s="12"/>
      <c r="R857" s="6" t="s">
        <v>1141</v>
      </c>
      <c r="S857" s="4"/>
      <c r="T857" s="1" t="s">
        <v>1137</v>
      </c>
      <c r="U857" s="13"/>
      <c r="V857" s="13"/>
      <c r="W857" s="5" t="s">
        <v>1491</v>
      </c>
    </row>
    <row r="858" spans="1:23" ht="75">
      <c r="A858" s="1">
        <v>478277</v>
      </c>
      <c r="B858" s="1">
        <v>1</v>
      </c>
      <c r="C858" s="1">
        <v>16</v>
      </c>
      <c r="D858" s="2" t="s">
        <v>1135</v>
      </c>
      <c r="E858" s="5" t="s">
        <v>1135</v>
      </c>
      <c r="F858" s="5">
        <v>6839</v>
      </c>
      <c r="G858" s="2" t="s">
        <v>1494</v>
      </c>
      <c r="H858" s="2" t="s">
        <v>1495</v>
      </c>
      <c r="I858" s="2" t="s">
        <v>1496</v>
      </c>
      <c r="J858" s="2" t="str">
        <f t="shared" si="26"/>
        <v>https://permalinkbnd.bnportugal.gov.pt/viewer/6839/?offset=#page=16&amp;viewer=picture&amp;o=info&amp;n=0&amp;q=</v>
      </c>
      <c r="K858" s="1" t="s">
        <v>1136</v>
      </c>
      <c r="L858" s="1" t="str">
        <f>VLOOKUP(A858,Folha2!$A$2:$B$2019,2,FALSE)</f>
        <v>Portugal a Camões : publicação extraordinaria do jornal de viagens commemorando o tricentenario do cantor dos Lusiadas / dir. Emygdio dªOliveira, D. Benigno Joaquim Martinez. - 10 Jun. 1880. - Porto : Impr. Int. de Ferreira de Brito &amp; A. Monteiro, 1880</v>
      </c>
      <c r="M858" s="12" t="str">
        <f t="shared" si="27"/>
        <v>https://permalinkbnd.bnportugal.gov.pt/viewer/6839/?offset=#page=16&amp;viewer=picture&amp;o=info&amp;n=0&amp;q=</v>
      </c>
      <c r="N858" s="12" t="s">
        <v>1497</v>
      </c>
      <c r="O858" s="12" t="str">
        <f>CONCATENATE(N858,A858,"\",B858,"\",C858,".jpg")</f>
        <v>C:\Users\mbaptista\OneDrive - Biblioteca Nacional de Portugal\Documentos\python\camoniana\imagens\capas\478277\1\16.jpg</v>
      </c>
      <c r="P858" s="12" t="str">
        <f>HYPERLINK(O858)</f>
        <v>C:\Users\mbaptista\OneDrive - Biblioteca Nacional de Portugal\Documentos\python\camoniana\imagens\capas\478277\1\16.jpg</v>
      </c>
      <c r="Q858" s="12"/>
      <c r="R858" s="6" t="s">
        <v>1142</v>
      </c>
      <c r="S858" s="4"/>
      <c r="T858" s="1" t="s">
        <v>1137</v>
      </c>
      <c r="U858" s="13"/>
      <c r="V858" s="13"/>
      <c r="W858" s="5" t="s">
        <v>1491</v>
      </c>
    </row>
    <row r="859" spans="1:23" ht="75">
      <c r="A859" s="1">
        <v>478277</v>
      </c>
      <c r="B859" s="1">
        <v>1</v>
      </c>
      <c r="C859" s="1">
        <v>20</v>
      </c>
      <c r="D859" s="2" t="s">
        <v>1135</v>
      </c>
      <c r="E859" s="11" t="s">
        <v>1135</v>
      </c>
      <c r="F859" s="11">
        <v>6839</v>
      </c>
      <c r="G859" s="2" t="s">
        <v>1494</v>
      </c>
      <c r="H859" s="2" t="s">
        <v>1495</v>
      </c>
      <c r="I859" s="2" t="s">
        <v>1496</v>
      </c>
      <c r="J859" s="2" t="str">
        <f t="shared" si="26"/>
        <v>https://permalinkbnd.bnportugal.gov.pt/viewer/6839/?offset=#page=20&amp;viewer=picture&amp;o=info&amp;n=0&amp;q=</v>
      </c>
      <c r="K859" s="1" t="s">
        <v>1136</v>
      </c>
      <c r="L859" s="1" t="str">
        <f>VLOOKUP(A859,Folha2!$A$2:$B$2019,2,FALSE)</f>
        <v>Portugal a Camões : publicação extraordinaria do jornal de viagens commemorando o tricentenario do cantor dos Lusiadas / dir. Emygdio dªOliveira, D. Benigno Joaquim Martinez. - 10 Jun. 1880. - Porto : Impr. Int. de Ferreira de Brito &amp; A. Monteiro, 1880</v>
      </c>
      <c r="M859" s="12" t="str">
        <f t="shared" si="27"/>
        <v>https://permalinkbnd.bnportugal.gov.pt/viewer/6839/?offset=#page=20&amp;viewer=picture&amp;o=info&amp;n=0&amp;q=</v>
      </c>
      <c r="N859" s="12" t="s">
        <v>1497</v>
      </c>
      <c r="O859" s="12" t="str">
        <f>CONCATENATE(N859,A859,"\",B859,"\",C859,".jpg")</f>
        <v>C:\Users\mbaptista\OneDrive - Biblioteca Nacional de Portugal\Documentos\python\camoniana\imagens\capas\478277\1\20.jpg</v>
      </c>
      <c r="P859" s="12" t="str">
        <f>HYPERLINK(O859)</f>
        <v>C:\Users\mbaptista\OneDrive - Biblioteca Nacional de Portugal\Documentos\python\camoniana\imagens\capas\478277\1\20.jpg</v>
      </c>
      <c r="Q859" s="12"/>
      <c r="R859" s="6" t="s">
        <v>1143</v>
      </c>
      <c r="S859" s="4"/>
      <c r="T859" s="1" t="s">
        <v>1137</v>
      </c>
      <c r="U859" s="13"/>
      <c r="V859" s="13"/>
      <c r="W859" s="5" t="s">
        <v>1491</v>
      </c>
    </row>
    <row r="860" spans="1:23" ht="75">
      <c r="A860" s="1">
        <v>709123</v>
      </c>
      <c r="B860" s="1">
        <v>1</v>
      </c>
      <c r="C860" s="1">
        <v>1</v>
      </c>
      <c r="D860" s="2" t="s">
        <v>1144</v>
      </c>
      <c r="E860" s="5" t="s">
        <v>1144</v>
      </c>
      <c r="F860" s="5">
        <v>36391</v>
      </c>
      <c r="G860" s="2" t="s">
        <v>1494</v>
      </c>
      <c r="H860" s="2" t="s">
        <v>1495</v>
      </c>
      <c r="I860" s="2" t="s">
        <v>1496</v>
      </c>
      <c r="J860" s="2" t="str">
        <f t="shared" si="26"/>
        <v>https://permalinkbnd.bnportugal.gov.pt/viewer/36391/?offset=#page=1&amp;viewer=picture&amp;o=info&amp;n=0&amp;q=</v>
      </c>
      <c r="K860" s="1">
        <v>1</v>
      </c>
      <c r="L860" s="1" t="str">
        <f>VLOOKUP(A860,Folha2!$A$2:$B$2019,2,FALSE)</f>
        <v>A nympha Thetis recebe Vasco da Gama na ilha dos amores : Desta arte em fim conformes já as formosas... Lusiadas, canto IX, est. 84 / P. Marinho pht.º grav.. - &lt;[&gt;Lisboa&lt;]&gt; : João Romano Torres, [ca. 1900]. - 1 imagem</v>
      </c>
      <c r="M860" s="12" t="str">
        <f t="shared" si="27"/>
        <v>https://permalinkbnd.bnportugal.gov.pt/viewer/36391/?offset=#page=1&amp;viewer=picture&amp;o=info&amp;n=0&amp;q=</v>
      </c>
      <c r="N860" s="12" t="s">
        <v>1497</v>
      </c>
      <c r="O860" s="12" t="str">
        <f>CONCATENATE(N860,A860,"\",B860,"\",C860,".jpg")</f>
        <v>C:\Users\mbaptista\OneDrive - Biblioteca Nacional de Portugal\Documentos\python\camoniana\imagens\capas\709123\1\1.jpg</v>
      </c>
      <c r="P860" s="12" t="str">
        <f>HYPERLINK(O860)</f>
        <v>C:\Users\mbaptista\OneDrive - Biblioteca Nacional de Portugal\Documentos\python\camoniana\imagens\capas\709123\1\1.jpg</v>
      </c>
      <c r="Q860" s="12"/>
      <c r="R860" s="6" t="s">
        <v>1145</v>
      </c>
      <c r="S860" s="4"/>
      <c r="T860" s="1">
        <v>1</v>
      </c>
      <c r="U860" s="13"/>
      <c r="V860" s="13"/>
      <c r="W860" s="5" t="s">
        <v>1491</v>
      </c>
    </row>
    <row r="861" spans="1:23" ht="75">
      <c r="A861" s="1">
        <v>766189</v>
      </c>
      <c r="B861" s="1">
        <v>1</v>
      </c>
      <c r="C861" s="1">
        <v>1</v>
      </c>
      <c r="D861" s="2" t="s">
        <v>1146</v>
      </c>
      <c r="E861" s="11" t="s">
        <v>1146</v>
      </c>
      <c r="F861" s="11">
        <v>14630</v>
      </c>
      <c r="G861" s="2" t="s">
        <v>1494</v>
      </c>
      <c r="H861" s="2" t="s">
        <v>1495</v>
      </c>
      <c r="I861" s="2" t="s">
        <v>1496</v>
      </c>
      <c r="J861" s="2" t="str">
        <f t="shared" si="26"/>
        <v>https://permalinkbnd.bnportugal.gov.pt/viewer/14630/?offset=#page=1&amp;viewer=picture&amp;o=info&amp;n=0&amp;q=</v>
      </c>
      <c r="K861" s="1" t="s">
        <v>1147</v>
      </c>
      <c r="L861" s="1" t="str">
        <f>VLOOKUP(A861,Folha2!$A$2:$B$2019,2,FALSE)</f>
        <v>Os Lusiadas / de Luis de Camões. - Em Lisboa : por Paulo Crasbeeck, Impressor &amp; Liureiro das tres Ordens Militares, &amp; a sua custa, 1644. Erros gráficos paginação. Paratextos Argumentos.</v>
      </c>
      <c r="M861" s="12" t="str">
        <f t="shared" si="27"/>
        <v>https://permalinkbnd.bnportugal.gov.pt/viewer/14630/?offset=#page=1&amp;viewer=picture&amp;o=info&amp;n=0&amp;q=</v>
      </c>
      <c r="N861" s="12" t="s">
        <v>1497</v>
      </c>
      <c r="O861" s="12" t="str">
        <f>CONCATENATE(N861,A861,"\",B861,"\",C861,".jpg")</f>
        <v>C:\Users\mbaptista\OneDrive - Biblioteca Nacional de Portugal\Documentos\python\camoniana\imagens\capas\766189\1\1.jpg</v>
      </c>
      <c r="P861" s="12" t="str">
        <f>HYPERLINK(O861)</f>
        <v>C:\Users\mbaptista\OneDrive - Biblioteca Nacional de Portugal\Documentos\python\camoniana\imagens\capas\766189\1\1.jpg</v>
      </c>
      <c r="Q861" s="12"/>
      <c r="R861" s="6" t="s">
        <v>1149</v>
      </c>
      <c r="S861" s="4"/>
      <c r="T861" s="1"/>
      <c r="U861" s="13" t="s">
        <v>1148</v>
      </c>
      <c r="V861" s="13" t="s">
        <v>1493</v>
      </c>
      <c r="W861" s="5" t="s">
        <v>1491</v>
      </c>
    </row>
    <row r="862" spans="1:23" ht="75">
      <c r="A862" s="1">
        <v>782735</v>
      </c>
      <c r="B862" s="1">
        <v>1</v>
      </c>
      <c r="C862" s="1">
        <v>10</v>
      </c>
      <c r="D862" s="2" t="s">
        <v>1150</v>
      </c>
      <c r="E862" s="5" t="s">
        <v>1150</v>
      </c>
      <c r="F862" s="5">
        <v>278664</v>
      </c>
      <c r="G862" s="2" t="s">
        <v>1494</v>
      </c>
      <c r="H862" s="2" t="s">
        <v>1495</v>
      </c>
      <c r="I862" s="2" t="s">
        <v>1496</v>
      </c>
      <c r="J862" s="2" t="str">
        <f t="shared" si="26"/>
        <v>https://permalinkbnd.bnportugal.gov.pt/viewer/278664/?offset=#page=10&amp;viewer=picture&amp;o=info&amp;n=0&amp;q=</v>
      </c>
      <c r="K862" s="1" t="s">
        <v>1151</v>
      </c>
      <c r="L862" s="1" t="str">
        <f>VLOOKUP(A862,Folha2!$A$2:$B$2019,2,FALSE)</f>
        <v>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v>
      </c>
      <c r="M862" s="12" t="str">
        <f t="shared" si="27"/>
        <v>https://permalinkbnd.bnportugal.gov.pt/viewer/278664/?offset=#page=10&amp;viewer=picture&amp;o=info&amp;n=0&amp;q=</v>
      </c>
      <c r="N862" s="12" t="s">
        <v>1497</v>
      </c>
      <c r="O862" s="12" t="str">
        <f>CONCATENATE(N862,A862,"\",B862,"\",C862,".jpg")</f>
        <v>C:\Users\mbaptista\OneDrive - Biblioteca Nacional de Portugal\Documentos\python\camoniana\imagens\capas\782735\1\10.jpg</v>
      </c>
      <c r="P862" s="12" t="str">
        <f>HYPERLINK(O862)</f>
        <v>C:\Users\mbaptista\OneDrive - Biblioteca Nacional de Portugal\Documentos\python\camoniana\imagens\capas\782735\1\10.jpg</v>
      </c>
      <c r="Q862" s="12"/>
      <c r="R862" s="6" t="s">
        <v>1152</v>
      </c>
      <c r="S862" s="4"/>
      <c r="T862" s="1">
        <v>10</v>
      </c>
      <c r="U862" s="13"/>
      <c r="V862" s="13"/>
      <c r="W862" s="5" t="s">
        <v>1491</v>
      </c>
    </row>
    <row r="863" spans="1:23" ht="75">
      <c r="A863" s="1">
        <v>782740</v>
      </c>
      <c r="B863" s="1">
        <v>1</v>
      </c>
      <c r="C863" s="1">
        <v>8</v>
      </c>
      <c r="D863" s="2" t="s">
        <v>1153</v>
      </c>
      <c r="E863" s="11" t="s">
        <v>1153</v>
      </c>
      <c r="F863" s="11">
        <v>278660</v>
      </c>
      <c r="G863" s="2" t="s">
        <v>1494</v>
      </c>
      <c r="H863" s="2" t="s">
        <v>1495</v>
      </c>
      <c r="I863" s="2" t="s">
        <v>1496</v>
      </c>
      <c r="J863" s="2" t="str">
        <f t="shared" si="26"/>
        <v>https://permalinkbnd.bnportugal.gov.pt/viewer/278660/?offset=#page=8&amp;viewer=picture&amp;o=info&amp;n=0&amp;q=</v>
      </c>
      <c r="K863" s="1" t="s">
        <v>1154</v>
      </c>
      <c r="L863" s="1" t="str">
        <f>VLOOKUP(A863,Folha2!$A$2:$B$2019,2,FALSE)</f>
        <v>Os Lusiadas : poema épico / de Luis de Camões. - Nova ed. popular conforme às ed. clássicas de 1572. - Lisboa : Tip. de F. X. de Sousa &amp; Filho, 1871. Paratextos vida e Paratextos Argumentos.</v>
      </c>
      <c r="M863" s="12" t="str">
        <f t="shared" si="27"/>
        <v>https://permalinkbnd.bnportugal.gov.pt/viewer/278660/?offset=#page=8&amp;viewer=picture&amp;o=info&amp;n=0&amp;q=</v>
      </c>
      <c r="N863" s="12" t="s">
        <v>1497</v>
      </c>
      <c r="O863" s="12" t="str">
        <f>CONCATENATE(N863,A863,"\",B863,"\",C863,".jpg")</f>
        <v>C:\Users\mbaptista\OneDrive - Biblioteca Nacional de Portugal\Documentos\python\camoniana\imagens\capas\782740\1\8.jpg</v>
      </c>
      <c r="P863" s="12" t="str">
        <f>HYPERLINK(O863)</f>
        <v>C:\Users\mbaptista\OneDrive - Biblioteca Nacional de Portugal\Documentos\python\camoniana\imagens\capas\782740\1\8.jpg</v>
      </c>
      <c r="Q863" s="12"/>
      <c r="R863" s="6" t="s">
        <v>1155</v>
      </c>
      <c r="S863" s="4"/>
      <c r="T863" s="1">
        <v>8</v>
      </c>
      <c r="U863" s="13"/>
      <c r="V863" s="13"/>
      <c r="W863" s="5" t="s">
        <v>1491</v>
      </c>
    </row>
    <row r="864" spans="1:23" ht="75">
      <c r="A864" s="1">
        <v>782742</v>
      </c>
      <c r="B864" s="1">
        <v>1</v>
      </c>
      <c r="C864" s="1">
        <v>6</v>
      </c>
      <c r="D864" s="2" t="s">
        <v>1156</v>
      </c>
      <c r="E864" s="5" t="s">
        <v>1156</v>
      </c>
      <c r="F864" s="5">
        <v>278669</v>
      </c>
      <c r="G864" s="2" t="s">
        <v>1494</v>
      </c>
      <c r="H864" s="2" t="s">
        <v>1495</v>
      </c>
      <c r="I864" s="2" t="s">
        <v>1496</v>
      </c>
      <c r="J864" s="2" t="str">
        <f t="shared" si="26"/>
        <v>https://permalinkbnd.bnportugal.gov.pt/viewer/278669/?offset=#page=6&amp;viewer=picture&amp;o=info&amp;n=0&amp;q=</v>
      </c>
      <c r="K864" s="1" t="s">
        <v>889</v>
      </c>
      <c r="L864" s="1" t="str">
        <f>VLOOKUP(A864,Folha2!$A$2:$B$2019,2,FALSE)</f>
        <v>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v>
      </c>
      <c r="M864" s="12" t="str">
        <f t="shared" si="27"/>
        <v>https://permalinkbnd.bnportugal.gov.pt/viewer/278669/?offset=#page=6&amp;viewer=picture&amp;o=info&amp;n=0&amp;q=</v>
      </c>
      <c r="N864" s="12" t="s">
        <v>1497</v>
      </c>
      <c r="O864" s="12" t="str">
        <f>CONCATENATE(N864,A864,"\",B864,"\",C864,".jpg")</f>
        <v>C:\Users\mbaptista\OneDrive - Biblioteca Nacional de Portugal\Documentos\python\camoniana\imagens\capas\782742\1\6.jpg</v>
      </c>
      <c r="P864" s="12" t="str">
        <f>HYPERLINK(O864)</f>
        <v>C:\Users\mbaptista\OneDrive - Biblioteca Nacional de Portugal\Documentos\python\camoniana\imagens\capas\782742\1\6.jpg</v>
      </c>
      <c r="Q864" s="12"/>
      <c r="R864" s="6" t="s">
        <v>1157</v>
      </c>
      <c r="S864" s="4"/>
      <c r="T864" s="1">
        <v>6</v>
      </c>
      <c r="U864" s="13"/>
      <c r="V864" s="13"/>
      <c r="W864" s="5" t="s">
        <v>1491</v>
      </c>
    </row>
    <row r="865" spans="1:23" ht="75">
      <c r="A865" s="1">
        <v>782743</v>
      </c>
      <c r="B865" s="1">
        <v>1</v>
      </c>
      <c r="C865" s="1">
        <v>6</v>
      </c>
      <c r="D865" s="2" t="s">
        <v>1158</v>
      </c>
      <c r="E865" s="11" t="s">
        <v>1158</v>
      </c>
      <c r="F865" s="11">
        <v>278783</v>
      </c>
      <c r="G865" s="2" t="s">
        <v>1494</v>
      </c>
      <c r="H865" s="2" t="s">
        <v>1495</v>
      </c>
      <c r="I865" s="2" t="s">
        <v>1496</v>
      </c>
      <c r="J865" s="2" t="str">
        <f t="shared" si="26"/>
        <v>https://permalinkbnd.bnportugal.gov.pt/viewer/278783/?offset=#page=6&amp;viewer=picture&amp;o=info&amp;n=0&amp;q=</v>
      </c>
      <c r="K865" s="1" t="s">
        <v>889</v>
      </c>
      <c r="L865" s="1" t="str">
        <f>VLOOKUP(A865,Folha2!$A$2:$B$2019,2,FALSE)</f>
        <v>Os Lusiadas : poema épico / Luis de Camões. - Nova ed. - Porto : Lelo &amp; Irmão, 1897. Erro gráfico paginação, cf. Im. 222, 251. Paratextos vida, Paratextos Argumentos, Paratextos notas aos cantos [algumas palavras alatinadas].</v>
      </c>
      <c r="M865" s="12" t="str">
        <f t="shared" si="27"/>
        <v>https://permalinkbnd.bnportugal.gov.pt/viewer/278783/?offset=#page=6&amp;viewer=picture&amp;o=info&amp;n=0&amp;q=</v>
      </c>
      <c r="N865" s="12" t="s">
        <v>1497</v>
      </c>
      <c r="O865" s="12" t="str">
        <f>CONCATENATE(N865,A865,"\",B865,"\",C865,".jpg")</f>
        <v>C:\Users\mbaptista\OneDrive - Biblioteca Nacional de Portugal\Documentos\python\camoniana\imagens\capas\782743\1\6.jpg</v>
      </c>
      <c r="P865" s="12" t="str">
        <f>HYPERLINK(O865)</f>
        <v>C:\Users\mbaptista\OneDrive - Biblioteca Nacional de Portugal\Documentos\python\camoniana\imagens\capas\782743\1\6.jpg</v>
      </c>
      <c r="Q865" s="12"/>
      <c r="R865" s="6" t="s">
        <v>1159</v>
      </c>
      <c r="S865" s="4"/>
      <c r="T865" s="1">
        <v>6</v>
      </c>
      <c r="U865" s="13"/>
      <c r="V865" s="13"/>
      <c r="W865" s="5" t="s">
        <v>1491</v>
      </c>
    </row>
    <row r="866" spans="1:23" ht="75">
      <c r="A866" s="1">
        <v>783484</v>
      </c>
      <c r="B866" s="1">
        <v>1</v>
      </c>
      <c r="C866" s="1">
        <v>10</v>
      </c>
      <c r="D866" s="2" t="s">
        <v>1160</v>
      </c>
      <c r="E866" s="5" t="s">
        <v>1160</v>
      </c>
      <c r="F866" s="5">
        <v>278786</v>
      </c>
      <c r="G866" s="2" t="s">
        <v>1494</v>
      </c>
      <c r="H866" s="2" t="s">
        <v>1495</v>
      </c>
      <c r="I866" s="2" t="s">
        <v>1496</v>
      </c>
      <c r="J866" s="2" t="str">
        <f t="shared" si="26"/>
        <v>https://permalinkbnd.bnportugal.gov.pt/viewer/278786/?offset=#page=10&amp;viewer=picture&amp;o=info&amp;n=0&amp;q=</v>
      </c>
      <c r="K866" s="1" t="s">
        <v>333</v>
      </c>
      <c r="L866" s="1" t="str">
        <f>VLOOKUP(A866,Folha2!$A$2:$B$2019,2,FALSE)</f>
        <v>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v>
      </c>
      <c r="M866" s="12" t="str">
        <f t="shared" si="27"/>
        <v>https://permalinkbnd.bnportugal.gov.pt/viewer/278786/?offset=#page=10&amp;viewer=picture&amp;o=info&amp;n=0&amp;q=</v>
      </c>
      <c r="N866" s="12" t="s">
        <v>1497</v>
      </c>
      <c r="O866" s="12" t="str">
        <f>CONCATENATE(N866,A866,"\",B866,"\",C866,".jpg")</f>
        <v>C:\Users\mbaptista\OneDrive - Biblioteca Nacional de Portugal\Documentos\python\camoniana\imagens\capas\783484\1\10.jpg</v>
      </c>
      <c r="P866" s="12" t="str">
        <f>HYPERLINK(O866)</f>
        <v>C:\Users\mbaptista\OneDrive - Biblioteca Nacional de Portugal\Documentos\python\camoniana\imagens\capas\783484\1\10.jpg</v>
      </c>
      <c r="Q866" s="12"/>
      <c r="R866" s="6" t="s">
        <v>1161</v>
      </c>
      <c r="S866" s="4"/>
      <c r="T866" s="1">
        <v>10</v>
      </c>
      <c r="U866" s="13"/>
      <c r="V866" s="13"/>
      <c r="W866" s="5" t="s">
        <v>1491</v>
      </c>
    </row>
    <row r="867" spans="1:23" ht="75">
      <c r="A867" s="1">
        <v>783488</v>
      </c>
      <c r="B867" s="1">
        <v>1</v>
      </c>
      <c r="C867" s="1">
        <v>8</v>
      </c>
      <c r="D867" s="2" t="s">
        <v>1162</v>
      </c>
      <c r="E867" s="11" t="s">
        <v>1162</v>
      </c>
      <c r="F867" s="11">
        <v>278784</v>
      </c>
      <c r="G867" s="2" t="s">
        <v>1494</v>
      </c>
      <c r="H867" s="2" t="s">
        <v>1495</v>
      </c>
      <c r="I867" s="2" t="s">
        <v>1496</v>
      </c>
      <c r="J867" s="2" t="str">
        <f t="shared" si="26"/>
        <v>https://permalinkbnd.bnportugal.gov.pt/viewer/278784/?offset=#page=8&amp;viewer=picture&amp;o=info&amp;n=0&amp;q=</v>
      </c>
      <c r="K867" s="1" t="s">
        <v>1154</v>
      </c>
      <c r="L867" s="1" t="str">
        <f>VLOOKUP(A867,Folha2!$A$2:$B$2019,2,FALSE)</f>
        <v>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v>
      </c>
      <c r="M867" s="12" t="str">
        <f t="shared" si="27"/>
        <v>https://permalinkbnd.bnportugal.gov.pt/viewer/278784/?offset=#page=8&amp;viewer=picture&amp;o=info&amp;n=0&amp;q=</v>
      </c>
      <c r="N867" s="12" t="s">
        <v>1497</v>
      </c>
      <c r="O867" s="12" t="str">
        <f>CONCATENATE(N867,A867,"\",B867,"\",C867,".jpg")</f>
        <v>C:\Users\mbaptista\OneDrive - Biblioteca Nacional de Portugal\Documentos\python\camoniana\imagens\capas\783488\1\8.jpg</v>
      </c>
      <c r="P867" s="12" t="str">
        <f>HYPERLINK(O867)</f>
        <v>C:\Users\mbaptista\OneDrive - Biblioteca Nacional de Portugal\Documentos\python\camoniana\imagens\capas\783488\1\8.jpg</v>
      </c>
      <c r="Q867" s="12"/>
      <c r="R867" s="6" t="s">
        <v>1163</v>
      </c>
      <c r="S867" s="4"/>
      <c r="T867" s="1">
        <v>8</v>
      </c>
      <c r="U867" s="13"/>
      <c r="V867" s="13"/>
      <c r="W867" s="5" t="s">
        <v>1491</v>
      </c>
    </row>
    <row r="868" spans="1:23" ht="120">
      <c r="A868" s="1">
        <v>784526</v>
      </c>
      <c r="B868" s="1">
        <v>1</v>
      </c>
      <c r="C868" s="1">
        <v>6</v>
      </c>
      <c r="D868" s="2" t="s">
        <v>1164</v>
      </c>
      <c r="E868" s="5" t="s">
        <v>1164</v>
      </c>
      <c r="F868" s="5">
        <v>278793</v>
      </c>
      <c r="G868" s="2" t="s">
        <v>1494</v>
      </c>
      <c r="H868" s="2" t="s">
        <v>1495</v>
      </c>
      <c r="I868" s="2" t="s">
        <v>1496</v>
      </c>
      <c r="J868" s="2" t="str">
        <f t="shared" si="26"/>
        <v>https://permalinkbnd.bnportugal.gov.pt/viewer/278793/?offset=#page=6&amp;viewer=picture&amp;o=info&amp;n=0&amp;q=</v>
      </c>
      <c r="K868" s="1" t="s">
        <v>889</v>
      </c>
      <c r="L868" s="1" t="str">
        <f>VLOOKUP(A868,Folha2!$A$2:$B$2019,2,FALSE)</f>
        <v>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v>
      </c>
      <c r="M868" s="12" t="str">
        <f t="shared" si="27"/>
        <v>https://permalinkbnd.bnportugal.gov.pt/viewer/278793/?offset=#page=6&amp;viewer=picture&amp;o=info&amp;n=0&amp;q=</v>
      </c>
      <c r="N868" s="12" t="s">
        <v>1497</v>
      </c>
      <c r="O868" s="12" t="str">
        <f>CONCATENATE(N868,A868,"\",B868,"\",C868,".jpg")</f>
        <v>C:\Users\mbaptista\OneDrive - Biblioteca Nacional de Portugal\Documentos\python\camoniana\imagens\capas\784526\1\6.jpg</v>
      </c>
      <c r="P868" s="12" t="str">
        <f>HYPERLINK(O868)</f>
        <v>C:\Users\mbaptista\OneDrive - Biblioteca Nacional de Portugal\Documentos\python\camoniana\imagens\capas\784526\1\6.jpg</v>
      </c>
      <c r="Q868" s="12"/>
      <c r="R868" s="6" t="s">
        <v>1165</v>
      </c>
      <c r="S868" s="4"/>
      <c r="T868" s="1">
        <v>6</v>
      </c>
      <c r="U868" s="13"/>
      <c r="V868" s="13"/>
      <c r="W868" s="5" t="s">
        <v>1491</v>
      </c>
    </row>
    <row r="869" spans="1:23" ht="75">
      <c r="A869" s="1">
        <v>784628</v>
      </c>
      <c r="B869" s="1">
        <v>1</v>
      </c>
      <c r="C869" s="1">
        <v>6</v>
      </c>
      <c r="D869" s="2" t="s">
        <v>1166</v>
      </c>
      <c r="E869" s="11" t="s">
        <v>1166</v>
      </c>
      <c r="F869" s="11">
        <v>278782</v>
      </c>
      <c r="G869" s="2" t="s">
        <v>1494</v>
      </c>
      <c r="H869" s="2" t="s">
        <v>1495</v>
      </c>
      <c r="I869" s="2" t="s">
        <v>1496</v>
      </c>
      <c r="J869" s="2" t="str">
        <f t="shared" si="26"/>
        <v>https://permalinkbnd.bnportugal.gov.pt/viewer/278782/?offset=#page=6&amp;viewer=picture&amp;o=info&amp;n=0&amp;q=</v>
      </c>
      <c r="K869" s="1" t="s">
        <v>1167</v>
      </c>
      <c r="L869" s="1" t="str">
        <f>VLOOKUP(A869,Folha2!$A$2:$B$2019,2,FALSE)</f>
        <v>Die Lusiaden / des Camões ; Unter zugrundelegung der Uebersetzung von F. A. Kuhn und K. Th. Winkler... - Stuttgart : Gebrüder Kröner, [18--], sem argumentos. Introdução refere a vida do Poeta. Tabela dos reis portugueses, cf. Im. 255.</v>
      </c>
      <c r="M869" s="12" t="str">
        <f t="shared" si="27"/>
        <v>https://permalinkbnd.bnportugal.gov.pt/viewer/278782/?offset=#page=6&amp;viewer=picture&amp;o=info&amp;n=0&amp;q=</v>
      </c>
      <c r="N869" s="12" t="s">
        <v>1497</v>
      </c>
      <c r="O869" s="12" t="str">
        <f>CONCATENATE(N869,A869,"\",B869,"\",C869,".jpg")</f>
        <v>C:\Users\mbaptista\OneDrive - Biblioteca Nacional de Portugal\Documentos\python\camoniana\imagens\capas\784628\1\6.jpg</v>
      </c>
      <c r="P869" s="12" t="str">
        <f>HYPERLINK(O869)</f>
        <v>C:\Users\mbaptista\OneDrive - Biblioteca Nacional de Portugal\Documentos\python\camoniana\imagens\capas\784628\1\6.jpg</v>
      </c>
      <c r="Q869" s="12"/>
      <c r="R869" s="6" t="s">
        <v>1168</v>
      </c>
      <c r="S869" s="4"/>
      <c r="T869" s="1">
        <v>6</v>
      </c>
      <c r="U869" s="13"/>
      <c r="V869" s="13"/>
      <c r="W869" s="5" t="s">
        <v>1491</v>
      </c>
    </row>
    <row r="870" spans="1:23" ht="75">
      <c r="A870" s="1">
        <v>784628</v>
      </c>
      <c r="B870" s="1">
        <v>1</v>
      </c>
      <c r="C870" s="1">
        <v>7</v>
      </c>
      <c r="D870" s="2" t="s">
        <v>1166</v>
      </c>
      <c r="E870" s="5" t="s">
        <v>1166</v>
      </c>
      <c r="F870" s="5">
        <v>278782</v>
      </c>
      <c r="G870" s="2" t="s">
        <v>1494</v>
      </c>
      <c r="H870" s="2" t="s">
        <v>1495</v>
      </c>
      <c r="I870" s="2" t="s">
        <v>1496</v>
      </c>
      <c r="J870" s="2" t="str">
        <f t="shared" si="26"/>
        <v>https://permalinkbnd.bnportugal.gov.pt/viewer/278782/?offset=#page=7&amp;viewer=picture&amp;o=info&amp;n=0&amp;q=</v>
      </c>
      <c r="K870" s="1" t="s">
        <v>1167</v>
      </c>
      <c r="L870" s="1" t="str">
        <f>VLOOKUP(A870,Folha2!$A$2:$B$2019,2,FALSE)</f>
        <v>Die Lusiaden / des Camões ; Unter zugrundelegung der Uebersetzung von F. A. Kuhn und K. Th. Winkler... - Stuttgart : Gebrüder Kröner, [18--], sem argumentos. Introdução refere a vida do Poeta. Tabela dos reis portugueses, cf. Im. 255.</v>
      </c>
      <c r="M870" s="12" t="str">
        <f t="shared" si="27"/>
        <v>https://permalinkbnd.bnportugal.gov.pt/viewer/278782/?offset=#page=7&amp;viewer=picture&amp;o=info&amp;n=0&amp;q=</v>
      </c>
      <c r="N870" s="12" t="s">
        <v>1497</v>
      </c>
      <c r="O870" s="12" t="str">
        <f>CONCATENATE(N870,A870,"\",B870,"\",C870,".jpg")</f>
        <v>C:\Users\mbaptista\OneDrive - Biblioteca Nacional de Portugal\Documentos\python\camoniana\imagens\capas\784628\1\7.jpg</v>
      </c>
      <c r="P870" s="12" t="str">
        <f>HYPERLINK(O870)</f>
        <v>C:\Users\mbaptista\OneDrive - Biblioteca Nacional de Portugal\Documentos\python\camoniana\imagens\capas\784628\1\7.jpg</v>
      </c>
      <c r="Q870" s="12"/>
      <c r="R870" s="6"/>
      <c r="S870" s="4"/>
      <c r="T870" s="1"/>
      <c r="U870" s="13"/>
      <c r="V870" s="13"/>
      <c r="W870" s="5"/>
    </row>
    <row r="871" spans="1:23" ht="105">
      <c r="A871" s="1">
        <v>788999</v>
      </c>
      <c r="B871" s="1">
        <v>1</v>
      </c>
      <c r="C871" s="1">
        <v>1</v>
      </c>
      <c r="D871" s="2" t="s">
        <v>1169</v>
      </c>
      <c r="E871" s="11" t="s">
        <v>1169</v>
      </c>
      <c r="F871" s="11">
        <v>272640</v>
      </c>
      <c r="G871" s="2" t="s">
        <v>1494</v>
      </c>
      <c r="H871" s="2" t="s">
        <v>1495</v>
      </c>
      <c r="I871" s="2" t="s">
        <v>1496</v>
      </c>
      <c r="J871" s="2" t="str">
        <f t="shared" si="26"/>
        <v>https://permalinkbnd.bnportugal.gov.pt/viewer/272640/?offset=#page=1&amp;viewer=picture&amp;o=info&amp;n=0&amp;q=</v>
      </c>
      <c r="K871" s="1" t="s">
        <v>1170</v>
      </c>
      <c r="L871" s="1" t="str">
        <f>VLOOKUP(A871,Folha2!$A$2:$B$2019,2,FALSE)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1" s="12" t="str">
        <f t="shared" si="27"/>
        <v>https://permalinkbnd.bnportugal.gov.pt/viewer/272640/?offset=#page=1&amp;viewer=picture&amp;o=info&amp;n=0&amp;q=</v>
      </c>
      <c r="N871" s="12" t="s">
        <v>1497</v>
      </c>
      <c r="O871" s="12" t="str">
        <f>CONCATENATE(N871,A871,"\",B871,"\",C871,".jpg")</f>
        <v>C:\Users\mbaptista\OneDrive - Biblioteca Nacional de Portugal\Documentos\python\camoniana\imagens\capas\788999\1\1.jpg</v>
      </c>
      <c r="P871" s="12" t="str">
        <f>HYPERLINK(O871)</f>
        <v>C:\Users\mbaptista\OneDrive - Biblioteca Nacional de Portugal\Documentos\python\camoniana\imagens\capas\788999\1\1.jpg</v>
      </c>
      <c r="Q871" s="12"/>
      <c r="R871" s="6" t="s">
        <v>1172</v>
      </c>
      <c r="S871" s="4"/>
      <c r="T871" s="1" t="s">
        <v>1171</v>
      </c>
      <c r="U871" s="13"/>
      <c r="V871" s="13"/>
      <c r="W871" s="5" t="s">
        <v>1491</v>
      </c>
    </row>
    <row r="872" spans="1:23" ht="105">
      <c r="A872" s="1">
        <v>788999</v>
      </c>
      <c r="B872" s="1">
        <v>1</v>
      </c>
      <c r="C872" s="1">
        <v>8</v>
      </c>
      <c r="D872" s="2" t="s">
        <v>1169</v>
      </c>
      <c r="E872" s="5" t="s">
        <v>1169</v>
      </c>
      <c r="F872" s="5">
        <v>272640</v>
      </c>
      <c r="G872" s="2" t="s">
        <v>1494</v>
      </c>
      <c r="H872" s="2" t="s">
        <v>1495</v>
      </c>
      <c r="I872" s="2" t="s">
        <v>1496</v>
      </c>
      <c r="J872" s="2" t="str">
        <f t="shared" si="26"/>
        <v>https://permalinkbnd.bnportugal.gov.pt/viewer/272640/?offset=#page=8&amp;viewer=picture&amp;o=info&amp;n=0&amp;q=</v>
      </c>
      <c r="K872" s="1" t="s">
        <v>1170</v>
      </c>
      <c r="L872" s="1" t="str">
        <f>VLOOKUP(A872,Folha2!$A$2:$B$2019,2,FALSE)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2" s="12" t="str">
        <f t="shared" si="27"/>
        <v>https://permalinkbnd.bnportugal.gov.pt/viewer/272640/?offset=#page=8&amp;viewer=picture&amp;o=info&amp;n=0&amp;q=</v>
      </c>
      <c r="N872" s="12" t="s">
        <v>1497</v>
      </c>
      <c r="O872" s="12" t="str">
        <f>CONCATENATE(N872,A872,"\",B872,"\",C872,".jpg")</f>
        <v>C:\Users\mbaptista\OneDrive - Biblioteca Nacional de Portugal\Documentos\python\camoniana\imagens\capas\788999\1\8.jpg</v>
      </c>
      <c r="P872" s="12" t="str">
        <f>HYPERLINK(O872)</f>
        <v>C:\Users\mbaptista\OneDrive - Biblioteca Nacional de Portugal\Documentos\python\camoniana\imagens\capas\788999\1\8.jpg</v>
      </c>
      <c r="Q872" s="12"/>
      <c r="R872" s="6" t="s">
        <v>1173</v>
      </c>
      <c r="S872" s="4"/>
      <c r="T872" s="1" t="s">
        <v>1171</v>
      </c>
      <c r="U872" s="13"/>
      <c r="V872" s="13"/>
      <c r="W872" s="5" t="s">
        <v>1491</v>
      </c>
    </row>
    <row r="873" spans="1:23" ht="105">
      <c r="A873" s="1">
        <v>788999</v>
      </c>
      <c r="B873" s="1">
        <v>1</v>
      </c>
      <c r="C873" s="1">
        <v>9</v>
      </c>
      <c r="D873" s="2" t="s">
        <v>1169</v>
      </c>
      <c r="E873" s="11" t="s">
        <v>1169</v>
      </c>
      <c r="F873" s="11">
        <v>272640</v>
      </c>
      <c r="G873" s="2" t="s">
        <v>1494</v>
      </c>
      <c r="H873" s="2" t="s">
        <v>1495</v>
      </c>
      <c r="I873" s="2" t="s">
        <v>1496</v>
      </c>
      <c r="J873" s="2" t="str">
        <f t="shared" si="26"/>
        <v>https://permalinkbnd.bnportugal.gov.pt/viewer/272640/?offset=#page=9&amp;viewer=picture&amp;o=info&amp;n=0&amp;q=</v>
      </c>
      <c r="K873" s="1" t="s">
        <v>1170</v>
      </c>
      <c r="L873" s="1" t="str">
        <f>VLOOKUP(A873,Folha2!$A$2:$B$2019,2,FALSE)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3" s="12" t="str">
        <f t="shared" si="27"/>
        <v>https://permalinkbnd.bnportugal.gov.pt/viewer/272640/?offset=#page=9&amp;viewer=picture&amp;o=info&amp;n=0&amp;q=</v>
      </c>
      <c r="N873" s="12" t="s">
        <v>1497</v>
      </c>
      <c r="O873" s="12" t="str">
        <f>CONCATENATE(N873,A873,"\",B873,"\",C873,".jpg")</f>
        <v>C:\Users\mbaptista\OneDrive - Biblioteca Nacional de Portugal\Documentos\python\camoniana\imagens\capas\788999\1\9.jpg</v>
      </c>
      <c r="P873" s="12" t="str">
        <f>HYPERLINK(O873)</f>
        <v>C:\Users\mbaptista\OneDrive - Biblioteca Nacional de Portugal\Documentos\python\camoniana\imagens\capas\788999\1\9.jpg</v>
      </c>
      <c r="Q873" s="12"/>
      <c r="R873" s="6" t="s">
        <v>1174</v>
      </c>
      <c r="S873" s="4"/>
      <c r="T873" s="1" t="s">
        <v>1171</v>
      </c>
      <c r="U873" s="13"/>
      <c r="V873" s="13"/>
      <c r="W873" s="5" t="s">
        <v>1491</v>
      </c>
    </row>
    <row r="874" spans="1:23" ht="105">
      <c r="A874" s="1">
        <v>788999</v>
      </c>
      <c r="B874" s="1">
        <v>1</v>
      </c>
      <c r="C874" s="1">
        <v>12</v>
      </c>
      <c r="D874" s="2" t="s">
        <v>1169</v>
      </c>
      <c r="E874" s="5" t="s">
        <v>1169</v>
      </c>
      <c r="F874" s="5">
        <v>272640</v>
      </c>
      <c r="G874" s="2" t="s">
        <v>1494</v>
      </c>
      <c r="H874" s="2" t="s">
        <v>1495</v>
      </c>
      <c r="I874" s="2" t="s">
        <v>1496</v>
      </c>
      <c r="J874" s="2" t="str">
        <f t="shared" si="26"/>
        <v>https://permalinkbnd.bnportugal.gov.pt/viewer/272640/?offset=#page=12&amp;viewer=picture&amp;o=info&amp;n=0&amp;q=</v>
      </c>
      <c r="K874" s="1" t="s">
        <v>1170</v>
      </c>
      <c r="L874" s="1" t="str">
        <f>VLOOKUP(A874,Folha2!$A$2:$B$2019,2,FALSE)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4" s="12" t="str">
        <f t="shared" si="27"/>
        <v>https://permalinkbnd.bnportugal.gov.pt/viewer/272640/?offset=#page=12&amp;viewer=picture&amp;o=info&amp;n=0&amp;q=</v>
      </c>
      <c r="N874" s="12" t="s">
        <v>1497</v>
      </c>
      <c r="O874" s="12" t="str">
        <f>CONCATENATE(N874,A874,"\",B874,"\",C874,".jpg")</f>
        <v>C:\Users\mbaptista\OneDrive - Biblioteca Nacional de Portugal\Documentos\python\camoniana\imagens\capas\788999\1\12.jpg</v>
      </c>
      <c r="P874" s="12" t="str">
        <f>HYPERLINK(O874)</f>
        <v>C:\Users\mbaptista\OneDrive - Biblioteca Nacional de Portugal\Documentos\python\camoniana\imagens\capas\788999\1\12.jpg</v>
      </c>
      <c r="Q874" s="12"/>
      <c r="R874" s="6"/>
      <c r="S874" s="4"/>
      <c r="T874" s="1"/>
      <c r="U874" s="13"/>
      <c r="V874" s="13"/>
      <c r="W874" s="5"/>
    </row>
    <row r="875" spans="1:23" ht="105">
      <c r="A875" s="1">
        <v>788999</v>
      </c>
      <c r="B875" s="1">
        <v>1</v>
      </c>
      <c r="C875" s="1">
        <v>25</v>
      </c>
      <c r="D875" s="2" t="s">
        <v>1169</v>
      </c>
      <c r="E875" s="11" t="s">
        <v>1169</v>
      </c>
      <c r="F875" s="11">
        <v>272640</v>
      </c>
      <c r="G875" s="2" t="s">
        <v>1494</v>
      </c>
      <c r="H875" s="2" t="s">
        <v>1495</v>
      </c>
      <c r="I875" s="2" t="s">
        <v>1496</v>
      </c>
      <c r="J875" s="2" t="str">
        <f t="shared" si="26"/>
        <v>https://permalinkbnd.bnportugal.gov.pt/viewer/272640/?offset=#page=25&amp;viewer=picture&amp;o=info&amp;n=0&amp;q=</v>
      </c>
      <c r="K875" s="1" t="s">
        <v>1170</v>
      </c>
      <c r="L875" s="1" t="str">
        <f>VLOOKUP(A875,Folha2!$A$2:$B$2019,2,FALSE)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5" s="12" t="str">
        <f t="shared" si="27"/>
        <v>https://permalinkbnd.bnportugal.gov.pt/viewer/272640/?offset=#page=25&amp;viewer=picture&amp;o=info&amp;n=0&amp;q=</v>
      </c>
      <c r="N875" s="12" t="s">
        <v>1497</v>
      </c>
      <c r="O875" s="12" t="str">
        <f>CONCATENATE(N875,A875,"\",B875,"\",C875,".jpg")</f>
        <v>C:\Users\mbaptista\OneDrive - Biblioteca Nacional de Portugal\Documentos\python\camoniana\imagens\capas\788999\1\25.jpg</v>
      </c>
      <c r="P875" s="12" t="str">
        <f>HYPERLINK(O875)</f>
        <v>C:\Users\mbaptista\OneDrive - Biblioteca Nacional de Portugal\Documentos\python\camoniana\imagens\capas\788999\1\25.jpg</v>
      </c>
      <c r="Q875" s="12"/>
      <c r="R875" s="6" t="s">
        <v>1175</v>
      </c>
      <c r="S875" s="4"/>
      <c r="T875" s="1" t="s">
        <v>1171</v>
      </c>
      <c r="U875" s="13"/>
      <c r="V875" s="13"/>
      <c r="W875" s="5" t="s">
        <v>1491</v>
      </c>
    </row>
    <row r="876" spans="1:23" ht="105">
      <c r="A876" s="1">
        <v>788999</v>
      </c>
      <c r="B876" s="1">
        <v>1</v>
      </c>
      <c r="C876" s="1">
        <v>27</v>
      </c>
      <c r="D876" s="2" t="s">
        <v>1169</v>
      </c>
      <c r="E876" s="5" t="s">
        <v>1169</v>
      </c>
      <c r="F876" s="5">
        <v>272640</v>
      </c>
      <c r="G876" s="2" t="s">
        <v>1494</v>
      </c>
      <c r="H876" s="2" t="s">
        <v>1495</v>
      </c>
      <c r="I876" s="2" t="s">
        <v>1496</v>
      </c>
      <c r="J876" s="2" t="str">
        <f t="shared" si="26"/>
        <v>https://permalinkbnd.bnportugal.gov.pt/viewer/272640/?offset=#page=27&amp;viewer=picture&amp;o=info&amp;n=0&amp;q=</v>
      </c>
      <c r="K876" s="1" t="s">
        <v>1170</v>
      </c>
      <c r="L876" s="1" t="str">
        <f>VLOOKUP(A876,Folha2!$A$2:$B$2019,2,FALSE)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6" s="12" t="str">
        <f t="shared" si="27"/>
        <v>https://permalinkbnd.bnportugal.gov.pt/viewer/272640/?offset=#page=27&amp;viewer=picture&amp;o=info&amp;n=0&amp;q=</v>
      </c>
      <c r="N876" s="12" t="s">
        <v>1497</v>
      </c>
      <c r="O876" s="12" t="str">
        <f>CONCATENATE(N876,A876,"\",B876,"\",C876,".jpg")</f>
        <v>C:\Users\mbaptista\OneDrive - Biblioteca Nacional de Portugal\Documentos\python\camoniana\imagens\capas\788999\1\27.jpg</v>
      </c>
      <c r="P876" s="12" t="str">
        <f>HYPERLINK(O876)</f>
        <v>C:\Users\mbaptista\OneDrive - Biblioteca Nacional de Portugal\Documentos\python\camoniana\imagens\capas\788999\1\27.jpg</v>
      </c>
      <c r="Q876" s="12"/>
      <c r="R876" s="6" t="s">
        <v>1176</v>
      </c>
      <c r="S876" s="4"/>
      <c r="T876" s="1" t="s">
        <v>1171</v>
      </c>
      <c r="U876" s="13"/>
      <c r="V876" s="13"/>
      <c r="W876" s="5" t="s">
        <v>1491</v>
      </c>
    </row>
    <row r="877" spans="1:23" ht="105">
      <c r="A877" s="1">
        <v>788999</v>
      </c>
      <c r="B877" s="1">
        <v>1</v>
      </c>
      <c r="C877" s="1">
        <v>29</v>
      </c>
      <c r="D877" s="2" t="s">
        <v>1169</v>
      </c>
      <c r="E877" s="11" t="s">
        <v>1169</v>
      </c>
      <c r="F877" s="11">
        <v>272640</v>
      </c>
      <c r="G877" s="2" t="s">
        <v>1494</v>
      </c>
      <c r="H877" s="2" t="s">
        <v>1495</v>
      </c>
      <c r="I877" s="2" t="s">
        <v>1496</v>
      </c>
      <c r="J877" s="2" t="str">
        <f t="shared" si="26"/>
        <v>https://permalinkbnd.bnportugal.gov.pt/viewer/272640/?offset=#page=29&amp;viewer=picture&amp;o=info&amp;n=0&amp;q=</v>
      </c>
      <c r="K877" s="1" t="s">
        <v>1170</v>
      </c>
      <c r="L877" s="1" t="str">
        <f>VLOOKUP(A877,Folha2!$A$2:$B$2019,2,FALSE)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7" s="12" t="str">
        <f t="shared" si="27"/>
        <v>https://permalinkbnd.bnportugal.gov.pt/viewer/272640/?offset=#page=29&amp;viewer=picture&amp;o=info&amp;n=0&amp;q=</v>
      </c>
      <c r="N877" s="12" t="s">
        <v>1497</v>
      </c>
      <c r="O877" s="12" t="str">
        <f>CONCATENATE(N877,A877,"\",B877,"\",C877,".jpg")</f>
        <v>C:\Users\mbaptista\OneDrive - Biblioteca Nacional de Portugal\Documentos\python\camoniana\imagens\capas\788999\1\29.jpg</v>
      </c>
      <c r="P877" s="12" t="str">
        <f>HYPERLINK(O877)</f>
        <v>C:\Users\mbaptista\OneDrive - Biblioteca Nacional de Portugal\Documentos\python\camoniana\imagens\capas\788999\1\29.jpg</v>
      </c>
      <c r="Q877" s="12"/>
      <c r="R877" s="6" t="s">
        <v>1177</v>
      </c>
      <c r="S877" s="4"/>
      <c r="T877" s="1" t="s">
        <v>1171</v>
      </c>
      <c r="U877" s="13"/>
      <c r="V877" s="13"/>
      <c r="W877" s="5" t="s">
        <v>1491</v>
      </c>
    </row>
    <row r="878" spans="1:23" ht="105">
      <c r="A878" s="1">
        <v>788999</v>
      </c>
      <c r="B878" s="1">
        <v>1</v>
      </c>
      <c r="C878" s="1">
        <v>31</v>
      </c>
      <c r="D878" s="2" t="s">
        <v>1169</v>
      </c>
      <c r="E878" s="5" t="s">
        <v>1169</v>
      </c>
      <c r="F878" s="5">
        <v>272640</v>
      </c>
      <c r="G878" s="2" t="s">
        <v>1494</v>
      </c>
      <c r="H878" s="2" t="s">
        <v>1495</v>
      </c>
      <c r="I878" s="2" t="s">
        <v>1496</v>
      </c>
      <c r="J878" s="2" t="str">
        <f t="shared" si="26"/>
        <v>https://permalinkbnd.bnportugal.gov.pt/viewer/272640/?offset=#page=31&amp;viewer=picture&amp;o=info&amp;n=0&amp;q=</v>
      </c>
      <c r="K878" s="1" t="s">
        <v>1170</v>
      </c>
      <c r="L878" s="1" t="str">
        <f>VLOOKUP(A878,Folha2!$A$2:$B$2019,2,FALSE)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8" s="12" t="str">
        <f t="shared" si="27"/>
        <v>https://permalinkbnd.bnportugal.gov.pt/viewer/272640/?offset=#page=31&amp;viewer=picture&amp;o=info&amp;n=0&amp;q=</v>
      </c>
      <c r="N878" s="12" t="s">
        <v>1497</v>
      </c>
      <c r="O878" s="12" t="str">
        <f>CONCATENATE(N878,A878,"\",B878,"\",C878,".jpg")</f>
        <v>C:\Users\mbaptista\OneDrive - Biblioteca Nacional de Portugal\Documentos\python\camoniana\imagens\capas\788999\1\31.jpg</v>
      </c>
      <c r="P878" s="12" t="str">
        <f>HYPERLINK(O878)</f>
        <v>C:\Users\mbaptista\OneDrive - Biblioteca Nacional de Portugal\Documentos\python\camoniana\imagens\capas\788999\1\31.jpg</v>
      </c>
      <c r="Q878" s="12"/>
      <c r="R878" s="6" t="s">
        <v>1178</v>
      </c>
      <c r="S878" s="4"/>
      <c r="T878" s="1" t="s">
        <v>1171</v>
      </c>
      <c r="U878" s="13"/>
      <c r="V878" s="13"/>
      <c r="W878" s="5" t="s">
        <v>1491</v>
      </c>
    </row>
    <row r="879" spans="1:23" ht="105">
      <c r="A879" s="1">
        <v>788999</v>
      </c>
      <c r="B879" s="1">
        <v>1</v>
      </c>
      <c r="C879" s="1">
        <v>57</v>
      </c>
      <c r="D879" s="2" t="s">
        <v>1169</v>
      </c>
      <c r="E879" s="11" t="s">
        <v>1169</v>
      </c>
      <c r="F879" s="11">
        <v>272640</v>
      </c>
      <c r="G879" s="2" t="s">
        <v>1494</v>
      </c>
      <c r="H879" s="2" t="s">
        <v>1495</v>
      </c>
      <c r="I879" s="2" t="s">
        <v>1496</v>
      </c>
      <c r="J879" s="2" t="str">
        <f t="shared" si="26"/>
        <v>https://permalinkbnd.bnportugal.gov.pt/viewer/272640/?offset=#page=57&amp;viewer=picture&amp;o=info&amp;n=0&amp;q=</v>
      </c>
      <c r="K879" s="1" t="s">
        <v>1170</v>
      </c>
      <c r="L879" s="1" t="str">
        <f>VLOOKUP(A879,Folha2!$A$2:$B$2019,2,FALSE)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9" s="12" t="str">
        <f t="shared" si="27"/>
        <v>https://permalinkbnd.bnportugal.gov.pt/viewer/272640/?offset=#page=57&amp;viewer=picture&amp;o=info&amp;n=0&amp;q=</v>
      </c>
      <c r="N879" s="12" t="s">
        <v>1497</v>
      </c>
      <c r="O879" s="12" t="str">
        <f>CONCATENATE(N879,A879,"\",B879,"\",C879,".jpg")</f>
        <v>C:\Users\mbaptista\OneDrive - Biblioteca Nacional de Portugal\Documentos\python\camoniana\imagens\capas\788999\1\57.jpg</v>
      </c>
      <c r="P879" s="12" t="str">
        <f>HYPERLINK(O879)</f>
        <v>C:\Users\mbaptista\OneDrive - Biblioteca Nacional de Portugal\Documentos\python\camoniana\imagens\capas\788999\1\57.jpg</v>
      </c>
      <c r="Q879" s="12"/>
      <c r="R879" s="6"/>
      <c r="S879" s="4"/>
      <c r="T879" s="1"/>
      <c r="U879" s="13"/>
      <c r="V879" s="13"/>
      <c r="W879" s="5"/>
    </row>
    <row r="880" spans="1:23" ht="105">
      <c r="A880" s="1">
        <v>788999</v>
      </c>
      <c r="B880" s="1">
        <v>1</v>
      </c>
      <c r="C880" s="1">
        <v>59</v>
      </c>
      <c r="D880" s="2" t="s">
        <v>1169</v>
      </c>
      <c r="E880" s="5" t="s">
        <v>1169</v>
      </c>
      <c r="F880" s="5">
        <v>272640</v>
      </c>
      <c r="G880" s="2" t="s">
        <v>1494</v>
      </c>
      <c r="H880" s="2" t="s">
        <v>1495</v>
      </c>
      <c r="I880" s="2" t="s">
        <v>1496</v>
      </c>
      <c r="J880" s="2" t="str">
        <f t="shared" si="26"/>
        <v>https://permalinkbnd.bnportugal.gov.pt/viewer/272640/?offset=#page=59&amp;viewer=picture&amp;o=info&amp;n=0&amp;q=</v>
      </c>
      <c r="K880" s="1" t="s">
        <v>1170</v>
      </c>
      <c r="L880" s="1" t="str">
        <f>VLOOKUP(A880,Folha2!$A$2:$B$2019,2,FALSE)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0" s="12" t="str">
        <f t="shared" si="27"/>
        <v>https://permalinkbnd.bnportugal.gov.pt/viewer/272640/?offset=#page=59&amp;viewer=picture&amp;o=info&amp;n=0&amp;q=</v>
      </c>
      <c r="N880" s="12" t="s">
        <v>1497</v>
      </c>
      <c r="O880" s="12" t="str">
        <f>CONCATENATE(N880,A880,"\",B880,"\",C880,".jpg")</f>
        <v>C:\Users\mbaptista\OneDrive - Biblioteca Nacional de Portugal\Documentos\python\camoniana\imagens\capas\788999\1\59.jpg</v>
      </c>
      <c r="P880" s="12" t="str">
        <f>HYPERLINK(O880)</f>
        <v>C:\Users\mbaptista\OneDrive - Biblioteca Nacional de Portugal\Documentos\python\camoniana\imagens\capas\788999\1\59.jpg</v>
      </c>
      <c r="Q880" s="12"/>
      <c r="R880" s="6" t="s">
        <v>1179</v>
      </c>
      <c r="S880" s="4"/>
      <c r="T880" s="1" t="s">
        <v>1171</v>
      </c>
      <c r="U880" s="13"/>
      <c r="V880" s="13"/>
      <c r="W880" s="5" t="s">
        <v>1491</v>
      </c>
    </row>
    <row r="881" spans="1:23" ht="105">
      <c r="A881" s="1">
        <v>788999</v>
      </c>
      <c r="B881" s="1">
        <v>1</v>
      </c>
      <c r="C881" s="1">
        <v>61</v>
      </c>
      <c r="D881" s="2" t="s">
        <v>1169</v>
      </c>
      <c r="E881" s="11" t="s">
        <v>1169</v>
      </c>
      <c r="F881" s="11">
        <v>272640</v>
      </c>
      <c r="G881" s="2" t="s">
        <v>1494</v>
      </c>
      <c r="H881" s="2" t="s">
        <v>1495</v>
      </c>
      <c r="I881" s="2" t="s">
        <v>1496</v>
      </c>
      <c r="J881" s="2" t="str">
        <f t="shared" si="26"/>
        <v>https://permalinkbnd.bnportugal.gov.pt/viewer/272640/?offset=#page=61&amp;viewer=picture&amp;o=info&amp;n=0&amp;q=</v>
      </c>
      <c r="K881" s="1" t="s">
        <v>1170</v>
      </c>
      <c r="L881" s="1" t="str">
        <f>VLOOKUP(A881,Folha2!$A$2:$B$2019,2,FALSE)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1" s="12" t="str">
        <f t="shared" si="27"/>
        <v>https://permalinkbnd.bnportugal.gov.pt/viewer/272640/?offset=#page=61&amp;viewer=picture&amp;o=info&amp;n=0&amp;q=</v>
      </c>
      <c r="N881" s="12" t="s">
        <v>1497</v>
      </c>
      <c r="O881" s="12" t="str">
        <f>CONCATENATE(N881,A881,"\",B881,"\",C881,".jpg")</f>
        <v>C:\Users\mbaptista\OneDrive - Biblioteca Nacional de Portugal\Documentos\python\camoniana\imagens\capas\788999\1\61.jpg</v>
      </c>
      <c r="P881" s="12" t="str">
        <f>HYPERLINK(O881)</f>
        <v>C:\Users\mbaptista\OneDrive - Biblioteca Nacional de Portugal\Documentos\python\camoniana\imagens\capas\788999\1\61.jpg</v>
      </c>
      <c r="Q881" s="12"/>
      <c r="R881" s="6"/>
      <c r="S881" s="4"/>
      <c r="T881" s="1"/>
      <c r="U881" s="13"/>
      <c r="V881" s="13"/>
      <c r="W881" s="5"/>
    </row>
    <row r="882" spans="1:23" ht="105">
      <c r="A882" s="1">
        <v>788999</v>
      </c>
      <c r="B882" s="1">
        <v>1</v>
      </c>
      <c r="C882" s="1">
        <v>71</v>
      </c>
      <c r="D882" s="2" t="s">
        <v>1169</v>
      </c>
      <c r="E882" s="5" t="s">
        <v>1169</v>
      </c>
      <c r="F882" s="5">
        <v>272640</v>
      </c>
      <c r="G882" s="2" t="s">
        <v>1494</v>
      </c>
      <c r="H882" s="2" t="s">
        <v>1495</v>
      </c>
      <c r="I882" s="2" t="s">
        <v>1496</v>
      </c>
      <c r="J882" s="2" t="str">
        <f t="shared" si="26"/>
        <v>https://permalinkbnd.bnportugal.gov.pt/viewer/272640/?offset=#page=71&amp;viewer=picture&amp;o=info&amp;n=0&amp;q=</v>
      </c>
      <c r="K882" s="1" t="s">
        <v>1170</v>
      </c>
      <c r="L882" s="1" t="str">
        <f>VLOOKUP(A882,Folha2!$A$2:$B$2019,2,FALSE)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2" s="12" t="str">
        <f t="shared" si="27"/>
        <v>https://permalinkbnd.bnportugal.gov.pt/viewer/272640/?offset=#page=71&amp;viewer=picture&amp;o=info&amp;n=0&amp;q=</v>
      </c>
      <c r="N882" s="12" t="s">
        <v>1497</v>
      </c>
      <c r="O882" s="12" t="str">
        <f>CONCATENATE(N882,A882,"\",B882,"\",C882,".jpg")</f>
        <v>C:\Users\mbaptista\OneDrive - Biblioteca Nacional de Portugal\Documentos\python\camoniana\imagens\capas\788999\1\71.jpg</v>
      </c>
      <c r="P882" s="12" t="str">
        <f>HYPERLINK(O882)</f>
        <v>C:\Users\mbaptista\OneDrive - Biblioteca Nacional de Portugal\Documentos\python\camoniana\imagens\capas\788999\1\71.jpg</v>
      </c>
      <c r="Q882" s="12"/>
      <c r="R882" s="6" t="s">
        <v>1180</v>
      </c>
      <c r="S882" s="4"/>
      <c r="T882" s="1" t="s">
        <v>1171</v>
      </c>
      <c r="U882" s="13"/>
      <c r="V882" s="13"/>
      <c r="W882" s="5" t="s">
        <v>1491</v>
      </c>
    </row>
    <row r="883" spans="1:23" ht="105">
      <c r="A883" s="1">
        <v>788999</v>
      </c>
      <c r="B883" s="1">
        <v>1</v>
      </c>
      <c r="C883" s="1">
        <v>89</v>
      </c>
      <c r="D883" s="2" t="s">
        <v>1169</v>
      </c>
      <c r="E883" s="11" t="s">
        <v>1169</v>
      </c>
      <c r="F883" s="11">
        <v>272640</v>
      </c>
      <c r="G883" s="2" t="s">
        <v>1494</v>
      </c>
      <c r="H883" s="2" t="s">
        <v>1495</v>
      </c>
      <c r="I883" s="2" t="s">
        <v>1496</v>
      </c>
      <c r="J883" s="2" t="str">
        <f t="shared" si="26"/>
        <v>https://permalinkbnd.bnportugal.gov.pt/viewer/272640/?offset=#page=89&amp;viewer=picture&amp;o=info&amp;n=0&amp;q=</v>
      </c>
      <c r="K883" s="1" t="s">
        <v>1170</v>
      </c>
      <c r="L883" s="1" t="str">
        <f>VLOOKUP(A883,Folha2!$A$2:$B$2019,2,FALSE)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3" s="12" t="str">
        <f t="shared" si="27"/>
        <v>https://permalinkbnd.bnportugal.gov.pt/viewer/272640/?offset=#page=89&amp;viewer=picture&amp;o=info&amp;n=0&amp;q=</v>
      </c>
      <c r="N883" s="12" t="s">
        <v>1497</v>
      </c>
      <c r="O883" s="12" t="str">
        <f>CONCATENATE(N883,A883,"\",B883,"\",C883,".jpg")</f>
        <v>C:\Users\mbaptista\OneDrive - Biblioteca Nacional de Portugal\Documentos\python\camoniana\imagens\capas\788999\1\89.jpg</v>
      </c>
      <c r="P883" s="12" t="str">
        <f>HYPERLINK(O883)</f>
        <v>C:\Users\mbaptista\OneDrive - Biblioteca Nacional de Portugal\Documentos\python\camoniana\imagens\capas\788999\1\89.jpg</v>
      </c>
      <c r="Q883" s="12"/>
      <c r="R883" s="6" t="s">
        <v>1181</v>
      </c>
      <c r="S883" s="4"/>
      <c r="T883" s="1" t="s">
        <v>1171</v>
      </c>
      <c r="U883" s="13"/>
      <c r="V883" s="13"/>
      <c r="W883" s="5" t="s">
        <v>1491</v>
      </c>
    </row>
    <row r="884" spans="1:23" ht="105">
      <c r="A884" s="1">
        <v>788999</v>
      </c>
      <c r="B884" s="1">
        <v>1</v>
      </c>
      <c r="C884" s="1">
        <v>95</v>
      </c>
      <c r="D884" s="2" t="s">
        <v>1169</v>
      </c>
      <c r="E884" s="5" t="s">
        <v>1169</v>
      </c>
      <c r="F884" s="5">
        <v>272640</v>
      </c>
      <c r="G884" s="2" t="s">
        <v>1494</v>
      </c>
      <c r="H884" s="2" t="s">
        <v>1495</v>
      </c>
      <c r="I884" s="2" t="s">
        <v>1496</v>
      </c>
      <c r="J884" s="2" t="str">
        <f t="shared" si="26"/>
        <v>https://permalinkbnd.bnportugal.gov.pt/viewer/272640/?offset=#page=95&amp;viewer=picture&amp;o=info&amp;n=0&amp;q=</v>
      </c>
      <c r="K884" s="1" t="s">
        <v>1170</v>
      </c>
      <c r="L884" s="1" t="str">
        <f>VLOOKUP(A884,Folha2!$A$2:$B$2019,2,FALSE)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4" s="12" t="str">
        <f t="shared" si="27"/>
        <v>https://permalinkbnd.bnportugal.gov.pt/viewer/272640/?offset=#page=95&amp;viewer=picture&amp;o=info&amp;n=0&amp;q=</v>
      </c>
      <c r="N884" s="12" t="s">
        <v>1497</v>
      </c>
      <c r="O884" s="12" t="str">
        <f>CONCATENATE(N884,A884,"\",B884,"\",C884,".jpg")</f>
        <v>C:\Users\mbaptista\OneDrive - Biblioteca Nacional de Portugal\Documentos\python\camoniana\imagens\capas\788999\1\95.jpg</v>
      </c>
      <c r="P884" s="12" t="str">
        <f>HYPERLINK(O884)</f>
        <v>C:\Users\mbaptista\OneDrive - Biblioteca Nacional de Portugal\Documentos\python\camoniana\imagens\capas\788999\1\95.jpg</v>
      </c>
      <c r="Q884" s="12"/>
      <c r="R884" s="6" t="s">
        <v>1182</v>
      </c>
      <c r="S884" s="4"/>
      <c r="T884" s="1" t="s">
        <v>1171</v>
      </c>
      <c r="U884" s="13"/>
      <c r="V884" s="13"/>
      <c r="W884" s="5" t="s">
        <v>1491</v>
      </c>
    </row>
    <row r="885" spans="1:23" ht="105">
      <c r="A885" s="1">
        <v>788999</v>
      </c>
      <c r="B885" s="1">
        <v>1</v>
      </c>
      <c r="C885" s="1">
        <v>97</v>
      </c>
      <c r="D885" s="2" t="s">
        <v>1169</v>
      </c>
      <c r="E885" s="11" t="s">
        <v>1169</v>
      </c>
      <c r="F885" s="11">
        <v>272640</v>
      </c>
      <c r="G885" s="2" t="s">
        <v>1494</v>
      </c>
      <c r="H885" s="2" t="s">
        <v>1495</v>
      </c>
      <c r="I885" s="2" t="s">
        <v>1496</v>
      </c>
      <c r="J885" s="2" t="str">
        <f t="shared" si="26"/>
        <v>https://permalinkbnd.bnportugal.gov.pt/viewer/272640/?offset=#page=97&amp;viewer=picture&amp;o=info&amp;n=0&amp;q=</v>
      </c>
      <c r="K885" s="1" t="s">
        <v>1170</v>
      </c>
      <c r="L885" s="1" t="str">
        <f>VLOOKUP(A885,Folha2!$A$2:$B$2019,2,FALSE)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5" s="12" t="str">
        <f t="shared" si="27"/>
        <v>https://permalinkbnd.bnportugal.gov.pt/viewer/272640/?offset=#page=97&amp;viewer=picture&amp;o=info&amp;n=0&amp;q=</v>
      </c>
      <c r="N885" s="12" t="s">
        <v>1497</v>
      </c>
      <c r="O885" s="12" t="str">
        <f>CONCATENATE(N885,A885,"\",B885,"\",C885,".jpg")</f>
        <v>C:\Users\mbaptista\OneDrive - Biblioteca Nacional de Portugal\Documentos\python\camoniana\imagens\capas\788999\1\97.jpg</v>
      </c>
      <c r="P885" s="12" t="str">
        <f>HYPERLINK(O885)</f>
        <v>C:\Users\mbaptista\OneDrive - Biblioteca Nacional de Portugal\Documentos\python\camoniana\imagens\capas\788999\1\97.jpg</v>
      </c>
      <c r="Q885" s="12"/>
      <c r="R885" s="6"/>
      <c r="S885" s="4"/>
      <c r="T885" s="1"/>
      <c r="U885" s="13"/>
      <c r="V885" s="13"/>
      <c r="W885" s="5"/>
    </row>
    <row r="886" spans="1:23" ht="105">
      <c r="A886" s="1">
        <v>788999</v>
      </c>
      <c r="B886" s="1">
        <v>1</v>
      </c>
      <c r="C886" s="1">
        <v>127</v>
      </c>
      <c r="D886" s="2" t="s">
        <v>1169</v>
      </c>
      <c r="E886" s="5" t="s">
        <v>1169</v>
      </c>
      <c r="F886" s="5">
        <v>272640</v>
      </c>
      <c r="G886" s="2" t="s">
        <v>1494</v>
      </c>
      <c r="H886" s="2" t="s">
        <v>1495</v>
      </c>
      <c r="I886" s="2" t="s">
        <v>1496</v>
      </c>
      <c r="J886" s="2" t="str">
        <f t="shared" si="26"/>
        <v>https://permalinkbnd.bnportugal.gov.pt/viewer/272640/?offset=#page=127&amp;viewer=picture&amp;o=info&amp;n=0&amp;q=</v>
      </c>
      <c r="K886" s="1" t="s">
        <v>1170</v>
      </c>
      <c r="L886" s="1" t="str">
        <f>VLOOKUP(A886,Folha2!$A$2:$B$2019,2,FALSE)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6" s="12" t="str">
        <f t="shared" si="27"/>
        <v>https://permalinkbnd.bnportugal.gov.pt/viewer/272640/?offset=#page=127&amp;viewer=picture&amp;o=info&amp;n=0&amp;q=</v>
      </c>
      <c r="N886" s="12" t="s">
        <v>1497</v>
      </c>
      <c r="O886" s="12" t="str">
        <f>CONCATENATE(N886,A886,"\",B886,"\",C886,".jpg")</f>
        <v>C:\Users\mbaptista\OneDrive - Biblioteca Nacional de Portugal\Documentos\python\camoniana\imagens\capas\788999\1\127.jpg</v>
      </c>
      <c r="P886" s="12" t="str">
        <f>HYPERLINK(O886)</f>
        <v>C:\Users\mbaptista\OneDrive - Biblioteca Nacional de Portugal\Documentos\python\camoniana\imagens\capas\788999\1\127.jpg</v>
      </c>
      <c r="Q886" s="12"/>
      <c r="R886" s="6" t="s">
        <v>1183</v>
      </c>
      <c r="S886" s="4"/>
      <c r="T886" s="1" t="s">
        <v>1171</v>
      </c>
      <c r="U886" s="13"/>
      <c r="V886" s="13"/>
      <c r="W886" s="5" t="s">
        <v>1491</v>
      </c>
    </row>
    <row r="887" spans="1:23" ht="105">
      <c r="A887" s="1">
        <v>788999</v>
      </c>
      <c r="B887" s="1">
        <v>1</v>
      </c>
      <c r="C887" s="1">
        <v>135</v>
      </c>
      <c r="D887" s="2" t="s">
        <v>1169</v>
      </c>
      <c r="E887" s="11" t="s">
        <v>1169</v>
      </c>
      <c r="F887" s="11">
        <v>272640</v>
      </c>
      <c r="G887" s="2" t="s">
        <v>1494</v>
      </c>
      <c r="H887" s="2" t="s">
        <v>1495</v>
      </c>
      <c r="I887" s="2" t="s">
        <v>1496</v>
      </c>
      <c r="J887" s="2" t="str">
        <f t="shared" si="26"/>
        <v>https://permalinkbnd.bnportugal.gov.pt/viewer/272640/?offset=#page=135&amp;viewer=picture&amp;o=info&amp;n=0&amp;q=</v>
      </c>
      <c r="K887" s="1" t="s">
        <v>1170</v>
      </c>
      <c r="L887" s="1" t="str">
        <f>VLOOKUP(A887,Folha2!$A$2:$B$2019,2,FALSE)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7" s="12" t="str">
        <f t="shared" si="27"/>
        <v>https://permalinkbnd.bnportugal.gov.pt/viewer/272640/?offset=#page=135&amp;viewer=picture&amp;o=info&amp;n=0&amp;q=</v>
      </c>
      <c r="N887" s="12" t="s">
        <v>1497</v>
      </c>
      <c r="O887" s="12" t="str">
        <f>CONCATENATE(N887,A887,"\",B887,"\",C887,".jpg")</f>
        <v>C:\Users\mbaptista\OneDrive - Biblioteca Nacional de Portugal\Documentos\python\camoniana\imagens\capas\788999\1\135.jpg</v>
      </c>
      <c r="P887" s="12" t="str">
        <f>HYPERLINK(O887)</f>
        <v>C:\Users\mbaptista\OneDrive - Biblioteca Nacional de Portugal\Documentos\python\camoniana\imagens\capas\788999\1\135.jpg</v>
      </c>
      <c r="Q887" s="12"/>
      <c r="R887" s="6" t="s">
        <v>1184</v>
      </c>
      <c r="S887" s="4"/>
      <c r="T887" s="1" t="s">
        <v>1171</v>
      </c>
      <c r="U887" s="13"/>
      <c r="V887" s="13"/>
      <c r="W887" s="5" t="s">
        <v>1491</v>
      </c>
    </row>
    <row r="888" spans="1:23" ht="105">
      <c r="A888" s="1">
        <v>788999</v>
      </c>
      <c r="B888" s="1">
        <v>1</v>
      </c>
      <c r="C888" s="1">
        <v>137</v>
      </c>
      <c r="D888" s="2" t="s">
        <v>1169</v>
      </c>
      <c r="E888" s="5" t="s">
        <v>1169</v>
      </c>
      <c r="F888" s="5">
        <v>272640</v>
      </c>
      <c r="G888" s="2" t="s">
        <v>1494</v>
      </c>
      <c r="H888" s="2" t="s">
        <v>1495</v>
      </c>
      <c r="I888" s="2" t="s">
        <v>1496</v>
      </c>
      <c r="J888" s="2" t="str">
        <f t="shared" si="26"/>
        <v>https://permalinkbnd.bnportugal.gov.pt/viewer/272640/?offset=#page=137&amp;viewer=picture&amp;o=info&amp;n=0&amp;q=</v>
      </c>
      <c r="K888" s="1" t="s">
        <v>1170</v>
      </c>
      <c r="L888" s="1" t="str">
        <f>VLOOKUP(A888,Folha2!$A$2:$B$2019,2,FALSE)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8" s="12" t="str">
        <f t="shared" si="27"/>
        <v>https://permalinkbnd.bnportugal.gov.pt/viewer/272640/?offset=#page=137&amp;viewer=picture&amp;o=info&amp;n=0&amp;q=</v>
      </c>
      <c r="N888" s="12" t="s">
        <v>1497</v>
      </c>
      <c r="O888" s="12" t="str">
        <f>CONCATENATE(N888,A888,"\",B888,"\",C888,".jpg")</f>
        <v>C:\Users\mbaptista\OneDrive - Biblioteca Nacional de Portugal\Documentos\python\camoniana\imagens\capas\788999\1\137.jpg</v>
      </c>
      <c r="P888" s="12" t="str">
        <f>HYPERLINK(O888)</f>
        <v>C:\Users\mbaptista\OneDrive - Biblioteca Nacional de Portugal\Documentos\python\camoniana\imagens\capas\788999\1\137.jpg</v>
      </c>
      <c r="Q888" s="12"/>
      <c r="R888" s="6"/>
      <c r="S888" s="4"/>
      <c r="T888" s="1"/>
      <c r="U888" s="13"/>
      <c r="V888" s="13"/>
      <c r="W888" s="5"/>
    </row>
    <row r="889" spans="1:23" ht="105">
      <c r="A889" s="1">
        <v>788999</v>
      </c>
      <c r="B889" s="1">
        <v>1</v>
      </c>
      <c r="C889" s="1">
        <v>161</v>
      </c>
      <c r="D889" s="2" t="s">
        <v>1169</v>
      </c>
      <c r="E889" s="11" t="s">
        <v>1169</v>
      </c>
      <c r="F889" s="11">
        <v>272640</v>
      </c>
      <c r="G889" s="2" t="s">
        <v>1494</v>
      </c>
      <c r="H889" s="2" t="s">
        <v>1495</v>
      </c>
      <c r="I889" s="2" t="s">
        <v>1496</v>
      </c>
      <c r="J889" s="2" t="str">
        <f t="shared" si="26"/>
        <v>https://permalinkbnd.bnportugal.gov.pt/viewer/272640/?offset=#page=161&amp;viewer=picture&amp;o=info&amp;n=0&amp;q=</v>
      </c>
      <c r="K889" s="1" t="s">
        <v>1170</v>
      </c>
      <c r="L889" s="1" t="str">
        <f>VLOOKUP(A889,Folha2!$A$2:$B$2019,2,FALSE)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9" s="12" t="str">
        <f t="shared" si="27"/>
        <v>https://permalinkbnd.bnportugal.gov.pt/viewer/272640/?offset=#page=161&amp;viewer=picture&amp;o=info&amp;n=0&amp;q=</v>
      </c>
      <c r="N889" s="12" t="s">
        <v>1497</v>
      </c>
      <c r="O889" s="12" t="str">
        <f>CONCATENATE(N889,A889,"\",B889,"\",C889,".jpg")</f>
        <v>C:\Users\mbaptista\OneDrive - Biblioteca Nacional de Portugal\Documentos\python\camoniana\imagens\capas\788999\1\161.jpg</v>
      </c>
      <c r="P889" s="12" t="str">
        <f>HYPERLINK(O889)</f>
        <v>C:\Users\mbaptista\OneDrive - Biblioteca Nacional de Portugal\Documentos\python\camoniana\imagens\capas\788999\1\161.jpg</v>
      </c>
      <c r="Q889" s="12"/>
      <c r="R889" s="6" t="s">
        <v>1185</v>
      </c>
      <c r="S889" s="4"/>
      <c r="T889" s="1" t="s">
        <v>1171</v>
      </c>
      <c r="U889" s="13"/>
      <c r="V889" s="13"/>
      <c r="W889" s="5" t="s">
        <v>1491</v>
      </c>
    </row>
    <row r="890" spans="1:23" ht="105">
      <c r="A890" s="1">
        <v>788999</v>
      </c>
      <c r="B890" s="1">
        <v>1</v>
      </c>
      <c r="C890" s="1">
        <v>167</v>
      </c>
      <c r="D890" s="2" t="s">
        <v>1169</v>
      </c>
      <c r="E890" s="5" t="s">
        <v>1169</v>
      </c>
      <c r="F890" s="5">
        <v>272640</v>
      </c>
      <c r="G890" s="2" t="s">
        <v>1494</v>
      </c>
      <c r="H890" s="2" t="s">
        <v>1495</v>
      </c>
      <c r="I890" s="2" t="s">
        <v>1496</v>
      </c>
      <c r="J890" s="2" t="str">
        <f t="shared" si="26"/>
        <v>https://permalinkbnd.bnportugal.gov.pt/viewer/272640/?offset=#page=167&amp;viewer=picture&amp;o=info&amp;n=0&amp;q=</v>
      </c>
      <c r="K890" s="1" t="s">
        <v>1170</v>
      </c>
      <c r="L890" s="1" t="str">
        <f>VLOOKUP(A890,Folha2!$A$2:$B$2019,2,FALSE)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0" s="12" t="str">
        <f t="shared" si="27"/>
        <v>https://permalinkbnd.bnportugal.gov.pt/viewer/272640/?offset=#page=167&amp;viewer=picture&amp;o=info&amp;n=0&amp;q=</v>
      </c>
      <c r="N890" s="12" t="s">
        <v>1497</v>
      </c>
      <c r="O890" s="12" t="str">
        <f>CONCATENATE(N890,A890,"\",B890,"\",C890,".jpg")</f>
        <v>C:\Users\mbaptista\OneDrive - Biblioteca Nacional de Portugal\Documentos\python\camoniana\imagens\capas\788999\1\167.jpg</v>
      </c>
      <c r="P890" s="12" t="str">
        <f>HYPERLINK(O890)</f>
        <v>C:\Users\mbaptista\OneDrive - Biblioteca Nacional de Portugal\Documentos\python\camoniana\imagens\capas\788999\1\167.jpg</v>
      </c>
      <c r="Q890" s="12"/>
      <c r="R890" s="6" t="s">
        <v>1186</v>
      </c>
      <c r="S890" s="4"/>
      <c r="T890" s="1" t="s">
        <v>1171</v>
      </c>
      <c r="U890" s="13"/>
      <c r="V890" s="13"/>
      <c r="W890" s="5" t="s">
        <v>1491</v>
      </c>
    </row>
    <row r="891" spans="1:23" ht="105">
      <c r="A891" s="1">
        <v>788999</v>
      </c>
      <c r="B891" s="1">
        <v>1</v>
      </c>
      <c r="C891" s="1">
        <v>169</v>
      </c>
      <c r="D891" s="2" t="s">
        <v>1169</v>
      </c>
      <c r="E891" s="11" t="s">
        <v>1169</v>
      </c>
      <c r="F891" s="11">
        <v>272640</v>
      </c>
      <c r="G891" s="2" t="s">
        <v>1494</v>
      </c>
      <c r="H891" s="2" t="s">
        <v>1495</v>
      </c>
      <c r="I891" s="2" t="s">
        <v>1496</v>
      </c>
      <c r="J891" s="2" t="str">
        <f t="shared" si="26"/>
        <v>https://permalinkbnd.bnportugal.gov.pt/viewer/272640/?offset=#page=169&amp;viewer=picture&amp;o=info&amp;n=0&amp;q=</v>
      </c>
      <c r="K891" s="1" t="s">
        <v>1170</v>
      </c>
      <c r="L891" s="1" t="str">
        <f>VLOOKUP(A891,Folha2!$A$2:$B$2019,2,FALSE)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1" s="12" t="str">
        <f t="shared" si="27"/>
        <v>https://permalinkbnd.bnportugal.gov.pt/viewer/272640/?offset=#page=169&amp;viewer=picture&amp;o=info&amp;n=0&amp;q=</v>
      </c>
      <c r="N891" s="12" t="s">
        <v>1497</v>
      </c>
      <c r="O891" s="12" t="str">
        <f>CONCATENATE(N891,A891,"\",B891,"\",C891,".jpg")</f>
        <v>C:\Users\mbaptista\OneDrive - Biblioteca Nacional de Portugal\Documentos\python\camoniana\imagens\capas\788999\1\169.jpg</v>
      </c>
      <c r="P891" s="12" t="str">
        <f>HYPERLINK(O891)</f>
        <v>C:\Users\mbaptista\OneDrive - Biblioteca Nacional de Portugal\Documentos\python\camoniana\imagens\capas\788999\1\169.jpg</v>
      </c>
      <c r="Q891" s="12"/>
      <c r="R891" s="6"/>
      <c r="S891" s="4"/>
      <c r="T891" s="1"/>
      <c r="U891" s="13"/>
      <c r="V891" s="13"/>
      <c r="W891" s="5"/>
    </row>
    <row r="892" spans="1:23" ht="105">
      <c r="A892" s="1">
        <v>788999</v>
      </c>
      <c r="B892" s="1">
        <v>1</v>
      </c>
      <c r="C892" s="1">
        <v>181</v>
      </c>
      <c r="D892" s="2" t="s">
        <v>1169</v>
      </c>
      <c r="E892" s="5" t="s">
        <v>1169</v>
      </c>
      <c r="F892" s="5">
        <v>272640</v>
      </c>
      <c r="G892" s="2" t="s">
        <v>1494</v>
      </c>
      <c r="H892" s="2" t="s">
        <v>1495</v>
      </c>
      <c r="I892" s="2" t="s">
        <v>1496</v>
      </c>
      <c r="J892" s="2" t="str">
        <f t="shared" si="26"/>
        <v>https://permalinkbnd.bnportugal.gov.pt/viewer/272640/?offset=#page=181&amp;viewer=picture&amp;o=info&amp;n=0&amp;q=</v>
      </c>
      <c r="K892" s="1" t="s">
        <v>1170</v>
      </c>
      <c r="L892" s="1" t="str">
        <f>VLOOKUP(A892,Folha2!$A$2:$B$2019,2,FALSE)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2" s="12" t="str">
        <f t="shared" si="27"/>
        <v>https://permalinkbnd.bnportugal.gov.pt/viewer/272640/?offset=#page=181&amp;viewer=picture&amp;o=info&amp;n=0&amp;q=</v>
      </c>
      <c r="N892" s="12" t="s">
        <v>1497</v>
      </c>
      <c r="O892" s="12" t="str">
        <f>CONCATENATE(N892,A892,"\",B892,"\",C892,".jpg")</f>
        <v>C:\Users\mbaptista\OneDrive - Biblioteca Nacional de Portugal\Documentos\python\camoniana\imagens\capas\788999\1\181.jpg</v>
      </c>
      <c r="P892" s="12" t="str">
        <f>HYPERLINK(O892)</f>
        <v>C:\Users\mbaptista\OneDrive - Biblioteca Nacional de Portugal\Documentos\python\camoniana\imagens\capas\788999\1\181.jpg</v>
      </c>
      <c r="Q892" s="12"/>
      <c r="R892" s="6" t="s">
        <v>1187</v>
      </c>
      <c r="S892" s="4"/>
      <c r="T892" s="1" t="s">
        <v>1171</v>
      </c>
      <c r="U892" s="13"/>
      <c r="V892" s="13"/>
      <c r="W892" s="5" t="s">
        <v>1491</v>
      </c>
    </row>
    <row r="893" spans="1:23" ht="105">
      <c r="A893" s="1">
        <v>788999</v>
      </c>
      <c r="B893" s="1">
        <v>1</v>
      </c>
      <c r="C893" s="1">
        <v>197</v>
      </c>
      <c r="D893" s="2" t="s">
        <v>1169</v>
      </c>
      <c r="E893" s="11" t="s">
        <v>1169</v>
      </c>
      <c r="F893" s="11">
        <v>272640</v>
      </c>
      <c r="G893" s="2" t="s">
        <v>1494</v>
      </c>
      <c r="H893" s="2" t="s">
        <v>1495</v>
      </c>
      <c r="I893" s="2" t="s">
        <v>1496</v>
      </c>
      <c r="J893" s="2" t="str">
        <f t="shared" si="26"/>
        <v>https://permalinkbnd.bnportugal.gov.pt/viewer/272640/?offset=#page=197&amp;viewer=picture&amp;o=info&amp;n=0&amp;q=</v>
      </c>
      <c r="K893" s="1" t="s">
        <v>1170</v>
      </c>
      <c r="L893" s="1" t="str">
        <f>VLOOKUP(A893,Folha2!$A$2:$B$2019,2,FALSE)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3" s="12" t="str">
        <f t="shared" si="27"/>
        <v>https://permalinkbnd.bnportugal.gov.pt/viewer/272640/?offset=#page=197&amp;viewer=picture&amp;o=info&amp;n=0&amp;q=</v>
      </c>
      <c r="N893" s="12" t="s">
        <v>1497</v>
      </c>
      <c r="O893" s="12" t="str">
        <f>CONCATENATE(N893,A893,"\",B893,"\",C893,".jpg")</f>
        <v>C:\Users\mbaptista\OneDrive - Biblioteca Nacional de Portugal\Documentos\python\camoniana\imagens\capas\788999\1\197.jpg</v>
      </c>
      <c r="P893" s="12" t="str">
        <f>HYPERLINK(O893)</f>
        <v>C:\Users\mbaptista\OneDrive - Biblioteca Nacional de Portugal\Documentos\python\camoniana\imagens\capas\788999\1\197.jpg</v>
      </c>
      <c r="Q893" s="12"/>
      <c r="R893" s="6" t="s">
        <v>1188</v>
      </c>
      <c r="S893" s="4"/>
      <c r="T893" s="1" t="s">
        <v>1171</v>
      </c>
      <c r="U893" s="13"/>
      <c r="V893" s="13"/>
      <c r="W893" s="5" t="s">
        <v>1491</v>
      </c>
    </row>
    <row r="894" spans="1:23" ht="105">
      <c r="A894" s="1">
        <v>788999</v>
      </c>
      <c r="B894" s="1">
        <v>1</v>
      </c>
      <c r="C894" s="1">
        <v>199</v>
      </c>
      <c r="D894" s="2" t="s">
        <v>1169</v>
      </c>
      <c r="E894" s="5" t="s">
        <v>1169</v>
      </c>
      <c r="F894" s="5">
        <v>272640</v>
      </c>
      <c r="G894" s="2" t="s">
        <v>1494</v>
      </c>
      <c r="H894" s="2" t="s">
        <v>1495</v>
      </c>
      <c r="I894" s="2" t="s">
        <v>1496</v>
      </c>
      <c r="J894" s="2" t="str">
        <f t="shared" si="26"/>
        <v>https://permalinkbnd.bnportugal.gov.pt/viewer/272640/?offset=#page=199&amp;viewer=picture&amp;o=info&amp;n=0&amp;q=</v>
      </c>
      <c r="K894" s="1" t="s">
        <v>1170</v>
      </c>
      <c r="L894" s="1" t="str">
        <f>VLOOKUP(A894,Folha2!$A$2:$B$2019,2,FALSE)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4" s="12" t="str">
        <f t="shared" si="27"/>
        <v>https://permalinkbnd.bnportugal.gov.pt/viewer/272640/?offset=#page=199&amp;viewer=picture&amp;o=info&amp;n=0&amp;q=</v>
      </c>
      <c r="N894" s="12" t="s">
        <v>1497</v>
      </c>
      <c r="O894" s="12" t="str">
        <f>CONCATENATE(N894,A894,"\",B894,"\",C894,".jpg")</f>
        <v>C:\Users\mbaptista\OneDrive - Biblioteca Nacional de Portugal\Documentos\python\camoniana\imagens\capas\788999\1\199.jpg</v>
      </c>
      <c r="P894" s="12" t="str">
        <f>HYPERLINK(O894)</f>
        <v>C:\Users\mbaptista\OneDrive - Biblioteca Nacional de Portugal\Documentos\python\camoniana\imagens\capas\788999\1\199.jpg</v>
      </c>
      <c r="Q894" s="12"/>
      <c r="R894" s="6"/>
      <c r="S894" s="4"/>
      <c r="T894" s="1"/>
      <c r="U894" s="13"/>
      <c r="V894" s="13"/>
      <c r="W894" s="5"/>
    </row>
    <row r="895" spans="1:23" ht="105">
      <c r="A895" s="1">
        <v>788999</v>
      </c>
      <c r="B895" s="1">
        <v>1</v>
      </c>
      <c r="C895" s="1">
        <v>207</v>
      </c>
      <c r="D895" s="2" t="s">
        <v>1169</v>
      </c>
      <c r="E895" s="11" t="s">
        <v>1169</v>
      </c>
      <c r="F895" s="11">
        <v>272640</v>
      </c>
      <c r="G895" s="2" t="s">
        <v>1494</v>
      </c>
      <c r="H895" s="2" t="s">
        <v>1495</v>
      </c>
      <c r="I895" s="2" t="s">
        <v>1496</v>
      </c>
      <c r="J895" s="2" t="str">
        <f t="shared" si="26"/>
        <v>https://permalinkbnd.bnportugal.gov.pt/viewer/272640/?offset=#page=207&amp;viewer=picture&amp;o=info&amp;n=0&amp;q=</v>
      </c>
      <c r="K895" s="1" t="s">
        <v>1170</v>
      </c>
      <c r="L895" s="1" t="str">
        <f>VLOOKUP(A895,Folha2!$A$2:$B$2019,2,FALSE)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5" s="12" t="str">
        <f t="shared" si="27"/>
        <v>https://permalinkbnd.bnportugal.gov.pt/viewer/272640/?offset=#page=207&amp;viewer=picture&amp;o=info&amp;n=0&amp;q=</v>
      </c>
      <c r="N895" s="12" t="s">
        <v>1497</v>
      </c>
      <c r="O895" s="12" t="str">
        <f>CONCATENATE(N895,A895,"\",B895,"\",C895,".jpg")</f>
        <v>C:\Users\mbaptista\OneDrive - Biblioteca Nacional de Portugal\Documentos\python\camoniana\imagens\capas\788999\1\207.jpg</v>
      </c>
      <c r="P895" s="12" t="str">
        <f>HYPERLINK(O895)</f>
        <v>C:\Users\mbaptista\OneDrive - Biblioteca Nacional de Portugal\Documentos\python\camoniana\imagens\capas\788999\1\207.jpg</v>
      </c>
      <c r="Q895" s="12"/>
      <c r="R895" s="6" t="s">
        <v>1189</v>
      </c>
      <c r="S895" s="4"/>
      <c r="T895" s="1" t="s">
        <v>1171</v>
      </c>
      <c r="U895" s="13"/>
      <c r="V895" s="13"/>
      <c r="W895" s="5" t="s">
        <v>1491</v>
      </c>
    </row>
    <row r="896" spans="1:23" ht="105">
      <c r="A896" s="1">
        <v>788999</v>
      </c>
      <c r="B896" s="1">
        <v>1</v>
      </c>
      <c r="C896" s="1">
        <v>227</v>
      </c>
      <c r="D896" s="2" t="s">
        <v>1169</v>
      </c>
      <c r="E896" s="5" t="s">
        <v>1169</v>
      </c>
      <c r="F896" s="5">
        <v>272640</v>
      </c>
      <c r="G896" s="2" t="s">
        <v>1494</v>
      </c>
      <c r="H896" s="2" t="s">
        <v>1495</v>
      </c>
      <c r="I896" s="2" t="s">
        <v>1496</v>
      </c>
      <c r="J896" s="2" t="str">
        <f t="shared" si="26"/>
        <v>https://permalinkbnd.bnportugal.gov.pt/viewer/272640/?offset=#page=227&amp;viewer=picture&amp;o=info&amp;n=0&amp;q=</v>
      </c>
      <c r="K896" s="1" t="s">
        <v>1170</v>
      </c>
      <c r="L896" s="1" t="str">
        <f>VLOOKUP(A896,Folha2!$A$2:$B$2019,2,FALSE)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6" s="12" t="str">
        <f t="shared" si="27"/>
        <v>https://permalinkbnd.bnportugal.gov.pt/viewer/272640/?offset=#page=227&amp;viewer=picture&amp;o=info&amp;n=0&amp;q=</v>
      </c>
      <c r="N896" s="12" t="s">
        <v>1497</v>
      </c>
      <c r="O896" s="12" t="str">
        <f>CONCATENATE(N896,A896,"\",B896,"\",C896,".jpg")</f>
        <v>C:\Users\mbaptista\OneDrive - Biblioteca Nacional de Portugal\Documentos\python\camoniana\imagens\capas\788999\1\227.jpg</v>
      </c>
      <c r="P896" s="12" t="str">
        <f>HYPERLINK(O896)</f>
        <v>C:\Users\mbaptista\OneDrive - Biblioteca Nacional de Portugal\Documentos\python\camoniana\imagens\capas\788999\1\227.jpg</v>
      </c>
      <c r="Q896" s="12"/>
      <c r="R896" s="6" t="s">
        <v>1190</v>
      </c>
      <c r="S896" s="4"/>
      <c r="T896" s="1" t="s">
        <v>1171</v>
      </c>
      <c r="U896" s="13"/>
      <c r="V896" s="13"/>
      <c r="W896" s="5" t="s">
        <v>1491</v>
      </c>
    </row>
    <row r="897" spans="1:23" ht="105">
      <c r="A897" s="1">
        <v>788999</v>
      </c>
      <c r="B897" s="1">
        <v>1</v>
      </c>
      <c r="C897" s="1">
        <v>229</v>
      </c>
      <c r="D897" s="2" t="s">
        <v>1169</v>
      </c>
      <c r="E897" s="11" t="s">
        <v>1169</v>
      </c>
      <c r="F897" s="11">
        <v>272640</v>
      </c>
      <c r="G897" s="2" t="s">
        <v>1494</v>
      </c>
      <c r="H897" s="2" t="s">
        <v>1495</v>
      </c>
      <c r="I897" s="2" t="s">
        <v>1496</v>
      </c>
      <c r="J897" s="2" t="str">
        <f t="shared" si="26"/>
        <v>https://permalinkbnd.bnportugal.gov.pt/viewer/272640/?offset=#page=229&amp;viewer=picture&amp;o=info&amp;n=0&amp;q=</v>
      </c>
      <c r="K897" s="1" t="s">
        <v>1170</v>
      </c>
      <c r="L897" s="1" t="str">
        <f>VLOOKUP(A897,Folha2!$A$2:$B$2019,2,FALSE)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7" s="12" t="str">
        <f t="shared" si="27"/>
        <v>https://permalinkbnd.bnportugal.gov.pt/viewer/272640/?offset=#page=229&amp;viewer=picture&amp;o=info&amp;n=0&amp;q=</v>
      </c>
      <c r="N897" s="12" t="s">
        <v>1497</v>
      </c>
      <c r="O897" s="12" t="str">
        <f>CONCATENATE(N897,A897,"\",B897,"\",C897,".jpg")</f>
        <v>C:\Users\mbaptista\OneDrive - Biblioteca Nacional de Portugal\Documentos\python\camoniana\imagens\capas\788999\1\229.jpg</v>
      </c>
      <c r="P897" s="12" t="str">
        <f>HYPERLINK(O897)</f>
        <v>C:\Users\mbaptista\OneDrive - Biblioteca Nacional de Portugal\Documentos\python\camoniana\imagens\capas\788999\1\229.jpg</v>
      </c>
      <c r="Q897" s="12"/>
      <c r="R897" s="6"/>
      <c r="S897" s="4"/>
      <c r="T897" s="1"/>
      <c r="U897" s="13"/>
      <c r="V897" s="13"/>
      <c r="W897" s="5"/>
    </row>
    <row r="898" spans="1:23" ht="105">
      <c r="A898" s="1">
        <v>788999</v>
      </c>
      <c r="B898" s="1">
        <v>1</v>
      </c>
      <c r="C898" s="1">
        <v>241</v>
      </c>
      <c r="D898" s="2" t="s">
        <v>1169</v>
      </c>
      <c r="E898" s="5" t="s">
        <v>1169</v>
      </c>
      <c r="F898" s="5">
        <v>272640</v>
      </c>
      <c r="G898" s="2" t="s">
        <v>1494</v>
      </c>
      <c r="H898" s="2" t="s">
        <v>1495</v>
      </c>
      <c r="I898" s="2" t="s">
        <v>1496</v>
      </c>
      <c r="J898" s="2" t="str">
        <f t="shared" ref="J898:J961" si="28">CONCATENATE(G898,F898,H898,C898,I898)</f>
        <v>https://permalinkbnd.bnportugal.gov.pt/viewer/272640/?offset=#page=241&amp;viewer=picture&amp;o=info&amp;n=0&amp;q=</v>
      </c>
      <c r="K898" s="1" t="s">
        <v>1170</v>
      </c>
      <c r="L898" s="1" t="str">
        <f>VLOOKUP(A898,Folha2!$A$2:$B$2019,2,FALSE)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8" s="12" t="str">
        <f t="shared" ref="M898:M961" si="29">HYPERLINK(J898)</f>
        <v>https://permalinkbnd.bnportugal.gov.pt/viewer/272640/?offset=#page=241&amp;viewer=picture&amp;o=info&amp;n=0&amp;q=</v>
      </c>
      <c r="N898" s="12" t="s">
        <v>1497</v>
      </c>
      <c r="O898" s="12" t="str">
        <f>CONCATENATE(N898,A898,"\",B898,"\",C898,".jpg")</f>
        <v>C:\Users\mbaptista\OneDrive - Biblioteca Nacional de Portugal\Documentos\python\camoniana\imagens\capas\788999\1\241.jpg</v>
      </c>
      <c r="P898" s="12" t="str">
        <f>HYPERLINK(O898)</f>
        <v>C:\Users\mbaptista\OneDrive - Biblioteca Nacional de Portugal\Documentos\python\camoniana\imagens\capas\788999\1\241.jpg</v>
      </c>
      <c r="Q898" s="12"/>
      <c r="R898" s="6" t="s">
        <v>1191</v>
      </c>
      <c r="S898" s="4"/>
      <c r="T898" s="1" t="s">
        <v>1171</v>
      </c>
      <c r="U898" s="13"/>
      <c r="V898" s="13"/>
      <c r="W898" s="5" t="s">
        <v>1491</v>
      </c>
    </row>
    <row r="899" spans="1:23" ht="105">
      <c r="A899" s="1">
        <v>788999</v>
      </c>
      <c r="B899" s="1">
        <v>1</v>
      </c>
      <c r="C899" s="1">
        <v>253</v>
      </c>
      <c r="D899" s="2" t="s">
        <v>1169</v>
      </c>
      <c r="E899" s="11" t="s">
        <v>1169</v>
      </c>
      <c r="F899" s="11">
        <v>272640</v>
      </c>
      <c r="G899" s="2" t="s">
        <v>1494</v>
      </c>
      <c r="H899" s="2" t="s">
        <v>1495</v>
      </c>
      <c r="I899" s="2" t="s">
        <v>1496</v>
      </c>
      <c r="J899" s="2" t="str">
        <f t="shared" si="28"/>
        <v>https://permalinkbnd.bnportugal.gov.pt/viewer/272640/?offset=#page=253&amp;viewer=picture&amp;o=info&amp;n=0&amp;q=</v>
      </c>
      <c r="K899" s="1" t="s">
        <v>1170</v>
      </c>
      <c r="L899" s="1" t="str">
        <f>VLOOKUP(A899,Folha2!$A$2:$B$2019,2,FALSE)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9" s="12" t="str">
        <f t="shared" si="29"/>
        <v>https://permalinkbnd.bnportugal.gov.pt/viewer/272640/?offset=#page=253&amp;viewer=picture&amp;o=info&amp;n=0&amp;q=</v>
      </c>
      <c r="N899" s="12" t="s">
        <v>1497</v>
      </c>
      <c r="O899" s="12" t="str">
        <f>CONCATENATE(N899,A899,"\",B899,"\",C899,".jpg")</f>
        <v>C:\Users\mbaptista\OneDrive - Biblioteca Nacional de Portugal\Documentos\python\camoniana\imagens\capas\788999\1\253.jpg</v>
      </c>
      <c r="P899" s="12" t="str">
        <f>HYPERLINK(O899)</f>
        <v>C:\Users\mbaptista\OneDrive - Biblioteca Nacional de Portugal\Documentos\python\camoniana\imagens\capas\788999\1\253.jpg</v>
      </c>
      <c r="Q899" s="12"/>
      <c r="R899" s="6" t="s">
        <v>1192</v>
      </c>
      <c r="S899" s="4"/>
      <c r="T899" s="1" t="s">
        <v>1171</v>
      </c>
      <c r="U899" s="13"/>
      <c r="V899" s="13"/>
      <c r="W899" s="5" t="s">
        <v>1491</v>
      </c>
    </row>
    <row r="900" spans="1:23" ht="105">
      <c r="A900" s="1">
        <v>788999</v>
      </c>
      <c r="B900" s="1">
        <v>1</v>
      </c>
      <c r="C900" s="1">
        <v>255</v>
      </c>
      <c r="D900" s="2" t="s">
        <v>1169</v>
      </c>
      <c r="E900" s="5" t="s">
        <v>1169</v>
      </c>
      <c r="F900" s="5">
        <v>272640</v>
      </c>
      <c r="G900" s="2" t="s">
        <v>1494</v>
      </c>
      <c r="H900" s="2" t="s">
        <v>1495</v>
      </c>
      <c r="I900" s="2" t="s">
        <v>1496</v>
      </c>
      <c r="J900" s="2" t="str">
        <f t="shared" si="28"/>
        <v>https://permalinkbnd.bnportugal.gov.pt/viewer/272640/?offset=#page=255&amp;viewer=picture&amp;o=info&amp;n=0&amp;q=</v>
      </c>
      <c r="K900" s="1" t="s">
        <v>1170</v>
      </c>
      <c r="L900" s="1" t="str">
        <f>VLOOKUP(A900,Folha2!$A$2:$B$2019,2,FALSE)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0" s="12" t="str">
        <f t="shared" si="29"/>
        <v>https://permalinkbnd.bnportugal.gov.pt/viewer/272640/?offset=#page=255&amp;viewer=picture&amp;o=info&amp;n=0&amp;q=</v>
      </c>
      <c r="N900" s="12" t="s">
        <v>1497</v>
      </c>
      <c r="O900" s="12" t="str">
        <f>CONCATENATE(N900,A900,"\",B900,"\",C900,".jpg")</f>
        <v>C:\Users\mbaptista\OneDrive - Biblioteca Nacional de Portugal\Documentos\python\camoniana\imagens\capas\788999\1\255.jpg</v>
      </c>
      <c r="P900" s="12" t="str">
        <f>HYPERLINK(O900)</f>
        <v>C:\Users\mbaptista\OneDrive - Biblioteca Nacional de Portugal\Documentos\python\camoniana\imagens\capas\788999\1\255.jpg</v>
      </c>
      <c r="Q900" s="12"/>
      <c r="R900" s="6"/>
      <c r="S900" s="4"/>
      <c r="T900" s="1"/>
      <c r="U900" s="13"/>
      <c r="V900" s="13"/>
      <c r="W900" s="5"/>
    </row>
    <row r="901" spans="1:23" ht="105">
      <c r="A901" s="1">
        <v>788999</v>
      </c>
      <c r="B901" s="1">
        <v>1</v>
      </c>
      <c r="C901" s="1">
        <v>271</v>
      </c>
      <c r="D901" s="2" t="s">
        <v>1169</v>
      </c>
      <c r="E901" s="11" t="s">
        <v>1169</v>
      </c>
      <c r="F901" s="11">
        <v>272640</v>
      </c>
      <c r="G901" s="2" t="s">
        <v>1494</v>
      </c>
      <c r="H901" s="2" t="s">
        <v>1495</v>
      </c>
      <c r="I901" s="2" t="s">
        <v>1496</v>
      </c>
      <c r="J901" s="2" t="str">
        <f t="shared" si="28"/>
        <v>https://permalinkbnd.bnportugal.gov.pt/viewer/272640/?offset=#page=271&amp;viewer=picture&amp;o=info&amp;n=0&amp;q=</v>
      </c>
      <c r="K901" s="1" t="s">
        <v>1170</v>
      </c>
      <c r="L901" s="1" t="str">
        <f>VLOOKUP(A901,Folha2!$A$2:$B$2019,2,FALSE)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1" s="12" t="str">
        <f t="shared" si="29"/>
        <v>https://permalinkbnd.bnportugal.gov.pt/viewer/272640/?offset=#page=271&amp;viewer=picture&amp;o=info&amp;n=0&amp;q=</v>
      </c>
      <c r="N901" s="12" t="s">
        <v>1497</v>
      </c>
      <c r="O901" s="12" t="str">
        <f>CONCATENATE(N901,A901,"\",B901,"\",C901,".jpg")</f>
        <v>C:\Users\mbaptista\OneDrive - Biblioteca Nacional de Portugal\Documentos\python\camoniana\imagens\capas\788999\1\271.jpg</v>
      </c>
      <c r="P901" s="12" t="str">
        <f>HYPERLINK(O901)</f>
        <v>C:\Users\mbaptista\OneDrive - Biblioteca Nacional de Portugal\Documentos\python\camoniana\imagens\capas\788999\1\271.jpg</v>
      </c>
      <c r="Q901" s="12"/>
      <c r="R901" s="6" t="s">
        <v>1193</v>
      </c>
      <c r="S901" s="4"/>
      <c r="T901" s="1" t="s">
        <v>1171</v>
      </c>
      <c r="U901" s="13"/>
      <c r="V901" s="13"/>
      <c r="W901" s="5" t="s">
        <v>1491</v>
      </c>
    </row>
    <row r="902" spans="1:23" ht="105">
      <c r="A902" s="1">
        <v>788999</v>
      </c>
      <c r="B902" s="1">
        <v>1</v>
      </c>
      <c r="C902" s="1">
        <v>283</v>
      </c>
      <c r="D902" s="2" t="s">
        <v>1169</v>
      </c>
      <c r="E902" s="5" t="s">
        <v>1169</v>
      </c>
      <c r="F902" s="5">
        <v>272640</v>
      </c>
      <c r="G902" s="2" t="s">
        <v>1494</v>
      </c>
      <c r="H902" s="2" t="s">
        <v>1495</v>
      </c>
      <c r="I902" s="2" t="s">
        <v>1496</v>
      </c>
      <c r="J902" s="2" t="str">
        <f t="shared" si="28"/>
        <v>https://permalinkbnd.bnportugal.gov.pt/viewer/272640/?offset=#page=283&amp;viewer=picture&amp;o=info&amp;n=0&amp;q=</v>
      </c>
      <c r="K902" s="1" t="s">
        <v>1170</v>
      </c>
      <c r="L902" s="1" t="str">
        <f>VLOOKUP(A902,Folha2!$A$2:$B$2019,2,FALSE)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2" s="12" t="str">
        <f t="shared" si="29"/>
        <v>https://permalinkbnd.bnportugal.gov.pt/viewer/272640/?offset=#page=283&amp;viewer=picture&amp;o=info&amp;n=0&amp;q=</v>
      </c>
      <c r="N902" s="12" t="s">
        <v>1497</v>
      </c>
      <c r="O902" s="12" t="str">
        <f>CONCATENATE(N902,A902,"\",B902,"\",C902,".jpg")</f>
        <v>C:\Users\mbaptista\OneDrive - Biblioteca Nacional de Portugal\Documentos\python\camoniana\imagens\capas\788999\1\283.jpg</v>
      </c>
      <c r="P902" s="12" t="str">
        <f>HYPERLINK(O902)</f>
        <v>C:\Users\mbaptista\OneDrive - Biblioteca Nacional de Portugal\Documentos\python\camoniana\imagens\capas\788999\1\283.jpg</v>
      </c>
      <c r="Q902" s="12"/>
      <c r="R902" s="6" t="s">
        <v>1194</v>
      </c>
      <c r="S902" s="4"/>
      <c r="T902" s="1" t="s">
        <v>1171</v>
      </c>
      <c r="U902" s="13"/>
      <c r="V902" s="13"/>
      <c r="W902" s="5" t="s">
        <v>1491</v>
      </c>
    </row>
    <row r="903" spans="1:23" ht="105">
      <c r="A903" s="1">
        <v>788999</v>
      </c>
      <c r="B903" s="1">
        <v>1</v>
      </c>
      <c r="C903" s="1">
        <v>285</v>
      </c>
      <c r="D903" s="2" t="s">
        <v>1169</v>
      </c>
      <c r="E903" s="11" t="s">
        <v>1169</v>
      </c>
      <c r="F903" s="11">
        <v>272640</v>
      </c>
      <c r="G903" s="2" t="s">
        <v>1494</v>
      </c>
      <c r="H903" s="2" t="s">
        <v>1495</v>
      </c>
      <c r="I903" s="2" t="s">
        <v>1496</v>
      </c>
      <c r="J903" s="2" t="str">
        <f t="shared" si="28"/>
        <v>https://permalinkbnd.bnportugal.gov.pt/viewer/272640/?offset=#page=285&amp;viewer=picture&amp;o=info&amp;n=0&amp;q=</v>
      </c>
      <c r="K903" s="1" t="s">
        <v>1170</v>
      </c>
      <c r="L903" s="1" t="str">
        <f>VLOOKUP(A903,Folha2!$A$2:$B$2019,2,FALSE)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3" s="12" t="str">
        <f t="shared" si="29"/>
        <v>https://permalinkbnd.bnportugal.gov.pt/viewer/272640/?offset=#page=285&amp;viewer=picture&amp;o=info&amp;n=0&amp;q=</v>
      </c>
      <c r="N903" s="12" t="s">
        <v>1497</v>
      </c>
      <c r="O903" s="12" t="str">
        <f>CONCATENATE(N903,A903,"\",B903,"\",C903,".jpg")</f>
        <v>C:\Users\mbaptista\OneDrive - Biblioteca Nacional de Portugal\Documentos\python\camoniana\imagens\capas\788999\1\285.jpg</v>
      </c>
      <c r="P903" s="12" t="str">
        <f>HYPERLINK(O903)</f>
        <v>C:\Users\mbaptista\OneDrive - Biblioteca Nacional de Portugal\Documentos\python\camoniana\imagens\capas\788999\1\285.jpg</v>
      </c>
      <c r="Q903" s="12"/>
      <c r="R903" s="6"/>
      <c r="S903" s="4"/>
      <c r="T903" s="1"/>
      <c r="U903" s="13"/>
      <c r="V903" s="13"/>
      <c r="W903" s="5"/>
    </row>
    <row r="904" spans="1:23" ht="105">
      <c r="A904" s="1">
        <v>788999</v>
      </c>
      <c r="B904" s="1">
        <v>1</v>
      </c>
      <c r="C904" s="1">
        <v>307</v>
      </c>
      <c r="D904" s="2" t="s">
        <v>1169</v>
      </c>
      <c r="E904" s="5" t="s">
        <v>1169</v>
      </c>
      <c r="F904" s="5">
        <v>272640</v>
      </c>
      <c r="G904" s="2" t="s">
        <v>1494</v>
      </c>
      <c r="H904" s="2" t="s">
        <v>1495</v>
      </c>
      <c r="I904" s="2" t="s">
        <v>1496</v>
      </c>
      <c r="J904" s="2" t="str">
        <f t="shared" si="28"/>
        <v>https://permalinkbnd.bnportugal.gov.pt/viewer/272640/?offset=#page=307&amp;viewer=picture&amp;o=info&amp;n=0&amp;q=</v>
      </c>
      <c r="K904" s="1" t="s">
        <v>1170</v>
      </c>
      <c r="L904" s="1" t="str">
        <f>VLOOKUP(A904,Folha2!$A$2:$B$2019,2,FALSE)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4" s="12" t="str">
        <f t="shared" si="29"/>
        <v>https://permalinkbnd.bnportugal.gov.pt/viewer/272640/?offset=#page=307&amp;viewer=picture&amp;o=info&amp;n=0&amp;q=</v>
      </c>
      <c r="N904" s="12" t="s">
        <v>1497</v>
      </c>
      <c r="O904" s="12" t="str">
        <f>CONCATENATE(N904,A904,"\",B904,"\",C904,".jpg")</f>
        <v>C:\Users\mbaptista\OneDrive - Biblioteca Nacional de Portugal\Documentos\python\camoniana\imagens\capas\788999\1\307.jpg</v>
      </c>
      <c r="P904" s="12" t="str">
        <f>HYPERLINK(O904)</f>
        <v>C:\Users\mbaptista\OneDrive - Biblioteca Nacional de Portugal\Documentos\python\camoniana\imagens\capas\788999\1\307.jpg</v>
      </c>
      <c r="Q904" s="12"/>
      <c r="R904" s="6" t="s">
        <v>1195</v>
      </c>
      <c r="S904" s="4"/>
      <c r="T904" s="1" t="s">
        <v>1171</v>
      </c>
      <c r="U904" s="13"/>
      <c r="V904" s="13"/>
      <c r="W904" s="5" t="s">
        <v>1491</v>
      </c>
    </row>
    <row r="905" spans="1:23" ht="105">
      <c r="A905" s="1">
        <v>788999</v>
      </c>
      <c r="B905" s="1">
        <v>1</v>
      </c>
      <c r="C905" s="1">
        <v>311</v>
      </c>
      <c r="D905" s="2" t="s">
        <v>1169</v>
      </c>
      <c r="E905" s="11" t="s">
        <v>1169</v>
      </c>
      <c r="F905" s="11">
        <v>272640</v>
      </c>
      <c r="G905" s="2" t="s">
        <v>1494</v>
      </c>
      <c r="H905" s="2" t="s">
        <v>1495</v>
      </c>
      <c r="I905" s="2" t="s">
        <v>1496</v>
      </c>
      <c r="J905" s="2" t="str">
        <f t="shared" si="28"/>
        <v>https://permalinkbnd.bnportugal.gov.pt/viewer/272640/?offset=#page=311&amp;viewer=picture&amp;o=info&amp;n=0&amp;q=</v>
      </c>
      <c r="K905" s="1" t="s">
        <v>1170</v>
      </c>
      <c r="L905" s="1" t="str">
        <f>VLOOKUP(A905,Folha2!$A$2:$B$2019,2,FALSE)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5" s="12" t="str">
        <f t="shared" si="29"/>
        <v>https://permalinkbnd.bnportugal.gov.pt/viewer/272640/?offset=#page=311&amp;viewer=picture&amp;o=info&amp;n=0&amp;q=</v>
      </c>
      <c r="N905" s="12" t="s">
        <v>1497</v>
      </c>
      <c r="O905" s="12" t="str">
        <f>CONCATENATE(N905,A905,"\",B905,"\",C905,".jpg")</f>
        <v>C:\Users\mbaptista\OneDrive - Biblioteca Nacional de Portugal\Documentos\python\camoniana\imagens\capas\788999\1\311.jpg</v>
      </c>
      <c r="P905" s="12" t="str">
        <f>HYPERLINK(O905)</f>
        <v>C:\Users\mbaptista\OneDrive - Biblioteca Nacional de Portugal\Documentos\python\camoniana\imagens\capas\788999\1\311.jpg</v>
      </c>
      <c r="Q905" s="12"/>
      <c r="R905" s="6" t="s">
        <v>1196</v>
      </c>
      <c r="S905" s="4"/>
      <c r="T905" s="1" t="s">
        <v>1171</v>
      </c>
      <c r="U905" s="13"/>
      <c r="V905" s="13"/>
      <c r="W905" s="5" t="s">
        <v>1491</v>
      </c>
    </row>
    <row r="906" spans="1:23" ht="105">
      <c r="A906" s="1">
        <v>788999</v>
      </c>
      <c r="B906" s="1">
        <v>1</v>
      </c>
      <c r="C906" s="1">
        <v>313</v>
      </c>
      <c r="D906" s="2" t="s">
        <v>1169</v>
      </c>
      <c r="E906" s="5" t="s">
        <v>1169</v>
      </c>
      <c r="F906" s="5">
        <v>272640</v>
      </c>
      <c r="G906" s="2" t="s">
        <v>1494</v>
      </c>
      <c r="H906" s="2" t="s">
        <v>1495</v>
      </c>
      <c r="I906" s="2" t="s">
        <v>1496</v>
      </c>
      <c r="J906" s="2" t="str">
        <f t="shared" si="28"/>
        <v>https://permalinkbnd.bnportugal.gov.pt/viewer/272640/?offset=#page=313&amp;viewer=picture&amp;o=info&amp;n=0&amp;q=</v>
      </c>
      <c r="K906" s="1" t="s">
        <v>1170</v>
      </c>
      <c r="L906" s="1" t="str">
        <f>VLOOKUP(A906,Folha2!$A$2:$B$2019,2,FALSE)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6" s="12" t="str">
        <f t="shared" si="29"/>
        <v>https://permalinkbnd.bnportugal.gov.pt/viewer/272640/?offset=#page=313&amp;viewer=picture&amp;o=info&amp;n=0&amp;q=</v>
      </c>
      <c r="N906" s="12" t="s">
        <v>1497</v>
      </c>
      <c r="O906" s="12" t="str">
        <f>CONCATENATE(N906,A906,"\",B906,"\",C906,".jpg")</f>
        <v>C:\Users\mbaptista\OneDrive - Biblioteca Nacional de Portugal\Documentos\python\camoniana\imagens\capas\788999\1\313.jpg</v>
      </c>
      <c r="P906" s="12" t="str">
        <f>HYPERLINK(O906)</f>
        <v>C:\Users\mbaptista\OneDrive - Biblioteca Nacional de Portugal\Documentos\python\camoniana\imagens\capas\788999\1\313.jpg</v>
      </c>
      <c r="Q906" s="12"/>
      <c r="R906" s="6"/>
      <c r="S906" s="4"/>
      <c r="T906" s="1"/>
      <c r="U906" s="13"/>
      <c r="V906" s="13"/>
      <c r="W906" s="5"/>
    </row>
    <row r="907" spans="1:23" ht="105">
      <c r="A907" s="1">
        <v>788999</v>
      </c>
      <c r="B907" s="1">
        <v>1</v>
      </c>
      <c r="C907" s="1">
        <v>349</v>
      </c>
      <c r="D907" s="2" t="s">
        <v>1169</v>
      </c>
      <c r="E907" s="11" t="s">
        <v>1169</v>
      </c>
      <c r="F907" s="11">
        <v>272640</v>
      </c>
      <c r="G907" s="2" t="s">
        <v>1494</v>
      </c>
      <c r="H907" s="2" t="s">
        <v>1495</v>
      </c>
      <c r="I907" s="2" t="s">
        <v>1496</v>
      </c>
      <c r="J907" s="2" t="str">
        <f t="shared" si="28"/>
        <v>https://permalinkbnd.bnportugal.gov.pt/viewer/272640/?offset=#page=349&amp;viewer=picture&amp;o=info&amp;n=0&amp;q=</v>
      </c>
      <c r="K907" s="1" t="s">
        <v>1170</v>
      </c>
      <c r="L907" s="1" t="str">
        <f>VLOOKUP(A907,Folha2!$A$2:$B$2019,2,FALSE)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7" s="12" t="str">
        <f t="shared" si="29"/>
        <v>https://permalinkbnd.bnportugal.gov.pt/viewer/272640/?offset=#page=349&amp;viewer=picture&amp;o=info&amp;n=0&amp;q=</v>
      </c>
      <c r="N907" s="12" t="s">
        <v>1497</v>
      </c>
      <c r="O907" s="12" t="str">
        <f>CONCATENATE(N907,A907,"\",B907,"\",C907,".jpg")</f>
        <v>C:\Users\mbaptista\OneDrive - Biblioteca Nacional de Portugal\Documentos\python\camoniana\imagens\capas\788999\1\349.jpg</v>
      </c>
      <c r="P907" s="12" t="str">
        <f>HYPERLINK(O907)</f>
        <v>C:\Users\mbaptista\OneDrive - Biblioteca Nacional de Portugal\Documentos\python\camoniana\imagens\capas\788999\1\349.jpg</v>
      </c>
      <c r="Q907" s="12"/>
      <c r="R907" s="6" t="s">
        <v>1197</v>
      </c>
      <c r="S907" s="4"/>
      <c r="T907" s="1" t="s">
        <v>1171</v>
      </c>
      <c r="U907" s="13"/>
      <c r="V907" s="13"/>
      <c r="W907" s="5" t="s">
        <v>1491</v>
      </c>
    </row>
    <row r="908" spans="1:23" ht="75">
      <c r="A908" s="1">
        <v>796045</v>
      </c>
      <c r="B908" s="1">
        <v>1</v>
      </c>
      <c r="C908" s="1">
        <v>5</v>
      </c>
      <c r="D908" s="2" t="s">
        <v>1198</v>
      </c>
      <c r="E908" s="5" t="s">
        <v>1198</v>
      </c>
      <c r="F908" s="5">
        <v>279630</v>
      </c>
      <c r="G908" s="2" t="s">
        <v>1494</v>
      </c>
      <c r="H908" s="2" t="s">
        <v>1495</v>
      </c>
      <c r="I908" s="2" t="s">
        <v>1496</v>
      </c>
      <c r="J908" s="2" t="str">
        <f t="shared" si="28"/>
        <v>https://permalinkbnd.bnportugal.gov.pt/viewer/279630/?offset=#page=5&amp;viewer=picture&amp;o=info&amp;n=0&amp;q=</v>
      </c>
      <c r="K908" s="1" t="s">
        <v>1199</v>
      </c>
      <c r="L908" s="1" t="str">
        <f>VLOOKUP(A908,Folha2!$A$2:$B$2019,2,FALSE)</f>
        <v>Os Lusiadas / Luis de Camões. - Lisboa : Livr. Barateira, [18--], sem argumentos, catálogo livraria [paratextos gerais?].</v>
      </c>
      <c r="M908" s="12" t="str">
        <f t="shared" si="29"/>
        <v>https://permalinkbnd.bnportugal.gov.pt/viewer/279630/?offset=#page=5&amp;viewer=picture&amp;o=info&amp;n=0&amp;q=</v>
      </c>
      <c r="N908" s="12" t="s">
        <v>1497</v>
      </c>
      <c r="O908" s="12" t="str">
        <f>CONCATENATE(N908,A908,"\",B908,"\",C908,".jpg")</f>
        <v>C:\Users\mbaptista\OneDrive - Biblioteca Nacional de Portugal\Documentos\python\camoniana\imagens\capas\796045\1\5.jpg</v>
      </c>
      <c r="P908" s="12" t="str">
        <f>HYPERLINK(O908)</f>
        <v>C:\Users\mbaptista\OneDrive - Biblioteca Nacional de Portugal\Documentos\python\camoniana\imagens\capas\796045\1\5.jpg</v>
      </c>
      <c r="Q908" s="12"/>
      <c r="R908" s="6" t="s">
        <v>1201</v>
      </c>
      <c r="S908" s="4"/>
      <c r="T908" s="1" t="s">
        <v>1200</v>
      </c>
      <c r="U908" s="13"/>
      <c r="V908" s="13"/>
      <c r="W908" s="5" t="s">
        <v>1491</v>
      </c>
    </row>
    <row r="909" spans="1:23" ht="75">
      <c r="A909" s="1">
        <v>796045</v>
      </c>
      <c r="B909" s="1">
        <v>1</v>
      </c>
      <c r="C909" s="1">
        <v>7</v>
      </c>
      <c r="D909" s="2" t="s">
        <v>1198</v>
      </c>
      <c r="E909" s="11" t="s">
        <v>1198</v>
      </c>
      <c r="F909" s="11">
        <v>279630</v>
      </c>
      <c r="G909" s="2" t="s">
        <v>1494</v>
      </c>
      <c r="H909" s="2" t="s">
        <v>1495</v>
      </c>
      <c r="I909" s="2" t="s">
        <v>1496</v>
      </c>
      <c r="J909" s="2" t="str">
        <f t="shared" si="28"/>
        <v>https://permalinkbnd.bnportugal.gov.pt/viewer/279630/?offset=#page=7&amp;viewer=picture&amp;o=info&amp;n=0&amp;q=</v>
      </c>
      <c r="K909" s="1" t="s">
        <v>1199</v>
      </c>
      <c r="L909" s="1" t="str">
        <f>VLOOKUP(A909,Folha2!$A$2:$B$2019,2,FALSE)</f>
        <v>Os Lusiadas / Luis de Camões. - Lisboa : Livr. Barateira, [18--], sem argumentos, catálogo livraria [paratextos gerais?].</v>
      </c>
      <c r="M909" s="12" t="str">
        <f t="shared" si="29"/>
        <v>https://permalinkbnd.bnportugal.gov.pt/viewer/279630/?offset=#page=7&amp;viewer=picture&amp;o=info&amp;n=0&amp;q=</v>
      </c>
      <c r="N909" s="12" t="s">
        <v>1497</v>
      </c>
      <c r="O909" s="12" t="str">
        <f>CONCATENATE(N909,A909,"\",B909,"\",C909,".jpg")</f>
        <v>C:\Users\mbaptista\OneDrive - Biblioteca Nacional de Portugal\Documentos\python\camoniana\imagens\capas\796045\1\7.jpg</v>
      </c>
      <c r="P909" s="12" t="str">
        <f>HYPERLINK(O909)</f>
        <v>C:\Users\mbaptista\OneDrive - Biblioteca Nacional de Portugal\Documentos\python\camoniana\imagens\capas\796045\1\7.jpg</v>
      </c>
      <c r="Q909" s="12"/>
      <c r="R909" s="6" t="s">
        <v>1202</v>
      </c>
      <c r="S909" s="4"/>
      <c r="T909" s="1" t="s">
        <v>1200</v>
      </c>
      <c r="U909" s="13"/>
      <c r="V909" s="13"/>
      <c r="W909" s="5" t="s">
        <v>1491</v>
      </c>
    </row>
    <row r="910" spans="1:23" ht="75">
      <c r="A910" s="1">
        <v>798858</v>
      </c>
      <c r="B910" s="1">
        <v>1</v>
      </c>
      <c r="C910" s="1">
        <v>4</v>
      </c>
      <c r="D910" s="2" t="s">
        <v>1203</v>
      </c>
      <c r="E910" s="5" t="s">
        <v>1203</v>
      </c>
      <c r="F910" s="5">
        <v>279634</v>
      </c>
      <c r="G910" s="2" t="s">
        <v>1494</v>
      </c>
      <c r="H910" s="2" t="s">
        <v>1495</v>
      </c>
      <c r="I910" s="2" t="s">
        <v>1496</v>
      </c>
      <c r="J910" s="2" t="str">
        <f t="shared" si="28"/>
        <v>https://permalinkbnd.bnportugal.gov.pt/viewer/279634/?offset=#page=4&amp;viewer=picture&amp;o=info&amp;n=0&amp;q=</v>
      </c>
      <c r="K910" s="1" t="s">
        <v>1204</v>
      </c>
      <c r="L910" s="1" t="str">
        <f>VLOOKUP(A910,Folha2!$A$2:$B$2019,2,FALSE)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0" s="12" t="str">
        <f t="shared" si="29"/>
        <v>https://permalinkbnd.bnportugal.gov.pt/viewer/279634/?offset=#page=4&amp;viewer=picture&amp;o=info&amp;n=0&amp;q=</v>
      </c>
      <c r="N910" s="12" t="s">
        <v>1497</v>
      </c>
      <c r="O910" s="12" t="str">
        <f>CONCATENATE(N910,A910,"\",B910,"\",C910,".jpg")</f>
        <v>C:\Users\mbaptista\OneDrive - Biblioteca Nacional de Portugal\Documentos\python\camoniana\imagens\capas\798858\1\4.jpg</v>
      </c>
      <c r="P910" s="12" t="str">
        <f>HYPERLINK(O910)</f>
        <v>C:\Users\mbaptista\OneDrive - Biblioteca Nacional de Portugal\Documentos\python\camoniana\imagens\capas\798858\1\4.jpg</v>
      </c>
      <c r="Q910" s="12"/>
      <c r="R910" s="6" t="s">
        <v>1205</v>
      </c>
      <c r="S910" s="4"/>
      <c r="T910" s="1">
        <v>4</v>
      </c>
      <c r="U910" s="13"/>
      <c r="V910" s="13"/>
      <c r="W910" s="5" t="s">
        <v>1491</v>
      </c>
    </row>
    <row r="911" spans="1:23" ht="75">
      <c r="A911" s="1">
        <v>798858</v>
      </c>
      <c r="B911" s="1">
        <v>1</v>
      </c>
      <c r="C911" s="1">
        <v>104</v>
      </c>
      <c r="D911" s="2" t="s">
        <v>1203</v>
      </c>
      <c r="E911" s="11" t="s">
        <v>1203</v>
      </c>
      <c r="F911" s="11">
        <v>279634</v>
      </c>
      <c r="G911" s="2" t="s">
        <v>1494</v>
      </c>
      <c r="H911" s="2" t="s">
        <v>1495</v>
      </c>
      <c r="I911" s="2" t="s">
        <v>1496</v>
      </c>
      <c r="J911" s="2" t="str">
        <f t="shared" si="28"/>
        <v>https://permalinkbnd.bnportugal.gov.pt/viewer/279634/?offset=#page=104&amp;viewer=picture&amp;o=info&amp;n=0&amp;q=</v>
      </c>
      <c r="K911" s="1" t="s">
        <v>1204</v>
      </c>
      <c r="L911" s="1" t="str">
        <f>VLOOKUP(A911,Folha2!$A$2:$B$2019,2,FALSE)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1" s="12" t="str">
        <f t="shared" si="29"/>
        <v>https://permalinkbnd.bnportugal.gov.pt/viewer/279634/?offset=#page=104&amp;viewer=picture&amp;o=info&amp;n=0&amp;q=</v>
      </c>
      <c r="N911" s="12" t="s">
        <v>1497</v>
      </c>
      <c r="O911" s="12" t="str">
        <f>CONCATENATE(N911,A911,"\",B911,"\",C911,".jpg")</f>
        <v>C:\Users\mbaptista\OneDrive - Biblioteca Nacional de Portugal\Documentos\python\camoniana\imagens\capas\798858\1\104.jpg</v>
      </c>
      <c r="P911" s="12" t="str">
        <f>HYPERLINK(O911)</f>
        <v>C:\Users\mbaptista\OneDrive - Biblioteca Nacional de Portugal\Documentos\python\camoniana\imagens\capas\798858\1\104.jpg</v>
      </c>
      <c r="Q911" s="12"/>
      <c r="R911" s="6"/>
      <c r="S911" s="4"/>
      <c r="T911" s="1"/>
      <c r="U911" s="13"/>
      <c r="V911" s="13"/>
      <c r="W911" s="5"/>
    </row>
    <row r="912" spans="1:23" ht="90">
      <c r="A912" s="1">
        <v>798866</v>
      </c>
      <c r="B912" s="1">
        <v>1</v>
      </c>
      <c r="C912" s="1">
        <v>1</v>
      </c>
      <c r="D912" s="2" t="s">
        <v>1206</v>
      </c>
      <c r="E912" s="5" t="s">
        <v>1206</v>
      </c>
      <c r="F912" s="5">
        <v>279104</v>
      </c>
      <c r="G912" s="2" t="s">
        <v>1494</v>
      </c>
      <c r="H912" s="2" t="s">
        <v>1495</v>
      </c>
      <c r="I912" s="2" t="s">
        <v>1496</v>
      </c>
      <c r="J912" s="2" t="str">
        <f t="shared" si="28"/>
        <v>https://permalinkbnd.bnportugal.gov.pt/viewer/279104/?offset=#page=1&amp;viewer=picture&amp;o=info&amp;n=0&amp;q=</v>
      </c>
      <c r="K912" s="1" t="s">
        <v>1207</v>
      </c>
      <c r="L912" s="1" t="str">
        <f>VLOOKUP(A912,Folha2!$A$2:$B$2019,2,FALSE)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2" s="12" t="str">
        <f t="shared" si="29"/>
        <v>https://permalinkbnd.bnportugal.gov.pt/viewer/279104/?offset=#page=1&amp;viewer=picture&amp;o=info&amp;n=0&amp;q=</v>
      </c>
      <c r="N912" s="12" t="s">
        <v>1497</v>
      </c>
      <c r="O912" s="12" t="str">
        <f>CONCATENATE(N912,A912,"\",B912,"\",C912,".jpg")</f>
        <v>C:\Users\mbaptista\OneDrive - Biblioteca Nacional de Portugal\Documentos\python\camoniana\imagens\capas\798866\1\1.jpg</v>
      </c>
      <c r="P912" s="12" t="str">
        <f>HYPERLINK(O912)</f>
        <v>C:\Users\mbaptista\OneDrive - Biblioteca Nacional de Portugal\Documentos\python\camoniana\imagens\capas\798866\1\1.jpg</v>
      </c>
      <c r="Q912" s="12"/>
      <c r="R912" s="6" t="s">
        <v>1208</v>
      </c>
      <c r="S912" s="4"/>
      <c r="T912" s="1">
        <v>1</v>
      </c>
      <c r="U912" s="13"/>
      <c r="V912" s="13"/>
      <c r="W912" s="5" t="s">
        <v>1491</v>
      </c>
    </row>
    <row r="913" spans="1:23" ht="90">
      <c r="A913" s="1">
        <v>798866</v>
      </c>
      <c r="B913" s="1">
        <v>1</v>
      </c>
      <c r="C913" s="1">
        <v>83</v>
      </c>
      <c r="D913" s="2" t="s">
        <v>1206</v>
      </c>
      <c r="E913" s="11" t="s">
        <v>1206</v>
      </c>
      <c r="F913" s="11">
        <v>279104</v>
      </c>
      <c r="G913" s="2" t="s">
        <v>1494</v>
      </c>
      <c r="H913" s="2" t="s">
        <v>1495</v>
      </c>
      <c r="I913" s="2" t="s">
        <v>1496</v>
      </c>
      <c r="J913" s="2" t="str">
        <f t="shared" si="28"/>
        <v>https://permalinkbnd.bnportugal.gov.pt/viewer/279104/?offset=#page=83&amp;viewer=picture&amp;o=info&amp;n=0&amp;q=</v>
      </c>
      <c r="K913" s="1" t="s">
        <v>1207</v>
      </c>
      <c r="L913" s="1" t="str">
        <f>VLOOKUP(A913,Folha2!$A$2:$B$2019,2,FALSE)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3" s="12" t="str">
        <f t="shared" si="29"/>
        <v>https://permalinkbnd.bnportugal.gov.pt/viewer/279104/?offset=#page=83&amp;viewer=picture&amp;o=info&amp;n=0&amp;q=</v>
      </c>
      <c r="N913" s="12" t="s">
        <v>1497</v>
      </c>
      <c r="O913" s="12" t="str">
        <f>CONCATENATE(N913,A913,"\",B913,"\",C913,".jpg")</f>
        <v>C:\Users\mbaptista\OneDrive - Biblioteca Nacional de Portugal\Documentos\python\camoniana\imagens\capas\798866\1\83.jpg</v>
      </c>
      <c r="P913" s="12" t="str">
        <f>HYPERLINK(O913)</f>
        <v>C:\Users\mbaptista\OneDrive - Biblioteca Nacional de Portugal\Documentos\python\camoniana\imagens\capas\798866\1\83.jpg</v>
      </c>
      <c r="Q913" s="12"/>
      <c r="R913" s="6"/>
      <c r="S913" s="4"/>
      <c r="T913" s="1"/>
      <c r="U913" s="13"/>
      <c r="V913" s="13"/>
      <c r="W913" s="5"/>
    </row>
    <row r="914" spans="1:23" ht="75">
      <c r="A914" s="1">
        <v>993818</v>
      </c>
      <c r="B914" s="1">
        <v>1</v>
      </c>
      <c r="C914" s="1">
        <v>1</v>
      </c>
      <c r="D914" s="2" t="s">
        <v>1209</v>
      </c>
      <c r="E914" s="5" t="s">
        <v>1209</v>
      </c>
      <c r="F914" s="5">
        <v>20471</v>
      </c>
      <c r="G914" s="2" t="s">
        <v>1494</v>
      </c>
      <c r="H914" s="2" t="s">
        <v>1495</v>
      </c>
      <c r="I914" s="2" t="s">
        <v>1496</v>
      </c>
      <c r="J914" s="2" t="str">
        <f t="shared" si="28"/>
        <v>https://permalinkbnd.bnportugal.gov.pt/viewer/20471/?offset=#page=1&amp;viewer=picture&amp;o=info&amp;n=0&amp;q=</v>
      </c>
      <c r="K914" s="1" t="s">
        <v>1210</v>
      </c>
      <c r="L914" s="1" t="str">
        <f>VLOOKUP(A914,Folha2!$A$2:$B$2019,2,FALSE)</f>
        <v>Camões et les Lusiades : exposition Bibliothèque Royale Albert 1er : quatrième centenaire des Lusiades 1572 - hommage à Camões / Ministère de lªEducation Nationale ; [design] Fernand Baudin. - Bruxelles : M.E.N., 1972. - 1 cartaz</v>
      </c>
      <c r="M914" s="12" t="str">
        <f t="shared" si="29"/>
        <v>https://permalinkbnd.bnportugal.gov.pt/viewer/20471/?offset=#page=1&amp;viewer=picture&amp;o=info&amp;n=0&amp;q=</v>
      </c>
      <c r="N914" s="12" t="s">
        <v>1497</v>
      </c>
      <c r="O914" s="12" t="str">
        <f>CONCATENATE(N914,A914,"\",B914,"\",C914,".jpg")</f>
        <v>C:\Users\mbaptista\OneDrive - Biblioteca Nacional de Portugal\Documentos\python\camoniana\imagens\capas\993818\1\1.jpg</v>
      </c>
      <c r="P914" s="12" t="str">
        <f>HYPERLINK(O914)</f>
        <v>C:\Users\mbaptista\OneDrive - Biblioteca Nacional de Portugal\Documentos\python\camoniana\imagens\capas\993818\1\1.jpg</v>
      </c>
      <c r="Q914" s="12"/>
      <c r="R914" s="6" t="s">
        <v>1211</v>
      </c>
      <c r="S914" s="4"/>
      <c r="T914" s="1">
        <v>1</v>
      </c>
      <c r="U914" s="13"/>
      <c r="V914" s="13"/>
      <c r="W914" s="5" t="s">
        <v>1491</v>
      </c>
    </row>
    <row r="915" spans="1:23" ht="75">
      <c r="A915" s="1">
        <v>1001679</v>
      </c>
      <c r="B915" s="1">
        <v>1</v>
      </c>
      <c r="C915" s="1">
        <v>1</v>
      </c>
      <c r="D915" s="2" t="s">
        <v>1212</v>
      </c>
      <c r="E915" s="11" t="s">
        <v>1212</v>
      </c>
      <c r="F915" s="11">
        <v>17516</v>
      </c>
      <c r="G915" s="2" t="s">
        <v>1494</v>
      </c>
      <c r="H915" s="2" t="s">
        <v>1495</v>
      </c>
      <c r="I915" s="2" t="s">
        <v>1496</v>
      </c>
      <c r="J915" s="2" t="str">
        <f t="shared" si="28"/>
        <v>https://permalinkbnd.bnportugal.gov.pt/viewer/17516/?offset=#page=1&amp;viewer=picture&amp;o=info&amp;n=0&amp;q=</v>
      </c>
      <c r="K915" s="1" t="s">
        <v>1213</v>
      </c>
      <c r="L915" s="1" t="str">
        <f>VLOOKUP(A915,Folha2!$A$2:$B$2019,2,FALSE)</f>
        <v xml:space="preserve">Comemorações Camonianas : visita guiada ao Mosteiro dos Jerónimos. - [Lisboa] : Sec. Est. Comunicação Social [ca 1980?]. - 1 cartaz. </v>
      </c>
      <c r="M915" s="12" t="str">
        <f t="shared" si="29"/>
        <v>https://permalinkbnd.bnportugal.gov.pt/viewer/17516/?offset=#page=1&amp;viewer=picture&amp;o=info&amp;n=0&amp;q=</v>
      </c>
      <c r="N915" s="12" t="s">
        <v>1497</v>
      </c>
      <c r="O915" s="12" t="str">
        <f>CONCATENATE(N915,A915,"\",B915,"\",C915,".jpg")</f>
        <v>C:\Users\mbaptista\OneDrive - Biblioteca Nacional de Portugal\Documentos\python\camoniana\imagens\capas\1001679\1\1.jpg</v>
      </c>
      <c r="P915" s="12" t="str">
        <f>HYPERLINK(O915)</f>
        <v>C:\Users\mbaptista\OneDrive - Biblioteca Nacional de Portugal\Documentos\python\camoniana\imagens\capas\1001679\1\1.jpg</v>
      </c>
      <c r="Q915" s="12"/>
      <c r="R915" s="6" t="s">
        <v>1214</v>
      </c>
      <c r="S915" s="4"/>
      <c r="T915" s="1">
        <v>1</v>
      </c>
      <c r="U915" s="13"/>
      <c r="V915" s="13"/>
      <c r="W915" s="5" t="s">
        <v>1491</v>
      </c>
    </row>
    <row r="916" spans="1:23" ht="90">
      <c r="A916" s="1">
        <v>1366577</v>
      </c>
      <c r="B916" s="1">
        <v>1</v>
      </c>
      <c r="C916" s="1">
        <v>1</v>
      </c>
      <c r="D916" s="2" t="s">
        <v>1215</v>
      </c>
      <c r="E916" s="5" t="s">
        <v>1215</v>
      </c>
      <c r="F916" s="5">
        <v>14594</v>
      </c>
      <c r="G916" s="2" t="s">
        <v>1494</v>
      </c>
      <c r="H916" s="2" t="s">
        <v>1495</v>
      </c>
      <c r="I916" s="2" t="s">
        <v>1496</v>
      </c>
      <c r="J916" s="2" t="str">
        <f t="shared" si="28"/>
        <v>https://permalinkbnd.bnportugal.gov.pt/viewer/14594/?offset=#page=1&amp;viewer=picture&amp;o=info&amp;n=0&amp;q=</v>
      </c>
      <c r="K916" s="1" t="s">
        <v>1216</v>
      </c>
      <c r="L916" s="1" t="str">
        <f>VLOOKUP(A916,Folha2!$A$2:$B$2019,2,FALSE)</f>
        <v>Les lusiades de Luiz de Camoens / traduit du portugais par J. B. J. Millié ; a été illustré par Bernard Roy. - Paris : imprimerie F. Paillart : en la rue de Beaune, à lªenseigne du Pot Cassé, 1931, sem argumentos. As notas são brevíssimas.</v>
      </c>
      <c r="M916" s="12" t="str">
        <f t="shared" si="29"/>
        <v>https://permalinkbnd.bnportugal.gov.pt/viewer/14594/?offset=#page=1&amp;viewer=picture&amp;o=info&amp;n=0&amp;q=</v>
      </c>
      <c r="N916" s="12" t="s">
        <v>1497</v>
      </c>
      <c r="O916" s="12" t="str">
        <f>CONCATENATE(N916,A916,"\",B916,"\",C916,".jpg")</f>
        <v>C:\Users\mbaptista\OneDrive - Biblioteca Nacional de Portugal\Documentos\python\camoniana\imagens\capas\1366577\1\1.jpg</v>
      </c>
      <c r="P916" s="12" t="str">
        <f>HYPERLINK(O916)</f>
        <v>C:\Users\mbaptista\OneDrive - Biblioteca Nacional de Portugal\Documentos\python\camoniana\imagens\capas\1366577\1\1.jpg</v>
      </c>
      <c r="Q916" s="12"/>
      <c r="R916" s="6"/>
      <c r="S916" s="4"/>
      <c r="T916" s="1"/>
      <c r="U916" s="13"/>
      <c r="V916" s="13"/>
      <c r="W916" s="5"/>
    </row>
    <row r="917" spans="1:23" ht="90">
      <c r="A917" s="1">
        <v>1366577</v>
      </c>
      <c r="B917" s="1">
        <v>1</v>
      </c>
      <c r="C917" s="1">
        <v>5</v>
      </c>
      <c r="D917" s="2" t="s">
        <v>1215</v>
      </c>
      <c r="E917" s="11" t="s">
        <v>1215</v>
      </c>
      <c r="F917" s="11">
        <v>14594</v>
      </c>
      <c r="G917" s="2" t="s">
        <v>1494</v>
      </c>
      <c r="H917" s="2" t="s">
        <v>1495</v>
      </c>
      <c r="I917" s="2" t="s">
        <v>1496</v>
      </c>
      <c r="J917" s="2" t="str">
        <f t="shared" si="28"/>
        <v>https://permalinkbnd.bnportugal.gov.pt/viewer/14594/?offset=#page=5&amp;viewer=picture&amp;o=info&amp;n=0&amp;q=</v>
      </c>
      <c r="K917" s="1" t="s">
        <v>1216</v>
      </c>
      <c r="L917" s="1" t="str">
        <f>VLOOKUP(A917,Folha2!$A$2:$B$2019,2,FALSE)</f>
        <v>Les lusiades de Luiz de Camoens / traduit du portugais par J. B. J. Millié ; a été illustré par Bernard Roy. - Paris : imprimerie F. Paillart : en la rue de Beaune, à lªenseigne du Pot Cassé, 1931, sem argumentos. As notas são brevíssimas.</v>
      </c>
      <c r="M917" s="12" t="str">
        <f t="shared" si="29"/>
        <v>https://permalinkbnd.bnportugal.gov.pt/viewer/14594/?offset=#page=5&amp;viewer=picture&amp;o=info&amp;n=0&amp;q=</v>
      </c>
      <c r="N917" s="12" t="s">
        <v>1497</v>
      </c>
      <c r="O917" s="12" t="str">
        <f>CONCATENATE(N917,A917,"\",B917,"\",C917,".jpg")</f>
        <v>C:\Users\mbaptista\OneDrive - Biblioteca Nacional de Portugal\Documentos\python\camoniana\imagens\capas\1366577\1\5.jpg</v>
      </c>
      <c r="P917" s="12" t="str">
        <f>HYPERLINK(O917)</f>
        <v>C:\Users\mbaptista\OneDrive - Biblioteca Nacional de Portugal\Documentos\python\camoniana\imagens\capas\1366577\1\5.jpg</v>
      </c>
      <c r="Q917" s="12"/>
      <c r="R917" s="6"/>
      <c r="S917" s="4"/>
      <c r="T917" s="1"/>
      <c r="U917" s="13"/>
      <c r="V917" s="13"/>
      <c r="W917" s="5"/>
    </row>
    <row r="918" spans="1:23" ht="90">
      <c r="A918" s="1">
        <v>1366577</v>
      </c>
      <c r="B918" s="1">
        <v>1</v>
      </c>
      <c r="C918" s="1">
        <v>9</v>
      </c>
      <c r="D918" s="2" t="s">
        <v>1215</v>
      </c>
      <c r="E918" s="5" t="s">
        <v>1215</v>
      </c>
      <c r="F918" s="5">
        <v>14594</v>
      </c>
      <c r="G918" s="2" t="s">
        <v>1494</v>
      </c>
      <c r="H918" s="2" t="s">
        <v>1495</v>
      </c>
      <c r="I918" s="2" t="s">
        <v>1496</v>
      </c>
      <c r="J918" s="2" t="str">
        <f t="shared" si="28"/>
        <v>https://permalinkbnd.bnportugal.gov.pt/viewer/14594/?offset=#page=9&amp;viewer=picture&amp;o=info&amp;n=0&amp;q=</v>
      </c>
      <c r="K918" s="1" t="s">
        <v>1216</v>
      </c>
      <c r="L918" s="1" t="str">
        <f>VLOOKUP(A918,Folha2!$A$2:$B$2019,2,FALSE)</f>
        <v>Les lusiades de Luiz de Camoens / traduit du portugais par J. B. J. Millié ; a été illustré par Bernard Roy. - Paris : imprimerie F. Paillart : en la rue de Beaune, à lªenseigne du Pot Cassé, 1931, sem argumentos. As notas são brevíssimas.</v>
      </c>
      <c r="M918" s="12" t="str">
        <f t="shared" si="29"/>
        <v>https://permalinkbnd.bnportugal.gov.pt/viewer/14594/?offset=#page=9&amp;viewer=picture&amp;o=info&amp;n=0&amp;q=</v>
      </c>
      <c r="N918" s="12" t="s">
        <v>1497</v>
      </c>
      <c r="O918" s="12" t="str">
        <f>CONCATENATE(N918,A918,"\",B918,"\",C918,".jpg")</f>
        <v>C:\Users\mbaptista\OneDrive - Biblioteca Nacional de Portugal\Documentos\python\camoniana\imagens\capas\1366577\1\9.jpg</v>
      </c>
      <c r="P918" s="12" t="str">
        <f>HYPERLINK(O918)</f>
        <v>C:\Users\mbaptista\OneDrive - Biblioteca Nacional de Portugal\Documentos\python\camoniana\imagens\capas\1366577\1\9.jpg</v>
      </c>
      <c r="Q918" s="12"/>
      <c r="R918" s="6"/>
      <c r="S918" s="4"/>
      <c r="T918" s="1"/>
      <c r="U918" s="13"/>
      <c r="V918" s="13"/>
      <c r="W918" s="5"/>
    </row>
    <row r="919" spans="1:23" ht="90">
      <c r="A919" s="1">
        <v>1366577</v>
      </c>
      <c r="B919" s="1">
        <v>1</v>
      </c>
      <c r="C919" s="1">
        <v>13</v>
      </c>
      <c r="D919" s="2" t="s">
        <v>1215</v>
      </c>
      <c r="E919" s="11" t="s">
        <v>1215</v>
      </c>
      <c r="F919" s="11">
        <v>14594</v>
      </c>
      <c r="G919" s="2" t="s">
        <v>1494</v>
      </c>
      <c r="H919" s="2" t="s">
        <v>1495</v>
      </c>
      <c r="I919" s="2" t="s">
        <v>1496</v>
      </c>
      <c r="J919" s="2" t="str">
        <f t="shared" si="28"/>
        <v>https://permalinkbnd.bnportugal.gov.pt/viewer/14594/?offset=#page=13&amp;viewer=picture&amp;o=info&amp;n=0&amp;q=</v>
      </c>
      <c r="K919" s="1" t="s">
        <v>1216</v>
      </c>
      <c r="L919" s="1" t="str">
        <f>VLOOKUP(A919,Folha2!$A$2:$B$2019,2,FALSE)</f>
        <v>Les lusiades de Luiz de Camoens / traduit du portugais par J. B. J. Millié ; a été illustré par Bernard Roy. - Paris : imprimerie F. Paillart : en la rue de Beaune, à lªenseigne du Pot Cassé, 1931, sem argumentos. As notas são brevíssimas.</v>
      </c>
      <c r="M919" s="12" t="str">
        <f t="shared" si="29"/>
        <v>https://permalinkbnd.bnportugal.gov.pt/viewer/14594/?offset=#page=13&amp;viewer=picture&amp;o=info&amp;n=0&amp;q=</v>
      </c>
      <c r="N919" s="12" t="s">
        <v>1497</v>
      </c>
      <c r="O919" s="12" t="str">
        <f>CONCATENATE(N919,A919,"\",B919,"\",C919,".jpg")</f>
        <v>C:\Users\mbaptista\OneDrive - Biblioteca Nacional de Portugal\Documentos\python\camoniana\imagens\capas\1366577\1\13.jpg</v>
      </c>
      <c r="P919" s="12" t="str">
        <f>HYPERLINK(O919)</f>
        <v>C:\Users\mbaptista\OneDrive - Biblioteca Nacional de Portugal\Documentos\python\camoniana\imagens\capas\1366577\1\13.jpg</v>
      </c>
      <c r="Q919" s="12"/>
      <c r="R919" s="6" t="s">
        <v>1218</v>
      </c>
      <c r="S919" s="4"/>
      <c r="T919" s="1" t="s">
        <v>1217</v>
      </c>
      <c r="U919" s="13"/>
      <c r="V919" s="13"/>
      <c r="W919" s="5" t="s">
        <v>1491</v>
      </c>
    </row>
    <row r="920" spans="1:23" ht="90">
      <c r="A920" s="1">
        <v>1366577</v>
      </c>
      <c r="B920" s="1">
        <v>1</v>
      </c>
      <c r="C920" s="1">
        <v>30</v>
      </c>
      <c r="D920" s="2" t="s">
        <v>1215</v>
      </c>
      <c r="E920" s="5" t="s">
        <v>1215</v>
      </c>
      <c r="F920" s="5">
        <v>14594</v>
      </c>
      <c r="G920" s="2" t="s">
        <v>1494</v>
      </c>
      <c r="H920" s="2" t="s">
        <v>1495</v>
      </c>
      <c r="I920" s="2" t="s">
        <v>1496</v>
      </c>
      <c r="J920" s="2" t="str">
        <f t="shared" si="28"/>
        <v>https://permalinkbnd.bnportugal.gov.pt/viewer/14594/?offset=#page=30&amp;viewer=picture&amp;o=info&amp;n=0&amp;q=</v>
      </c>
      <c r="K920" s="1" t="s">
        <v>1216</v>
      </c>
      <c r="L920" s="1" t="str">
        <f>VLOOKUP(A920,Folha2!$A$2:$B$2019,2,FALSE)</f>
        <v>Les lusiades de Luiz de Camoens / traduit du portugais par J. B. J. Millié ; a été illustré par Bernard Roy. - Paris : imprimerie F. Paillart : en la rue de Beaune, à lªenseigne du Pot Cassé, 1931, sem argumentos. As notas são brevíssimas.</v>
      </c>
      <c r="M920" s="12" t="str">
        <f t="shared" si="29"/>
        <v>https://permalinkbnd.bnportugal.gov.pt/viewer/14594/?offset=#page=30&amp;viewer=picture&amp;o=info&amp;n=0&amp;q=</v>
      </c>
      <c r="N920" s="12" t="s">
        <v>1497</v>
      </c>
      <c r="O920" s="12" t="str">
        <f>CONCATENATE(N920,A920,"\",B920,"\",C920,".jpg")</f>
        <v>C:\Users\mbaptista\OneDrive - Biblioteca Nacional de Portugal\Documentos\python\camoniana\imagens\capas\1366577\1\30.jpg</v>
      </c>
      <c r="P920" s="12" t="str">
        <f>HYPERLINK(O920)</f>
        <v>C:\Users\mbaptista\OneDrive - Biblioteca Nacional de Portugal\Documentos\python\camoniana\imagens\capas\1366577\1\30.jpg</v>
      </c>
      <c r="Q920" s="12"/>
      <c r="R920" s="6" t="s">
        <v>1219</v>
      </c>
      <c r="S920" s="4"/>
      <c r="T920" s="1" t="s">
        <v>1217</v>
      </c>
      <c r="U920" s="13"/>
      <c r="V920" s="13"/>
      <c r="W920" s="5" t="s">
        <v>1491</v>
      </c>
    </row>
    <row r="921" spans="1:23" ht="90">
      <c r="A921" s="1">
        <v>1366577</v>
      </c>
      <c r="B921" s="1">
        <v>1</v>
      </c>
      <c r="C921" s="1">
        <v>32</v>
      </c>
      <c r="D921" s="2" t="s">
        <v>1215</v>
      </c>
      <c r="E921" s="11" t="s">
        <v>1215</v>
      </c>
      <c r="F921" s="11">
        <v>14594</v>
      </c>
      <c r="G921" s="2" t="s">
        <v>1494</v>
      </c>
      <c r="H921" s="2" t="s">
        <v>1495</v>
      </c>
      <c r="I921" s="2" t="s">
        <v>1496</v>
      </c>
      <c r="J921" s="2" t="str">
        <f t="shared" si="28"/>
        <v>https://permalinkbnd.bnportugal.gov.pt/viewer/14594/?offset=#page=32&amp;viewer=picture&amp;o=info&amp;n=0&amp;q=</v>
      </c>
      <c r="K921" s="1" t="s">
        <v>1216</v>
      </c>
      <c r="L921" s="1" t="str">
        <f>VLOOKUP(A921,Folha2!$A$2:$B$2019,2,FALSE)</f>
        <v>Les lusiades de Luiz de Camoens / traduit du portugais par J. B. J. Millié ; a été illustré par Bernard Roy. - Paris : imprimerie F. Paillart : en la rue de Beaune, à lªenseigne du Pot Cassé, 1931, sem argumentos. As notas são brevíssimas.</v>
      </c>
      <c r="M921" s="12" t="str">
        <f t="shared" si="29"/>
        <v>https://permalinkbnd.bnportugal.gov.pt/viewer/14594/?offset=#page=32&amp;viewer=picture&amp;o=info&amp;n=0&amp;q=</v>
      </c>
      <c r="N921" s="12" t="s">
        <v>1497</v>
      </c>
      <c r="O921" s="12" t="str">
        <f>CONCATENATE(N921,A921,"\",B921,"\",C921,".jpg")</f>
        <v>C:\Users\mbaptista\OneDrive - Biblioteca Nacional de Portugal\Documentos\python\camoniana\imagens\capas\1366577\1\32.jpg</v>
      </c>
      <c r="P921" s="12" t="str">
        <f>HYPERLINK(O921)</f>
        <v>C:\Users\mbaptista\OneDrive - Biblioteca Nacional de Portugal\Documentos\python\camoniana\imagens\capas\1366577\1\32.jpg</v>
      </c>
      <c r="Q921" s="12"/>
      <c r="R921" s="6" t="s">
        <v>1220</v>
      </c>
      <c r="S921" s="4"/>
      <c r="T921" s="1" t="s">
        <v>1217</v>
      </c>
      <c r="U921" s="13"/>
      <c r="V921" s="13"/>
      <c r="W921" s="5" t="s">
        <v>1491</v>
      </c>
    </row>
    <row r="922" spans="1:23" ht="90">
      <c r="A922" s="1">
        <v>1366577</v>
      </c>
      <c r="B922" s="1">
        <v>1</v>
      </c>
      <c r="C922" s="1">
        <v>54</v>
      </c>
      <c r="D922" s="2" t="s">
        <v>1215</v>
      </c>
      <c r="E922" s="5" t="s">
        <v>1215</v>
      </c>
      <c r="F922" s="5">
        <v>14594</v>
      </c>
      <c r="G922" s="2" t="s">
        <v>1494</v>
      </c>
      <c r="H922" s="2" t="s">
        <v>1495</v>
      </c>
      <c r="I922" s="2" t="s">
        <v>1496</v>
      </c>
      <c r="J922" s="2" t="str">
        <f t="shared" si="28"/>
        <v>https://permalinkbnd.bnportugal.gov.pt/viewer/14594/?offset=#page=54&amp;viewer=picture&amp;o=info&amp;n=0&amp;q=</v>
      </c>
      <c r="K922" s="1" t="s">
        <v>1216</v>
      </c>
      <c r="L922" s="1" t="str">
        <f>VLOOKUP(A922,Folha2!$A$2:$B$2019,2,FALSE)</f>
        <v>Les lusiades de Luiz de Camoens / traduit du portugais par J. B. J. Millié ; a été illustré par Bernard Roy. - Paris : imprimerie F. Paillart : en la rue de Beaune, à lªenseigne du Pot Cassé, 1931, sem argumentos. As notas são brevíssimas.</v>
      </c>
      <c r="M922" s="12" t="str">
        <f t="shared" si="29"/>
        <v>https://permalinkbnd.bnportugal.gov.pt/viewer/14594/?offset=#page=54&amp;viewer=picture&amp;o=info&amp;n=0&amp;q=</v>
      </c>
      <c r="N922" s="12" t="s">
        <v>1497</v>
      </c>
      <c r="O922" s="12" t="str">
        <f>CONCATENATE(N922,A922,"\",B922,"\",C922,".jpg")</f>
        <v>C:\Users\mbaptista\OneDrive - Biblioteca Nacional de Portugal\Documentos\python\camoniana\imagens\capas\1366577\1\54.jpg</v>
      </c>
      <c r="P922" s="12" t="str">
        <f>HYPERLINK(O922)</f>
        <v>C:\Users\mbaptista\OneDrive - Biblioteca Nacional de Portugal\Documentos\python\camoniana\imagens\capas\1366577\1\54.jpg</v>
      </c>
      <c r="Q922" s="12"/>
      <c r="R922" s="6" t="s">
        <v>1221</v>
      </c>
      <c r="S922" s="4"/>
      <c r="T922" s="1" t="s">
        <v>1217</v>
      </c>
      <c r="U922" s="13"/>
      <c r="V922" s="13"/>
      <c r="W922" s="5" t="s">
        <v>1491</v>
      </c>
    </row>
    <row r="923" spans="1:23" ht="90">
      <c r="A923" s="1">
        <v>1366577</v>
      </c>
      <c r="B923" s="1">
        <v>1</v>
      </c>
      <c r="C923" s="1">
        <v>55</v>
      </c>
      <c r="D923" s="2" t="s">
        <v>1215</v>
      </c>
      <c r="E923" s="11" t="s">
        <v>1215</v>
      </c>
      <c r="F923" s="11">
        <v>14594</v>
      </c>
      <c r="G923" s="2" t="s">
        <v>1494</v>
      </c>
      <c r="H923" s="2" t="s">
        <v>1495</v>
      </c>
      <c r="I923" s="2" t="s">
        <v>1496</v>
      </c>
      <c r="J923" s="2" t="str">
        <f t="shared" si="28"/>
        <v>https://permalinkbnd.bnportugal.gov.pt/viewer/14594/?offset=#page=55&amp;viewer=picture&amp;o=info&amp;n=0&amp;q=</v>
      </c>
      <c r="K923" s="1" t="s">
        <v>1216</v>
      </c>
      <c r="L923" s="1" t="str">
        <f>VLOOKUP(A923,Folha2!$A$2:$B$2019,2,FALSE)</f>
        <v>Les lusiades de Luiz de Camoens / traduit du portugais par J. B. J. Millié ; a été illustré par Bernard Roy. - Paris : imprimerie F. Paillart : en la rue de Beaune, à lªenseigne du Pot Cassé, 1931, sem argumentos. As notas são brevíssimas.</v>
      </c>
      <c r="M923" s="12" t="str">
        <f t="shared" si="29"/>
        <v>https://permalinkbnd.bnportugal.gov.pt/viewer/14594/?offset=#page=55&amp;viewer=picture&amp;o=info&amp;n=0&amp;q=</v>
      </c>
      <c r="N923" s="12" t="s">
        <v>1497</v>
      </c>
      <c r="O923" s="12" t="str">
        <f>CONCATENATE(N923,A923,"\",B923,"\",C923,".jpg")</f>
        <v>C:\Users\mbaptista\OneDrive - Biblioteca Nacional de Portugal\Documentos\python\camoniana\imagens\capas\1366577\1\55.jpg</v>
      </c>
      <c r="P923" s="12" t="str">
        <f>HYPERLINK(O923)</f>
        <v>C:\Users\mbaptista\OneDrive - Biblioteca Nacional de Portugal\Documentos\python\camoniana\imagens\capas\1366577\1\55.jpg</v>
      </c>
      <c r="Q923" s="12"/>
      <c r="R923" s="6"/>
      <c r="S923" s="4"/>
      <c r="T923" s="1"/>
      <c r="U923" s="13"/>
      <c r="V923" s="13"/>
      <c r="W923" s="5"/>
    </row>
    <row r="924" spans="1:23" ht="90">
      <c r="A924" s="1">
        <v>1366577</v>
      </c>
      <c r="B924" s="1">
        <v>1</v>
      </c>
      <c r="C924" s="1">
        <v>76</v>
      </c>
      <c r="D924" s="2" t="s">
        <v>1215</v>
      </c>
      <c r="E924" s="5" t="s">
        <v>1215</v>
      </c>
      <c r="F924" s="5">
        <v>14594</v>
      </c>
      <c r="G924" s="2" t="s">
        <v>1494</v>
      </c>
      <c r="H924" s="2" t="s">
        <v>1495</v>
      </c>
      <c r="I924" s="2" t="s">
        <v>1496</v>
      </c>
      <c r="J924" s="2" t="str">
        <f t="shared" si="28"/>
        <v>https://permalinkbnd.bnportugal.gov.pt/viewer/14594/?offset=#page=76&amp;viewer=picture&amp;o=info&amp;n=0&amp;q=</v>
      </c>
      <c r="K924" s="1" t="s">
        <v>1216</v>
      </c>
      <c r="L924" s="1" t="str">
        <f>VLOOKUP(A924,Folha2!$A$2:$B$2019,2,FALSE)</f>
        <v>Les lusiades de Luiz de Camoens / traduit du portugais par J. B. J. Millié ; a été illustré par Bernard Roy. - Paris : imprimerie F. Paillart : en la rue de Beaune, à lªenseigne du Pot Cassé, 1931, sem argumentos. As notas são brevíssimas.</v>
      </c>
      <c r="M924" s="12" t="str">
        <f t="shared" si="29"/>
        <v>https://permalinkbnd.bnportugal.gov.pt/viewer/14594/?offset=#page=76&amp;viewer=picture&amp;o=info&amp;n=0&amp;q=</v>
      </c>
      <c r="N924" s="12" t="s">
        <v>1497</v>
      </c>
      <c r="O924" s="12" t="str">
        <f>CONCATENATE(N924,A924,"\",B924,"\",C924,".jpg")</f>
        <v>C:\Users\mbaptista\OneDrive - Biblioteca Nacional de Portugal\Documentos\python\camoniana\imagens\capas\1366577\1\76.jpg</v>
      </c>
      <c r="P924" s="12" t="str">
        <f>HYPERLINK(O924)</f>
        <v>C:\Users\mbaptista\OneDrive - Biblioteca Nacional de Portugal\Documentos\python\camoniana\imagens\capas\1366577\1\76.jpg</v>
      </c>
      <c r="Q924" s="12"/>
      <c r="R924" s="6"/>
      <c r="S924" s="4"/>
      <c r="T924" s="1"/>
      <c r="U924" s="13"/>
      <c r="V924" s="13"/>
      <c r="W924" s="5"/>
    </row>
    <row r="925" spans="1:23" ht="90">
      <c r="A925" s="1">
        <v>1366577</v>
      </c>
      <c r="B925" s="1">
        <v>1</v>
      </c>
      <c r="C925" s="1">
        <v>78</v>
      </c>
      <c r="D925" s="2" t="s">
        <v>1215</v>
      </c>
      <c r="E925" s="11" t="s">
        <v>1215</v>
      </c>
      <c r="F925" s="11">
        <v>14594</v>
      </c>
      <c r="G925" s="2" t="s">
        <v>1494</v>
      </c>
      <c r="H925" s="2" t="s">
        <v>1495</v>
      </c>
      <c r="I925" s="2" t="s">
        <v>1496</v>
      </c>
      <c r="J925" s="2" t="str">
        <f t="shared" si="28"/>
        <v>https://permalinkbnd.bnportugal.gov.pt/viewer/14594/?offset=#page=78&amp;viewer=picture&amp;o=info&amp;n=0&amp;q=</v>
      </c>
      <c r="K925" s="1" t="s">
        <v>1216</v>
      </c>
      <c r="L925" s="1" t="str">
        <f>VLOOKUP(A925,Folha2!$A$2:$B$2019,2,FALSE)</f>
        <v>Les lusiades de Luiz de Camoens / traduit du portugais par J. B. J. Millié ; a été illustré par Bernard Roy. - Paris : imprimerie F. Paillart : en la rue de Beaune, à lªenseigne du Pot Cassé, 1931, sem argumentos. As notas são brevíssimas.</v>
      </c>
      <c r="M925" s="12" t="str">
        <f t="shared" si="29"/>
        <v>https://permalinkbnd.bnportugal.gov.pt/viewer/14594/?offset=#page=78&amp;viewer=picture&amp;o=info&amp;n=0&amp;q=</v>
      </c>
      <c r="N925" s="12" t="s">
        <v>1497</v>
      </c>
      <c r="O925" s="12" t="str">
        <f>CONCATENATE(N925,A925,"\",B925,"\",C925,".jpg")</f>
        <v>C:\Users\mbaptista\OneDrive - Biblioteca Nacional de Portugal\Documentos\python\camoniana\imagens\capas\1366577\1\78.jpg</v>
      </c>
      <c r="P925" s="12" t="str">
        <f>HYPERLINK(O925)</f>
        <v>C:\Users\mbaptista\OneDrive - Biblioteca Nacional de Portugal\Documentos\python\camoniana\imagens\capas\1366577\1\78.jpg</v>
      </c>
      <c r="Q925" s="12"/>
      <c r="R925" s="6" t="s">
        <v>1222</v>
      </c>
      <c r="S925" s="4"/>
      <c r="T925" s="1" t="s">
        <v>1217</v>
      </c>
      <c r="U925" s="13"/>
      <c r="V925" s="13"/>
      <c r="W925" s="5" t="s">
        <v>1491</v>
      </c>
    </row>
    <row r="926" spans="1:23" ht="90">
      <c r="A926" s="1">
        <v>1366577</v>
      </c>
      <c r="B926" s="1">
        <v>1</v>
      </c>
      <c r="C926" s="1">
        <v>106</v>
      </c>
      <c r="D926" s="2" t="s">
        <v>1215</v>
      </c>
      <c r="E926" s="5" t="s">
        <v>1215</v>
      </c>
      <c r="F926" s="5">
        <v>14594</v>
      </c>
      <c r="G926" s="2" t="s">
        <v>1494</v>
      </c>
      <c r="H926" s="2" t="s">
        <v>1495</v>
      </c>
      <c r="I926" s="2" t="s">
        <v>1496</v>
      </c>
      <c r="J926" s="2" t="str">
        <f t="shared" si="28"/>
        <v>https://permalinkbnd.bnportugal.gov.pt/viewer/14594/?offset=#page=106&amp;viewer=picture&amp;o=info&amp;n=0&amp;q=</v>
      </c>
      <c r="K926" s="1" t="s">
        <v>1216</v>
      </c>
      <c r="L926" s="1" t="str">
        <f>VLOOKUP(A926,Folha2!$A$2:$B$2019,2,FALSE)</f>
        <v>Les lusiades de Luiz de Camoens / traduit du portugais par J. B. J. Millié ; a été illustré par Bernard Roy. - Paris : imprimerie F. Paillart : en la rue de Beaune, à lªenseigne du Pot Cassé, 1931, sem argumentos. As notas são brevíssimas.</v>
      </c>
      <c r="M926" s="12" t="str">
        <f t="shared" si="29"/>
        <v>https://permalinkbnd.bnportugal.gov.pt/viewer/14594/?offset=#page=106&amp;viewer=picture&amp;o=info&amp;n=0&amp;q=</v>
      </c>
      <c r="N926" s="12" t="s">
        <v>1497</v>
      </c>
      <c r="O926" s="12" t="str">
        <f>CONCATENATE(N926,A926,"\",B926,"\",C926,".jpg")</f>
        <v>C:\Users\mbaptista\OneDrive - Biblioteca Nacional de Portugal\Documentos\python\camoniana\imagens\capas\1366577\1\106.jpg</v>
      </c>
      <c r="P926" s="12" t="str">
        <f>HYPERLINK(O926)</f>
        <v>C:\Users\mbaptista\OneDrive - Biblioteca Nacional de Portugal\Documentos\python\camoniana\imagens\capas\1366577\1\106.jpg</v>
      </c>
      <c r="Q926" s="12"/>
      <c r="R926" s="6" t="s">
        <v>1223</v>
      </c>
      <c r="S926" s="4"/>
      <c r="T926" s="1" t="s">
        <v>1217</v>
      </c>
      <c r="U926" s="13"/>
      <c r="V926" s="13"/>
      <c r="W926" s="5" t="s">
        <v>1491</v>
      </c>
    </row>
    <row r="927" spans="1:23" ht="90">
      <c r="A927" s="1">
        <v>1366577</v>
      </c>
      <c r="B927" s="1">
        <v>1</v>
      </c>
      <c r="C927" s="1">
        <v>107</v>
      </c>
      <c r="D927" s="2" t="s">
        <v>1215</v>
      </c>
      <c r="E927" s="11" t="s">
        <v>1215</v>
      </c>
      <c r="F927" s="11">
        <v>14594</v>
      </c>
      <c r="G927" s="2" t="s">
        <v>1494</v>
      </c>
      <c r="H927" s="2" t="s">
        <v>1495</v>
      </c>
      <c r="I927" s="2" t="s">
        <v>1496</v>
      </c>
      <c r="J927" s="2" t="str">
        <f t="shared" si="28"/>
        <v>https://permalinkbnd.bnportugal.gov.pt/viewer/14594/?offset=#page=107&amp;viewer=picture&amp;o=info&amp;n=0&amp;q=</v>
      </c>
      <c r="K927" s="1" t="s">
        <v>1216</v>
      </c>
      <c r="L927" s="1" t="str">
        <f>VLOOKUP(A927,Folha2!$A$2:$B$2019,2,FALSE)</f>
        <v>Les lusiades de Luiz de Camoens / traduit du portugais par J. B. J. Millié ; a été illustré par Bernard Roy. - Paris : imprimerie F. Paillart : en la rue de Beaune, à lªenseigne du Pot Cassé, 1931, sem argumentos. As notas são brevíssimas.</v>
      </c>
      <c r="M927" s="12" t="str">
        <f t="shared" si="29"/>
        <v>https://permalinkbnd.bnportugal.gov.pt/viewer/14594/?offset=#page=107&amp;viewer=picture&amp;o=info&amp;n=0&amp;q=</v>
      </c>
      <c r="N927" s="12" t="s">
        <v>1497</v>
      </c>
      <c r="O927" s="12" t="str">
        <f>CONCATENATE(N927,A927,"\",B927,"\",C927,".jpg")</f>
        <v>C:\Users\mbaptista\OneDrive - Biblioteca Nacional de Portugal\Documentos\python\camoniana\imagens\capas\1366577\1\107.jpg</v>
      </c>
      <c r="P927" s="12" t="str">
        <f>HYPERLINK(O927)</f>
        <v>C:\Users\mbaptista\OneDrive - Biblioteca Nacional de Portugal\Documentos\python\camoniana\imagens\capas\1366577\1\107.jpg</v>
      </c>
      <c r="Q927" s="12"/>
      <c r="R927" s="6"/>
      <c r="S927" s="4"/>
      <c r="T927" s="1"/>
      <c r="U927" s="13"/>
      <c r="V927" s="13"/>
      <c r="W927" s="5"/>
    </row>
    <row r="928" spans="1:23" ht="90">
      <c r="A928" s="1">
        <v>1366577</v>
      </c>
      <c r="B928" s="1">
        <v>1</v>
      </c>
      <c r="C928" s="1">
        <v>128</v>
      </c>
      <c r="D928" s="2" t="s">
        <v>1215</v>
      </c>
      <c r="E928" s="5" t="s">
        <v>1215</v>
      </c>
      <c r="F928" s="5">
        <v>14594</v>
      </c>
      <c r="G928" s="2" t="s">
        <v>1494</v>
      </c>
      <c r="H928" s="2" t="s">
        <v>1495</v>
      </c>
      <c r="I928" s="2" t="s">
        <v>1496</v>
      </c>
      <c r="J928" s="2" t="str">
        <f t="shared" si="28"/>
        <v>https://permalinkbnd.bnportugal.gov.pt/viewer/14594/?offset=#page=128&amp;viewer=picture&amp;o=info&amp;n=0&amp;q=</v>
      </c>
      <c r="K928" s="1" t="s">
        <v>1216</v>
      </c>
      <c r="L928" s="1" t="str">
        <f>VLOOKUP(A928,Folha2!$A$2:$B$2019,2,FALSE)</f>
        <v>Les lusiades de Luiz de Camoens / traduit du portugais par J. B. J. Millié ; a été illustré par Bernard Roy. - Paris : imprimerie F. Paillart : en la rue de Beaune, à lªenseigne du Pot Cassé, 1931, sem argumentos. As notas são brevíssimas.</v>
      </c>
      <c r="M928" s="12" t="str">
        <f t="shared" si="29"/>
        <v>https://permalinkbnd.bnportugal.gov.pt/viewer/14594/?offset=#page=128&amp;viewer=picture&amp;o=info&amp;n=0&amp;q=</v>
      </c>
      <c r="N928" s="12" t="s">
        <v>1497</v>
      </c>
      <c r="O928" s="12" t="str">
        <f>CONCATENATE(N928,A928,"\",B928,"\",C928,".jpg")</f>
        <v>C:\Users\mbaptista\OneDrive - Biblioteca Nacional de Portugal\Documentos\python\camoniana\imagens\capas\1366577\1\128.jpg</v>
      </c>
      <c r="P928" s="12" t="str">
        <f>HYPERLINK(O928)</f>
        <v>C:\Users\mbaptista\OneDrive - Biblioteca Nacional de Portugal\Documentos\python\camoniana\imagens\capas\1366577\1\128.jpg</v>
      </c>
      <c r="Q928" s="12"/>
      <c r="R928" s="6" t="s">
        <v>1224</v>
      </c>
      <c r="S928" s="4"/>
      <c r="T928" s="1" t="s">
        <v>1217</v>
      </c>
      <c r="U928" s="13"/>
      <c r="V928" s="13"/>
      <c r="W928" s="5" t="s">
        <v>1491</v>
      </c>
    </row>
    <row r="929" spans="1:23" ht="90">
      <c r="A929" s="1">
        <v>1366577</v>
      </c>
      <c r="B929" s="1">
        <v>1</v>
      </c>
      <c r="C929" s="1">
        <v>129</v>
      </c>
      <c r="D929" s="2" t="s">
        <v>1215</v>
      </c>
      <c r="E929" s="11" t="s">
        <v>1215</v>
      </c>
      <c r="F929" s="11">
        <v>14594</v>
      </c>
      <c r="G929" s="2" t="s">
        <v>1494</v>
      </c>
      <c r="H929" s="2" t="s">
        <v>1495</v>
      </c>
      <c r="I929" s="2" t="s">
        <v>1496</v>
      </c>
      <c r="J929" s="2" t="str">
        <f t="shared" si="28"/>
        <v>https://permalinkbnd.bnportugal.gov.pt/viewer/14594/?offset=#page=129&amp;viewer=picture&amp;o=info&amp;n=0&amp;q=</v>
      </c>
      <c r="K929" s="1" t="s">
        <v>1216</v>
      </c>
      <c r="L929" s="1" t="str">
        <f>VLOOKUP(A929,Folha2!$A$2:$B$2019,2,FALSE)</f>
        <v>Les lusiades de Luiz de Camoens / traduit du portugais par J. B. J. Millié ; a été illustré par Bernard Roy. - Paris : imprimerie F. Paillart : en la rue de Beaune, à lªenseigne du Pot Cassé, 1931, sem argumentos. As notas são brevíssimas.</v>
      </c>
      <c r="M929" s="12" t="str">
        <f t="shared" si="29"/>
        <v>https://permalinkbnd.bnportugal.gov.pt/viewer/14594/?offset=#page=129&amp;viewer=picture&amp;o=info&amp;n=0&amp;q=</v>
      </c>
      <c r="N929" s="12" t="s">
        <v>1497</v>
      </c>
      <c r="O929" s="12" t="str">
        <f>CONCATENATE(N929,A929,"\",B929,"\",C929,".jpg")</f>
        <v>C:\Users\mbaptista\OneDrive - Biblioteca Nacional de Portugal\Documentos\python\camoniana\imagens\capas\1366577\1\129.jpg</v>
      </c>
      <c r="P929" s="12" t="str">
        <f>HYPERLINK(O929)</f>
        <v>C:\Users\mbaptista\OneDrive - Biblioteca Nacional de Portugal\Documentos\python\camoniana\imagens\capas\1366577\1\129.jpg</v>
      </c>
      <c r="Q929" s="12"/>
      <c r="R929" s="6" t="s">
        <v>1225</v>
      </c>
      <c r="S929" s="4"/>
      <c r="T929" s="1" t="s">
        <v>1217</v>
      </c>
      <c r="U929" s="13"/>
      <c r="V929" s="13"/>
      <c r="W929" s="5" t="s">
        <v>1491</v>
      </c>
    </row>
    <row r="930" spans="1:23" ht="90">
      <c r="A930" s="1">
        <v>1366577</v>
      </c>
      <c r="B930" s="1">
        <v>1</v>
      </c>
      <c r="C930" s="1">
        <v>148</v>
      </c>
      <c r="D930" s="2" t="s">
        <v>1215</v>
      </c>
      <c r="E930" s="5" t="s">
        <v>1215</v>
      </c>
      <c r="F930" s="5">
        <v>14594</v>
      </c>
      <c r="G930" s="2" t="s">
        <v>1494</v>
      </c>
      <c r="H930" s="2" t="s">
        <v>1495</v>
      </c>
      <c r="I930" s="2" t="s">
        <v>1496</v>
      </c>
      <c r="J930" s="2" t="str">
        <f t="shared" si="28"/>
        <v>https://permalinkbnd.bnportugal.gov.pt/viewer/14594/?offset=#page=148&amp;viewer=picture&amp;o=info&amp;n=0&amp;q=</v>
      </c>
      <c r="K930" s="1" t="s">
        <v>1216</v>
      </c>
      <c r="L930" s="1" t="str">
        <f>VLOOKUP(A930,Folha2!$A$2:$B$2019,2,FALSE)</f>
        <v>Les lusiades de Luiz de Camoens / traduit du portugais par J. B. J. Millié ; a été illustré par Bernard Roy. - Paris : imprimerie F. Paillart : en la rue de Beaune, à lªenseigne du Pot Cassé, 1931, sem argumentos. As notas são brevíssimas.</v>
      </c>
      <c r="M930" s="12" t="str">
        <f t="shared" si="29"/>
        <v>https://permalinkbnd.bnportugal.gov.pt/viewer/14594/?offset=#page=148&amp;viewer=picture&amp;o=info&amp;n=0&amp;q=</v>
      </c>
      <c r="N930" s="12" t="s">
        <v>1497</v>
      </c>
      <c r="O930" s="12" t="str">
        <f>CONCATENATE(N930,A930,"\",B930,"\",C930,".jpg")</f>
        <v>C:\Users\mbaptista\OneDrive - Biblioteca Nacional de Portugal\Documentos\python\camoniana\imagens\capas\1366577\1\148.jpg</v>
      </c>
      <c r="P930" s="12" t="str">
        <f>HYPERLINK(O930)</f>
        <v>C:\Users\mbaptista\OneDrive - Biblioteca Nacional de Portugal\Documentos\python\camoniana\imagens\capas\1366577\1\148.jpg</v>
      </c>
      <c r="Q930" s="12"/>
      <c r="R930" s="6"/>
      <c r="S930" s="4"/>
      <c r="T930" s="1"/>
      <c r="U930" s="13"/>
      <c r="V930" s="13"/>
      <c r="W930" s="5"/>
    </row>
    <row r="931" spans="1:23" ht="90">
      <c r="A931" s="1">
        <v>1366577</v>
      </c>
      <c r="B931" s="1">
        <v>1</v>
      </c>
      <c r="C931" s="1">
        <v>150</v>
      </c>
      <c r="D931" s="2" t="s">
        <v>1215</v>
      </c>
      <c r="E931" s="11" t="s">
        <v>1215</v>
      </c>
      <c r="F931" s="11">
        <v>14594</v>
      </c>
      <c r="G931" s="2" t="s">
        <v>1494</v>
      </c>
      <c r="H931" s="2" t="s">
        <v>1495</v>
      </c>
      <c r="I931" s="2" t="s">
        <v>1496</v>
      </c>
      <c r="J931" s="2" t="str">
        <f t="shared" si="28"/>
        <v>https://permalinkbnd.bnportugal.gov.pt/viewer/14594/?offset=#page=150&amp;viewer=picture&amp;o=info&amp;n=0&amp;q=</v>
      </c>
      <c r="K931" s="1" t="s">
        <v>1216</v>
      </c>
      <c r="L931" s="1" t="str">
        <f>VLOOKUP(A931,Folha2!$A$2:$B$2019,2,FALSE)</f>
        <v>Les lusiades de Luiz de Camoens / traduit du portugais par J. B. J. Millié ; a été illustré par Bernard Roy. - Paris : imprimerie F. Paillart : en la rue de Beaune, à lªenseigne du Pot Cassé, 1931, sem argumentos. As notas são brevíssimas.</v>
      </c>
      <c r="M931" s="12" t="str">
        <f t="shared" si="29"/>
        <v>https://permalinkbnd.bnportugal.gov.pt/viewer/14594/?offset=#page=150&amp;viewer=picture&amp;o=info&amp;n=0&amp;q=</v>
      </c>
      <c r="N931" s="12" t="s">
        <v>1497</v>
      </c>
      <c r="O931" s="12" t="str">
        <f>CONCATENATE(N931,A931,"\",B931,"\",C931,".jpg")</f>
        <v>C:\Users\mbaptista\OneDrive - Biblioteca Nacional de Portugal\Documentos\python\camoniana\imagens\capas\1366577\1\150.jpg</v>
      </c>
      <c r="P931" s="12" t="str">
        <f>HYPERLINK(O931)</f>
        <v>C:\Users\mbaptista\OneDrive - Biblioteca Nacional de Portugal\Documentos\python\camoniana\imagens\capas\1366577\1\150.jpg</v>
      </c>
      <c r="Q931" s="12"/>
      <c r="R931" s="6" t="s">
        <v>1226</v>
      </c>
      <c r="S931" s="4"/>
      <c r="T931" s="1" t="s">
        <v>1217</v>
      </c>
      <c r="U931" s="13"/>
      <c r="V931" s="13"/>
      <c r="W931" s="5" t="s">
        <v>1491</v>
      </c>
    </row>
    <row r="932" spans="1:23" ht="90">
      <c r="A932" s="1">
        <v>1366577</v>
      </c>
      <c r="B932" s="1">
        <v>1</v>
      </c>
      <c r="C932" s="1">
        <v>151</v>
      </c>
      <c r="D932" s="2" t="s">
        <v>1215</v>
      </c>
      <c r="E932" s="5" t="s">
        <v>1215</v>
      </c>
      <c r="F932" s="5">
        <v>14594</v>
      </c>
      <c r="G932" s="2" t="s">
        <v>1494</v>
      </c>
      <c r="H932" s="2" t="s">
        <v>1495</v>
      </c>
      <c r="I932" s="2" t="s">
        <v>1496</v>
      </c>
      <c r="J932" s="2" t="str">
        <f t="shared" si="28"/>
        <v>https://permalinkbnd.bnportugal.gov.pt/viewer/14594/?offset=#page=151&amp;viewer=picture&amp;o=info&amp;n=0&amp;q=</v>
      </c>
      <c r="K932" s="1" t="s">
        <v>1216</v>
      </c>
      <c r="L932" s="1" t="str">
        <f>VLOOKUP(A932,Folha2!$A$2:$B$2019,2,FALSE)</f>
        <v>Les lusiades de Luiz de Camoens / traduit du portugais par J. B. J. Millié ; a été illustré par Bernard Roy. - Paris : imprimerie F. Paillart : en la rue de Beaune, à lªenseigne du Pot Cassé, 1931, sem argumentos. As notas são brevíssimas.</v>
      </c>
      <c r="M932" s="12" t="str">
        <f t="shared" si="29"/>
        <v>https://permalinkbnd.bnportugal.gov.pt/viewer/14594/?offset=#page=151&amp;viewer=picture&amp;o=info&amp;n=0&amp;q=</v>
      </c>
      <c r="N932" s="12" t="s">
        <v>1497</v>
      </c>
      <c r="O932" s="12" t="str">
        <f>CONCATENATE(N932,A932,"\",B932,"\",C932,".jpg")</f>
        <v>C:\Users\mbaptista\OneDrive - Biblioteca Nacional de Portugal\Documentos\python\camoniana\imagens\capas\1366577\1\151.jpg</v>
      </c>
      <c r="P932" s="12" t="str">
        <f>HYPERLINK(O932)</f>
        <v>C:\Users\mbaptista\OneDrive - Biblioteca Nacional de Portugal\Documentos\python\camoniana\imagens\capas\1366577\1\151.jpg</v>
      </c>
      <c r="Q932" s="12"/>
      <c r="R932" s="6" t="s">
        <v>1227</v>
      </c>
      <c r="S932" s="4"/>
      <c r="T932" s="1" t="s">
        <v>1217</v>
      </c>
      <c r="U932" s="13"/>
      <c r="V932" s="13"/>
      <c r="W932" s="5" t="s">
        <v>1491</v>
      </c>
    </row>
    <row r="933" spans="1:23" ht="90">
      <c r="A933" s="1">
        <v>1366577</v>
      </c>
      <c r="B933" s="1">
        <v>1</v>
      </c>
      <c r="C933" s="1">
        <v>170</v>
      </c>
      <c r="D933" s="2" t="s">
        <v>1215</v>
      </c>
      <c r="E933" s="11" t="s">
        <v>1215</v>
      </c>
      <c r="F933" s="11">
        <v>14594</v>
      </c>
      <c r="G933" s="2" t="s">
        <v>1494</v>
      </c>
      <c r="H933" s="2" t="s">
        <v>1495</v>
      </c>
      <c r="I933" s="2" t="s">
        <v>1496</v>
      </c>
      <c r="J933" s="2" t="str">
        <f t="shared" si="28"/>
        <v>https://permalinkbnd.bnportugal.gov.pt/viewer/14594/?offset=#page=170&amp;viewer=picture&amp;o=info&amp;n=0&amp;q=</v>
      </c>
      <c r="K933" s="1" t="s">
        <v>1216</v>
      </c>
      <c r="L933" s="1" t="str">
        <f>VLOOKUP(A933,Folha2!$A$2:$B$2019,2,FALSE)</f>
        <v>Les lusiades de Luiz de Camoens / traduit du portugais par J. B. J. Millié ; a été illustré par Bernard Roy. - Paris : imprimerie F. Paillart : en la rue de Beaune, à lªenseigne du Pot Cassé, 1931, sem argumentos. As notas são brevíssimas.</v>
      </c>
      <c r="M933" s="12" t="str">
        <f t="shared" si="29"/>
        <v>https://permalinkbnd.bnportugal.gov.pt/viewer/14594/?offset=#page=170&amp;viewer=picture&amp;o=info&amp;n=0&amp;q=</v>
      </c>
      <c r="N933" s="12" t="s">
        <v>1497</v>
      </c>
      <c r="O933" s="12" t="str">
        <f>CONCATENATE(N933,A933,"\",B933,"\",C933,".jpg")</f>
        <v>C:\Users\mbaptista\OneDrive - Biblioteca Nacional de Portugal\Documentos\python\camoniana\imagens\capas\1366577\1\170.jpg</v>
      </c>
      <c r="P933" s="12" t="str">
        <f>HYPERLINK(O933)</f>
        <v>C:\Users\mbaptista\OneDrive - Biblioteca Nacional de Portugal\Documentos\python\camoniana\imagens\capas\1366577\1\170.jpg</v>
      </c>
      <c r="Q933" s="12"/>
      <c r="R933" s="6" t="s">
        <v>1228</v>
      </c>
      <c r="S933" s="4"/>
      <c r="T933" s="1" t="s">
        <v>1217</v>
      </c>
      <c r="U933" s="13"/>
      <c r="V933" s="13"/>
      <c r="W933" s="5" t="s">
        <v>1491</v>
      </c>
    </row>
    <row r="934" spans="1:23" ht="90">
      <c r="A934" s="1">
        <v>1366577</v>
      </c>
      <c r="B934" s="1">
        <v>1</v>
      </c>
      <c r="C934" s="1">
        <v>171</v>
      </c>
      <c r="D934" s="2" t="s">
        <v>1215</v>
      </c>
      <c r="E934" s="5" t="s">
        <v>1215</v>
      </c>
      <c r="F934" s="5">
        <v>14594</v>
      </c>
      <c r="G934" s="2" t="s">
        <v>1494</v>
      </c>
      <c r="H934" s="2" t="s">
        <v>1495</v>
      </c>
      <c r="I934" s="2" t="s">
        <v>1496</v>
      </c>
      <c r="J934" s="2" t="str">
        <f t="shared" si="28"/>
        <v>https://permalinkbnd.bnportugal.gov.pt/viewer/14594/?offset=#page=171&amp;viewer=picture&amp;o=info&amp;n=0&amp;q=</v>
      </c>
      <c r="K934" s="1" t="s">
        <v>1216</v>
      </c>
      <c r="L934" s="1" t="str">
        <f>VLOOKUP(A934,Folha2!$A$2:$B$2019,2,FALSE)</f>
        <v>Les lusiades de Luiz de Camoens / traduit du portugais par J. B. J. Millié ; a été illustré par Bernard Roy. - Paris : imprimerie F. Paillart : en la rue de Beaune, à lªenseigne du Pot Cassé, 1931, sem argumentos. As notas são brevíssimas.</v>
      </c>
      <c r="M934" s="12" t="str">
        <f t="shared" si="29"/>
        <v>https://permalinkbnd.bnportugal.gov.pt/viewer/14594/?offset=#page=171&amp;viewer=picture&amp;o=info&amp;n=0&amp;q=</v>
      </c>
      <c r="N934" s="12" t="s">
        <v>1497</v>
      </c>
      <c r="O934" s="12" t="str">
        <f>CONCATENATE(N934,A934,"\",B934,"\",C934,".jpg")</f>
        <v>C:\Users\mbaptista\OneDrive - Biblioteca Nacional de Portugal\Documentos\python\camoniana\imagens\capas\1366577\1\171.jpg</v>
      </c>
      <c r="P934" s="12" t="str">
        <f>HYPERLINK(O934)</f>
        <v>C:\Users\mbaptista\OneDrive - Biblioteca Nacional de Portugal\Documentos\python\camoniana\imagens\capas\1366577\1\171.jpg</v>
      </c>
      <c r="Q934" s="12"/>
      <c r="R934" s="6" t="s">
        <v>1229</v>
      </c>
      <c r="S934" s="4"/>
      <c r="T934" s="1" t="s">
        <v>1217</v>
      </c>
      <c r="U934" s="13"/>
      <c r="V934" s="13"/>
      <c r="W934" s="5" t="s">
        <v>1491</v>
      </c>
    </row>
    <row r="935" spans="1:23" ht="90">
      <c r="A935" s="1">
        <v>1366577</v>
      </c>
      <c r="B935" s="1">
        <v>1</v>
      </c>
      <c r="C935" s="1">
        <v>188</v>
      </c>
      <c r="D935" s="2" t="s">
        <v>1215</v>
      </c>
      <c r="E935" s="11" t="s">
        <v>1215</v>
      </c>
      <c r="F935" s="11">
        <v>14594</v>
      </c>
      <c r="G935" s="2" t="s">
        <v>1494</v>
      </c>
      <c r="H935" s="2" t="s">
        <v>1495</v>
      </c>
      <c r="I935" s="2" t="s">
        <v>1496</v>
      </c>
      <c r="J935" s="2" t="str">
        <f t="shared" si="28"/>
        <v>https://permalinkbnd.bnportugal.gov.pt/viewer/14594/?offset=#page=188&amp;viewer=picture&amp;o=info&amp;n=0&amp;q=</v>
      </c>
      <c r="K935" s="1" t="s">
        <v>1216</v>
      </c>
      <c r="L935" s="1" t="str">
        <f>VLOOKUP(A935,Folha2!$A$2:$B$2019,2,FALSE)</f>
        <v>Les lusiades de Luiz de Camoens / traduit du portugais par J. B. J. Millié ; a été illustré par Bernard Roy. - Paris : imprimerie F. Paillart : en la rue de Beaune, à lªenseigne du Pot Cassé, 1931, sem argumentos. As notas são brevíssimas.</v>
      </c>
      <c r="M935" s="12" t="str">
        <f t="shared" si="29"/>
        <v>https://permalinkbnd.bnportugal.gov.pt/viewer/14594/?offset=#page=188&amp;viewer=picture&amp;o=info&amp;n=0&amp;q=</v>
      </c>
      <c r="N935" s="12" t="s">
        <v>1497</v>
      </c>
      <c r="O935" s="12" t="str">
        <f>CONCATENATE(N935,A935,"\",B935,"\",C935,".jpg")</f>
        <v>C:\Users\mbaptista\OneDrive - Biblioteca Nacional de Portugal\Documentos\python\camoniana\imagens\capas\1366577\1\188.jpg</v>
      </c>
      <c r="P935" s="12" t="str">
        <f>HYPERLINK(O935)</f>
        <v>C:\Users\mbaptista\OneDrive - Biblioteca Nacional de Portugal\Documentos\python\camoniana\imagens\capas\1366577\1\188.jpg</v>
      </c>
      <c r="Q935" s="12"/>
      <c r="R935" s="6" t="s">
        <v>1230</v>
      </c>
      <c r="S935" s="4"/>
      <c r="T935" s="1" t="s">
        <v>1217</v>
      </c>
      <c r="U935" s="13"/>
      <c r="V935" s="13"/>
      <c r="W935" s="5" t="s">
        <v>1491</v>
      </c>
    </row>
    <row r="936" spans="1:23" ht="90">
      <c r="A936" s="1">
        <v>1366577</v>
      </c>
      <c r="B936" s="1">
        <v>1</v>
      </c>
      <c r="C936" s="1">
        <v>189</v>
      </c>
      <c r="D936" s="2" t="s">
        <v>1215</v>
      </c>
      <c r="E936" s="5" t="s">
        <v>1215</v>
      </c>
      <c r="F936" s="5">
        <v>14594</v>
      </c>
      <c r="G936" s="2" t="s">
        <v>1494</v>
      </c>
      <c r="H936" s="2" t="s">
        <v>1495</v>
      </c>
      <c r="I936" s="2" t="s">
        <v>1496</v>
      </c>
      <c r="J936" s="2" t="str">
        <f t="shared" si="28"/>
        <v>https://permalinkbnd.bnportugal.gov.pt/viewer/14594/?offset=#page=189&amp;viewer=picture&amp;o=info&amp;n=0&amp;q=</v>
      </c>
      <c r="K936" s="1" t="s">
        <v>1216</v>
      </c>
      <c r="L936" s="1" t="str">
        <f>VLOOKUP(A936,Folha2!$A$2:$B$2019,2,FALSE)</f>
        <v>Les lusiades de Luiz de Camoens / traduit du portugais par J. B. J. Millié ; a été illustré par Bernard Roy. - Paris : imprimerie F. Paillart : en la rue de Beaune, à lªenseigne du Pot Cassé, 1931, sem argumentos. As notas são brevíssimas.</v>
      </c>
      <c r="M936" s="12" t="str">
        <f t="shared" si="29"/>
        <v>https://permalinkbnd.bnportugal.gov.pt/viewer/14594/?offset=#page=189&amp;viewer=picture&amp;o=info&amp;n=0&amp;q=</v>
      </c>
      <c r="N936" s="12" t="s">
        <v>1497</v>
      </c>
      <c r="O936" s="12" t="str">
        <f>CONCATENATE(N936,A936,"\",B936,"\",C936,".jpg")</f>
        <v>C:\Users\mbaptista\OneDrive - Biblioteca Nacional de Portugal\Documentos\python\camoniana\imagens\capas\1366577\1\189.jpg</v>
      </c>
      <c r="P936" s="12" t="str">
        <f>HYPERLINK(O936)</f>
        <v>C:\Users\mbaptista\OneDrive - Biblioteca Nacional de Portugal\Documentos\python\camoniana\imagens\capas\1366577\1\189.jpg</v>
      </c>
      <c r="Q936" s="12"/>
      <c r="R936" s="6" t="s">
        <v>1231</v>
      </c>
      <c r="S936" s="4"/>
      <c r="T936" s="1" t="s">
        <v>1217</v>
      </c>
      <c r="U936" s="13"/>
      <c r="V936" s="13"/>
      <c r="W936" s="5" t="s">
        <v>1491</v>
      </c>
    </row>
    <row r="937" spans="1:23" ht="90">
      <c r="A937" s="1">
        <v>1366577</v>
      </c>
      <c r="B937" s="1">
        <v>1</v>
      </c>
      <c r="C937" s="1">
        <v>208</v>
      </c>
      <c r="D937" s="2" t="s">
        <v>1215</v>
      </c>
      <c r="E937" s="11" t="s">
        <v>1215</v>
      </c>
      <c r="F937" s="11">
        <v>14594</v>
      </c>
      <c r="G937" s="2" t="s">
        <v>1494</v>
      </c>
      <c r="H937" s="2" t="s">
        <v>1495</v>
      </c>
      <c r="I937" s="2" t="s">
        <v>1496</v>
      </c>
      <c r="J937" s="2" t="str">
        <f t="shared" si="28"/>
        <v>https://permalinkbnd.bnportugal.gov.pt/viewer/14594/?offset=#page=208&amp;viewer=picture&amp;o=info&amp;n=0&amp;q=</v>
      </c>
      <c r="K937" s="1" t="s">
        <v>1216</v>
      </c>
      <c r="L937" s="1" t="str">
        <f>VLOOKUP(A937,Folha2!$A$2:$B$2019,2,FALSE)</f>
        <v>Les lusiades de Luiz de Camoens / traduit du portugais par J. B. J. Millié ; a été illustré par Bernard Roy. - Paris : imprimerie F. Paillart : en la rue de Beaune, à lªenseigne du Pot Cassé, 1931, sem argumentos. As notas são brevíssimas.</v>
      </c>
      <c r="M937" s="12" t="str">
        <f t="shared" si="29"/>
        <v>https://permalinkbnd.bnportugal.gov.pt/viewer/14594/?offset=#page=208&amp;viewer=picture&amp;o=info&amp;n=0&amp;q=</v>
      </c>
      <c r="N937" s="12" t="s">
        <v>1497</v>
      </c>
      <c r="O937" s="12" t="str">
        <f>CONCATENATE(N937,A937,"\",B937,"\",C937,".jpg")</f>
        <v>C:\Users\mbaptista\OneDrive - Biblioteca Nacional de Portugal\Documentos\python\camoniana\imagens\capas\1366577\1\208.jpg</v>
      </c>
      <c r="P937" s="12" t="str">
        <f>HYPERLINK(O937)</f>
        <v>C:\Users\mbaptista\OneDrive - Biblioteca Nacional de Portugal\Documentos\python\camoniana\imagens\capas\1366577\1\208.jpg</v>
      </c>
      <c r="Q937" s="12"/>
      <c r="R937" s="6" t="s">
        <v>1232</v>
      </c>
      <c r="S937" s="4"/>
      <c r="T937" s="1" t="s">
        <v>1217</v>
      </c>
      <c r="U937" s="13"/>
      <c r="V937" s="13"/>
      <c r="W937" s="5" t="s">
        <v>1491</v>
      </c>
    </row>
    <row r="938" spans="1:23" ht="90">
      <c r="A938" s="1">
        <v>1366577</v>
      </c>
      <c r="B938" s="1">
        <v>1</v>
      </c>
      <c r="C938" s="1">
        <v>209</v>
      </c>
      <c r="D938" s="2" t="s">
        <v>1215</v>
      </c>
      <c r="E938" s="5" t="s">
        <v>1215</v>
      </c>
      <c r="F938" s="5">
        <v>14594</v>
      </c>
      <c r="G938" s="2" t="s">
        <v>1494</v>
      </c>
      <c r="H938" s="2" t="s">
        <v>1495</v>
      </c>
      <c r="I938" s="2" t="s">
        <v>1496</v>
      </c>
      <c r="J938" s="2" t="str">
        <f t="shared" si="28"/>
        <v>https://permalinkbnd.bnportugal.gov.pt/viewer/14594/?offset=#page=209&amp;viewer=picture&amp;o=info&amp;n=0&amp;q=</v>
      </c>
      <c r="K938" s="1" t="s">
        <v>1216</v>
      </c>
      <c r="L938" s="1" t="str">
        <f>VLOOKUP(A938,Folha2!$A$2:$B$2019,2,FALSE)</f>
        <v>Les lusiades de Luiz de Camoens / traduit du portugais par J. B. J. Millié ; a été illustré par Bernard Roy. - Paris : imprimerie F. Paillart : en la rue de Beaune, à lªenseigne du Pot Cassé, 1931, sem argumentos. As notas são brevíssimas.</v>
      </c>
      <c r="M938" s="12" t="str">
        <f t="shared" si="29"/>
        <v>https://permalinkbnd.bnportugal.gov.pt/viewer/14594/?offset=#page=209&amp;viewer=picture&amp;o=info&amp;n=0&amp;q=</v>
      </c>
      <c r="N938" s="12" t="s">
        <v>1497</v>
      </c>
      <c r="O938" s="12" t="str">
        <f>CONCATENATE(N938,A938,"\",B938,"\",C938,".jpg")</f>
        <v>C:\Users\mbaptista\OneDrive - Biblioteca Nacional de Portugal\Documentos\python\camoniana\imagens\capas\1366577\1\209.jpg</v>
      </c>
      <c r="P938" s="12" t="str">
        <f>HYPERLINK(O938)</f>
        <v>C:\Users\mbaptista\OneDrive - Biblioteca Nacional de Portugal\Documentos\python\camoniana\imagens\capas\1366577\1\209.jpg</v>
      </c>
      <c r="Q938" s="12"/>
      <c r="R938" s="6" t="s">
        <v>1233</v>
      </c>
      <c r="S938" s="4"/>
      <c r="T938" s="1" t="s">
        <v>1217</v>
      </c>
      <c r="U938" s="13"/>
      <c r="V938" s="13"/>
      <c r="W938" s="5" t="s">
        <v>1491</v>
      </c>
    </row>
    <row r="939" spans="1:23" ht="90">
      <c r="A939" s="1">
        <v>1366577</v>
      </c>
      <c r="B939" s="1">
        <v>1</v>
      </c>
      <c r="C939" s="1">
        <v>228</v>
      </c>
      <c r="D939" s="2" t="s">
        <v>1215</v>
      </c>
      <c r="E939" s="11" t="s">
        <v>1215</v>
      </c>
      <c r="F939" s="11">
        <v>14594</v>
      </c>
      <c r="G939" s="2" t="s">
        <v>1494</v>
      </c>
      <c r="H939" s="2" t="s">
        <v>1495</v>
      </c>
      <c r="I939" s="2" t="s">
        <v>1496</v>
      </c>
      <c r="J939" s="2" t="str">
        <f t="shared" si="28"/>
        <v>https://permalinkbnd.bnportugal.gov.pt/viewer/14594/?offset=#page=228&amp;viewer=picture&amp;o=info&amp;n=0&amp;q=</v>
      </c>
      <c r="K939" s="1" t="s">
        <v>1216</v>
      </c>
      <c r="L939" s="1" t="str">
        <f>VLOOKUP(A939,Folha2!$A$2:$B$2019,2,FALSE)</f>
        <v>Les lusiades de Luiz de Camoens / traduit du portugais par J. B. J. Millié ; a été illustré par Bernard Roy. - Paris : imprimerie F. Paillart : en la rue de Beaune, à lªenseigne du Pot Cassé, 1931, sem argumentos. As notas são brevíssimas.</v>
      </c>
      <c r="M939" s="12" t="str">
        <f t="shared" si="29"/>
        <v>https://permalinkbnd.bnportugal.gov.pt/viewer/14594/?offset=#page=228&amp;viewer=picture&amp;o=info&amp;n=0&amp;q=</v>
      </c>
      <c r="N939" s="12" t="s">
        <v>1497</v>
      </c>
      <c r="O939" s="12" t="str">
        <f>CONCATENATE(N939,A939,"\",B939,"\",C939,".jpg")</f>
        <v>C:\Users\mbaptista\OneDrive - Biblioteca Nacional de Portugal\Documentos\python\camoniana\imagens\capas\1366577\1\228.jpg</v>
      </c>
      <c r="P939" s="12" t="str">
        <f>HYPERLINK(O939)</f>
        <v>C:\Users\mbaptista\OneDrive - Biblioteca Nacional de Portugal\Documentos\python\camoniana\imagens\capas\1366577\1\228.jpg</v>
      </c>
      <c r="Q939" s="12"/>
      <c r="R939" s="6" t="s">
        <v>1234</v>
      </c>
      <c r="S939" s="4"/>
      <c r="T939" s="1" t="s">
        <v>1217</v>
      </c>
      <c r="U939" s="13"/>
      <c r="V939" s="13"/>
      <c r="W939" s="5" t="s">
        <v>1491</v>
      </c>
    </row>
    <row r="940" spans="1:23" ht="90">
      <c r="A940" s="1">
        <v>1366577</v>
      </c>
      <c r="B940" s="1">
        <v>1</v>
      </c>
      <c r="C940" s="1">
        <v>229</v>
      </c>
      <c r="D940" s="2" t="s">
        <v>1215</v>
      </c>
      <c r="E940" s="5" t="s">
        <v>1215</v>
      </c>
      <c r="F940" s="5">
        <v>14594</v>
      </c>
      <c r="G940" s="2" t="s">
        <v>1494</v>
      </c>
      <c r="H940" s="2" t="s">
        <v>1495</v>
      </c>
      <c r="I940" s="2" t="s">
        <v>1496</v>
      </c>
      <c r="J940" s="2" t="str">
        <f t="shared" si="28"/>
        <v>https://permalinkbnd.bnportugal.gov.pt/viewer/14594/?offset=#page=229&amp;viewer=picture&amp;o=info&amp;n=0&amp;q=</v>
      </c>
      <c r="K940" s="1" t="s">
        <v>1216</v>
      </c>
      <c r="L940" s="1" t="str">
        <f>VLOOKUP(A940,Folha2!$A$2:$B$2019,2,FALSE)</f>
        <v>Les lusiades de Luiz de Camoens / traduit du portugais par J. B. J. Millié ; a été illustré par Bernard Roy. - Paris : imprimerie F. Paillart : en la rue de Beaune, à lªenseigne du Pot Cassé, 1931, sem argumentos. As notas são brevíssimas.</v>
      </c>
      <c r="M940" s="12" t="str">
        <f t="shared" si="29"/>
        <v>https://permalinkbnd.bnportugal.gov.pt/viewer/14594/?offset=#page=229&amp;viewer=picture&amp;o=info&amp;n=0&amp;q=</v>
      </c>
      <c r="N940" s="12" t="s">
        <v>1497</v>
      </c>
      <c r="O940" s="12" t="str">
        <f>CONCATENATE(N940,A940,"\",B940,"\",C940,".jpg")</f>
        <v>C:\Users\mbaptista\OneDrive - Biblioteca Nacional de Portugal\Documentos\python\camoniana\imagens\capas\1366577\1\229.jpg</v>
      </c>
      <c r="P940" s="12" t="str">
        <f>HYPERLINK(O940)</f>
        <v>C:\Users\mbaptista\OneDrive - Biblioteca Nacional de Portugal\Documentos\python\camoniana\imagens\capas\1366577\1\229.jpg</v>
      </c>
      <c r="Q940" s="12"/>
      <c r="R940" s="6" t="s">
        <v>1235</v>
      </c>
      <c r="S940" s="4"/>
      <c r="T940" s="1" t="s">
        <v>1217</v>
      </c>
      <c r="U940" s="13"/>
      <c r="V940" s="13"/>
      <c r="W940" s="5" t="s">
        <v>1491</v>
      </c>
    </row>
    <row r="941" spans="1:23" ht="90">
      <c r="A941" s="1">
        <v>1366577</v>
      </c>
      <c r="B941" s="1">
        <v>1</v>
      </c>
      <c r="C941" s="1">
        <v>256</v>
      </c>
      <c r="D941" s="2" t="s">
        <v>1215</v>
      </c>
      <c r="E941" s="11" t="s">
        <v>1215</v>
      </c>
      <c r="F941" s="11">
        <v>14594</v>
      </c>
      <c r="G941" s="2" t="s">
        <v>1494</v>
      </c>
      <c r="H941" s="2" t="s">
        <v>1495</v>
      </c>
      <c r="I941" s="2" t="s">
        <v>1496</v>
      </c>
      <c r="J941" s="2" t="str">
        <f t="shared" si="28"/>
        <v>https://permalinkbnd.bnportugal.gov.pt/viewer/14594/?offset=#page=256&amp;viewer=picture&amp;o=info&amp;n=0&amp;q=</v>
      </c>
      <c r="K941" s="1" t="s">
        <v>1216</v>
      </c>
      <c r="L941" s="1" t="str">
        <f>VLOOKUP(A941,Folha2!$A$2:$B$2019,2,FALSE)</f>
        <v>Les lusiades de Luiz de Camoens / traduit du portugais par J. B. J. Millié ; a été illustré par Bernard Roy. - Paris : imprimerie F. Paillart : en la rue de Beaune, à lªenseigne du Pot Cassé, 1931, sem argumentos. As notas são brevíssimas.</v>
      </c>
      <c r="M941" s="12" t="str">
        <f t="shared" si="29"/>
        <v>https://permalinkbnd.bnportugal.gov.pt/viewer/14594/?offset=#page=256&amp;viewer=picture&amp;o=info&amp;n=0&amp;q=</v>
      </c>
      <c r="N941" s="12" t="s">
        <v>1497</v>
      </c>
      <c r="O941" s="12" t="str">
        <f>CONCATENATE(N941,A941,"\",B941,"\",C941,".jpg")</f>
        <v>C:\Users\mbaptista\OneDrive - Biblioteca Nacional de Portugal\Documentos\python\camoniana\imagens\capas\1366577\1\256.jpg</v>
      </c>
      <c r="P941" s="12" t="str">
        <f>HYPERLINK(O941)</f>
        <v>C:\Users\mbaptista\OneDrive - Biblioteca Nacional de Portugal\Documentos\python\camoniana\imagens\capas\1366577\1\256.jpg</v>
      </c>
      <c r="Q941" s="12"/>
      <c r="R941" s="6"/>
      <c r="S941" s="4"/>
      <c r="T941" s="1"/>
      <c r="U941" s="13"/>
      <c r="V941" s="13"/>
      <c r="W941" s="5"/>
    </row>
    <row r="942" spans="1:23" ht="90">
      <c r="A942" s="1">
        <v>1366577</v>
      </c>
      <c r="B942" s="1">
        <v>1</v>
      </c>
      <c r="C942" s="1">
        <v>257</v>
      </c>
      <c r="D942" s="2" t="s">
        <v>1215</v>
      </c>
      <c r="E942" s="5" t="s">
        <v>1215</v>
      </c>
      <c r="F942" s="5">
        <v>14594</v>
      </c>
      <c r="G942" s="2" t="s">
        <v>1494</v>
      </c>
      <c r="H942" s="2" t="s">
        <v>1495</v>
      </c>
      <c r="I942" s="2" t="s">
        <v>1496</v>
      </c>
      <c r="J942" s="2" t="str">
        <f t="shared" si="28"/>
        <v>https://permalinkbnd.bnportugal.gov.pt/viewer/14594/?offset=#page=257&amp;viewer=picture&amp;o=info&amp;n=0&amp;q=</v>
      </c>
      <c r="K942" s="1" t="s">
        <v>1216</v>
      </c>
      <c r="L942" s="1" t="str">
        <f>VLOOKUP(A942,Folha2!$A$2:$B$2019,2,FALSE)</f>
        <v>Les lusiades de Luiz de Camoens / traduit du portugais par J. B. J. Millié ; a été illustré par Bernard Roy. - Paris : imprimerie F. Paillart : en la rue de Beaune, à lªenseigne du Pot Cassé, 1931, sem argumentos. As notas são brevíssimas.</v>
      </c>
      <c r="M942" s="12" t="str">
        <f t="shared" si="29"/>
        <v>https://permalinkbnd.bnportugal.gov.pt/viewer/14594/?offset=#page=257&amp;viewer=picture&amp;o=info&amp;n=0&amp;q=</v>
      </c>
      <c r="N942" s="12" t="s">
        <v>1497</v>
      </c>
      <c r="O942" s="12" t="str">
        <f>CONCATENATE(N942,A942,"\",B942,"\",C942,".jpg")</f>
        <v>C:\Users\mbaptista\OneDrive - Biblioteca Nacional de Portugal\Documentos\python\camoniana\imagens\capas\1366577\1\257.jpg</v>
      </c>
      <c r="P942" s="12" t="str">
        <f>HYPERLINK(O942)</f>
        <v>C:\Users\mbaptista\OneDrive - Biblioteca Nacional de Portugal\Documentos\python\camoniana\imagens\capas\1366577\1\257.jpg</v>
      </c>
      <c r="Q942" s="12"/>
      <c r="R942" s="6"/>
      <c r="S942" s="4"/>
      <c r="T942" s="1"/>
      <c r="U942" s="13"/>
      <c r="V942" s="13"/>
      <c r="W942" s="5"/>
    </row>
    <row r="943" spans="1:23" ht="75">
      <c r="A943" s="1">
        <v>1917811</v>
      </c>
      <c r="B943" s="1">
        <v>1</v>
      </c>
      <c r="C943" s="1">
        <v>1</v>
      </c>
      <c r="D943" s="2" t="s">
        <v>1236</v>
      </c>
      <c r="E943" s="11" t="s">
        <v>1236</v>
      </c>
      <c r="F943" s="11">
        <v>89062</v>
      </c>
      <c r="G943" s="2" t="s">
        <v>1494</v>
      </c>
      <c r="H943" s="2" t="s">
        <v>1495</v>
      </c>
      <c r="I943" s="2" t="s">
        <v>1496</v>
      </c>
      <c r="J943" s="2" t="str">
        <f t="shared" si="28"/>
        <v>https://permalinkbnd.bnportugal.gov.pt/viewer/89062/?offset=#page=1&amp;viewer=picture&amp;o=info&amp;n=0&amp;q=</v>
      </c>
      <c r="K943" s="1">
        <v>1</v>
      </c>
      <c r="L943" s="1" t="str">
        <f>VLOOKUP(A943,Folha2!$A$2:$B$2019,2,FALSE)</f>
        <v>Gruta de Camões, postal. Iconografia, Lugares de memória.</v>
      </c>
      <c r="M943" s="12" t="str">
        <f t="shared" si="29"/>
        <v>https://permalinkbnd.bnportugal.gov.pt/viewer/89062/?offset=#page=1&amp;viewer=picture&amp;o=info&amp;n=0&amp;q=</v>
      </c>
      <c r="N943" s="12" t="s">
        <v>1497</v>
      </c>
      <c r="O943" s="12" t="str">
        <f>CONCATENATE(N943,A943,"\",B943,"\",C943,".jpg")</f>
        <v>C:\Users\mbaptista\OneDrive - Biblioteca Nacional de Portugal\Documentos\python\camoniana\imagens\capas\1917811\1\1.jpg</v>
      </c>
      <c r="P943" s="12" t="str">
        <f>HYPERLINK(O943)</f>
        <v>C:\Users\mbaptista\OneDrive - Biblioteca Nacional de Portugal\Documentos\python\camoniana\imagens\capas\1917811\1\1.jpg</v>
      </c>
      <c r="Q943" s="12"/>
      <c r="R943" s="6" t="s">
        <v>1237</v>
      </c>
      <c r="S943" s="4"/>
      <c r="T943" s="1">
        <v>1</v>
      </c>
      <c r="U943" s="13"/>
      <c r="V943" s="13"/>
      <c r="W943" s="5" t="s">
        <v>1491</v>
      </c>
    </row>
    <row r="944" spans="1:23" ht="75">
      <c r="A944" s="1">
        <v>2186705</v>
      </c>
      <c r="B944" s="1">
        <v>1</v>
      </c>
      <c r="C944" s="1">
        <v>4</v>
      </c>
      <c r="D944" s="2" t="s">
        <v>1238</v>
      </c>
      <c r="E944" s="5" t="s">
        <v>1238</v>
      </c>
      <c r="F944" s="5">
        <v>272813</v>
      </c>
      <c r="G944" s="2" t="s">
        <v>1494</v>
      </c>
      <c r="H944" s="2" t="s">
        <v>1495</v>
      </c>
      <c r="I944" s="2" t="s">
        <v>1496</v>
      </c>
      <c r="J944" s="2" t="str">
        <f t="shared" si="28"/>
        <v>https://permalinkbnd.bnportugal.gov.pt/viewer/272813/?offset=#page=4&amp;viewer=picture&amp;o=info&amp;n=0&amp;q=</v>
      </c>
      <c r="K944" s="1" t="s">
        <v>1239</v>
      </c>
      <c r="L944" s="1" t="str">
        <f>VLOOKUP(A944,Folha2!$A$2:$B$2019,2,FALSE)</f>
        <v>[Miscelânea camoniana : artigos de imprensa sobre Camões, 1867]. - Lisboa, 1867, inclui ainda imagem de G. Garibaldi, não inserida, recepção criativa, tematização, artigo sobre a vida do Poeta, sobre as oito estátuas do monumento do Poeta, entre outros. Celebrações (1860), periódicos.</v>
      </c>
      <c r="M944" s="12" t="str">
        <f t="shared" si="29"/>
        <v>https://permalinkbnd.bnportugal.gov.pt/viewer/272813/?offset=#page=4&amp;viewer=picture&amp;o=info&amp;n=0&amp;q=</v>
      </c>
      <c r="N944" s="12" t="s">
        <v>1497</v>
      </c>
      <c r="O944" s="12" t="str">
        <f>CONCATENATE(N944,A944,"\",B944,"\",C944,".jpg")</f>
        <v>C:\Users\mbaptista\OneDrive - Biblioteca Nacional de Portugal\Documentos\python\camoniana\imagens\capas\2186705\1\4.jpg</v>
      </c>
      <c r="P944" s="12" t="str">
        <f>HYPERLINK(O944)</f>
        <v>C:\Users\mbaptista\OneDrive - Biblioteca Nacional de Portugal\Documentos\python\camoniana\imagens\capas\2186705\1\4.jpg</v>
      </c>
      <c r="Q944" s="12"/>
      <c r="R944" s="6" t="s">
        <v>1240</v>
      </c>
      <c r="S944" s="4"/>
      <c r="T944" s="1">
        <v>4</v>
      </c>
      <c r="U944" s="13"/>
      <c r="V944" s="13"/>
      <c r="W944" s="5" t="s">
        <v>1491</v>
      </c>
    </row>
    <row r="945" spans="1:23" ht="75">
      <c r="A945" s="1">
        <v>252584</v>
      </c>
      <c r="B945" s="1">
        <v>1</v>
      </c>
      <c r="C945" s="1">
        <v>13</v>
      </c>
      <c r="D945" s="2" t="s">
        <v>1241</v>
      </c>
      <c r="E945" s="11" t="s">
        <v>1241</v>
      </c>
      <c r="F945" s="11">
        <v>279095</v>
      </c>
      <c r="G945" s="2" t="s">
        <v>1494</v>
      </c>
      <c r="H945" s="2" t="s">
        <v>1495</v>
      </c>
      <c r="I945" s="2" t="s">
        <v>1496</v>
      </c>
      <c r="J945" s="2" t="str">
        <f t="shared" si="28"/>
        <v>https://permalinkbnd.bnportugal.gov.pt/viewer/279095/?offset=#page=13&amp;viewer=picture&amp;o=info&amp;n=0&amp;q=</v>
      </c>
      <c r="K945" s="1" t="s">
        <v>276</v>
      </c>
      <c r="L945" s="1" t="str">
        <f>VLOOKUP(A945,Folha2!$A$2:$B$2019,2,FALSE)</f>
        <v>A fábula de Narciso / por Luís de Camões. - Porto : Imprensa Internacional, 1880. Paratextos vida, que surgem em "Cálculo", cf. Im. 36; Inclui ainda "O leito de Camões" de Ulpio Veiga, cf. Im. 37: Celebrações (1880), recepção criativa, tematização.</v>
      </c>
      <c r="M945" s="12" t="str">
        <f t="shared" si="29"/>
        <v>https://permalinkbnd.bnportugal.gov.pt/viewer/279095/?offset=#page=13&amp;viewer=picture&amp;o=info&amp;n=0&amp;q=</v>
      </c>
      <c r="N945" s="12" t="s">
        <v>1497</v>
      </c>
      <c r="O945" s="12" t="str">
        <f>CONCATENATE(N945,A945,"\",B945,"\",C945,".jpg")</f>
        <v>C:\Users\mbaptista\OneDrive - Biblioteca Nacional de Portugal\Documentos\python\camoniana\imagens\capas\252584\1\13.jpg</v>
      </c>
      <c r="P945" s="12" t="str">
        <f>HYPERLINK(O945)</f>
        <v>C:\Users\mbaptista\OneDrive - Biblioteca Nacional de Portugal\Documentos\python\camoniana\imagens\capas\252584\1\13.jpg</v>
      </c>
      <c r="Q945" s="12"/>
      <c r="R945" s="6" t="s">
        <v>1242</v>
      </c>
      <c r="S945" s="4"/>
      <c r="T945" s="1">
        <v>13</v>
      </c>
      <c r="U945" s="13"/>
      <c r="V945" s="13"/>
      <c r="W945" s="5" t="s">
        <v>1491</v>
      </c>
    </row>
    <row r="946" spans="1:23" ht="75">
      <c r="A946" s="1">
        <v>370691</v>
      </c>
      <c r="B946" s="1">
        <v>1</v>
      </c>
      <c r="C946" s="1">
        <v>15</v>
      </c>
      <c r="D946" s="2" t="s">
        <v>1243</v>
      </c>
      <c r="E946" s="5" t="s">
        <v>1243</v>
      </c>
      <c r="F946" s="5">
        <v>278400</v>
      </c>
      <c r="G946" s="2" t="s">
        <v>1494</v>
      </c>
      <c r="H946" s="2" t="s">
        <v>1495</v>
      </c>
      <c r="I946" s="2" t="s">
        <v>1496</v>
      </c>
      <c r="J946" s="2" t="str">
        <f t="shared" si="28"/>
        <v>https://permalinkbnd.bnportugal.gov.pt/viewer/278400/?offset=#page=15&amp;viewer=picture&amp;o=info&amp;n=0&amp;q=</v>
      </c>
      <c r="K946" s="1" t="s">
        <v>1244</v>
      </c>
      <c r="L946" s="1" t="str">
        <f>VLOOKUP(A946,Folha2!$A$2:$B$2019,2,FALSE)</f>
        <v>Poesias lyricas / de Luiz de Camões. - Rio de Janeiro : [s.n., 1880]. [sonetos, elegias, odes, canções, oitavas, sextinas] Obra não tem indicação de fim e, por isso, parece estar incompleta, assim no original?</v>
      </c>
      <c r="M946" s="12" t="str">
        <f t="shared" si="29"/>
        <v>https://permalinkbnd.bnportugal.gov.pt/viewer/278400/?offset=#page=15&amp;viewer=picture&amp;o=info&amp;n=0&amp;q=</v>
      </c>
      <c r="N946" s="12" t="s">
        <v>1497</v>
      </c>
      <c r="O946" s="12" t="str">
        <f>CONCATENATE(N946,A946,"\",B946,"\",C946,".jpg")</f>
        <v>C:\Users\mbaptista\OneDrive - Biblioteca Nacional de Portugal\Documentos\python\camoniana\imagens\capas\370691\1\15.jpg</v>
      </c>
      <c r="P946" s="12" t="str">
        <f>HYPERLINK(O946)</f>
        <v>C:\Users\mbaptista\OneDrive - Biblioteca Nacional de Portugal\Documentos\python\camoniana\imagens\capas\370691\1\15.jpg</v>
      </c>
      <c r="Q946" s="12"/>
      <c r="R946" s="6" t="s">
        <v>1245</v>
      </c>
      <c r="S946" s="4"/>
      <c r="T946" s="1"/>
      <c r="U946" s="13"/>
      <c r="V946" s="13"/>
      <c r="W946" s="5" t="s">
        <v>1491</v>
      </c>
    </row>
    <row r="947" spans="1:23" ht="75">
      <c r="A947" s="1">
        <v>370691</v>
      </c>
      <c r="B947" s="1">
        <v>1</v>
      </c>
      <c r="C947" s="13" t="s">
        <v>1246</v>
      </c>
      <c r="D947" s="2" t="s">
        <v>1243</v>
      </c>
      <c r="E947" s="11" t="s">
        <v>1243</v>
      </c>
      <c r="F947" s="11">
        <v>278400</v>
      </c>
      <c r="G947" s="2" t="s">
        <v>1494</v>
      </c>
      <c r="H947" s="2" t="s">
        <v>1495</v>
      </c>
      <c r="I947" s="2" t="s">
        <v>1496</v>
      </c>
      <c r="J947" s="2" t="str">
        <f t="shared" si="28"/>
        <v>https://permalinkbnd.bnportugal.gov.pt/viewer/278400/?offset=#page=117 vs. 109&amp;viewer=picture&amp;o=info&amp;n=0&amp;q=</v>
      </c>
      <c r="K947" s="1" t="s">
        <v>1244</v>
      </c>
      <c r="L947" s="1" t="str">
        <f>VLOOKUP(A947,Folha2!$A$2:$B$2019,2,FALSE)</f>
        <v>Poesias lyricas / de Luiz de Camões. - Rio de Janeiro : [s.n., 1880]. [sonetos, elegias, odes, canções, oitavas, sextinas] Obra não tem indicação de fim e, por isso, parece estar incompleta, assim no original?</v>
      </c>
      <c r="M947" s="12" t="str">
        <f t="shared" si="29"/>
        <v>https://permalinkbnd.bnportugal.gov.pt/viewer/278400/?offset=#page=117 vs. 109&amp;viewer=picture&amp;o=info&amp;n=0&amp;q=</v>
      </c>
      <c r="N947" s="12" t="s">
        <v>1497</v>
      </c>
      <c r="O947" s="12" t="str">
        <f>CONCATENATE(N947,A947,"\",B947,"\",C947,".jpg")</f>
        <v>C:\Users\mbaptista\OneDrive - Biblioteca Nacional de Portugal\Documentos\python\camoniana\imagens\capas\370691\1\117 vs. 109.jpg</v>
      </c>
      <c r="P947" s="12" t="str">
        <f>HYPERLINK(O947)</f>
        <v>C:\Users\mbaptista\OneDrive - Biblioteca Nacional de Portugal\Documentos\python\camoniana\imagens\capas\370691\1\117 vs. 109.jpg</v>
      </c>
      <c r="Q947" s="12"/>
      <c r="R947" s="6" t="s">
        <v>1248</v>
      </c>
      <c r="S947" s="4"/>
      <c r="T947" s="1"/>
      <c r="U947" s="13" t="s">
        <v>1247</v>
      </c>
      <c r="V947" s="13"/>
      <c r="W947" s="5" t="s">
        <v>1491</v>
      </c>
    </row>
    <row r="948" spans="1:23" ht="75">
      <c r="A948" s="1">
        <v>370691</v>
      </c>
      <c r="B948" s="1">
        <v>1</v>
      </c>
      <c r="C948" s="1">
        <v>121</v>
      </c>
      <c r="D948" s="2" t="s">
        <v>1243</v>
      </c>
      <c r="E948" s="5" t="s">
        <v>1243</v>
      </c>
      <c r="F948" s="5">
        <v>278400</v>
      </c>
      <c r="G948" s="2" t="s">
        <v>1494</v>
      </c>
      <c r="H948" s="2" t="s">
        <v>1495</v>
      </c>
      <c r="I948" s="2" t="s">
        <v>1496</v>
      </c>
      <c r="J948" s="2" t="str">
        <f t="shared" si="28"/>
        <v>https://permalinkbnd.bnportugal.gov.pt/viewer/278400/?offset=#page=121&amp;viewer=picture&amp;o=info&amp;n=0&amp;q=</v>
      </c>
      <c r="K948" s="1" t="s">
        <v>1244</v>
      </c>
      <c r="L948" s="1" t="str">
        <f>VLOOKUP(A948,Folha2!$A$2:$B$2019,2,FALSE)</f>
        <v>Poesias lyricas / de Luiz de Camões. - Rio de Janeiro : [s.n., 1880]. [sonetos, elegias, odes, canções, oitavas, sextinas] Obra não tem indicação de fim e, por isso, parece estar incompleta, assim no original?</v>
      </c>
      <c r="M948" s="12" t="str">
        <f t="shared" si="29"/>
        <v>https://permalinkbnd.bnportugal.gov.pt/viewer/278400/?offset=#page=121&amp;viewer=picture&amp;o=info&amp;n=0&amp;q=</v>
      </c>
      <c r="N948" s="12" t="s">
        <v>1497</v>
      </c>
      <c r="O948" s="12" t="str">
        <f>CONCATENATE(N948,A948,"\",B948,"\",C948,".jpg")</f>
        <v>C:\Users\mbaptista\OneDrive - Biblioteca Nacional de Portugal\Documentos\python\camoniana\imagens\capas\370691\1\121.jpg</v>
      </c>
      <c r="P948" s="12" t="str">
        <f>HYPERLINK(O948)</f>
        <v>C:\Users\mbaptista\OneDrive - Biblioteca Nacional de Portugal\Documentos\python\camoniana\imagens\capas\370691\1\121.jpg</v>
      </c>
      <c r="Q948" s="12"/>
      <c r="R948" s="6" t="s">
        <v>1249</v>
      </c>
      <c r="S948" s="4"/>
      <c r="T948" s="1"/>
      <c r="U948" s="13"/>
      <c r="V948" s="13"/>
      <c r="W948" s="5" t="s">
        <v>1491</v>
      </c>
    </row>
    <row r="949" spans="1:23" ht="75">
      <c r="A949" s="1">
        <v>370691</v>
      </c>
      <c r="B949" s="1">
        <v>1</v>
      </c>
      <c r="C949" s="13" t="s">
        <v>1250</v>
      </c>
      <c r="D949" s="2" t="s">
        <v>1243</v>
      </c>
      <c r="E949" s="11" t="s">
        <v>1243</v>
      </c>
      <c r="F949" s="11">
        <v>278400</v>
      </c>
      <c r="G949" s="2" t="s">
        <v>1494</v>
      </c>
      <c r="H949" s="2" t="s">
        <v>1495</v>
      </c>
      <c r="I949" s="2" t="s">
        <v>1496</v>
      </c>
      <c r="J949" s="2" t="str">
        <f t="shared" si="28"/>
        <v>https://permalinkbnd.bnportugal.gov.pt/viewer/278400/?offset=#page=153 vs. 135&amp;viewer=picture&amp;o=info&amp;n=0&amp;q=</v>
      </c>
      <c r="K949" s="1" t="s">
        <v>1244</v>
      </c>
      <c r="L949" s="1" t="str">
        <f>VLOOKUP(A949,Folha2!$A$2:$B$2019,2,FALSE)</f>
        <v>Poesias lyricas / de Luiz de Camões. - Rio de Janeiro : [s.n., 1880]. [sonetos, elegias, odes, canções, oitavas, sextinas] Obra não tem indicação de fim e, por isso, parece estar incompleta, assim no original?</v>
      </c>
      <c r="M949" s="12" t="str">
        <f t="shared" si="29"/>
        <v>https://permalinkbnd.bnportugal.gov.pt/viewer/278400/?offset=#page=153 vs. 135&amp;viewer=picture&amp;o=info&amp;n=0&amp;q=</v>
      </c>
      <c r="N949" s="12" t="s">
        <v>1497</v>
      </c>
      <c r="O949" s="12" t="str">
        <f>CONCATENATE(N949,A949,"\",B949,"\",C949,".jpg")</f>
        <v>C:\Users\mbaptista\OneDrive - Biblioteca Nacional de Portugal\Documentos\python\camoniana\imagens\capas\370691\1\153 vs. 135.jpg</v>
      </c>
      <c r="P949" s="12" t="str">
        <f>HYPERLINK(O949)</f>
        <v>C:\Users\mbaptista\OneDrive - Biblioteca Nacional de Portugal\Documentos\python\camoniana\imagens\capas\370691\1\153 vs. 135.jpg</v>
      </c>
      <c r="Q949" s="12"/>
      <c r="R949" s="6" t="s">
        <v>1252</v>
      </c>
      <c r="S949" s="4"/>
      <c r="T949" s="1"/>
      <c r="U949" s="13" t="s">
        <v>1251</v>
      </c>
      <c r="V949" s="13"/>
      <c r="W949" s="5" t="s">
        <v>1491</v>
      </c>
    </row>
    <row r="950" spans="1:23" ht="75">
      <c r="A950" s="1">
        <v>370691</v>
      </c>
      <c r="B950" s="1">
        <v>1</v>
      </c>
      <c r="C950" s="1">
        <v>145</v>
      </c>
      <c r="D950" s="2" t="s">
        <v>1243</v>
      </c>
      <c r="E950" s="5" t="s">
        <v>1243</v>
      </c>
      <c r="F950" s="5">
        <v>278400</v>
      </c>
      <c r="G950" s="2" t="s">
        <v>1494</v>
      </c>
      <c r="H950" s="2" t="s">
        <v>1495</v>
      </c>
      <c r="I950" s="2" t="s">
        <v>1496</v>
      </c>
      <c r="J950" s="2" t="str">
        <f t="shared" si="28"/>
        <v>https://permalinkbnd.bnportugal.gov.pt/viewer/278400/?offset=#page=145&amp;viewer=picture&amp;o=info&amp;n=0&amp;q=</v>
      </c>
      <c r="K950" s="1" t="s">
        <v>1244</v>
      </c>
      <c r="L950" s="1" t="str">
        <f>VLOOKUP(A950,Folha2!$A$2:$B$2019,2,FALSE)</f>
        <v>Poesias lyricas / de Luiz de Camões. - Rio de Janeiro : [s.n., 1880]. [sonetos, elegias, odes, canções, oitavas, sextinas] Obra não tem indicação de fim e, por isso, parece estar incompleta, assim no original?</v>
      </c>
      <c r="M950" s="12" t="str">
        <f t="shared" si="29"/>
        <v>https://permalinkbnd.bnportugal.gov.pt/viewer/278400/?offset=#page=145&amp;viewer=picture&amp;o=info&amp;n=0&amp;q=</v>
      </c>
      <c r="N950" s="12" t="s">
        <v>1497</v>
      </c>
      <c r="O950" s="12" t="str">
        <f>CONCATENATE(N950,A950,"\",B950,"\",C950,".jpg")</f>
        <v>C:\Users\mbaptista\OneDrive - Biblioteca Nacional de Portugal\Documentos\python\camoniana\imagens\capas\370691\1\145.jpg</v>
      </c>
      <c r="P950" s="12" t="str">
        <f>HYPERLINK(O950)</f>
        <v>C:\Users\mbaptista\OneDrive - Biblioteca Nacional de Portugal\Documentos\python\camoniana\imagens\capas\370691\1\145.jpg</v>
      </c>
      <c r="Q950" s="12"/>
      <c r="R950" s="6" t="s">
        <v>1253</v>
      </c>
      <c r="S950" s="4"/>
      <c r="T950" s="1"/>
      <c r="U950" s="13" t="s">
        <v>142</v>
      </c>
      <c r="V950" s="13"/>
      <c r="W950" s="5" t="s">
        <v>1491</v>
      </c>
    </row>
    <row r="951" spans="1:23" ht="75">
      <c r="A951" s="1">
        <v>370691</v>
      </c>
      <c r="B951" s="1">
        <v>1</v>
      </c>
      <c r="C951" s="1">
        <v>165</v>
      </c>
      <c r="D951" s="2" t="s">
        <v>1243</v>
      </c>
      <c r="E951" s="11" t="s">
        <v>1243</v>
      </c>
      <c r="F951" s="11">
        <v>278400</v>
      </c>
      <c r="G951" s="2" t="s">
        <v>1494</v>
      </c>
      <c r="H951" s="2" t="s">
        <v>1495</v>
      </c>
      <c r="I951" s="2" t="s">
        <v>1496</v>
      </c>
      <c r="J951" s="2" t="str">
        <f t="shared" si="28"/>
        <v>https://permalinkbnd.bnportugal.gov.pt/viewer/278400/?offset=#page=165&amp;viewer=picture&amp;o=info&amp;n=0&amp;q=</v>
      </c>
      <c r="K951" s="1" t="s">
        <v>1244</v>
      </c>
      <c r="L951" s="1" t="str">
        <f>VLOOKUP(A951,Folha2!$A$2:$B$2019,2,FALSE)</f>
        <v>Poesias lyricas / de Luiz de Camões. - Rio de Janeiro : [s.n., 1880]. [sonetos, elegias, odes, canções, oitavas, sextinas] Obra não tem indicação de fim e, por isso, parece estar incompleta, assim no original?</v>
      </c>
      <c r="M951" s="12" t="str">
        <f t="shared" si="29"/>
        <v>https://permalinkbnd.bnportugal.gov.pt/viewer/278400/?offset=#page=165&amp;viewer=picture&amp;o=info&amp;n=0&amp;q=</v>
      </c>
      <c r="N951" s="12" t="s">
        <v>1497</v>
      </c>
      <c r="O951" s="12" t="str">
        <f>CONCATENATE(N951,A951,"\",B951,"\",C951,".jpg")</f>
        <v>C:\Users\mbaptista\OneDrive - Biblioteca Nacional de Portugal\Documentos\python\camoniana\imagens\capas\370691\1\165.jpg</v>
      </c>
      <c r="P951" s="12" t="str">
        <f>HYPERLINK(O951)</f>
        <v>C:\Users\mbaptista\OneDrive - Biblioteca Nacional de Portugal\Documentos\python\camoniana\imagens\capas\370691\1\165.jpg</v>
      </c>
      <c r="Q951" s="12"/>
      <c r="R951" s="6" t="s">
        <v>1254</v>
      </c>
      <c r="S951" s="4"/>
      <c r="T951" s="1"/>
      <c r="U951" s="13"/>
      <c r="V951" s="13"/>
      <c r="W951" s="5" t="s">
        <v>1491</v>
      </c>
    </row>
    <row r="952" spans="1:23" ht="75">
      <c r="A952" s="1">
        <v>397797</v>
      </c>
      <c r="B952" s="1">
        <v>1</v>
      </c>
      <c r="C952" s="1">
        <v>5</v>
      </c>
      <c r="D952" s="2" t="s">
        <v>1255</v>
      </c>
      <c r="E952" s="5" t="s">
        <v>1255</v>
      </c>
      <c r="F952" s="5">
        <v>278662</v>
      </c>
      <c r="G952" s="2" t="s">
        <v>1494</v>
      </c>
      <c r="H952" s="2" t="s">
        <v>1495</v>
      </c>
      <c r="I952" s="2" t="s">
        <v>1496</v>
      </c>
      <c r="J952" s="2" t="str">
        <f t="shared" si="28"/>
        <v>https://permalinkbnd.bnportugal.gov.pt/viewer/278662/?offset=#page=5&amp;viewer=picture&amp;o=info&amp;n=0&amp;q=</v>
      </c>
      <c r="K952" s="1" t="s">
        <v>1256</v>
      </c>
      <c r="L952" s="1" t="str">
        <f>VLOOKUP(A952,Folha2!$A$2:$B$2019,2,FALSE)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2" s="12" t="str">
        <f t="shared" si="29"/>
        <v>https://permalinkbnd.bnportugal.gov.pt/viewer/278662/?offset=#page=5&amp;viewer=picture&amp;o=info&amp;n=0&amp;q=</v>
      </c>
      <c r="N952" s="12" t="s">
        <v>1497</v>
      </c>
      <c r="O952" s="12" t="str">
        <f>CONCATENATE(N952,A952,"\",B952,"\",C952,".jpg")</f>
        <v>C:\Users\mbaptista\OneDrive - Biblioteca Nacional de Portugal\Documentos\python\camoniana\imagens\capas\397797\1\5.jpg</v>
      </c>
      <c r="P952" s="12" t="str">
        <f>HYPERLINK(O952)</f>
        <v>C:\Users\mbaptista\OneDrive - Biblioteca Nacional de Portugal\Documentos\python\camoniana\imagens\capas\397797\1\5.jpg</v>
      </c>
      <c r="Q952" s="12"/>
      <c r="R952" s="6" t="s">
        <v>1257</v>
      </c>
      <c r="S952" s="4"/>
      <c r="T952" s="1"/>
      <c r="U952" s="13"/>
      <c r="V952" s="13"/>
      <c r="W952" s="5" t="s">
        <v>1491</v>
      </c>
    </row>
    <row r="953" spans="1:23" ht="75">
      <c r="A953" s="1">
        <v>397797</v>
      </c>
      <c r="B953" s="1">
        <v>1</v>
      </c>
      <c r="C953" s="1">
        <v>8</v>
      </c>
      <c r="D953" s="2" t="s">
        <v>1255</v>
      </c>
      <c r="E953" s="11" t="s">
        <v>1255</v>
      </c>
      <c r="F953" s="11">
        <v>278662</v>
      </c>
      <c r="G953" s="2" t="s">
        <v>1494</v>
      </c>
      <c r="H953" s="2" t="s">
        <v>1495</v>
      </c>
      <c r="I953" s="2" t="s">
        <v>1496</v>
      </c>
      <c r="J953" s="2" t="str">
        <f t="shared" si="28"/>
        <v>https://permalinkbnd.bnportugal.gov.pt/viewer/278662/?offset=#page=8&amp;viewer=picture&amp;o=info&amp;n=0&amp;q=</v>
      </c>
      <c r="K953" s="1" t="s">
        <v>1256</v>
      </c>
      <c r="L953" s="1" t="str">
        <f>VLOOKUP(A953,Folha2!$A$2:$B$2019,2,FALSE)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3" s="12" t="str">
        <f t="shared" si="29"/>
        <v>https://permalinkbnd.bnportugal.gov.pt/viewer/278662/?offset=#page=8&amp;viewer=picture&amp;o=info&amp;n=0&amp;q=</v>
      </c>
      <c r="N953" s="12" t="s">
        <v>1497</v>
      </c>
      <c r="O953" s="12" t="str">
        <f>CONCATENATE(N953,A953,"\",B953,"\",C953,".jpg")</f>
        <v>C:\Users\mbaptista\OneDrive - Biblioteca Nacional de Portugal\Documentos\python\camoniana\imagens\capas\397797\1\8.jpg</v>
      </c>
      <c r="P953" s="12" t="str">
        <f>HYPERLINK(O953)</f>
        <v>C:\Users\mbaptista\OneDrive - Biblioteca Nacional de Portugal\Documentos\python\camoniana\imagens\capas\397797\1\8.jpg</v>
      </c>
      <c r="Q953" s="12"/>
      <c r="R953" s="6" t="s">
        <v>1258</v>
      </c>
      <c r="S953" s="4"/>
      <c r="T953" s="1"/>
      <c r="U953" s="13"/>
      <c r="V953" s="13"/>
      <c r="W953" s="5" t="s">
        <v>1491</v>
      </c>
    </row>
    <row r="954" spans="1:23" ht="75">
      <c r="A954" s="1">
        <v>397855</v>
      </c>
      <c r="B954" s="1">
        <v>1</v>
      </c>
      <c r="C954" s="1">
        <v>5</v>
      </c>
      <c r="D954" s="2" t="s">
        <v>1259</v>
      </c>
      <c r="E954" s="5" t="s">
        <v>1259</v>
      </c>
      <c r="F954" s="5">
        <v>278491</v>
      </c>
      <c r="G954" s="2" t="s">
        <v>1494</v>
      </c>
      <c r="H954" s="2" t="s">
        <v>1495</v>
      </c>
      <c r="I954" s="2" t="s">
        <v>1496</v>
      </c>
      <c r="J954" s="2" t="str">
        <f t="shared" si="28"/>
        <v>https://permalinkbnd.bnportugal.gov.pt/viewer/278491/?offset=#page=5&amp;viewer=picture&amp;o=info&amp;n=0&amp;q=</v>
      </c>
      <c r="K954" s="1" t="s">
        <v>261</v>
      </c>
      <c r="L954" s="1" t="str">
        <f>VLOOKUP(A954,Folha2!$A$2:$B$2019,2,FALSE)</f>
        <v xml:space="preserve">Novas poesias / Luís de Camöes ; [anot.] de J. A. Alves Viana. - Porto : J. A. Alves Viana, 1890. Soneto: "Olhos de cristal puro, que vertendo"; Canção: "Não de cores fingidas". </v>
      </c>
      <c r="M954" s="12" t="str">
        <f t="shared" si="29"/>
        <v>https://permalinkbnd.bnportugal.gov.pt/viewer/278491/?offset=#page=5&amp;viewer=picture&amp;o=info&amp;n=0&amp;q=</v>
      </c>
      <c r="N954" s="12" t="s">
        <v>1497</v>
      </c>
      <c r="O954" s="12" t="str">
        <f>CONCATENATE(N954,A954,"\",B954,"\",C954,".jpg")</f>
        <v>C:\Users\mbaptista\OneDrive - Biblioteca Nacional de Portugal\Documentos\python\camoniana\imagens\capas\397855\1\5.jpg</v>
      </c>
      <c r="P954" s="12" t="str">
        <f>HYPERLINK(O954)</f>
        <v>C:\Users\mbaptista\OneDrive - Biblioteca Nacional de Portugal\Documentos\python\camoniana\imagens\capas\397855\1\5.jpg</v>
      </c>
      <c r="Q954" s="12"/>
      <c r="R954" s="6" t="s">
        <v>1260</v>
      </c>
      <c r="S954" s="4"/>
      <c r="T954" s="1"/>
      <c r="U954" s="13"/>
      <c r="V954" s="13"/>
      <c r="W954" s="5" t="s">
        <v>1491</v>
      </c>
    </row>
    <row r="955" spans="1:23" ht="75">
      <c r="A955" s="1">
        <v>397878</v>
      </c>
      <c r="B955" s="1">
        <v>1</v>
      </c>
      <c r="C955" s="1">
        <v>4</v>
      </c>
      <c r="D955" s="2" t="s">
        <v>1261</v>
      </c>
      <c r="E955" s="11" t="s">
        <v>1261</v>
      </c>
      <c r="F955" s="11">
        <v>278670</v>
      </c>
      <c r="G955" s="2" t="s">
        <v>1494</v>
      </c>
      <c r="H955" s="2" t="s">
        <v>1495</v>
      </c>
      <c r="I955" s="2" t="s">
        <v>1496</v>
      </c>
      <c r="J955" s="2" t="str">
        <f t="shared" si="28"/>
        <v>https://permalinkbnd.bnportugal.gov.pt/viewer/278670/?offset=#page=4&amp;viewer=picture&amp;o=info&amp;n=0&amp;q=</v>
      </c>
      <c r="K955" s="1" t="s">
        <v>1262</v>
      </c>
      <c r="L955" s="1" t="str">
        <f>VLOOKUP(A955,Folha2!$A$2:$B$2019,2,FALSE)</f>
        <v>Uma traducção hollandeza de Camões / trad. Theodorus Johannes Kerkhoven, Anibal Fernandes Tomás. - Porto : Circulo Camoniano : Imprensa Moderna, 1890. Sem indicação de fim: truncada ou assim no original?</v>
      </c>
      <c r="M955" s="12" t="str">
        <f t="shared" si="29"/>
        <v>https://permalinkbnd.bnportugal.gov.pt/viewer/278670/?offset=#page=4&amp;viewer=picture&amp;o=info&amp;n=0&amp;q=</v>
      </c>
      <c r="N955" s="12" t="s">
        <v>1497</v>
      </c>
      <c r="O955" s="12" t="str">
        <f>CONCATENATE(N955,A955,"\",B955,"\",C955,".jpg")</f>
        <v>C:\Users\mbaptista\OneDrive - Biblioteca Nacional de Portugal\Documentos\python\camoniana\imagens\capas\397878\1\4.jpg</v>
      </c>
      <c r="P955" s="12" t="str">
        <f>HYPERLINK(O955)</f>
        <v>C:\Users\mbaptista\OneDrive - Biblioteca Nacional de Portugal\Documentos\python\camoniana\imagens\capas\397878\1\4.jpg</v>
      </c>
      <c r="Q955" s="12"/>
      <c r="R955" s="6" t="s">
        <v>1263</v>
      </c>
      <c r="S955" s="4"/>
      <c r="T955" s="1">
        <v>4</v>
      </c>
      <c r="U955" s="13"/>
      <c r="V955" s="13"/>
      <c r="W955" s="5" t="s">
        <v>1491</v>
      </c>
    </row>
    <row r="956" spans="1:23" ht="75">
      <c r="A956" s="1">
        <v>397880</v>
      </c>
      <c r="B956" s="1">
        <v>1</v>
      </c>
      <c r="C956" s="1">
        <v>3</v>
      </c>
      <c r="D956" s="2" t="s">
        <v>1264</v>
      </c>
      <c r="E956" s="5" t="s">
        <v>1264</v>
      </c>
      <c r="F956" s="5">
        <v>279637</v>
      </c>
      <c r="G956" s="2" t="s">
        <v>1494</v>
      </c>
      <c r="H956" s="2" t="s">
        <v>1495</v>
      </c>
      <c r="I956" s="2" t="s">
        <v>1496</v>
      </c>
      <c r="J956" s="2" t="str">
        <f t="shared" si="28"/>
        <v>https://permalinkbnd.bnportugal.gov.pt/viewer/279637/?offset=#page=3&amp;viewer=picture&amp;o=info&amp;n=0&amp;q=</v>
      </c>
      <c r="K956" s="1" t="s">
        <v>1265</v>
      </c>
      <c r="L956" s="1" t="str">
        <f>VLOOKUP(A956,Folha2!$A$2:$B$2019,2,FALSE)</f>
        <v>Tres estrophes / Luís de Camöes ; trad. do arménio por Arsenio Ghazik ; [pref.] Joaquim de Araújo. - Veneza : Typographia da Ilha de S. Lazaro, 1898</v>
      </c>
      <c r="M956" s="12" t="str">
        <f t="shared" si="29"/>
        <v>https://permalinkbnd.bnportugal.gov.pt/viewer/279637/?offset=#page=3&amp;viewer=picture&amp;o=info&amp;n=0&amp;q=</v>
      </c>
      <c r="N956" s="12" t="s">
        <v>1497</v>
      </c>
      <c r="O956" s="12" t="str">
        <f>CONCATENATE(N956,A956,"\",B956,"\",C956,".jpg")</f>
        <v>C:\Users\mbaptista\OneDrive - Biblioteca Nacional de Portugal\Documentos\python\camoniana\imagens\capas\397880\1\3.jpg</v>
      </c>
      <c r="P956" s="12" t="str">
        <f>HYPERLINK(O956)</f>
        <v>C:\Users\mbaptista\OneDrive - Biblioteca Nacional de Portugal\Documentos\python\camoniana\imagens\capas\397880\1\3.jpg</v>
      </c>
      <c r="Q956" s="12"/>
      <c r="R956" s="6" t="s">
        <v>1266</v>
      </c>
      <c r="S956" s="4"/>
      <c r="T956" s="1"/>
      <c r="U956" s="13"/>
      <c r="V956" s="13"/>
      <c r="W956" s="5" t="s">
        <v>1491</v>
      </c>
    </row>
    <row r="957" spans="1:23" ht="75">
      <c r="A957" s="1">
        <v>397880</v>
      </c>
      <c r="B957" s="1">
        <v>1</v>
      </c>
      <c r="C957" s="1">
        <v>5</v>
      </c>
      <c r="D957" s="2" t="s">
        <v>1264</v>
      </c>
      <c r="E957" s="11" t="s">
        <v>1264</v>
      </c>
      <c r="F957" s="11">
        <v>279637</v>
      </c>
      <c r="G957" s="2" t="s">
        <v>1494</v>
      </c>
      <c r="H957" s="2" t="s">
        <v>1495</v>
      </c>
      <c r="I957" s="2" t="s">
        <v>1496</v>
      </c>
      <c r="J957" s="2" t="str">
        <f t="shared" si="28"/>
        <v>https://permalinkbnd.bnportugal.gov.pt/viewer/279637/?offset=#page=5&amp;viewer=picture&amp;o=info&amp;n=0&amp;q=</v>
      </c>
      <c r="K957" s="1" t="s">
        <v>1267</v>
      </c>
      <c r="L957" s="1" t="str">
        <f>VLOOKUP(A957,Folha2!$A$2:$B$2019,2,FALSE)</f>
        <v>Tres estrophes / Luís de Camöes ; trad. do arménio por Arsenio Ghazik ; [pref.] Joaquim de Araújo. - Veneza : Typographia da Ilha de S. Lazaro, 1898</v>
      </c>
      <c r="M957" s="12" t="str">
        <f t="shared" si="29"/>
        <v>https://permalinkbnd.bnportugal.gov.pt/viewer/279637/?offset=#page=5&amp;viewer=picture&amp;o=info&amp;n=0&amp;q=</v>
      </c>
      <c r="N957" s="12" t="s">
        <v>1497</v>
      </c>
      <c r="O957" s="12" t="str">
        <f>CONCATENATE(N957,A957,"\",B957,"\",C957,".jpg")</f>
        <v>C:\Users\mbaptista\OneDrive - Biblioteca Nacional de Portugal\Documentos\python\camoniana\imagens\capas\397880\1\5.jpg</v>
      </c>
      <c r="P957" s="12" t="str">
        <f>HYPERLINK(O957)</f>
        <v>C:\Users\mbaptista\OneDrive - Biblioteca Nacional de Portugal\Documentos\python\camoniana\imagens\capas\397880\1\5.jpg</v>
      </c>
      <c r="Q957" s="12"/>
      <c r="R957" s="6" t="s">
        <v>1268</v>
      </c>
      <c r="S957" s="4"/>
      <c r="T957" s="1"/>
      <c r="U957" s="13"/>
      <c r="V957" s="13"/>
      <c r="W957" s="5" t="s">
        <v>1491</v>
      </c>
    </row>
    <row r="958" spans="1:23" ht="75">
      <c r="A958" s="1">
        <v>397880</v>
      </c>
      <c r="B958" s="1">
        <v>1</v>
      </c>
      <c r="C958" s="1">
        <v>8</v>
      </c>
      <c r="D958" s="2" t="s">
        <v>1264</v>
      </c>
      <c r="E958" s="5" t="s">
        <v>1264</v>
      </c>
      <c r="F958" s="5">
        <v>279637</v>
      </c>
      <c r="G958" s="2" t="s">
        <v>1494</v>
      </c>
      <c r="H958" s="2" t="s">
        <v>1495</v>
      </c>
      <c r="I958" s="2" t="s">
        <v>1496</v>
      </c>
      <c r="J958" s="2" t="str">
        <f t="shared" si="28"/>
        <v>https://permalinkbnd.bnportugal.gov.pt/viewer/279637/?offset=#page=8&amp;viewer=picture&amp;o=info&amp;n=0&amp;q=</v>
      </c>
      <c r="K958" s="1" t="s">
        <v>1269</v>
      </c>
      <c r="L958" s="1" t="str">
        <f>VLOOKUP(A958,Folha2!$A$2:$B$2019,2,FALSE)</f>
        <v>Tres estrophes / Luís de Camöes ; trad. do arménio por Arsenio Ghazik ; [pref.] Joaquim de Araújo. - Veneza : Typographia da Ilha de S. Lazaro, 1898</v>
      </c>
      <c r="M958" s="12" t="str">
        <f t="shared" si="29"/>
        <v>https://permalinkbnd.bnportugal.gov.pt/viewer/279637/?offset=#page=8&amp;viewer=picture&amp;o=info&amp;n=0&amp;q=</v>
      </c>
      <c r="N958" s="12" t="s">
        <v>1497</v>
      </c>
      <c r="O958" s="12" t="str">
        <f>CONCATENATE(N958,A958,"\",B958,"\",C958,".jpg")</f>
        <v>C:\Users\mbaptista\OneDrive - Biblioteca Nacional de Portugal\Documentos\python\camoniana\imagens\capas\397880\1\8.jpg</v>
      </c>
      <c r="P958" s="12" t="str">
        <f>HYPERLINK(O958)</f>
        <v>C:\Users\mbaptista\OneDrive - Biblioteca Nacional de Portugal\Documentos\python\camoniana\imagens\capas\397880\1\8.jpg</v>
      </c>
      <c r="Q958" s="12"/>
      <c r="R958" s="6" t="s">
        <v>1270</v>
      </c>
      <c r="S958" s="4"/>
      <c r="T958" s="1"/>
      <c r="U958" s="13"/>
      <c r="V958" s="13"/>
      <c r="W958" s="5" t="s">
        <v>1491</v>
      </c>
    </row>
    <row r="959" spans="1:23" ht="75">
      <c r="A959" s="1">
        <v>397880</v>
      </c>
      <c r="B959" s="1">
        <v>1</v>
      </c>
      <c r="C959" s="1">
        <v>10</v>
      </c>
      <c r="D959" s="2" t="s">
        <v>1264</v>
      </c>
      <c r="E959" s="11" t="s">
        <v>1264</v>
      </c>
      <c r="F959" s="11">
        <v>279637</v>
      </c>
      <c r="G959" s="2" t="s">
        <v>1494</v>
      </c>
      <c r="H959" s="2" t="s">
        <v>1495</v>
      </c>
      <c r="I959" s="2" t="s">
        <v>1496</v>
      </c>
      <c r="J959" s="2" t="str">
        <f t="shared" si="28"/>
        <v>https://permalinkbnd.bnportugal.gov.pt/viewer/279637/?offset=#page=10&amp;viewer=picture&amp;o=info&amp;n=0&amp;q=</v>
      </c>
      <c r="K959" s="1" t="s">
        <v>1271</v>
      </c>
      <c r="L959" s="1" t="str">
        <f>VLOOKUP(A959,Folha2!$A$2:$B$2019,2,FALSE)</f>
        <v>Tres estrophes / Luís de Camöes ; trad. do arménio por Arsenio Ghazik ; [pref.] Joaquim de Araújo. - Veneza : Typographia da Ilha de S. Lazaro, 1898</v>
      </c>
      <c r="M959" s="12" t="str">
        <f t="shared" si="29"/>
        <v>https://permalinkbnd.bnportugal.gov.pt/viewer/279637/?offset=#page=10&amp;viewer=picture&amp;o=info&amp;n=0&amp;q=</v>
      </c>
      <c r="N959" s="12" t="s">
        <v>1497</v>
      </c>
      <c r="O959" s="12" t="str">
        <f>CONCATENATE(N959,A959,"\",B959,"\",C959,".jpg")</f>
        <v>C:\Users\mbaptista\OneDrive - Biblioteca Nacional de Portugal\Documentos\python\camoniana\imagens\capas\397880\1\10.jpg</v>
      </c>
      <c r="P959" s="12" t="str">
        <f>HYPERLINK(O959)</f>
        <v>C:\Users\mbaptista\OneDrive - Biblioteca Nacional de Portugal\Documentos\python\camoniana\imagens\capas\397880\1\10.jpg</v>
      </c>
      <c r="Q959" s="12"/>
      <c r="R959" s="6" t="s">
        <v>1272</v>
      </c>
      <c r="S959" s="4"/>
      <c r="T959" s="1"/>
      <c r="U959" s="13"/>
      <c r="V959" s="13"/>
      <c r="W959" s="5" t="s">
        <v>1491</v>
      </c>
    </row>
    <row r="960" spans="1:23" ht="75">
      <c r="A960" s="1">
        <v>458381</v>
      </c>
      <c r="B960" s="1">
        <v>1</v>
      </c>
      <c r="C960" s="1">
        <v>12</v>
      </c>
      <c r="D960" s="2" t="s">
        <v>1273</v>
      </c>
      <c r="E960" s="5" t="s">
        <v>1273</v>
      </c>
      <c r="F960" s="5">
        <v>1880</v>
      </c>
      <c r="G960" s="2" t="s">
        <v>1494</v>
      </c>
      <c r="H960" s="2" t="s">
        <v>1495</v>
      </c>
      <c r="I960" s="2" t="s">
        <v>1496</v>
      </c>
      <c r="J960" s="2" t="str">
        <f t="shared" si="28"/>
        <v>https://permalinkbnd.bnportugal.gov.pt/viewer/1880/?offset=#page=12&amp;viewer=picture&amp;o=info&amp;n=0&amp;q=</v>
      </c>
      <c r="K960" s="1" t="s">
        <v>1274</v>
      </c>
      <c r="L960" s="1" t="str">
        <f>VLOOKUP(A960,Folha2!$A$2:$B$2019,2,FALSE)</f>
        <v>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v>
      </c>
      <c r="M960" s="12" t="str">
        <f t="shared" si="29"/>
        <v>https://permalinkbnd.bnportugal.gov.pt/viewer/1880/?offset=#page=12&amp;viewer=picture&amp;o=info&amp;n=0&amp;q=</v>
      </c>
      <c r="N960" s="12" t="s">
        <v>1497</v>
      </c>
      <c r="O960" s="12" t="str">
        <f>CONCATENATE(N960,A960,"\",B960,"\",C960,".jpg")</f>
        <v>C:\Users\mbaptista\OneDrive - Biblioteca Nacional de Portugal\Documentos\python\camoniana\imagens\capas\458381\1\12.jpg</v>
      </c>
      <c r="P960" s="12" t="str">
        <f>HYPERLINK(O960)</f>
        <v>C:\Users\mbaptista\OneDrive - Biblioteca Nacional de Portugal\Documentos\python\camoniana\imagens\capas\458381\1\12.jpg</v>
      </c>
      <c r="Q960" s="12"/>
      <c r="R960" s="6" t="s">
        <v>1275</v>
      </c>
      <c r="S960" s="4"/>
      <c r="T960" s="1">
        <v>12</v>
      </c>
      <c r="U960" s="13"/>
      <c r="V960" s="13"/>
      <c r="W960" s="5" t="s">
        <v>1491</v>
      </c>
    </row>
    <row r="961" spans="1:23" ht="75">
      <c r="A961" s="1">
        <v>464811</v>
      </c>
      <c r="B961" s="1">
        <v>1</v>
      </c>
      <c r="C961" s="1">
        <v>10</v>
      </c>
      <c r="D961" s="2" t="s">
        <v>1276</v>
      </c>
      <c r="E961" s="11" t="s">
        <v>1276</v>
      </c>
      <c r="F961" s="11">
        <v>278595</v>
      </c>
      <c r="G961" s="2" t="s">
        <v>1494</v>
      </c>
      <c r="H961" s="2" t="s">
        <v>1495</v>
      </c>
      <c r="I961" s="2" t="s">
        <v>1496</v>
      </c>
      <c r="J961" s="2" t="str">
        <f t="shared" si="28"/>
        <v>https://permalinkbnd.bnportugal.gov.pt/viewer/278595/?offset=#page=10&amp;viewer=picture&amp;o=info&amp;n=0&amp;q=</v>
      </c>
      <c r="K961" s="1">
        <v>10</v>
      </c>
      <c r="L961" s="1" t="str">
        <f>VLOOKUP(A961,Folha2!$A$2:$B$2019,2,FALSE)</f>
        <v>Les poétes les plus célébres français, italiens, allemands, anglais, espagnols, portugais / par Maxime de Montrond.... - Lille : L. Lefort, 1859, cf. Im. 64-73. Celebrações (1860), vida.</v>
      </c>
      <c r="M961" s="12" t="str">
        <f t="shared" si="29"/>
        <v>https://permalinkbnd.bnportugal.gov.pt/viewer/278595/?offset=#page=10&amp;viewer=picture&amp;o=info&amp;n=0&amp;q=</v>
      </c>
      <c r="N961" s="12" t="s">
        <v>1497</v>
      </c>
      <c r="O961" s="12" t="str">
        <f>CONCATENATE(N961,A961,"\",B961,"\",C961,".jpg")</f>
        <v>C:\Users\mbaptista\OneDrive - Biblioteca Nacional de Portugal\Documentos\python\camoniana\imagens\capas\464811\1\10.jpg</v>
      </c>
      <c r="P961" s="12" t="str">
        <f>HYPERLINK(O961)</f>
        <v>C:\Users\mbaptista\OneDrive - Biblioteca Nacional de Portugal\Documentos\python\camoniana\imagens\capas\464811\1\10.jpg</v>
      </c>
      <c r="Q961" s="12"/>
      <c r="R961" s="6" t="s">
        <v>1277</v>
      </c>
      <c r="S961" s="4"/>
      <c r="T961" s="1"/>
      <c r="U961" s="13"/>
      <c r="V961" s="13"/>
      <c r="W961" s="5" t="s">
        <v>1491</v>
      </c>
    </row>
    <row r="962" spans="1:23" ht="75">
      <c r="A962" s="1">
        <v>464977</v>
      </c>
      <c r="B962" s="1">
        <v>1</v>
      </c>
      <c r="C962" s="1">
        <v>8</v>
      </c>
      <c r="D962" s="2" t="s">
        <v>1278</v>
      </c>
      <c r="E962" s="5" t="s">
        <v>1278</v>
      </c>
      <c r="F962" s="5">
        <v>278597</v>
      </c>
      <c r="G962" s="2" t="s">
        <v>1494</v>
      </c>
      <c r="H962" s="2" t="s">
        <v>1495</v>
      </c>
      <c r="I962" s="2" t="s">
        <v>1496</v>
      </c>
      <c r="J962" s="2" t="str">
        <f t="shared" ref="J962:J1025" si="30">CONCATENATE(G962,F962,H962,C962,I962)</f>
        <v>https://permalinkbnd.bnportugal.gov.pt/viewer/278597/?offset=#page=8&amp;viewer=picture&amp;o=info&amp;n=0&amp;q=</v>
      </c>
      <c r="K962" s="1" t="s">
        <v>1279</v>
      </c>
      <c r="L962" s="1" t="str">
        <f>VLOOKUP(A962,Folha2!$A$2:$B$2019,2,FALSE)</f>
        <v>A estrela Vénus nos Lusíadas / Luciano Pereira da Silva. - Porto : Tip. da Renascença Portuguesa, [191-].</v>
      </c>
      <c r="M962" s="12" t="str">
        <f t="shared" ref="M962:M1025" si="31">HYPERLINK(J962)</f>
        <v>https://permalinkbnd.bnportugal.gov.pt/viewer/278597/?offset=#page=8&amp;viewer=picture&amp;o=info&amp;n=0&amp;q=</v>
      </c>
      <c r="N962" s="12" t="s">
        <v>1497</v>
      </c>
      <c r="O962" s="12" t="str">
        <f>CONCATENATE(N962,A962,"\",B962,"\",C962,".jpg")</f>
        <v>C:\Users\mbaptista\OneDrive - Biblioteca Nacional de Portugal\Documentos\python\camoniana\imagens\capas\464977\1\8.jpg</v>
      </c>
      <c r="P962" s="12" t="str">
        <f>HYPERLINK(O962)</f>
        <v>C:\Users\mbaptista\OneDrive - Biblioteca Nacional de Portugal\Documentos\python\camoniana\imagens\capas\464977\1\8.jpg</v>
      </c>
      <c r="Q962" s="12"/>
      <c r="R962" s="6" t="s">
        <v>1280</v>
      </c>
      <c r="S962" s="4"/>
      <c r="T962" s="1"/>
      <c r="U962" s="13"/>
      <c r="V962" s="13"/>
      <c r="W962" s="5" t="s">
        <v>1491</v>
      </c>
    </row>
    <row r="963" spans="1:23" ht="75">
      <c r="A963" s="1">
        <v>465372</v>
      </c>
      <c r="B963" s="1">
        <v>1</v>
      </c>
      <c r="C963" s="1">
        <v>1</v>
      </c>
      <c r="D963" s="2" t="s">
        <v>1281</v>
      </c>
      <c r="E963" s="11" t="s">
        <v>1281</v>
      </c>
      <c r="F963" s="11">
        <v>278668</v>
      </c>
      <c r="G963" s="2" t="s">
        <v>1494</v>
      </c>
      <c r="H963" s="2" t="s">
        <v>1495</v>
      </c>
      <c r="I963" s="2" t="s">
        <v>1496</v>
      </c>
      <c r="J963" s="2" t="str">
        <f t="shared" si="30"/>
        <v>https://permalinkbnd.bnportugal.gov.pt/viewer/278668/?offset=#page=1&amp;viewer=picture&amp;o=info&amp;n=0&amp;q=</v>
      </c>
      <c r="K963" s="1" t="s">
        <v>1041</v>
      </c>
      <c r="L963" s="1" t="str">
        <f>VLOOKUP(A963,Folha2!$A$2:$B$2019,2,FALSE)</f>
        <v>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v>
      </c>
      <c r="M963" s="12" t="str">
        <f t="shared" si="31"/>
        <v>https://permalinkbnd.bnportugal.gov.pt/viewer/278668/?offset=#page=1&amp;viewer=picture&amp;o=info&amp;n=0&amp;q=</v>
      </c>
      <c r="N963" s="12" t="s">
        <v>1497</v>
      </c>
      <c r="O963" s="12" t="str">
        <f>CONCATENATE(N963,A963,"\",B963,"\",C963,".jpg")</f>
        <v>C:\Users\mbaptista\OneDrive - Biblioteca Nacional de Portugal\Documentos\python\camoniana\imagens\capas\465372\1\1.jpg</v>
      </c>
      <c r="P963" s="12" t="str">
        <f>HYPERLINK(O963)</f>
        <v>C:\Users\mbaptista\OneDrive - Biblioteca Nacional de Portugal\Documentos\python\camoniana\imagens\capas\465372\1\1.jpg</v>
      </c>
      <c r="Q963" s="12"/>
      <c r="R963" s="6" t="s">
        <v>1282</v>
      </c>
      <c r="S963" s="4"/>
      <c r="T963" s="1">
        <v>1</v>
      </c>
      <c r="U963" s="13"/>
      <c r="V963" s="13"/>
      <c r="W963" s="5" t="s">
        <v>1491</v>
      </c>
    </row>
    <row r="964" spans="1:23" ht="75">
      <c r="A964" s="1">
        <v>782738</v>
      </c>
      <c r="B964" s="1">
        <v>1</v>
      </c>
      <c r="C964" s="1">
        <v>5</v>
      </c>
      <c r="D964" s="2" t="s">
        <v>1283</v>
      </c>
      <c r="E964" s="5" t="s">
        <v>1283</v>
      </c>
      <c r="F964" s="5">
        <v>278663</v>
      </c>
      <c r="G964" s="2" t="s">
        <v>1494</v>
      </c>
      <c r="H964" s="2" t="s">
        <v>1495</v>
      </c>
      <c r="I964" s="2" t="s">
        <v>1496</v>
      </c>
      <c r="J964" s="2" t="str">
        <f t="shared" si="30"/>
        <v>https://permalinkbnd.bnportugal.gov.pt/viewer/278663/?offset=#page=5&amp;viewer=picture&amp;o=info&amp;n=0&amp;q=</v>
      </c>
      <c r="K964" s="1" t="s">
        <v>1284</v>
      </c>
      <c r="L964" s="1" t="str">
        <f>VLOOKUP(A964,Folha2!$A$2:$B$2019,2,FALSE)</f>
        <v>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v>
      </c>
      <c r="M964" s="12" t="str">
        <f t="shared" si="31"/>
        <v>https://permalinkbnd.bnportugal.gov.pt/viewer/278663/?offset=#page=5&amp;viewer=picture&amp;o=info&amp;n=0&amp;q=</v>
      </c>
      <c r="N964" s="12" t="s">
        <v>1497</v>
      </c>
      <c r="O964" s="12" t="str">
        <f>CONCATENATE(N964,A964,"\",B964,"\",C964,".jpg")</f>
        <v>C:\Users\mbaptista\OneDrive - Biblioteca Nacional de Portugal\Documentos\python\camoniana\imagens\capas\782738\1\5.jpg</v>
      </c>
      <c r="P964" s="12" t="str">
        <f>HYPERLINK(O964)</f>
        <v>C:\Users\mbaptista\OneDrive - Biblioteca Nacional de Portugal\Documentos\python\camoniana\imagens\capas\782738\1\5.jpg</v>
      </c>
      <c r="Q964" s="12"/>
      <c r="R964" s="6" t="s">
        <v>1285</v>
      </c>
      <c r="S964" s="4"/>
      <c r="T964" s="1">
        <v>5</v>
      </c>
      <c r="U964" s="13"/>
      <c r="V964" s="13"/>
      <c r="W964" s="5" t="s">
        <v>1491</v>
      </c>
    </row>
    <row r="965" spans="1:23" ht="75">
      <c r="A965" s="1">
        <v>784624</v>
      </c>
      <c r="B965" s="1">
        <v>1</v>
      </c>
      <c r="C965" s="1">
        <v>1</v>
      </c>
      <c r="D965" s="2" t="s">
        <v>1286</v>
      </c>
      <c r="E965" s="11" t="s">
        <v>1286</v>
      </c>
      <c r="F965" s="11">
        <v>278795</v>
      </c>
      <c r="G965" s="2" t="s">
        <v>1494</v>
      </c>
      <c r="H965" s="2" t="s">
        <v>1495</v>
      </c>
      <c r="I965" s="2" t="s">
        <v>1496</v>
      </c>
      <c r="J965" s="2" t="str">
        <f t="shared" si="30"/>
        <v>https://permalinkbnd.bnportugal.gov.pt/viewer/278795/?offset=#page=1&amp;viewer=picture&amp;o=info&amp;n=0&amp;q=</v>
      </c>
      <c r="K965" s="1" t="s">
        <v>1287</v>
      </c>
      <c r="L965" s="1" t="str">
        <f>VLOOKUP(A965,Folha2!$A$2:$B$2019,2,FALSE)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5" s="12" t="str">
        <f t="shared" si="31"/>
        <v>https://permalinkbnd.bnportugal.gov.pt/viewer/278795/?offset=#page=1&amp;viewer=picture&amp;o=info&amp;n=0&amp;q=</v>
      </c>
      <c r="N965" s="12" t="s">
        <v>1497</v>
      </c>
      <c r="O965" s="12" t="str">
        <f>CONCATENATE(N965,A965,"\",B965,"\",C965,".jpg")</f>
        <v>C:\Users\mbaptista\OneDrive - Biblioteca Nacional de Portugal\Documentos\python\camoniana\imagens\capas\784624\1\1.jpg</v>
      </c>
      <c r="P965" s="12" t="str">
        <f>HYPERLINK(O965)</f>
        <v>C:\Users\mbaptista\OneDrive - Biblioteca Nacional de Portugal\Documentos\python\camoniana\imagens\capas\784624\1\1.jpg</v>
      </c>
      <c r="Q965" s="12"/>
      <c r="R965" s="6"/>
      <c r="S965" s="4"/>
      <c r="T965" s="1"/>
      <c r="U965" s="13"/>
      <c r="V965" s="13"/>
      <c r="W965" s="5"/>
    </row>
    <row r="966" spans="1:23" ht="75">
      <c r="A966" s="1">
        <v>784624</v>
      </c>
      <c r="B966" s="1">
        <v>1</v>
      </c>
      <c r="C966" s="1">
        <v>8</v>
      </c>
      <c r="D966" s="2" t="s">
        <v>1286</v>
      </c>
      <c r="E966" s="5" t="s">
        <v>1286</v>
      </c>
      <c r="F966" s="5">
        <v>278795</v>
      </c>
      <c r="G966" s="2" t="s">
        <v>1494</v>
      </c>
      <c r="H966" s="2" t="s">
        <v>1495</v>
      </c>
      <c r="I966" s="2" t="s">
        <v>1496</v>
      </c>
      <c r="J966" s="2" t="str">
        <f t="shared" si="30"/>
        <v>https://permalinkbnd.bnportugal.gov.pt/viewer/278795/?offset=#page=8&amp;viewer=picture&amp;o=info&amp;n=0&amp;q=</v>
      </c>
      <c r="K966" s="1" t="s">
        <v>1287</v>
      </c>
      <c r="L966" s="1" t="str">
        <f>VLOOKUP(A966,Folha2!$A$2:$B$2019,2,FALSE)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6" s="12" t="str">
        <f t="shared" si="31"/>
        <v>https://permalinkbnd.bnportugal.gov.pt/viewer/278795/?offset=#page=8&amp;viewer=picture&amp;o=info&amp;n=0&amp;q=</v>
      </c>
      <c r="N966" s="12" t="s">
        <v>1497</v>
      </c>
      <c r="O966" s="12" t="str">
        <f>CONCATENATE(N966,A966,"\",B966,"\",C966,".jpg")</f>
        <v>C:\Users\mbaptista\OneDrive - Biblioteca Nacional de Portugal\Documentos\python\camoniana\imagens\capas\784624\1\8.jpg</v>
      </c>
      <c r="P966" s="12" t="str">
        <f>HYPERLINK(O966)</f>
        <v>C:\Users\mbaptista\OneDrive - Biblioteca Nacional de Portugal\Documentos\python\camoniana\imagens\capas\784624\1\8.jpg</v>
      </c>
      <c r="Q966" s="12"/>
      <c r="R966" s="6" t="s">
        <v>1289</v>
      </c>
      <c r="S966" s="4"/>
      <c r="T966" s="1" t="s">
        <v>1288</v>
      </c>
      <c r="U966" s="13"/>
      <c r="V966" s="13"/>
      <c r="W966" s="5" t="s">
        <v>1491</v>
      </c>
    </row>
    <row r="967" spans="1:23" ht="75">
      <c r="A967" s="1">
        <v>784624</v>
      </c>
      <c r="B967" s="1">
        <v>1</v>
      </c>
      <c r="C967" s="1">
        <v>59</v>
      </c>
      <c r="D967" s="2" t="s">
        <v>1286</v>
      </c>
      <c r="E967" s="11" t="s">
        <v>1286</v>
      </c>
      <c r="F967" s="11">
        <v>278795</v>
      </c>
      <c r="G967" s="2" t="s">
        <v>1494</v>
      </c>
      <c r="H967" s="2" t="s">
        <v>1495</v>
      </c>
      <c r="I967" s="2" t="s">
        <v>1496</v>
      </c>
      <c r="J967" s="2" t="str">
        <f t="shared" si="30"/>
        <v>https://permalinkbnd.bnportugal.gov.pt/viewer/278795/?offset=#page=59&amp;viewer=picture&amp;o=info&amp;n=0&amp;q=</v>
      </c>
      <c r="K967" s="1" t="s">
        <v>1287</v>
      </c>
      <c r="L967" s="1" t="str">
        <f>VLOOKUP(A967,Folha2!$A$2:$B$2019,2,FALSE)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7" s="12" t="str">
        <f t="shared" si="31"/>
        <v>https://permalinkbnd.bnportugal.gov.pt/viewer/278795/?offset=#page=59&amp;viewer=picture&amp;o=info&amp;n=0&amp;q=</v>
      </c>
      <c r="N967" s="12" t="s">
        <v>1497</v>
      </c>
      <c r="O967" s="12" t="str">
        <f>CONCATENATE(N967,A967,"\",B967,"\",C967,".jpg")</f>
        <v>C:\Users\mbaptista\OneDrive - Biblioteca Nacional de Portugal\Documentos\python\camoniana\imagens\capas\784624\1\59.jpg</v>
      </c>
      <c r="P967" s="12" t="str">
        <f>HYPERLINK(O967)</f>
        <v>C:\Users\mbaptista\OneDrive - Biblioteca Nacional de Portugal\Documentos\python\camoniana\imagens\capas\784624\1\59.jpg</v>
      </c>
      <c r="Q967" s="12"/>
      <c r="R967" s="6" t="s">
        <v>1290</v>
      </c>
      <c r="S967" s="4"/>
      <c r="T967" s="1" t="s">
        <v>1288</v>
      </c>
      <c r="U967" s="13"/>
      <c r="V967" s="13"/>
      <c r="W967" s="5" t="s">
        <v>1491</v>
      </c>
    </row>
    <row r="968" spans="1:23" ht="75">
      <c r="A968" s="1">
        <v>784624</v>
      </c>
      <c r="B968" s="1">
        <v>1</v>
      </c>
      <c r="C968" s="1">
        <v>97</v>
      </c>
      <c r="D968" s="2" t="s">
        <v>1286</v>
      </c>
      <c r="E968" s="5" t="s">
        <v>1286</v>
      </c>
      <c r="F968" s="5">
        <v>278795</v>
      </c>
      <c r="G968" s="2" t="s">
        <v>1494</v>
      </c>
      <c r="H968" s="2" t="s">
        <v>1495</v>
      </c>
      <c r="I968" s="2" t="s">
        <v>1496</v>
      </c>
      <c r="J968" s="2" t="str">
        <f t="shared" si="30"/>
        <v>https://permalinkbnd.bnportugal.gov.pt/viewer/278795/?offset=#page=97&amp;viewer=picture&amp;o=info&amp;n=0&amp;q=</v>
      </c>
      <c r="K968" s="1" t="s">
        <v>1287</v>
      </c>
      <c r="L968" s="1" t="str">
        <f>VLOOKUP(A968,Folha2!$A$2:$B$2019,2,FALSE)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8" s="12" t="str">
        <f t="shared" si="31"/>
        <v>https://permalinkbnd.bnportugal.gov.pt/viewer/278795/?offset=#page=97&amp;viewer=picture&amp;o=info&amp;n=0&amp;q=</v>
      </c>
      <c r="N968" s="12" t="s">
        <v>1497</v>
      </c>
      <c r="O968" s="12" t="str">
        <f>CONCATENATE(N968,A968,"\",B968,"\",C968,".jpg")</f>
        <v>C:\Users\mbaptista\OneDrive - Biblioteca Nacional de Portugal\Documentos\python\camoniana\imagens\capas\784624\1\97.jpg</v>
      </c>
      <c r="P968" s="12" t="str">
        <f>HYPERLINK(O968)</f>
        <v>C:\Users\mbaptista\OneDrive - Biblioteca Nacional de Portugal\Documentos\python\camoniana\imagens\capas\784624\1\97.jpg</v>
      </c>
      <c r="Q968" s="12"/>
      <c r="R968" s="6" t="s">
        <v>1291</v>
      </c>
      <c r="S968" s="4"/>
      <c r="T968" s="1" t="s">
        <v>1288</v>
      </c>
      <c r="U968" s="13"/>
      <c r="V968" s="13"/>
      <c r="W968" s="5" t="s">
        <v>1491</v>
      </c>
    </row>
    <row r="969" spans="1:23" ht="75">
      <c r="A969" s="1">
        <v>784624</v>
      </c>
      <c r="B969" s="1">
        <v>1</v>
      </c>
      <c r="C969" s="1">
        <v>139</v>
      </c>
      <c r="D969" s="2" t="s">
        <v>1286</v>
      </c>
      <c r="E969" s="11" t="s">
        <v>1286</v>
      </c>
      <c r="F969" s="11">
        <v>278795</v>
      </c>
      <c r="G969" s="2" t="s">
        <v>1494</v>
      </c>
      <c r="H969" s="2" t="s">
        <v>1495</v>
      </c>
      <c r="I969" s="2" t="s">
        <v>1496</v>
      </c>
      <c r="J969" s="2" t="str">
        <f t="shared" si="30"/>
        <v>https://permalinkbnd.bnportugal.gov.pt/viewer/278795/?offset=#page=139&amp;viewer=picture&amp;o=info&amp;n=0&amp;q=</v>
      </c>
      <c r="K969" s="1" t="s">
        <v>1287</v>
      </c>
      <c r="L969" s="1" t="str">
        <f>VLOOKUP(A969,Folha2!$A$2:$B$2019,2,FALSE)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9" s="12" t="str">
        <f t="shared" si="31"/>
        <v>https://permalinkbnd.bnportugal.gov.pt/viewer/278795/?offset=#page=139&amp;viewer=picture&amp;o=info&amp;n=0&amp;q=</v>
      </c>
      <c r="N969" s="12" t="s">
        <v>1497</v>
      </c>
      <c r="O969" s="12" t="str">
        <f>CONCATENATE(N969,A969,"\",B969,"\",C969,".jpg")</f>
        <v>C:\Users\mbaptista\OneDrive - Biblioteca Nacional de Portugal\Documentos\python\camoniana\imagens\capas\784624\1\139.jpg</v>
      </c>
      <c r="P969" s="12" t="str">
        <f>HYPERLINK(O969)</f>
        <v>C:\Users\mbaptista\OneDrive - Biblioteca Nacional de Portugal\Documentos\python\camoniana\imagens\capas\784624\1\139.jpg</v>
      </c>
      <c r="Q969" s="12"/>
      <c r="R969" s="6" t="s">
        <v>1292</v>
      </c>
      <c r="S969" s="4"/>
      <c r="T969" s="1" t="s">
        <v>1288</v>
      </c>
      <c r="U969" s="13"/>
      <c r="V969" s="13"/>
      <c r="W969" s="5" t="s">
        <v>1491</v>
      </c>
    </row>
    <row r="970" spans="1:23" ht="75">
      <c r="A970" s="1">
        <v>784624</v>
      </c>
      <c r="B970" s="1">
        <v>1</v>
      </c>
      <c r="C970" s="1">
        <v>191</v>
      </c>
      <c r="D970" s="2" t="s">
        <v>1286</v>
      </c>
      <c r="E970" s="5" t="s">
        <v>1286</v>
      </c>
      <c r="F970" s="5">
        <v>278795</v>
      </c>
      <c r="G970" s="2" t="s">
        <v>1494</v>
      </c>
      <c r="H970" s="2" t="s">
        <v>1495</v>
      </c>
      <c r="I970" s="2" t="s">
        <v>1496</v>
      </c>
      <c r="J970" s="2" t="str">
        <f t="shared" si="30"/>
        <v>https://permalinkbnd.bnportugal.gov.pt/viewer/278795/?offset=#page=191&amp;viewer=picture&amp;o=info&amp;n=0&amp;q=</v>
      </c>
      <c r="K970" s="1" t="s">
        <v>1287</v>
      </c>
      <c r="L970" s="1" t="str">
        <f>VLOOKUP(A970,Folha2!$A$2:$B$2019,2,FALSE)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0" s="12" t="str">
        <f t="shared" si="31"/>
        <v>https://permalinkbnd.bnportugal.gov.pt/viewer/278795/?offset=#page=191&amp;viewer=picture&amp;o=info&amp;n=0&amp;q=</v>
      </c>
      <c r="N970" s="12" t="s">
        <v>1497</v>
      </c>
      <c r="O970" s="12" t="str">
        <f>CONCATENATE(N970,A970,"\",B970,"\",C970,".jpg")</f>
        <v>C:\Users\mbaptista\OneDrive - Biblioteca Nacional de Portugal\Documentos\python\camoniana\imagens\capas\784624\1\191.jpg</v>
      </c>
      <c r="P970" s="12" t="str">
        <f>HYPERLINK(O970)</f>
        <v>C:\Users\mbaptista\OneDrive - Biblioteca Nacional de Portugal\Documentos\python\camoniana\imagens\capas\784624\1\191.jpg</v>
      </c>
      <c r="Q970" s="12"/>
      <c r="R970" s="6" t="s">
        <v>1293</v>
      </c>
      <c r="S970" s="4"/>
      <c r="T970" s="1" t="s">
        <v>1288</v>
      </c>
      <c r="U970" s="13"/>
      <c r="V970" s="13"/>
      <c r="W970" s="5" t="s">
        <v>1491</v>
      </c>
    </row>
    <row r="971" spans="1:23" ht="75">
      <c r="A971" s="1">
        <v>784624</v>
      </c>
      <c r="B971" s="1">
        <v>1</v>
      </c>
      <c r="C971" s="1">
        <v>229</v>
      </c>
      <c r="D971" s="2" t="s">
        <v>1286</v>
      </c>
      <c r="E971" s="11" t="s">
        <v>1286</v>
      </c>
      <c r="F971" s="11">
        <v>278795</v>
      </c>
      <c r="G971" s="2" t="s">
        <v>1494</v>
      </c>
      <c r="H971" s="2" t="s">
        <v>1495</v>
      </c>
      <c r="I971" s="2" t="s">
        <v>1496</v>
      </c>
      <c r="J971" s="2" t="str">
        <f t="shared" si="30"/>
        <v>https://permalinkbnd.bnportugal.gov.pt/viewer/278795/?offset=#page=229&amp;viewer=picture&amp;o=info&amp;n=0&amp;q=</v>
      </c>
      <c r="K971" s="1" t="s">
        <v>1287</v>
      </c>
      <c r="L971" s="1" t="str">
        <f>VLOOKUP(A971,Folha2!$A$2:$B$2019,2,FALSE)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1" s="12" t="str">
        <f t="shared" si="31"/>
        <v>https://permalinkbnd.bnportugal.gov.pt/viewer/278795/?offset=#page=229&amp;viewer=picture&amp;o=info&amp;n=0&amp;q=</v>
      </c>
      <c r="N971" s="12" t="s">
        <v>1497</v>
      </c>
      <c r="O971" s="12" t="str">
        <f>CONCATENATE(N971,A971,"\",B971,"\",C971,".jpg")</f>
        <v>C:\Users\mbaptista\OneDrive - Biblioteca Nacional de Portugal\Documentos\python\camoniana\imagens\capas\784624\1\229.jpg</v>
      </c>
      <c r="P971" s="12" t="str">
        <f>HYPERLINK(O971)</f>
        <v>C:\Users\mbaptista\OneDrive - Biblioteca Nacional de Portugal\Documentos\python\camoniana\imagens\capas\784624\1\229.jpg</v>
      </c>
      <c r="Q971" s="12"/>
      <c r="R971" s="6" t="s">
        <v>1294</v>
      </c>
      <c r="S971" s="4"/>
      <c r="T971" s="1" t="s">
        <v>1288</v>
      </c>
      <c r="U971" s="13"/>
      <c r="V971" s="13"/>
      <c r="W971" s="5" t="s">
        <v>1491</v>
      </c>
    </row>
    <row r="972" spans="1:23" ht="75">
      <c r="A972" s="1">
        <v>784624</v>
      </c>
      <c r="B972" s="1">
        <v>1</v>
      </c>
      <c r="C972" s="1">
        <v>265</v>
      </c>
      <c r="D972" s="2" t="s">
        <v>1286</v>
      </c>
      <c r="E972" s="5" t="s">
        <v>1286</v>
      </c>
      <c r="F972" s="5">
        <v>278795</v>
      </c>
      <c r="G972" s="2" t="s">
        <v>1494</v>
      </c>
      <c r="H972" s="2" t="s">
        <v>1495</v>
      </c>
      <c r="I972" s="2" t="s">
        <v>1496</v>
      </c>
      <c r="J972" s="2" t="str">
        <f t="shared" si="30"/>
        <v>https://permalinkbnd.bnportugal.gov.pt/viewer/278795/?offset=#page=265&amp;viewer=picture&amp;o=info&amp;n=0&amp;q=</v>
      </c>
      <c r="K972" s="1" t="s">
        <v>1287</v>
      </c>
      <c r="L972" s="1" t="str">
        <f>VLOOKUP(A972,Folha2!$A$2:$B$2019,2,FALSE)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2" s="12" t="str">
        <f t="shared" si="31"/>
        <v>https://permalinkbnd.bnportugal.gov.pt/viewer/278795/?offset=#page=265&amp;viewer=picture&amp;o=info&amp;n=0&amp;q=</v>
      </c>
      <c r="N972" s="12" t="s">
        <v>1497</v>
      </c>
      <c r="O972" s="12" t="str">
        <f>CONCATENATE(N972,A972,"\",B972,"\",C972,".jpg")</f>
        <v>C:\Users\mbaptista\OneDrive - Biblioteca Nacional de Portugal\Documentos\python\camoniana\imagens\capas\784624\1\265.jpg</v>
      </c>
      <c r="P972" s="12" t="str">
        <f>HYPERLINK(O972)</f>
        <v>C:\Users\mbaptista\OneDrive - Biblioteca Nacional de Portugal\Documentos\python\camoniana\imagens\capas\784624\1\265.jpg</v>
      </c>
      <c r="Q972" s="12"/>
      <c r="R972" s="6" t="s">
        <v>1295</v>
      </c>
      <c r="S972" s="4"/>
      <c r="T972" s="1" t="s">
        <v>1288</v>
      </c>
      <c r="U972" s="13"/>
      <c r="V972" s="13"/>
      <c r="W972" s="5" t="s">
        <v>1491</v>
      </c>
    </row>
    <row r="973" spans="1:23" ht="75">
      <c r="A973" s="1">
        <v>784624</v>
      </c>
      <c r="B973" s="1">
        <v>1</v>
      </c>
      <c r="C973" s="1">
        <v>301</v>
      </c>
      <c r="D973" s="2" t="s">
        <v>1286</v>
      </c>
      <c r="E973" s="11" t="s">
        <v>1286</v>
      </c>
      <c r="F973" s="11">
        <v>278795</v>
      </c>
      <c r="G973" s="2" t="s">
        <v>1494</v>
      </c>
      <c r="H973" s="2" t="s">
        <v>1495</v>
      </c>
      <c r="I973" s="2" t="s">
        <v>1496</v>
      </c>
      <c r="J973" s="2" t="str">
        <f t="shared" si="30"/>
        <v>https://permalinkbnd.bnportugal.gov.pt/viewer/278795/?offset=#page=301&amp;viewer=picture&amp;o=info&amp;n=0&amp;q=</v>
      </c>
      <c r="K973" s="1" t="s">
        <v>1287</v>
      </c>
      <c r="L973" s="1" t="str">
        <f>VLOOKUP(A973,Folha2!$A$2:$B$2019,2,FALSE)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3" s="12" t="str">
        <f t="shared" si="31"/>
        <v>https://permalinkbnd.bnportugal.gov.pt/viewer/278795/?offset=#page=301&amp;viewer=picture&amp;o=info&amp;n=0&amp;q=</v>
      </c>
      <c r="N973" s="12" t="s">
        <v>1497</v>
      </c>
      <c r="O973" s="12" t="str">
        <f>CONCATENATE(N973,A973,"\",B973,"\",C973,".jpg")</f>
        <v>C:\Users\mbaptista\OneDrive - Biblioteca Nacional de Portugal\Documentos\python\camoniana\imagens\capas\784624\1\301.jpg</v>
      </c>
      <c r="P973" s="12" t="str">
        <f>HYPERLINK(O973)</f>
        <v>C:\Users\mbaptista\OneDrive - Biblioteca Nacional de Portugal\Documentos\python\camoniana\imagens\capas\784624\1\301.jpg</v>
      </c>
      <c r="Q973" s="12"/>
      <c r="R973" s="6" t="s">
        <v>1296</v>
      </c>
      <c r="S973" s="4"/>
      <c r="T973" s="1" t="s">
        <v>1288</v>
      </c>
      <c r="U973" s="13"/>
      <c r="V973" s="13"/>
      <c r="W973" s="5" t="s">
        <v>1491</v>
      </c>
    </row>
    <row r="974" spans="1:23" ht="75">
      <c r="A974" s="1">
        <v>784624</v>
      </c>
      <c r="B974" s="1">
        <v>1</v>
      </c>
      <c r="C974" s="1">
        <v>333</v>
      </c>
      <c r="D974" s="2" t="s">
        <v>1286</v>
      </c>
      <c r="E974" s="5" t="s">
        <v>1286</v>
      </c>
      <c r="F974" s="5">
        <v>278795</v>
      </c>
      <c r="G974" s="2" t="s">
        <v>1494</v>
      </c>
      <c r="H974" s="2" t="s">
        <v>1495</v>
      </c>
      <c r="I974" s="2" t="s">
        <v>1496</v>
      </c>
      <c r="J974" s="2" t="str">
        <f t="shared" si="30"/>
        <v>https://permalinkbnd.bnportugal.gov.pt/viewer/278795/?offset=#page=333&amp;viewer=picture&amp;o=info&amp;n=0&amp;q=</v>
      </c>
      <c r="K974" s="1" t="s">
        <v>1287</v>
      </c>
      <c r="L974" s="1" t="str">
        <f>VLOOKUP(A974,Folha2!$A$2:$B$2019,2,FALSE)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4" s="12" t="str">
        <f t="shared" si="31"/>
        <v>https://permalinkbnd.bnportugal.gov.pt/viewer/278795/?offset=#page=333&amp;viewer=picture&amp;o=info&amp;n=0&amp;q=</v>
      </c>
      <c r="N974" s="12" t="s">
        <v>1497</v>
      </c>
      <c r="O974" s="12" t="str">
        <f>CONCATENATE(N974,A974,"\",B974,"\",C974,".jpg")</f>
        <v>C:\Users\mbaptista\OneDrive - Biblioteca Nacional de Portugal\Documentos\python\camoniana\imagens\capas\784624\1\333.jpg</v>
      </c>
      <c r="P974" s="12" t="str">
        <f>HYPERLINK(O974)</f>
        <v>C:\Users\mbaptista\OneDrive - Biblioteca Nacional de Portugal\Documentos\python\camoniana\imagens\capas\784624\1\333.jpg</v>
      </c>
      <c r="Q974" s="12"/>
      <c r="R974" s="6" t="s">
        <v>1297</v>
      </c>
      <c r="S974" s="4"/>
      <c r="T974" s="1" t="s">
        <v>1288</v>
      </c>
      <c r="U974" s="13"/>
      <c r="V974" s="13"/>
      <c r="W974" s="5" t="s">
        <v>1491</v>
      </c>
    </row>
    <row r="975" spans="1:23" ht="75">
      <c r="A975" s="1">
        <v>784624</v>
      </c>
      <c r="B975" s="1">
        <v>1</v>
      </c>
      <c r="C975" s="1">
        <v>369</v>
      </c>
      <c r="D975" s="2" t="s">
        <v>1286</v>
      </c>
      <c r="E975" s="11" t="s">
        <v>1286</v>
      </c>
      <c r="F975" s="11">
        <v>278795</v>
      </c>
      <c r="G975" s="2" t="s">
        <v>1494</v>
      </c>
      <c r="H975" s="2" t="s">
        <v>1495</v>
      </c>
      <c r="I975" s="2" t="s">
        <v>1496</v>
      </c>
      <c r="J975" s="2" t="str">
        <f t="shared" si="30"/>
        <v>https://permalinkbnd.bnportugal.gov.pt/viewer/278795/?offset=#page=369&amp;viewer=picture&amp;o=info&amp;n=0&amp;q=</v>
      </c>
      <c r="K975" s="1" t="s">
        <v>1287</v>
      </c>
      <c r="L975" s="1" t="str">
        <f>VLOOKUP(A975,Folha2!$A$2:$B$2019,2,FALSE)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5" s="12" t="str">
        <f t="shared" si="31"/>
        <v>https://permalinkbnd.bnportugal.gov.pt/viewer/278795/?offset=#page=369&amp;viewer=picture&amp;o=info&amp;n=0&amp;q=</v>
      </c>
      <c r="N975" s="12" t="s">
        <v>1497</v>
      </c>
      <c r="O975" s="12" t="str">
        <f>CONCATENATE(N975,A975,"\",B975,"\",C975,".jpg")</f>
        <v>C:\Users\mbaptista\OneDrive - Biblioteca Nacional de Portugal\Documentos\python\camoniana\imagens\capas\784624\1\369.jpg</v>
      </c>
      <c r="P975" s="12" t="str">
        <f>HYPERLINK(O975)</f>
        <v>C:\Users\mbaptista\OneDrive - Biblioteca Nacional de Portugal\Documentos\python\camoniana\imagens\capas\784624\1\369.jpg</v>
      </c>
      <c r="Q975" s="12"/>
      <c r="R975" s="6" t="s">
        <v>1298</v>
      </c>
      <c r="S975" s="4"/>
      <c r="T975" s="1" t="s">
        <v>1288</v>
      </c>
      <c r="U975" s="13"/>
      <c r="V975" s="13"/>
      <c r="W975" s="5" t="s">
        <v>1491</v>
      </c>
    </row>
    <row r="976" spans="1:23" ht="75">
      <c r="A976" s="1">
        <v>784624</v>
      </c>
      <c r="B976" s="1">
        <v>1</v>
      </c>
      <c r="C976" s="1">
        <v>405</v>
      </c>
      <c r="D976" s="2" t="s">
        <v>1286</v>
      </c>
      <c r="E976" s="5" t="s">
        <v>1286</v>
      </c>
      <c r="F976" s="5">
        <v>278795</v>
      </c>
      <c r="G976" s="2" t="s">
        <v>1494</v>
      </c>
      <c r="H976" s="2" t="s">
        <v>1495</v>
      </c>
      <c r="I976" s="2" t="s">
        <v>1496</v>
      </c>
      <c r="J976" s="2" t="str">
        <f t="shared" si="30"/>
        <v>https://permalinkbnd.bnportugal.gov.pt/viewer/278795/?offset=#page=405&amp;viewer=picture&amp;o=info&amp;n=0&amp;q=</v>
      </c>
      <c r="K976" s="1" t="s">
        <v>1287</v>
      </c>
      <c r="L976" s="1" t="str">
        <f>VLOOKUP(A976,Folha2!$A$2:$B$2019,2,FALSE)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6" s="12" t="str">
        <f t="shared" si="31"/>
        <v>https://permalinkbnd.bnportugal.gov.pt/viewer/278795/?offset=#page=405&amp;viewer=picture&amp;o=info&amp;n=0&amp;q=</v>
      </c>
      <c r="N976" s="12" t="s">
        <v>1497</v>
      </c>
      <c r="O976" s="12" t="str">
        <f>CONCATENATE(N976,A976,"\",B976,"\",C976,".jpg")</f>
        <v>C:\Users\mbaptista\OneDrive - Biblioteca Nacional de Portugal\Documentos\python\camoniana\imagens\capas\784624\1\405.jpg</v>
      </c>
      <c r="P976" s="12" t="str">
        <f>HYPERLINK(O976)</f>
        <v>C:\Users\mbaptista\OneDrive - Biblioteca Nacional de Portugal\Documentos\python\camoniana\imagens\capas\784624\1\405.jpg</v>
      </c>
      <c r="Q976" s="12"/>
      <c r="R976" s="6" t="s">
        <v>1299</v>
      </c>
      <c r="S976" s="4"/>
      <c r="T976" s="1" t="s">
        <v>1288</v>
      </c>
      <c r="U976" s="13"/>
      <c r="V976" s="13"/>
      <c r="W976" s="5" t="s">
        <v>1491</v>
      </c>
    </row>
    <row r="977" spans="1:23" ht="75">
      <c r="A977" s="1">
        <v>789264</v>
      </c>
      <c r="B977" s="1">
        <v>1</v>
      </c>
      <c r="C977" s="1">
        <v>22</v>
      </c>
      <c r="D977" s="2" t="s">
        <v>1300</v>
      </c>
      <c r="E977" s="11" t="s">
        <v>1300</v>
      </c>
      <c r="F977" s="11">
        <v>279624</v>
      </c>
      <c r="G977" s="2" t="s">
        <v>1494</v>
      </c>
      <c r="H977" s="2" t="s">
        <v>1495</v>
      </c>
      <c r="I977" s="2" t="s">
        <v>1496</v>
      </c>
      <c r="J977" s="2" t="str">
        <f t="shared" si="30"/>
        <v>https://permalinkbnd.bnportugal.gov.pt/viewer/279624/?offset=#page=22&amp;viewer=picture&amp;o=info&amp;n=0&amp;q=</v>
      </c>
      <c r="K977" s="1" t="s">
        <v>1301</v>
      </c>
      <c r="L977" s="1" t="str">
        <f>VLOOKUP(A977,Folha2!$A$2:$B$2019,2,FALSE)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7" s="12" t="str">
        <f t="shared" si="31"/>
        <v>https://permalinkbnd.bnportugal.gov.pt/viewer/279624/?offset=#page=22&amp;viewer=picture&amp;o=info&amp;n=0&amp;q=</v>
      </c>
      <c r="N977" s="12" t="s">
        <v>1497</v>
      </c>
      <c r="O977" s="12" t="str">
        <f>CONCATENATE(N977,A977,"\",B977,"\",C977,".jpg")</f>
        <v>C:\Users\mbaptista\OneDrive - Biblioteca Nacional de Portugal\Documentos\python\camoniana\imagens\capas\789264\1\22.jpg</v>
      </c>
      <c r="P977" s="12" t="str">
        <f>HYPERLINK(O977)</f>
        <v>C:\Users\mbaptista\OneDrive - Biblioteca Nacional de Portugal\Documentos\python\camoniana\imagens\capas\789264\1\22.jpg</v>
      </c>
      <c r="Q977" s="12"/>
      <c r="R977" s="6" t="s">
        <v>1302</v>
      </c>
      <c r="S977" s="4"/>
      <c r="T977" s="1"/>
      <c r="U977" s="13"/>
      <c r="V977" s="13"/>
      <c r="W977" s="5" t="s">
        <v>1491</v>
      </c>
    </row>
    <row r="978" spans="1:23" ht="75">
      <c r="A978" s="1">
        <v>789264</v>
      </c>
      <c r="B978" s="1">
        <v>1</v>
      </c>
      <c r="C978" s="1">
        <v>24</v>
      </c>
      <c r="D978" s="2" t="s">
        <v>1300</v>
      </c>
      <c r="E978" s="5" t="s">
        <v>1300</v>
      </c>
      <c r="F978" s="5">
        <v>279624</v>
      </c>
      <c r="G978" s="2" t="s">
        <v>1494</v>
      </c>
      <c r="H978" s="2" t="s">
        <v>1495</v>
      </c>
      <c r="I978" s="2" t="s">
        <v>1496</v>
      </c>
      <c r="J978" s="2" t="str">
        <f t="shared" si="30"/>
        <v>https://permalinkbnd.bnportugal.gov.pt/viewer/279624/?offset=#page=24&amp;viewer=picture&amp;o=info&amp;n=0&amp;q=</v>
      </c>
      <c r="K978" s="1" t="s">
        <v>1301</v>
      </c>
      <c r="L978" s="1" t="str">
        <f>VLOOKUP(A978,Folha2!$A$2:$B$2019,2,FALSE)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8" s="12" t="str">
        <f t="shared" si="31"/>
        <v>https://permalinkbnd.bnportugal.gov.pt/viewer/279624/?offset=#page=24&amp;viewer=picture&amp;o=info&amp;n=0&amp;q=</v>
      </c>
      <c r="N978" s="12" t="s">
        <v>1497</v>
      </c>
      <c r="O978" s="12" t="str">
        <f>CONCATENATE(N978,A978,"\",B978,"\",C978,".jpg")</f>
        <v>C:\Users\mbaptista\OneDrive - Biblioteca Nacional de Portugal\Documentos\python\camoniana\imagens\capas\789264\1\24.jpg</v>
      </c>
      <c r="P978" s="12" t="str">
        <f>HYPERLINK(O978)</f>
        <v>C:\Users\mbaptista\OneDrive - Biblioteca Nacional de Portugal\Documentos\python\camoniana\imagens\capas\789264\1\24.jpg</v>
      </c>
      <c r="Q978" s="12"/>
      <c r="R978" s="6" t="s">
        <v>1303</v>
      </c>
      <c r="S978" s="4"/>
      <c r="T978" s="1"/>
      <c r="U978" s="13"/>
      <c r="V978" s="13"/>
      <c r="W978" s="5" t="s">
        <v>1491</v>
      </c>
    </row>
    <row r="979" spans="1:23" ht="75">
      <c r="A979" s="1">
        <v>798873</v>
      </c>
      <c r="B979" s="1">
        <v>1</v>
      </c>
      <c r="C979" s="1">
        <v>5</v>
      </c>
      <c r="D979" s="2" t="s">
        <v>1304</v>
      </c>
      <c r="E979" s="11" t="s">
        <v>1304</v>
      </c>
      <c r="F979" s="11">
        <v>279100</v>
      </c>
      <c r="G979" s="2" t="s">
        <v>1494</v>
      </c>
      <c r="H979" s="2" t="s">
        <v>1495</v>
      </c>
      <c r="I979" s="2" t="s">
        <v>1496</v>
      </c>
      <c r="J979" s="2" t="str">
        <f t="shared" si="30"/>
        <v>https://permalinkbnd.bnportugal.gov.pt/viewer/279100/?offset=#page=5&amp;viewer=picture&amp;o=info&amp;n=0&amp;q=</v>
      </c>
      <c r="K979" s="1" t="s">
        <v>1305</v>
      </c>
      <c r="L979" s="1" t="str">
        <f>VLOOKUP(A979,Folha2!$A$2:$B$2019,2,FALSE)</f>
        <v>Camões e os Lusíadas : estudo crítico publicado por ocasião do tricentenário / por Theophilo Braga. - Lisboa : Nova Livr. Internacional, 1880</v>
      </c>
      <c r="M979" s="12" t="str">
        <f t="shared" si="31"/>
        <v>https://permalinkbnd.bnportugal.gov.pt/viewer/279100/?offset=#page=5&amp;viewer=picture&amp;o=info&amp;n=0&amp;q=</v>
      </c>
      <c r="N979" s="12" t="s">
        <v>1497</v>
      </c>
      <c r="O979" s="12" t="str">
        <f>CONCATENATE(N979,A979,"\",B979,"\",C979,".jpg")</f>
        <v>C:\Users\mbaptista\OneDrive - Biblioteca Nacional de Portugal\Documentos\python\camoniana\imagens\capas\798873\1\5.jpg</v>
      </c>
      <c r="P979" s="12" t="str">
        <f>HYPERLINK(O979)</f>
        <v>C:\Users\mbaptista\OneDrive - Biblioteca Nacional de Portugal\Documentos\python\camoniana\imagens\capas\798873\1\5.jpg</v>
      </c>
      <c r="Q979" s="12"/>
      <c r="R979" s="6" t="s">
        <v>1306</v>
      </c>
      <c r="S979" s="4"/>
      <c r="T979" s="1" t="s">
        <v>1200</v>
      </c>
      <c r="U979" s="13"/>
      <c r="V979" s="13"/>
      <c r="W979" s="5" t="s">
        <v>1491</v>
      </c>
    </row>
    <row r="980" spans="1:23" ht="75">
      <c r="A980" s="1">
        <v>798873</v>
      </c>
      <c r="B980" s="1">
        <v>1</v>
      </c>
      <c r="C980" s="1">
        <v>7</v>
      </c>
      <c r="D980" s="2" t="s">
        <v>1304</v>
      </c>
      <c r="E980" s="5" t="s">
        <v>1304</v>
      </c>
      <c r="F980" s="5">
        <v>279100</v>
      </c>
      <c r="G980" s="2" t="s">
        <v>1494</v>
      </c>
      <c r="H980" s="2" t="s">
        <v>1495</v>
      </c>
      <c r="I980" s="2" t="s">
        <v>1496</v>
      </c>
      <c r="J980" s="2" t="str">
        <f t="shared" si="30"/>
        <v>https://permalinkbnd.bnportugal.gov.pt/viewer/279100/?offset=#page=7&amp;viewer=picture&amp;o=info&amp;n=0&amp;q=</v>
      </c>
      <c r="K980" s="1" t="s">
        <v>1305</v>
      </c>
      <c r="L980" s="1" t="str">
        <f>VLOOKUP(A980,Folha2!$A$2:$B$2019,2,FALSE)</f>
        <v>Camões e os Lusíadas : estudo crítico publicado por ocasião do tricentenário / por Theophilo Braga. - Lisboa : Nova Livr. Internacional, 1880</v>
      </c>
      <c r="M980" s="12" t="str">
        <f t="shared" si="31"/>
        <v>https://permalinkbnd.bnportugal.gov.pt/viewer/279100/?offset=#page=7&amp;viewer=picture&amp;o=info&amp;n=0&amp;q=</v>
      </c>
      <c r="N980" s="12" t="s">
        <v>1497</v>
      </c>
      <c r="O980" s="12" t="str">
        <f>CONCATENATE(N980,A980,"\",B980,"\",C980,".jpg")</f>
        <v>C:\Users\mbaptista\OneDrive - Biblioteca Nacional de Portugal\Documentos\python\camoniana\imagens\capas\798873\1\7.jpg</v>
      </c>
      <c r="P980" s="12" t="str">
        <f>HYPERLINK(O980)</f>
        <v>C:\Users\mbaptista\OneDrive - Biblioteca Nacional de Portugal\Documentos\python\camoniana\imagens\capas\798873\1\7.jpg</v>
      </c>
      <c r="Q980" s="12"/>
      <c r="R980" s="6" t="s">
        <v>1307</v>
      </c>
      <c r="S980" s="4"/>
      <c r="T980" s="1" t="s">
        <v>1200</v>
      </c>
      <c r="U980" s="13"/>
      <c r="V980" s="13"/>
      <c r="W980" s="5" t="s">
        <v>1491</v>
      </c>
    </row>
    <row r="981" spans="1:23" ht="75">
      <c r="A981" s="1">
        <v>874191</v>
      </c>
      <c r="B981" s="1">
        <v>1</v>
      </c>
      <c r="C981" s="1">
        <v>9</v>
      </c>
      <c r="D981" s="2" t="s">
        <v>1308</v>
      </c>
      <c r="E981" s="11" t="s">
        <v>1308</v>
      </c>
      <c r="F981" s="11">
        <v>278495</v>
      </c>
      <c r="G981" s="2" t="s">
        <v>1494</v>
      </c>
      <c r="H981" s="2" t="s">
        <v>1495</v>
      </c>
      <c r="I981" s="2" t="s">
        <v>1496</v>
      </c>
      <c r="J981" s="2" t="str">
        <f t="shared" si="30"/>
        <v>https://permalinkbnd.bnportugal.gov.pt/viewer/278495/?offset=#page=9&amp;viewer=picture&amp;o=info&amp;n=0&amp;q=</v>
      </c>
      <c r="K981" s="1" t="s">
        <v>1309</v>
      </c>
      <c r="L981" s="1" t="str">
        <f>VLOOKUP(A981,Folha2!$A$2:$B$2019,2,FALSE)</f>
        <v>Art camonien : lettre a Mr. Joaquim de Araujo / Platon Waxel. - Porto : Redacção do Circulo Camoniano, 1892. Texto truncado, cf. p. 11.</v>
      </c>
      <c r="M981" s="12" t="str">
        <f t="shared" si="31"/>
        <v>https://permalinkbnd.bnportugal.gov.pt/viewer/278495/?offset=#page=9&amp;viewer=picture&amp;o=info&amp;n=0&amp;q=</v>
      </c>
      <c r="N981" s="12" t="s">
        <v>1497</v>
      </c>
      <c r="O981" s="12" t="str">
        <f>CONCATENATE(N981,A981,"\",B981,"\",C981,".jpg")</f>
        <v>C:\Users\mbaptista\OneDrive - Biblioteca Nacional de Portugal\Documentos\python\camoniana\imagens\capas\874191\1\9.jpg</v>
      </c>
      <c r="P981" s="12" t="str">
        <f>HYPERLINK(O981)</f>
        <v>C:\Users\mbaptista\OneDrive - Biblioteca Nacional de Portugal\Documentos\python\camoniana\imagens\capas\874191\1\9.jpg</v>
      </c>
      <c r="Q981" s="12"/>
      <c r="R981" s="6" t="s">
        <v>1310</v>
      </c>
      <c r="S981" s="4"/>
      <c r="T981" s="1">
        <v>9</v>
      </c>
      <c r="U981" s="13"/>
      <c r="V981" s="13"/>
      <c r="W981" s="5" t="s">
        <v>1491</v>
      </c>
    </row>
    <row r="982" spans="1:23" ht="75">
      <c r="A982" s="1">
        <v>874191</v>
      </c>
      <c r="B982" s="1">
        <v>1</v>
      </c>
      <c r="C982" s="1">
        <v>11</v>
      </c>
      <c r="D982" s="2" t="s">
        <v>1308</v>
      </c>
      <c r="E982" s="5" t="s">
        <v>1308</v>
      </c>
      <c r="F982" s="5">
        <v>278495</v>
      </c>
      <c r="G982" s="2" t="s">
        <v>1494</v>
      </c>
      <c r="H982" s="2" t="s">
        <v>1495</v>
      </c>
      <c r="I982" s="2" t="s">
        <v>1496</v>
      </c>
      <c r="J982" s="2" t="str">
        <f t="shared" si="30"/>
        <v>https://permalinkbnd.bnportugal.gov.pt/viewer/278495/?offset=#page=11&amp;viewer=picture&amp;o=info&amp;n=0&amp;q=</v>
      </c>
      <c r="K982" s="1" t="s">
        <v>1309</v>
      </c>
      <c r="L982" s="1" t="str">
        <f>VLOOKUP(A982,Folha2!$A$2:$B$2019,2,FALSE)</f>
        <v>Art camonien : lettre a Mr. Joaquim de Araujo / Platon Waxel. - Porto : Redacção do Circulo Camoniano, 1892. Texto truncado, cf. p. 11.</v>
      </c>
      <c r="M982" s="12" t="str">
        <f t="shared" si="31"/>
        <v>https://permalinkbnd.bnportugal.gov.pt/viewer/278495/?offset=#page=11&amp;viewer=picture&amp;o=info&amp;n=0&amp;q=</v>
      </c>
      <c r="N982" s="12" t="s">
        <v>1497</v>
      </c>
      <c r="O982" s="12" t="str">
        <f>CONCATENATE(N982,A982,"\",B982,"\",C982,".jpg")</f>
        <v>C:\Users\mbaptista\OneDrive - Biblioteca Nacional de Portugal\Documentos\python\camoniana\imagens\capas\874191\1\11.jpg</v>
      </c>
      <c r="P982" s="12" t="str">
        <f>HYPERLINK(O982)</f>
        <v>C:\Users\mbaptista\OneDrive - Biblioteca Nacional de Portugal\Documentos\python\camoniana\imagens\capas\874191\1\11.jpg</v>
      </c>
      <c r="Q982" s="12"/>
      <c r="R982" s="6"/>
      <c r="S982" s="4"/>
      <c r="T982" s="1"/>
      <c r="U982" s="13"/>
      <c r="V982" s="13"/>
      <c r="W982" s="5"/>
    </row>
    <row r="983" spans="1:23" ht="75">
      <c r="A983" s="1">
        <v>224027</v>
      </c>
      <c r="B983" s="1">
        <v>1</v>
      </c>
      <c r="C983" s="1">
        <v>7</v>
      </c>
      <c r="D983" s="2" t="s">
        <v>937</v>
      </c>
      <c r="E983" s="11" t="s">
        <v>937</v>
      </c>
      <c r="F983" s="11">
        <v>14663</v>
      </c>
      <c r="G983" s="2" t="s">
        <v>1494</v>
      </c>
      <c r="H983" s="2" t="s">
        <v>1495</v>
      </c>
      <c r="I983" s="2" t="s">
        <v>1496</v>
      </c>
      <c r="J983" s="2" t="str">
        <f t="shared" si="30"/>
        <v>https://permalinkbnd.bnportugal.gov.pt/viewer/14663/?offset=#page=7&amp;viewer=picture&amp;o=info&amp;n=0&amp;q=</v>
      </c>
      <c r="K983" s="1">
        <v>7</v>
      </c>
      <c r="L983" s="1" t="str">
        <f>VLOOKUP(A983,Folha2!$A$2:$B$2019,2,FALSE)</f>
        <v>Los Lusiadas / de Luys de Camoes ; traduzidos en octaua rima Castellana por Benito Caldera, residente en Corte. - Impresso en Alcala de Henares : por Iua[n] Gracian, 1580. Cantos numerados manualmente e completos, sem paginação.</v>
      </c>
      <c r="M983" s="12" t="str">
        <f t="shared" si="31"/>
        <v>https://permalinkbnd.bnportugal.gov.pt/viewer/14663/?offset=#page=7&amp;viewer=picture&amp;o=info&amp;n=0&amp;q=</v>
      </c>
      <c r="N983" s="12" t="s">
        <v>1497</v>
      </c>
      <c r="O983" s="12" t="str">
        <f>CONCATENATE(N983,A983,"\",B983,"\",C983,".jpg")</f>
        <v>C:\Users\mbaptista\OneDrive - Biblioteca Nacional de Portugal\Documentos\python\camoniana\imagens\capas\224027\1\7.jpg</v>
      </c>
      <c r="P983" s="12" t="str">
        <f>HYPERLINK(O983)</f>
        <v>C:\Users\mbaptista\OneDrive - Biblioteca Nacional de Portugal\Documentos\python\camoniana\imagens\capas\224027\1\7.jpg</v>
      </c>
      <c r="Q983" s="12"/>
      <c r="R983" s="6" t="s">
        <v>938</v>
      </c>
      <c r="S983" s="4"/>
      <c r="T983" s="1"/>
      <c r="U983" s="13"/>
      <c r="V983" s="13"/>
      <c r="W983" s="5" t="s">
        <v>1491</v>
      </c>
    </row>
    <row r="984" spans="1:23" ht="90">
      <c r="A984" s="1">
        <v>9413</v>
      </c>
      <c r="B984" s="1">
        <v>1</v>
      </c>
      <c r="C984" s="1">
        <v>1</v>
      </c>
      <c r="D984" s="2" t="s">
        <v>1311</v>
      </c>
      <c r="E984" s="5" t="s">
        <v>1311</v>
      </c>
      <c r="F984" s="5">
        <v>256552</v>
      </c>
      <c r="G984" s="2" t="s">
        <v>1494</v>
      </c>
      <c r="H984" s="2" t="s">
        <v>1495</v>
      </c>
      <c r="I984" s="2" t="s">
        <v>1496</v>
      </c>
      <c r="J984" s="2" t="str">
        <f t="shared" si="30"/>
        <v>https://permalinkbnd.bnportugal.gov.pt/viewer/256552/?offset=#page=1&amp;viewer=picture&amp;o=info&amp;n=0&amp;q=</v>
      </c>
      <c r="K984" s="1" t="s">
        <v>1312</v>
      </c>
      <c r="L984" s="1" t="str">
        <f>VLOOKUP(A984,Folha2!$A$2:$B$2019,2,FALSE)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4" s="12" t="str">
        <f t="shared" si="31"/>
        <v>https://permalinkbnd.bnportugal.gov.pt/viewer/256552/?offset=#page=1&amp;viewer=picture&amp;o=info&amp;n=0&amp;q=</v>
      </c>
      <c r="N984" s="12" t="s">
        <v>1497</v>
      </c>
      <c r="O984" s="12" t="str">
        <f>CONCATENATE(N984,A984,"\",B984,"\",C984,".jpg")</f>
        <v>C:\Users\mbaptista\OneDrive - Biblioteca Nacional de Portugal\Documentos\python\camoniana\imagens\capas\9413\1\1.jpg</v>
      </c>
      <c r="P984" s="12" t="str">
        <f>HYPERLINK(O984)</f>
        <v>C:\Users\mbaptista\OneDrive - Biblioteca Nacional de Portugal\Documentos\python\camoniana\imagens\capas\9413\1\1.jpg</v>
      </c>
      <c r="Q984" s="12"/>
      <c r="R984" s="6" t="s">
        <v>1314</v>
      </c>
      <c r="S984" s="4"/>
      <c r="T984" s="1" t="s">
        <v>1313</v>
      </c>
      <c r="U984" s="13"/>
      <c r="V984" s="13"/>
      <c r="W984" s="5" t="s">
        <v>1491</v>
      </c>
    </row>
    <row r="985" spans="1:23" ht="90">
      <c r="A985" s="1">
        <v>9413</v>
      </c>
      <c r="B985" s="1">
        <v>1</v>
      </c>
      <c r="C985" s="1">
        <v>9</v>
      </c>
      <c r="D985" s="2" t="s">
        <v>1311</v>
      </c>
      <c r="E985" s="11" t="s">
        <v>1311</v>
      </c>
      <c r="F985" s="11">
        <v>256552</v>
      </c>
      <c r="G985" s="2" t="s">
        <v>1494</v>
      </c>
      <c r="H985" s="2" t="s">
        <v>1495</v>
      </c>
      <c r="I985" s="2" t="s">
        <v>1496</v>
      </c>
      <c r="J985" s="2" t="str">
        <f t="shared" si="30"/>
        <v>https://permalinkbnd.bnportugal.gov.pt/viewer/256552/?offset=#page=9&amp;viewer=picture&amp;o=info&amp;n=0&amp;q=</v>
      </c>
      <c r="K985" s="1" t="s">
        <v>1312</v>
      </c>
      <c r="L985" s="1" t="str">
        <f>VLOOKUP(A985,Folha2!$A$2:$B$2019,2,FALSE)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5" s="12" t="str">
        <f t="shared" si="31"/>
        <v>https://permalinkbnd.bnportugal.gov.pt/viewer/256552/?offset=#page=9&amp;viewer=picture&amp;o=info&amp;n=0&amp;q=</v>
      </c>
      <c r="N985" s="12" t="s">
        <v>1497</v>
      </c>
      <c r="O985" s="12" t="str">
        <f>CONCATENATE(N985,A985,"\",B985,"\",C985,".jpg")</f>
        <v>C:\Users\mbaptista\OneDrive - Biblioteca Nacional de Portugal\Documentos\python\camoniana\imagens\capas\9413\1\9.jpg</v>
      </c>
      <c r="P985" s="12" t="str">
        <f>HYPERLINK(O985)</f>
        <v>C:\Users\mbaptista\OneDrive - Biblioteca Nacional de Portugal\Documentos\python\camoniana\imagens\capas\9413\1\9.jpg</v>
      </c>
      <c r="Q985" s="12"/>
      <c r="R985" s="6" t="s">
        <v>1315</v>
      </c>
      <c r="S985" s="4"/>
      <c r="T985" s="1" t="s">
        <v>1313</v>
      </c>
      <c r="U985" s="13"/>
      <c r="V985" s="13"/>
      <c r="W985" s="5" t="s">
        <v>1491</v>
      </c>
    </row>
    <row r="986" spans="1:23" ht="90">
      <c r="A986" s="1">
        <v>9413</v>
      </c>
      <c r="B986" s="1">
        <v>1</v>
      </c>
      <c r="C986" s="1">
        <v>14</v>
      </c>
      <c r="D986" s="2" t="s">
        <v>1311</v>
      </c>
      <c r="E986" s="5" t="s">
        <v>1311</v>
      </c>
      <c r="F986" s="5">
        <v>256552</v>
      </c>
      <c r="G986" s="2" t="s">
        <v>1494</v>
      </c>
      <c r="H986" s="2" t="s">
        <v>1495</v>
      </c>
      <c r="I986" s="2" t="s">
        <v>1496</v>
      </c>
      <c r="J986" s="2" t="str">
        <f t="shared" si="30"/>
        <v>https://permalinkbnd.bnportugal.gov.pt/viewer/256552/?offset=#page=14&amp;viewer=picture&amp;o=info&amp;n=0&amp;q=</v>
      </c>
      <c r="K986" s="1" t="s">
        <v>1312</v>
      </c>
      <c r="L986" s="1" t="str">
        <f>VLOOKUP(A986,Folha2!$A$2:$B$2019,2,FALSE)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6" s="12" t="str">
        <f t="shared" si="31"/>
        <v>https://permalinkbnd.bnportugal.gov.pt/viewer/256552/?offset=#page=14&amp;viewer=picture&amp;o=info&amp;n=0&amp;q=</v>
      </c>
      <c r="N986" s="12" t="s">
        <v>1497</v>
      </c>
      <c r="O986" s="12" t="str">
        <f>CONCATENATE(N986,A986,"\",B986,"\",C986,".jpg")</f>
        <v>C:\Users\mbaptista\OneDrive - Biblioteca Nacional de Portugal\Documentos\python\camoniana\imagens\capas\9413\1\14.jpg</v>
      </c>
      <c r="P986" s="12" t="str">
        <f>HYPERLINK(O986)</f>
        <v>C:\Users\mbaptista\OneDrive - Biblioteca Nacional de Portugal\Documentos\python\camoniana\imagens\capas\9413\1\14.jpg</v>
      </c>
      <c r="Q986" s="12"/>
      <c r="R986" s="6" t="s">
        <v>1316</v>
      </c>
      <c r="S986" s="4"/>
      <c r="T986" s="1" t="s">
        <v>1313</v>
      </c>
      <c r="U986" s="13"/>
      <c r="V986" s="13"/>
      <c r="W986" s="5" t="s">
        <v>1491</v>
      </c>
    </row>
    <row r="987" spans="1:23" ht="90">
      <c r="A987" s="1">
        <v>9413</v>
      </c>
      <c r="B987" s="1">
        <v>1</v>
      </c>
      <c r="C987" s="1">
        <v>19</v>
      </c>
      <c r="D987" s="2" t="s">
        <v>1311</v>
      </c>
      <c r="E987" s="11" t="s">
        <v>1311</v>
      </c>
      <c r="F987" s="11">
        <v>256552</v>
      </c>
      <c r="G987" s="2" t="s">
        <v>1494</v>
      </c>
      <c r="H987" s="2" t="s">
        <v>1495</v>
      </c>
      <c r="I987" s="2" t="s">
        <v>1496</v>
      </c>
      <c r="J987" s="2" t="str">
        <f t="shared" si="30"/>
        <v>https://permalinkbnd.bnportugal.gov.pt/viewer/256552/?offset=#page=19&amp;viewer=picture&amp;o=info&amp;n=0&amp;q=</v>
      </c>
      <c r="K987" s="1" t="s">
        <v>1312</v>
      </c>
      <c r="L987" s="1" t="str">
        <f>VLOOKUP(A987,Folha2!$A$2:$B$2019,2,FALSE)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7" s="12" t="str">
        <f t="shared" si="31"/>
        <v>https://permalinkbnd.bnportugal.gov.pt/viewer/256552/?offset=#page=19&amp;viewer=picture&amp;o=info&amp;n=0&amp;q=</v>
      </c>
      <c r="N987" s="12" t="s">
        <v>1497</v>
      </c>
      <c r="O987" s="12" t="str">
        <f>CONCATENATE(N987,A987,"\",B987,"\",C987,".jpg")</f>
        <v>C:\Users\mbaptista\OneDrive - Biblioteca Nacional de Portugal\Documentos\python\camoniana\imagens\capas\9413\1\19.jpg</v>
      </c>
      <c r="P987" s="12" t="str">
        <f>HYPERLINK(O987)</f>
        <v>C:\Users\mbaptista\OneDrive - Biblioteca Nacional de Portugal\Documentos\python\camoniana\imagens\capas\9413\1\19.jpg</v>
      </c>
      <c r="Q987" s="12"/>
      <c r="R987" s="6" t="s">
        <v>1317</v>
      </c>
      <c r="S987" s="4"/>
      <c r="T987" s="1" t="s">
        <v>1313</v>
      </c>
      <c r="U987" s="13"/>
      <c r="V987" s="13"/>
      <c r="W987" s="5" t="s">
        <v>1491</v>
      </c>
    </row>
    <row r="988" spans="1:23" ht="90">
      <c r="A988" s="1">
        <v>9413</v>
      </c>
      <c r="B988" s="1">
        <v>1</v>
      </c>
      <c r="C988" s="1">
        <v>20</v>
      </c>
      <c r="D988" s="2" t="s">
        <v>1311</v>
      </c>
      <c r="E988" s="5" t="s">
        <v>1311</v>
      </c>
      <c r="F988" s="5">
        <v>256552</v>
      </c>
      <c r="G988" s="2" t="s">
        <v>1494</v>
      </c>
      <c r="H988" s="2" t="s">
        <v>1495</v>
      </c>
      <c r="I988" s="2" t="s">
        <v>1496</v>
      </c>
      <c r="J988" s="2" t="str">
        <f t="shared" si="30"/>
        <v>https://permalinkbnd.bnportugal.gov.pt/viewer/256552/?offset=#page=20&amp;viewer=picture&amp;o=info&amp;n=0&amp;q=</v>
      </c>
      <c r="K988" s="1" t="s">
        <v>1312</v>
      </c>
      <c r="L988" s="1" t="str">
        <f>VLOOKUP(A988,Folha2!$A$2:$B$2019,2,FALSE)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8" s="12" t="str">
        <f t="shared" si="31"/>
        <v>https://permalinkbnd.bnportugal.gov.pt/viewer/256552/?offset=#page=20&amp;viewer=picture&amp;o=info&amp;n=0&amp;q=</v>
      </c>
      <c r="N988" s="12" t="s">
        <v>1497</v>
      </c>
      <c r="O988" s="12" t="str">
        <f>CONCATENATE(N988,A988,"\",B988,"\",C988,".jpg")</f>
        <v>C:\Users\mbaptista\OneDrive - Biblioteca Nacional de Portugal\Documentos\python\camoniana\imagens\capas\9413\1\20.jpg</v>
      </c>
      <c r="P988" s="12" t="str">
        <f>HYPERLINK(O988)</f>
        <v>C:\Users\mbaptista\OneDrive - Biblioteca Nacional de Portugal\Documentos\python\camoniana\imagens\capas\9413\1\20.jpg</v>
      </c>
      <c r="Q988" s="12"/>
      <c r="R988" s="6" t="s">
        <v>1318</v>
      </c>
      <c r="S988" s="4"/>
      <c r="T988" s="1" t="s">
        <v>1313</v>
      </c>
      <c r="U988" s="13"/>
      <c r="V988" s="13"/>
      <c r="W988" s="5" t="s">
        <v>1491</v>
      </c>
    </row>
    <row r="989" spans="1:23" ht="90">
      <c r="A989" s="1">
        <v>9413</v>
      </c>
      <c r="B989" s="1">
        <v>1</v>
      </c>
      <c r="C989" s="1">
        <v>39</v>
      </c>
      <c r="D989" s="2" t="s">
        <v>1311</v>
      </c>
      <c r="E989" s="11" t="s">
        <v>1311</v>
      </c>
      <c r="F989" s="11">
        <v>256552</v>
      </c>
      <c r="G989" s="2" t="s">
        <v>1494</v>
      </c>
      <c r="H989" s="2" t="s">
        <v>1495</v>
      </c>
      <c r="I989" s="2" t="s">
        <v>1496</v>
      </c>
      <c r="J989" s="2" t="str">
        <f t="shared" si="30"/>
        <v>https://permalinkbnd.bnportugal.gov.pt/viewer/256552/?offset=#page=39&amp;viewer=picture&amp;o=info&amp;n=0&amp;q=</v>
      </c>
      <c r="K989" s="1" t="s">
        <v>1312</v>
      </c>
      <c r="L989" s="1" t="str">
        <f>VLOOKUP(A989,Folha2!$A$2:$B$2019,2,FALSE)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9" s="12" t="str">
        <f t="shared" si="31"/>
        <v>https://permalinkbnd.bnportugal.gov.pt/viewer/256552/?offset=#page=39&amp;viewer=picture&amp;o=info&amp;n=0&amp;q=</v>
      </c>
      <c r="N989" s="12" t="s">
        <v>1497</v>
      </c>
      <c r="O989" s="12" t="str">
        <f>CONCATENATE(N989,A989,"\",B989,"\",C989,".jpg")</f>
        <v>C:\Users\mbaptista\OneDrive - Biblioteca Nacional de Portugal\Documentos\python\camoniana\imagens\capas\9413\1\39.jpg</v>
      </c>
      <c r="P989" s="12" t="str">
        <f>HYPERLINK(O989)</f>
        <v>C:\Users\mbaptista\OneDrive - Biblioteca Nacional de Portugal\Documentos\python\camoniana\imagens\capas\9413\1\39.jpg</v>
      </c>
      <c r="Q989" s="12"/>
      <c r="R989" s="6" t="s">
        <v>1319</v>
      </c>
      <c r="S989" s="4"/>
      <c r="T989" s="1" t="s">
        <v>1313</v>
      </c>
      <c r="U989" s="13"/>
      <c r="V989" s="13"/>
      <c r="W989" s="5" t="s">
        <v>1491</v>
      </c>
    </row>
    <row r="990" spans="1:23" ht="90">
      <c r="A990" s="1">
        <v>9413</v>
      </c>
      <c r="B990" s="1">
        <v>1</v>
      </c>
      <c r="C990" s="1">
        <v>42</v>
      </c>
      <c r="D990" s="2" t="s">
        <v>1311</v>
      </c>
      <c r="E990" s="5" t="s">
        <v>1311</v>
      </c>
      <c r="F990" s="5">
        <v>256552</v>
      </c>
      <c r="G990" s="2" t="s">
        <v>1494</v>
      </c>
      <c r="H990" s="2" t="s">
        <v>1495</v>
      </c>
      <c r="I990" s="2" t="s">
        <v>1496</v>
      </c>
      <c r="J990" s="2" t="str">
        <f t="shared" si="30"/>
        <v>https://permalinkbnd.bnportugal.gov.pt/viewer/256552/?offset=#page=42&amp;viewer=picture&amp;o=info&amp;n=0&amp;q=</v>
      </c>
      <c r="K990" s="1" t="s">
        <v>1312</v>
      </c>
      <c r="L990" s="1" t="str">
        <f>VLOOKUP(A990,Folha2!$A$2:$B$2019,2,FALSE)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0" s="12" t="str">
        <f t="shared" si="31"/>
        <v>https://permalinkbnd.bnportugal.gov.pt/viewer/256552/?offset=#page=42&amp;viewer=picture&amp;o=info&amp;n=0&amp;q=</v>
      </c>
      <c r="N990" s="12" t="s">
        <v>1497</v>
      </c>
      <c r="O990" s="12" t="str">
        <f>CONCATENATE(N990,A990,"\",B990,"\",C990,".jpg")</f>
        <v>C:\Users\mbaptista\OneDrive - Biblioteca Nacional de Portugal\Documentos\python\camoniana\imagens\capas\9413\1\42.jpg</v>
      </c>
      <c r="P990" s="12" t="str">
        <f>HYPERLINK(O990)</f>
        <v>C:\Users\mbaptista\OneDrive - Biblioteca Nacional de Portugal\Documentos\python\camoniana\imagens\capas\9413\1\42.jpg</v>
      </c>
      <c r="Q990" s="12"/>
      <c r="R990" s="6" t="s">
        <v>1320</v>
      </c>
      <c r="S990" s="4"/>
      <c r="T990" s="1" t="s">
        <v>1313</v>
      </c>
      <c r="U990" s="13"/>
      <c r="V990" s="13"/>
      <c r="W990" s="5" t="s">
        <v>1491</v>
      </c>
    </row>
    <row r="991" spans="1:23" ht="90">
      <c r="A991" s="1">
        <v>9413</v>
      </c>
      <c r="B991" s="1">
        <v>1</v>
      </c>
      <c r="C991" s="1">
        <v>45</v>
      </c>
      <c r="D991" s="2" t="s">
        <v>1311</v>
      </c>
      <c r="E991" s="11" t="s">
        <v>1311</v>
      </c>
      <c r="F991" s="11">
        <v>256552</v>
      </c>
      <c r="G991" s="2" t="s">
        <v>1494</v>
      </c>
      <c r="H991" s="2" t="s">
        <v>1495</v>
      </c>
      <c r="I991" s="2" t="s">
        <v>1496</v>
      </c>
      <c r="J991" s="2" t="str">
        <f t="shared" si="30"/>
        <v>https://permalinkbnd.bnportugal.gov.pt/viewer/256552/?offset=#page=45&amp;viewer=picture&amp;o=info&amp;n=0&amp;q=</v>
      </c>
      <c r="K991" s="1" t="s">
        <v>1312</v>
      </c>
      <c r="L991" s="1" t="str">
        <f>VLOOKUP(A991,Folha2!$A$2:$B$2019,2,FALSE)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1" s="12" t="str">
        <f t="shared" si="31"/>
        <v>https://permalinkbnd.bnportugal.gov.pt/viewer/256552/?offset=#page=45&amp;viewer=picture&amp;o=info&amp;n=0&amp;q=</v>
      </c>
      <c r="N991" s="12" t="s">
        <v>1497</v>
      </c>
      <c r="O991" s="12" t="str">
        <f>CONCATENATE(N991,A991,"\",B991,"\",C991,".jpg")</f>
        <v>C:\Users\mbaptista\OneDrive - Biblioteca Nacional de Portugal\Documentos\python\camoniana\imagens\capas\9413\1\45.jpg</v>
      </c>
      <c r="P991" s="12" t="str">
        <f>HYPERLINK(O991)</f>
        <v>C:\Users\mbaptista\OneDrive - Biblioteca Nacional de Portugal\Documentos\python\camoniana\imagens\capas\9413\1\45.jpg</v>
      </c>
      <c r="Q991" s="12"/>
      <c r="R991" s="6" t="s">
        <v>1321</v>
      </c>
      <c r="S991" s="4"/>
      <c r="T991" s="1" t="s">
        <v>1313</v>
      </c>
      <c r="U991" s="13"/>
      <c r="V991" s="13"/>
      <c r="W991" s="5" t="s">
        <v>1491</v>
      </c>
    </row>
    <row r="992" spans="1:23" ht="90">
      <c r="A992" s="1">
        <v>9413</v>
      </c>
      <c r="B992" s="1">
        <v>1</v>
      </c>
      <c r="C992" s="1">
        <v>48</v>
      </c>
      <c r="D992" s="2" t="s">
        <v>1311</v>
      </c>
      <c r="E992" s="5" t="s">
        <v>1311</v>
      </c>
      <c r="F992" s="5">
        <v>256552</v>
      </c>
      <c r="G992" s="2" t="s">
        <v>1494</v>
      </c>
      <c r="H992" s="2" t="s">
        <v>1495</v>
      </c>
      <c r="I992" s="2" t="s">
        <v>1496</v>
      </c>
      <c r="J992" s="2" t="str">
        <f t="shared" si="30"/>
        <v>https://permalinkbnd.bnportugal.gov.pt/viewer/256552/?offset=#page=48&amp;viewer=picture&amp;o=info&amp;n=0&amp;q=</v>
      </c>
      <c r="K992" s="1" t="s">
        <v>1312</v>
      </c>
      <c r="L992" s="1" t="str">
        <f>VLOOKUP(A992,Folha2!$A$2:$B$2019,2,FALSE)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2" s="12" t="str">
        <f t="shared" si="31"/>
        <v>https://permalinkbnd.bnportugal.gov.pt/viewer/256552/?offset=#page=48&amp;viewer=picture&amp;o=info&amp;n=0&amp;q=</v>
      </c>
      <c r="N992" s="12" t="s">
        <v>1497</v>
      </c>
      <c r="O992" s="12" t="str">
        <f>CONCATENATE(N992,A992,"\",B992,"\",C992,".jpg")</f>
        <v>C:\Users\mbaptista\OneDrive - Biblioteca Nacional de Portugal\Documentos\python\camoniana\imagens\capas\9413\1\48.jpg</v>
      </c>
      <c r="P992" s="12" t="str">
        <f>HYPERLINK(O992)</f>
        <v>C:\Users\mbaptista\OneDrive - Biblioteca Nacional de Portugal\Documentos\python\camoniana\imagens\capas\9413\1\48.jpg</v>
      </c>
      <c r="Q992" s="12"/>
      <c r="R992" s="6" t="s">
        <v>1322</v>
      </c>
      <c r="S992" s="4"/>
      <c r="T992" s="1" t="s">
        <v>1313</v>
      </c>
      <c r="U992" s="13"/>
      <c r="V992" s="13"/>
      <c r="W992" s="5" t="s">
        <v>1491</v>
      </c>
    </row>
    <row r="993" spans="1:23" ht="90">
      <c r="A993" s="1">
        <v>9413</v>
      </c>
      <c r="B993" s="1">
        <v>1</v>
      </c>
      <c r="C993" s="1">
        <v>59</v>
      </c>
      <c r="D993" s="2" t="s">
        <v>1311</v>
      </c>
      <c r="E993" s="11" t="s">
        <v>1311</v>
      </c>
      <c r="F993" s="11">
        <v>256552</v>
      </c>
      <c r="G993" s="2" t="s">
        <v>1494</v>
      </c>
      <c r="H993" s="2" t="s">
        <v>1495</v>
      </c>
      <c r="I993" s="2" t="s">
        <v>1496</v>
      </c>
      <c r="J993" s="2" t="str">
        <f t="shared" si="30"/>
        <v>https://permalinkbnd.bnportugal.gov.pt/viewer/256552/?offset=#page=59&amp;viewer=picture&amp;o=info&amp;n=0&amp;q=</v>
      </c>
      <c r="K993" s="1" t="s">
        <v>1312</v>
      </c>
      <c r="L993" s="1" t="str">
        <f>VLOOKUP(A993,Folha2!$A$2:$B$2019,2,FALSE)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3" s="12" t="str">
        <f t="shared" si="31"/>
        <v>https://permalinkbnd.bnportugal.gov.pt/viewer/256552/?offset=#page=59&amp;viewer=picture&amp;o=info&amp;n=0&amp;q=</v>
      </c>
      <c r="N993" s="12" t="s">
        <v>1497</v>
      </c>
      <c r="O993" s="12" t="str">
        <f>CONCATENATE(N993,A993,"\",B993,"\",C993,".jpg")</f>
        <v>C:\Users\mbaptista\OneDrive - Biblioteca Nacional de Portugal\Documentos\python\camoniana\imagens\capas\9413\1\59.jpg</v>
      </c>
      <c r="P993" s="12" t="str">
        <f>HYPERLINK(O993)</f>
        <v>C:\Users\mbaptista\OneDrive - Biblioteca Nacional de Portugal\Documentos\python\camoniana\imagens\capas\9413\1\59.jpg</v>
      </c>
      <c r="Q993" s="12"/>
      <c r="R993" s="6" t="s">
        <v>1323</v>
      </c>
      <c r="S993" s="4"/>
      <c r="T993" s="1" t="s">
        <v>1313</v>
      </c>
      <c r="U993" s="13"/>
      <c r="V993" s="13"/>
      <c r="W993" s="5" t="s">
        <v>1491</v>
      </c>
    </row>
    <row r="994" spans="1:23" ht="90">
      <c r="A994" s="1">
        <v>9413</v>
      </c>
      <c r="B994" s="1">
        <v>1</v>
      </c>
      <c r="C994" s="1">
        <v>66</v>
      </c>
      <c r="D994" s="2" t="s">
        <v>1311</v>
      </c>
      <c r="E994" s="5" t="s">
        <v>1311</v>
      </c>
      <c r="F994" s="5">
        <v>256552</v>
      </c>
      <c r="G994" s="2" t="s">
        <v>1494</v>
      </c>
      <c r="H994" s="2" t="s">
        <v>1495</v>
      </c>
      <c r="I994" s="2" t="s">
        <v>1496</v>
      </c>
      <c r="J994" s="2" t="str">
        <f t="shared" si="30"/>
        <v>https://permalinkbnd.bnportugal.gov.pt/viewer/256552/?offset=#page=66&amp;viewer=picture&amp;o=info&amp;n=0&amp;q=</v>
      </c>
      <c r="K994" s="1" t="s">
        <v>1312</v>
      </c>
      <c r="L994" s="1" t="str">
        <f>VLOOKUP(A994,Folha2!$A$2:$B$2019,2,FALSE)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4" s="12" t="str">
        <f t="shared" si="31"/>
        <v>https://permalinkbnd.bnportugal.gov.pt/viewer/256552/?offset=#page=66&amp;viewer=picture&amp;o=info&amp;n=0&amp;q=</v>
      </c>
      <c r="N994" s="12" t="s">
        <v>1497</v>
      </c>
      <c r="O994" s="12" t="str">
        <f>CONCATENATE(N994,A994,"\",B994,"\",C994,".jpg")</f>
        <v>C:\Users\mbaptista\OneDrive - Biblioteca Nacional de Portugal\Documentos\python\camoniana\imagens\capas\9413\1\66.jpg</v>
      </c>
      <c r="P994" s="12" t="str">
        <f>HYPERLINK(O994)</f>
        <v>C:\Users\mbaptista\OneDrive - Biblioteca Nacional de Portugal\Documentos\python\camoniana\imagens\capas\9413\1\66.jpg</v>
      </c>
      <c r="Q994" s="12"/>
      <c r="R994" s="6" t="s">
        <v>1324</v>
      </c>
      <c r="S994" s="4"/>
      <c r="T994" s="1" t="s">
        <v>1313</v>
      </c>
      <c r="U994" s="13"/>
      <c r="V994" s="13"/>
      <c r="W994" s="5" t="s">
        <v>1491</v>
      </c>
    </row>
    <row r="995" spans="1:23" ht="75">
      <c r="A995" s="1">
        <v>51530</v>
      </c>
      <c r="B995" s="1">
        <v>1</v>
      </c>
      <c r="C995" s="1">
        <v>9</v>
      </c>
      <c r="D995" s="2" t="s">
        <v>1325</v>
      </c>
      <c r="E995" s="11" t="s">
        <v>1325</v>
      </c>
      <c r="F995" s="11">
        <v>14657</v>
      </c>
      <c r="G995" s="2" t="s">
        <v>1494</v>
      </c>
      <c r="H995" s="2" t="s">
        <v>1495</v>
      </c>
      <c r="I995" s="2" t="s">
        <v>1496</v>
      </c>
      <c r="J995" s="2" t="str">
        <f t="shared" si="30"/>
        <v>https://permalinkbnd.bnportugal.gov.pt/viewer/14657/?offset=#page=9&amp;viewer=picture&amp;o=info&amp;n=0&amp;q=</v>
      </c>
      <c r="K995" s="1" t="s">
        <v>309</v>
      </c>
      <c r="L995" s="1" t="str">
        <f>VLOOKUP(A995,Folha2!$A$2:$B$2019,2,FALSE)</f>
        <v>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v>
      </c>
      <c r="M995" s="12" t="str">
        <f t="shared" si="31"/>
        <v>https://permalinkbnd.bnportugal.gov.pt/viewer/14657/?offset=#page=9&amp;viewer=picture&amp;o=info&amp;n=0&amp;q=</v>
      </c>
      <c r="N995" s="12" t="s">
        <v>1497</v>
      </c>
      <c r="O995" s="12" t="str">
        <f>CONCATENATE(N995,A995,"\",B995,"\",C995,".jpg")</f>
        <v>C:\Users\mbaptista\OneDrive - Biblioteca Nacional de Portugal\Documentos\python\camoniana\imagens\capas\51530\1\9.jpg</v>
      </c>
      <c r="P995" s="12" t="str">
        <f>HYPERLINK(O995)</f>
        <v>C:\Users\mbaptista\OneDrive - Biblioteca Nacional de Portugal\Documentos\python\camoniana\imagens\capas\51530\1\9.jpg</v>
      </c>
      <c r="Q995" s="12"/>
      <c r="R995" s="6" t="s">
        <v>1326</v>
      </c>
      <c r="S995" s="4"/>
      <c r="T995" s="1"/>
      <c r="U995" s="13"/>
      <c r="V995" s="13"/>
      <c r="W995" s="5" t="s">
        <v>1491</v>
      </c>
    </row>
    <row r="996" spans="1:23" ht="75">
      <c r="A996" s="1">
        <v>289933</v>
      </c>
      <c r="B996" s="1">
        <v>1</v>
      </c>
      <c r="C996" s="1">
        <v>2</v>
      </c>
      <c r="D996" s="2" t="s">
        <v>1327</v>
      </c>
      <c r="E996" s="5" t="s">
        <v>1327</v>
      </c>
      <c r="F996" s="5">
        <v>3</v>
      </c>
      <c r="G996" s="2" t="s">
        <v>1494</v>
      </c>
      <c r="H996" s="2" t="s">
        <v>1495</v>
      </c>
      <c r="I996" s="2" t="s">
        <v>1496</v>
      </c>
      <c r="J996" s="2" t="str">
        <f t="shared" si="30"/>
        <v>https://permalinkbnd.bnportugal.gov.pt/viewer/3/?offset=#page=2&amp;viewer=picture&amp;o=info&amp;n=0&amp;q=</v>
      </c>
      <c r="K996" s="1" t="s">
        <v>1328</v>
      </c>
      <c r="L996" s="1" t="str">
        <f>VLOOKUP(A996,Folha2!$A$2:$B$2019,2,FALSE)</f>
        <v>3 retratos de Camões. - [Lisboa] : Edições Panorama, 1972 (Porto : Lito Of. Artistas Reunidos), com poema de Afonso Lopes Vieira, intitulado "O retrato de Goa". Consultada cópia interna.</v>
      </c>
      <c r="M996" s="12" t="str">
        <f t="shared" si="31"/>
        <v>https://permalinkbnd.bnportugal.gov.pt/viewer/3/?offset=#page=2&amp;viewer=picture&amp;o=info&amp;n=0&amp;q=</v>
      </c>
      <c r="N996" s="12" t="s">
        <v>1497</v>
      </c>
      <c r="O996" s="12" t="str">
        <f>CONCATENATE(N996,A996,"\",B996,"\",C996,".jpg")</f>
        <v>C:\Users\mbaptista\OneDrive - Biblioteca Nacional de Portugal\Documentos\python\camoniana\imagens\capas\289933\1\2.jpg</v>
      </c>
      <c r="P996" s="12" t="str">
        <f>HYPERLINK(O996)</f>
        <v>C:\Users\mbaptista\OneDrive - Biblioteca Nacional de Portugal\Documentos\python\camoniana\imagens\capas\289933\1\2.jpg</v>
      </c>
      <c r="Q996" s="12"/>
      <c r="R996" s="6" t="s">
        <v>1330</v>
      </c>
      <c r="S996" s="4"/>
      <c r="T996" s="1" t="s">
        <v>1329</v>
      </c>
      <c r="U996" s="13"/>
      <c r="V996" s="13"/>
      <c r="W996" s="5" t="s">
        <v>1491</v>
      </c>
    </row>
    <row r="997" spans="1:23" ht="75">
      <c r="A997" s="1">
        <v>289933</v>
      </c>
      <c r="B997" s="1">
        <v>1</v>
      </c>
      <c r="C997" s="1">
        <v>3</v>
      </c>
      <c r="D997" s="2" t="s">
        <v>1327</v>
      </c>
      <c r="E997" s="11" t="s">
        <v>1327</v>
      </c>
      <c r="F997" s="11">
        <v>3</v>
      </c>
      <c r="G997" s="2" t="s">
        <v>1494</v>
      </c>
      <c r="H997" s="2" t="s">
        <v>1495</v>
      </c>
      <c r="I997" s="2" t="s">
        <v>1496</v>
      </c>
      <c r="J997" s="2" t="str">
        <f t="shared" si="30"/>
        <v>https://permalinkbnd.bnportugal.gov.pt/viewer/3/?offset=#page=3&amp;viewer=picture&amp;o=info&amp;n=0&amp;q=</v>
      </c>
      <c r="K997" s="1" t="s">
        <v>1328</v>
      </c>
      <c r="L997" s="1" t="str">
        <f>VLOOKUP(A997,Folha2!$A$2:$B$2019,2,FALSE)</f>
        <v>3 retratos de Camões. - [Lisboa] : Edições Panorama, 1972 (Porto : Lito Of. Artistas Reunidos), com poema de Afonso Lopes Vieira, intitulado "O retrato de Goa". Consultada cópia interna.</v>
      </c>
      <c r="M997" s="12" t="str">
        <f t="shared" si="31"/>
        <v>https://permalinkbnd.bnportugal.gov.pt/viewer/3/?offset=#page=3&amp;viewer=picture&amp;o=info&amp;n=0&amp;q=</v>
      </c>
      <c r="N997" s="12" t="s">
        <v>1497</v>
      </c>
      <c r="O997" s="12" t="str">
        <f>CONCATENATE(N997,A997,"\",B997,"\",C997,".jpg")</f>
        <v>C:\Users\mbaptista\OneDrive - Biblioteca Nacional de Portugal\Documentos\python\camoniana\imagens\capas\289933\1\3.jpg</v>
      </c>
      <c r="P997" s="12" t="str">
        <f>HYPERLINK(O997)</f>
        <v>C:\Users\mbaptista\OneDrive - Biblioteca Nacional de Portugal\Documentos\python\camoniana\imagens\capas\289933\1\3.jpg</v>
      </c>
      <c r="Q997" s="12"/>
      <c r="R997" s="6" t="s">
        <v>1331</v>
      </c>
      <c r="S997" s="4"/>
      <c r="T997" s="1" t="s">
        <v>1329</v>
      </c>
      <c r="U997" s="13"/>
      <c r="V997" s="13"/>
      <c r="W997" s="5" t="s">
        <v>1491</v>
      </c>
    </row>
    <row r="998" spans="1:23" ht="75">
      <c r="A998" s="1">
        <v>289933</v>
      </c>
      <c r="B998" s="1">
        <v>1</v>
      </c>
      <c r="C998" s="1">
        <v>4</v>
      </c>
      <c r="D998" s="2" t="s">
        <v>1327</v>
      </c>
      <c r="E998" s="5" t="s">
        <v>1327</v>
      </c>
      <c r="F998" s="5">
        <v>3</v>
      </c>
      <c r="G998" s="2" t="s">
        <v>1494</v>
      </c>
      <c r="H998" s="2" t="s">
        <v>1495</v>
      </c>
      <c r="I998" s="2" t="s">
        <v>1496</v>
      </c>
      <c r="J998" s="2" t="str">
        <f t="shared" si="30"/>
        <v>https://permalinkbnd.bnportugal.gov.pt/viewer/3/?offset=#page=4&amp;viewer=picture&amp;o=info&amp;n=0&amp;q=</v>
      </c>
      <c r="K998" s="1" t="s">
        <v>1328</v>
      </c>
      <c r="L998" s="1" t="str">
        <f>VLOOKUP(A998,Folha2!$A$2:$B$2019,2,FALSE)</f>
        <v>3 retratos de Camões. - [Lisboa] : Edições Panorama, 1972 (Porto : Lito Of. Artistas Reunidos), com poema de Afonso Lopes Vieira, intitulado "O retrato de Goa". Consultada cópia interna.</v>
      </c>
      <c r="M998" s="12" t="str">
        <f t="shared" si="31"/>
        <v>https://permalinkbnd.bnportugal.gov.pt/viewer/3/?offset=#page=4&amp;viewer=picture&amp;o=info&amp;n=0&amp;q=</v>
      </c>
      <c r="N998" s="12" t="s">
        <v>1497</v>
      </c>
      <c r="O998" s="12" t="str">
        <f>CONCATENATE(N998,A998,"\",B998,"\",C998,".jpg")</f>
        <v>C:\Users\mbaptista\OneDrive - Biblioteca Nacional de Portugal\Documentos\python\camoniana\imagens\capas\289933\1\4.jpg</v>
      </c>
      <c r="P998" s="12" t="str">
        <f>HYPERLINK(O998)</f>
        <v>C:\Users\mbaptista\OneDrive - Biblioteca Nacional de Portugal\Documentos\python\camoniana\imagens\capas\289933\1\4.jpg</v>
      </c>
      <c r="Q998" s="12"/>
      <c r="R998" s="6" t="s">
        <v>1332</v>
      </c>
      <c r="S998" s="4"/>
      <c r="T998" s="1" t="s">
        <v>1329</v>
      </c>
      <c r="U998" s="13"/>
      <c r="V998" s="13"/>
      <c r="W998" s="5" t="s">
        <v>1491</v>
      </c>
    </row>
    <row r="999" spans="1:23" ht="75">
      <c r="A999" s="1">
        <v>321765</v>
      </c>
      <c r="B999" s="1">
        <v>1</v>
      </c>
      <c r="C999" s="1">
        <v>1</v>
      </c>
      <c r="D999" s="2" t="s">
        <v>1333</v>
      </c>
      <c r="E999" s="11" t="s">
        <v>1333</v>
      </c>
      <c r="F999" s="11">
        <v>85826</v>
      </c>
      <c r="G999" s="2" t="s">
        <v>1494</v>
      </c>
      <c r="H999" s="2" t="s">
        <v>1495</v>
      </c>
      <c r="I999" s="2" t="s">
        <v>1496</v>
      </c>
      <c r="J999" s="2" t="str">
        <f t="shared" si="30"/>
        <v>https://permalinkbnd.bnportugal.gov.pt/viewer/85826/?offset=#page=1&amp;viewer=picture&amp;o=info&amp;n=0&amp;q=</v>
      </c>
      <c r="K999" s="1" t="s">
        <v>1041</v>
      </c>
      <c r="L999" s="1" t="str">
        <f>VLOOKUP(A999,Folha2!$A$2:$B$2019,2,FALSE)</f>
        <v>Conceitos e maximas do poema de Luiz de Camões "Os Lusíadas" / [compil. por B. Barreto]. - Lisboa : Henrique Zeferino, 1888. Recolha Epigráfica.</v>
      </c>
      <c r="M999" s="12" t="str">
        <f t="shared" si="31"/>
        <v>https://permalinkbnd.bnportugal.gov.pt/viewer/85826/?offset=#page=1&amp;viewer=picture&amp;o=info&amp;n=0&amp;q=</v>
      </c>
      <c r="N999" s="12" t="s">
        <v>1497</v>
      </c>
      <c r="O999" s="12" t="str">
        <f>CONCATENATE(N999,A999,"\",B999,"\",C999,".jpg")</f>
        <v>C:\Users\mbaptista\OneDrive - Biblioteca Nacional de Portugal\Documentos\python\camoniana\imagens\capas\321765\1\1.jpg</v>
      </c>
      <c r="P999" s="12" t="str">
        <f>HYPERLINK(O999)</f>
        <v>C:\Users\mbaptista\OneDrive - Biblioteca Nacional de Portugal\Documentos\python\camoniana\imagens\capas\321765\1\1.jpg</v>
      </c>
      <c r="Q999" s="12"/>
      <c r="R999" s="6" t="s">
        <v>1334</v>
      </c>
      <c r="S999" s="4"/>
      <c r="T999" s="1">
        <v>1</v>
      </c>
      <c r="U999" s="13"/>
      <c r="V999" s="13"/>
      <c r="W999" s="5" t="s">
        <v>1491</v>
      </c>
    </row>
    <row r="1000" spans="1:23" ht="75">
      <c r="A1000" s="1">
        <v>330274</v>
      </c>
      <c r="B1000" s="1">
        <v>1</v>
      </c>
      <c r="C1000" s="1">
        <v>10</v>
      </c>
      <c r="D1000" s="2" t="s">
        <v>1335</v>
      </c>
      <c r="E1000" s="5" t="s">
        <v>1335</v>
      </c>
      <c r="F1000" s="5">
        <v>14597</v>
      </c>
      <c r="G1000" s="2" t="s">
        <v>1494</v>
      </c>
      <c r="H1000" s="2" t="s">
        <v>1495</v>
      </c>
      <c r="I1000" s="2" t="s">
        <v>1496</v>
      </c>
      <c r="J1000" s="2" t="str">
        <f t="shared" si="30"/>
        <v>https://permalinkbnd.bnportugal.gov.pt/viewer/14597/?offset=#page=10&amp;viewer=picture&amp;o=info&amp;n=0&amp;q=</v>
      </c>
      <c r="K1000" s="1" t="s">
        <v>333</v>
      </c>
      <c r="L1000" s="1" t="str">
        <f>VLOOKUP(A1000,Folha2!$A$2:$B$2019,2,FALSE)</f>
        <v>Le Portugal de Camões : suivi d'une traduction française des stances contenues dans l'ouvrage / par A. A. Daux.... - Paris : [s. n.], 1890</v>
      </c>
      <c r="M1000" s="12" t="str">
        <f t="shared" si="31"/>
        <v>https://permalinkbnd.bnportugal.gov.pt/viewer/14597/?offset=#page=10&amp;viewer=picture&amp;o=info&amp;n=0&amp;q=</v>
      </c>
      <c r="N1000" s="12" t="s">
        <v>1497</v>
      </c>
      <c r="O1000" s="12" t="str">
        <f>CONCATENATE(N1000,A1000,"\",B1000,"\",C1000,".jpg")</f>
        <v>C:\Users\mbaptista\OneDrive - Biblioteca Nacional de Portugal\Documentos\python\camoniana\imagens\capas\330274\1\10.jpg</v>
      </c>
      <c r="P1000" s="12" t="str">
        <f>HYPERLINK(O1000)</f>
        <v>C:\Users\mbaptista\OneDrive - Biblioteca Nacional de Portugal\Documentos\python\camoniana\imagens\capas\330274\1\10.jpg</v>
      </c>
      <c r="Q1000" s="12"/>
      <c r="R1000" s="6" t="s">
        <v>1336</v>
      </c>
      <c r="S1000" s="4"/>
      <c r="T1000" s="1">
        <v>10</v>
      </c>
      <c r="U1000" s="13"/>
      <c r="V1000" s="13"/>
      <c r="W1000" s="5" t="s">
        <v>1491</v>
      </c>
    </row>
    <row r="1001" spans="1:23" ht="75">
      <c r="A1001" s="1">
        <v>347365</v>
      </c>
      <c r="B1001" s="1">
        <v>1</v>
      </c>
      <c r="C1001" s="1">
        <v>75</v>
      </c>
      <c r="D1001" s="2" t="s">
        <v>1337</v>
      </c>
      <c r="E1001" s="11" t="s">
        <v>1337</v>
      </c>
      <c r="F1001" s="11">
        <v>255741</v>
      </c>
      <c r="G1001" s="2" t="s">
        <v>1494</v>
      </c>
      <c r="H1001" s="2" t="s">
        <v>1495</v>
      </c>
      <c r="I1001" s="2" t="s">
        <v>1496</v>
      </c>
      <c r="J1001" s="2" t="str">
        <f t="shared" si="30"/>
        <v>https://permalinkbnd.bnportugal.gov.pt/viewer/255741/?offset=#page=75&amp;viewer=picture&amp;o=info&amp;n=0&amp;q=</v>
      </c>
      <c r="K1001" s="1" t="s">
        <v>1338</v>
      </c>
      <c r="L1001" s="1" t="str">
        <f>VLOOKUP(A1001,Folha2!$A$2:$B$2019,2,FALSE)</f>
        <v>A família flaviense de Camões / José Guilherme Calväo Borges. - Lisboa : Real Assoc. dos Arquitectos Civis e Arqueol. Portugueses, 1974, com notas e anexos. Separata de Arqueologia e História, Vol. V. Consultada cópia interna.</v>
      </c>
      <c r="M1001" s="12" t="str">
        <f t="shared" si="31"/>
        <v>https://permalinkbnd.bnportugal.gov.pt/viewer/255741/?offset=#page=75&amp;viewer=picture&amp;o=info&amp;n=0&amp;q=</v>
      </c>
      <c r="N1001" s="12" t="s">
        <v>1497</v>
      </c>
      <c r="O1001" s="12" t="str">
        <f>CONCATENATE(N1001,A1001,"\",B1001,"\",C1001,".jpg")</f>
        <v>C:\Users\mbaptista\OneDrive - Biblioteca Nacional de Portugal\Documentos\python\camoniana\imagens\capas\347365\1\75.jpg</v>
      </c>
      <c r="P1001" s="12" t="str">
        <f>HYPERLINK(O1001)</f>
        <v>C:\Users\mbaptista\OneDrive - Biblioteca Nacional de Portugal\Documentos\python\camoniana\imagens\capas\347365\1\75.jpg</v>
      </c>
      <c r="Q1001" s="12"/>
      <c r="R1001" s="6" t="s">
        <v>1340</v>
      </c>
      <c r="S1001" s="4"/>
      <c r="T1001" s="1" t="s">
        <v>1339</v>
      </c>
      <c r="U1001" s="13"/>
      <c r="V1001" s="13"/>
      <c r="W1001" s="5" t="s">
        <v>1491</v>
      </c>
    </row>
    <row r="1002" spans="1:23" ht="75">
      <c r="A1002" s="1">
        <v>347365</v>
      </c>
      <c r="B1002" s="1">
        <v>1</v>
      </c>
      <c r="C1002" s="1">
        <v>76</v>
      </c>
      <c r="D1002" s="2" t="s">
        <v>1337</v>
      </c>
      <c r="E1002" s="5" t="s">
        <v>1337</v>
      </c>
      <c r="F1002" s="5">
        <v>255741</v>
      </c>
      <c r="G1002" s="2" t="s">
        <v>1494</v>
      </c>
      <c r="H1002" s="2" t="s">
        <v>1495</v>
      </c>
      <c r="I1002" s="2" t="s">
        <v>1496</v>
      </c>
      <c r="J1002" s="2" t="str">
        <f t="shared" si="30"/>
        <v>https://permalinkbnd.bnportugal.gov.pt/viewer/255741/?offset=#page=76&amp;viewer=picture&amp;o=info&amp;n=0&amp;q=</v>
      </c>
      <c r="K1002" s="1" t="s">
        <v>1338</v>
      </c>
      <c r="L1002" s="1" t="str">
        <f>VLOOKUP(A1002,Folha2!$A$2:$B$2019,2,FALSE)</f>
        <v>A família flaviense de Camões / José Guilherme Calväo Borges. - Lisboa : Real Assoc. dos Arquitectos Civis e Arqueol. Portugueses, 1974, com notas e anexos. Separata de Arqueologia e História, Vol. V. Consultada cópia interna.</v>
      </c>
      <c r="M1002" s="12" t="str">
        <f t="shared" si="31"/>
        <v>https://permalinkbnd.bnportugal.gov.pt/viewer/255741/?offset=#page=76&amp;viewer=picture&amp;o=info&amp;n=0&amp;q=</v>
      </c>
      <c r="N1002" s="12" t="s">
        <v>1497</v>
      </c>
      <c r="O1002" s="12" t="str">
        <f>CONCATENATE(N1002,A1002,"\",B1002,"\",C1002,".jpg")</f>
        <v>C:\Users\mbaptista\OneDrive - Biblioteca Nacional de Portugal\Documentos\python\camoniana\imagens\capas\347365\1\76.jpg</v>
      </c>
      <c r="P1002" s="12" t="str">
        <f>HYPERLINK(O1002)</f>
        <v>C:\Users\mbaptista\OneDrive - Biblioteca Nacional de Portugal\Documentos\python\camoniana\imagens\capas\347365\1\76.jpg</v>
      </c>
      <c r="Q1002" s="12"/>
      <c r="R1002" s="6" t="s">
        <v>1341</v>
      </c>
      <c r="S1002" s="4"/>
      <c r="T1002" s="1" t="s">
        <v>1339</v>
      </c>
      <c r="U1002" s="13"/>
      <c r="V1002" s="13"/>
      <c r="W1002" s="5" t="s">
        <v>1491</v>
      </c>
    </row>
    <row r="1003" spans="1:23" ht="75">
      <c r="A1003" s="1">
        <v>347365</v>
      </c>
      <c r="B1003" s="1">
        <v>1</v>
      </c>
      <c r="C1003" s="1">
        <v>77</v>
      </c>
      <c r="D1003" s="2" t="s">
        <v>1337</v>
      </c>
      <c r="E1003" s="11" t="s">
        <v>1337</v>
      </c>
      <c r="F1003" s="11">
        <v>255741</v>
      </c>
      <c r="G1003" s="2" t="s">
        <v>1494</v>
      </c>
      <c r="H1003" s="2" t="s">
        <v>1495</v>
      </c>
      <c r="I1003" s="2" t="s">
        <v>1496</v>
      </c>
      <c r="J1003" s="2" t="str">
        <f t="shared" si="30"/>
        <v>https://permalinkbnd.bnportugal.gov.pt/viewer/255741/?offset=#page=77&amp;viewer=picture&amp;o=info&amp;n=0&amp;q=</v>
      </c>
      <c r="K1003" s="1" t="s">
        <v>1338</v>
      </c>
      <c r="L1003" s="1" t="str">
        <f>VLOOKUP(A1003,Folha2!$A$2:$B$2019,2,FALSE)</f>
        <v>A família flaviense de Camões / José Guilherme Calväo Borges. - Lisboa : Real Assoc. dos Arquitectos Civis e Arqueol. Portugueses, 1974, com notas e anexos. Separata de Arqueologia e História, Vol. V. Consultada cópia interna.</v>
      </c>
      <c r="M1003" s="12" t="str">
        <f t="shared" si="31"/>
        <v>https://permalinkbnd.bnportugal.gov.pt/viewer/255741/?offset=#page=77&amp;viewer=picture&amp;o=info&amp;n=0&amp;q=</v>
      </c>
      <c r="N1003" s="12" t="s">
        <v>1497</v>
      </c>
      <c r="O1003" s="12" t="str">
        <f>CONCATENATE(N1003,A1003,"\",B1003,"\",C1003,".jpg")</f>
        <v>C:\Users\mbaptista\OneDrive - Biblioteca Nacional de Portugal\Documentos\python\camoniana\imagens\capas\347365\1\77.jpg</v>
      </c>
      <c r="P1003" s="12" t="str">
        <f>HYPERLINK(O1003)</f>
        <v>C:\Users\mbaptista\OneDrive - Biblioteca Nacional de Portugal\Documentos\python\camoniana\imagens\capas\347365\1\77.jpg</v>
      </c>
      <c r="Q1003" s="12"/>
      <c r="R1003" s="6" t="s">
        <v>1342</v>
      </c>
      <c r="S1003" s="4"/>
      <c r="T1003" s="1" t="s">
        <v>1339</v>
      </c>
      <c r="U1003" s="13"/>
      <c r="V1003" s="13"/>
      <c r="W1003" s="5" t="s">
        <v>1491</v>
      </c>
    </row>
    <row r="1004" spans="1:23" ht="75">
      <c r="A1004" s="1">
        <v>347365</v>
      </c>
      <c r="B1004" s="1">
        <v>1</v>
      </c>
      <c r="C1004" s="1">
        <v>78</v>
      </c>
      <c r="D1004" s="2" t="s">
        <v>1337</v>
      </c>
      <c r="E1004" s="5" t="s">
        <v>1337</v>
      </c>
      <c r="F1004" s="5">
        <v>255741</v>
      </c>
      <c r="G1004" s="2" t="s">
        <v>1494</v>
      </c>
      <c r="H1004" s="2" t="s">
        <v>1495</v>
      </c>
      <c r="I1004" s="2" t="s">
        <v>1496</v>
      </c>
      <c r="J1004" s="2" t="str">
        <f t="shared" si="30"/>
        <v>https://permalinkbnd.bnportugal.gov.pt/viewer/255741/?offset=#page=78&amp;viewer=picture&amp;o=info&amp;n=0&amp;q=</v>
      </c>
      <c r="K1004" s="1" t="s">
        <v>1338</v>
      </c>
      <c r="L1004" s="1" t="str">
        <f>VLOOKUP(A1004,Folha2!$A$2:$B$2019,2,FALSE)</f>
        <v>A família flaviense de Camões / José Guilherme Calväo Borges. - Lisboa : Real Assoc. dos Arquitectos Civis e Arqueol. Portugueses, 1974, com notas e anexos. Separata de Arqueologia e História, Vol. V. Consultada cópia interna.</v>
      </c>
      <c r="M1004" s="12" t="str">
        <f t="shared" si="31"/>
        <v>https://permalinkbnd.bnportugal.gov.pt/viewer/255741/?offset=#page=78&amp;viewer=picture&amp;o=info&amp;n=0&amp;q=</v>
      </c>
      <c r="N1004" s="12" t="s">
        <v>1497</v>
      </c>
      <c r="O1004" s="12" t="str">
        <f>CONCATENATE(N1004,A1004,"\",B1004,"\",C1004,".jpg")</f>
        <v>C:\Users\mbaptista\OneDrive - Biblioteca Nacional de Portugal\Documentos\python\camoniana\imagens\capas\347365\1\78.jpg</v>
      </c>
      <c r="P1004" s="12" t="str">
        <f>HYPERLINK(O1004)</f>
        <v>C:\Users\mbaptista\OneDrive - Biblioteca Nacional de Portugal\Documentos\python\camoniana\imagens\capas\347365\1\78.jpg</v>
      </c>
      <c r="Q1004" s="12"/>
      <c r="R1004" s="6" t="s">
        <v>1343</v>
      </c>
      <c r="S1004" s="4"/>
      <c r="T1004" s="1" t="s">
        <v>1339</v>
      </c>
      <c r="U1004" s="13"/>
      <c r="V1004" s="13"/>
      <c r="W1004" s="5" t="s">
        <v>1491</v>
      </c>
    </row>
    <row r="1005" spans="1:23" ht="90">
      <c r="A1005" s="1">
        <v>354066</v>
      </c>
      <c r="B1005" s="1">
        <v>1</v>
      </c>
      <c r="C1005" s="1">
        <v>133</v>
      </c>
      <c r="D1005" s="2" t="s">
        <v>1344</v>
      </c>
      <c r="E1005" s="11" t="s">
        <v>1344</v>
      </c>
      <c r="F1005" s="11">
        <v>14651</v>
      </c>
      <c r="G1005" s="2" t="s">
        <v>1494</v>
      </c>
      <c r="H1005" s="2" t="s">
        <v>1495</v>
      </c>
      <c r="I1005" s="2" t="s">
        <v>1496</v>
      </c>
      <c r="J1005" s="2" t="str">
        <f t="shared" si="30"/>
        <v>https://permalinkbnd.bnportugal.gov.pt/viewer/14651/?offset=#page=133&amp;viewer=picture&amp;o=info&amp;n=0&amp;q=</v>
      </c>
      <c r="K1005" s="1" t="s">
        <v>1345</v>
      </c>
      <c r="L1005" s="1" t="str">
        <f>VLOOKUP(A1005,Folha2!$A$2:$B$2019,2,FALSE)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5" s="12" t="str">
        <f t="shared" si="31"/>
        <v>https://permalinkbnd.bnportugal.gov.pt/viewer/14651/?offset=#page=133&amp;viewer=picture&amp;o=info&amp;n=0&amp;q=</v>
      </c>
      <c r="N1005" s="12" t="s">
        <v>1497</v>
      </c>
      <c r="O1005" s="12" t="str">
        <f>CONCATENATE(N1005,A1005,"\",B1005,"\",C1005,".jpg")</f>
        <v>C:\Users\mbaptista\OneDrive - Biblioteca Nacional de Portugal\Documentos\python\camoniana\imagens\capas\354066\1\133.jpg</v>
      </c>
      <c r="P1005" s="12" t="str">
        <f>HYPERLINK(O1005)</f>
        <v>C:\Users\mbaptista\OneDrive - Biblioteca Nacional de Portugal\Documentos\python\camoniana\imagens\capas\354066\1\133.jpg</v>
      </c>
      <c r="Q1005" s="12"/>
      <c r="R1005" s="6" t="s">
        <v>1346</v>
      </c>
      <c r="S1005" s="4"/>
      <c r="T1005" s="1"/>
      <c r="U1005" s="13"/>
      <c r="V1005" s="13"/>
      <c r="W1005" s="5" t="s">
        <v>1491</v>
      </c>
    </row>
    <row r="1006" spans="1:23" ht="90">
      <c r="A1006" s="1">
        <v>354066</v>
      </c>
      <c r="B1006" s="1">
        <v>1</v>
      </c>
      <c r="C1006" s="1">
        <v>257</v>
      </c>
      <c r="D1006" s="2" t="s">
        <v>1344</v>
      </c>
      <c r="E1006" s="5" t="s">
        <v>1344</v>
      </c>
      <c r="F1006" s="5">
        <v>14651</v>
      </c>
      <c r="G1006" s="2" t="s">
        <v>1494</v>
      </c>
      <c r="H1006" s="2" t="s">
        <v>1495</v>
      </c>
      <c r="I1006" s="2" t="s">
        <v>1496</v>
      </c>
      <c r="J1006" s="2" t="str">
        <f t="shared" si="30"/>
        <v>https://permalinkbnd.bnportugal.gov.pt/viewer/14651/?offset=#page=257&amp;viewer=picture&amp;o=info&amp;n=0&amp;q=</v>
      </c>
      <c r="K1006" s="1" t="s">
        <v>1345</v>
      </c>
      <c r="L1006" s="1" t="str">
        <f>VLOOKUP(A1006,Folha2!$A$2:$B$2019,2,FALSE)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6" s="12" t="str">
        <f t="shared" si="31"/>
        <v>https://permalinkbnd.bnportugal.gov.pt/viewer/14651/?offset=#page=257&amp;viewer=picture&amp;o=info&amp;n=0&amp;q=</v>
      </c>
      <c r="N1006" s="12" t="s">
        <v>1497</v>
      </c>
      <c r="O1006" s="12" t="str">
        <f>CONCATENATE(N1006,A1006,"\",B1006,"\",C1006,".jpg")</f>
        <v>C:\Users\mbaptista\OneDrive - Biblioteca Nacional de Portugal\Documentos\python\camoniana\imagens\capas\354066\1\257.jpg</v>
      </c>
      <c r="P1006" s="12" t="str">
        <f>HYPERLINK(O1006)</f>
        <v>C:\Users\mbaptista\OneDrive - Biblioteca Nacional de Portugal\Documentos\python\camoniana\imagens\capas\354066\1\257.jpg</v>
      </c>
      <c r="Q1006" s="12"/>
      <c r="R1006" s="6" t="s">
        <v>1347</v>
      </c>
      <c r="S1006" s="4"/>
      <c r="T1006" s="1"/>
      <c r="U1006" s="13"/>
      <c r="V1006" s="13"/>
      <c r="W1006" s="5" t="s">
        <v>1491</v>
      </c>
    </row>
    <row r="1007" spans="1:23" ht="105">
      <c r="A1007" s="1">
        <v>354069</v>
      </c>
      <c r="B1007" s="1">
        <v>1</v>
      </c>
      <c r="C1007" s="1">
        <v>136</v>
      </c>
      <c r="D1007" s="2" t="s">
        <v>1348</v>
      </c>
      <c r="E1007" s="11" t="s">
        <v>1348</v>
      </c>
      <c r="F1007" s="11">
        <v>14666</v>
      </c>
      <c r="G1007" s="2" t="s">
        <v>1494</v>
      </c>
      <c r="H1007" s="2" t="s">
        <v>1495</v>
      </c>
      <c r="I1007" s="2" t="s">
        <v>1496</v>
      </c>
      <c r="J1007" s="2" t="str">
        <f t="shared" si="30"/>
        <v>https://permalinkbnd.bnportugal.gov.pt/viewer/14666/?offset=#page=136&amp;viewer=picture&amp;o=info&amp;n=0&amp;q=</v>
      </c>
      <c r="K1007" s="1" t="s">
        <v>1349</v>
      </c>
      <c r="L1007" s="1" t="str">
        <f>VLOOKUP(A1007,Folha2!$A$2:$B$2019,2,FALSE)</f>
        <v>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v>
      </c>
      <c r="M1007" s="12" t="str">
        <f t="shared" si="31"/>
        <v>https://permalinkbnd.bnportugal.gov.pt/viewer/14666/?offset=#page=136&amp;viewer=picture&amp;o=info&amp;n=0&amp;q=</v>
      </c>
      <c r="N1007" s="12" t="s">
        <v>1497</v>
      </c>
      <c r="O1007" s="12" t="str">
        <f>CONCATENATE(N1007,A1007,"\",B1007,"\",C1007,".jpg")</f>
        <v>C:\Users\mbaptista\OneDrive - Biblioteca Nacional de Portugal\Documentos\python\camoniana\imagens\capas\354069\1\136.jpg</v>
      </c>
      <c r="P1007" s="12" t="str">
        <f>HYPERLINK(O1007)</f>
        <v>C:\Users\mbaptista\OneDrive - Biblioteca Nacional de Portugal\Documentos\python\camoniana\imagens\capas\354069\1\136.jpg</v>
      </c>
      <c r="Q1007" s="12"/>
      <c r="R1007" s="6" t="s">
        <v>1350</v>
      </c>
      <c r="S1007" s="4"/>
      <c r="T1007" s="1"/>
      <c r="U1007" s="13"/>
      <c r="V1007" s="13"/>
      <c r="W1007" s="5" t="s">
        <v>1491</v>
      </c>
    </row>
    <row r="1008" spans="1:23" ht="75">
      <c r="A1008" s="1">
        <v>371694</v>
      </c>
      <c r="B1008" s="1">
        <v>1</v>
      </c>
      <c r="C1008" s="1">
        <v>1</v>
      </c>
      <c r="D1008" s="2" t="s">
        <v>1351</v>
      </c>
      <c r="E1008" s="5" t="s">
        <v>1351</v>
      </c>
      <c r="F1008" s="5">
        <v>86824</v>
      </c>
      <c r="G1008" s="2" t="s">
        <v>1494</v>
      </c>
      <c r="H1008" s="2" t="s">
        <v>1495</v>
      </c>
      <c r="I1008" s="2" t="s">
        <v>1496</v>
      </c>
      <c r="J1008" s="2" t="str">
        <f t="shared" si="30"/>
        <v>https://permalinkbnd.bnportugal.gov.pt/viewer/86824/?offset=#page=1&amp;viewer=picture&amp;o=info&amp;n=0&amp;q=</v>
      </c>
      <c r="K1008" s="1" t="s">
        <v>1352</v>
      </c>
      <c r="L1008" s="1" t="str">
        <f>VLOOKUP(A1008,Folha2!$A$2:$B$2019,2,FALSE)</f>
        <v>Sonetos / cordenados e acompanhados com um escorço biográfico ... por Teófilo Braga. I parte. - Lisboa : A Educadora- Empresa Editora, 1913, contém lista de sonetos apócrifos e duvidosos.  Im. 7: Teófilo. rectificação: II Parte. Falta consultar Parte I.</v>
      </c>
      <c r="M1008" s="12" t="str">
        <f t="shared" si="31"/>
        <v>https://permalinkbnd.bnportugal.gov.pt/viewer/86824/?offset=#page=1&amp;viewer=picture&amp;o=info&amp;n=0&amp;q=</v>
      </c>
      <c r="N1008" s="12" t="s">
        <v>1497</v>
      </c>
      <c r="O1008" s="12" t="str">
        <f>CONCATENATE(N1008,A1008,"\",B1008,"\",C1008,".jpg")</f>
        <v>C:\Users\mbaptista\OneDrive - Biblioteca Nacional de Portugal\Documentos\python\camoniana\imagens\capas\371694\1\1.jpg</v>
      </c>
      <c r="P1008" s="12" t="str">
        <f>HYPERLINK(O1008)</f>
        <v>C:\Users\mbaptista\OneDrive - Biblioteca Nacional de Portugal\Documentos\python\camoniana\imagens\capas\371694\1\1.jpg</v>
      </c>
      <c r="Q1008" s="12"/>
      <c r="R1008" s="6" t="s">
        <v>1354</v>
      </c>
      <c r="S1008" s="4"/>
      <c r="T1008" s="1" t="s">
        <v>1353</v>
      </c>
      <c r="U1008" s="13"/>
      <c r="V1008" s="13"/>
      <c r="W1008" s="5" t="s">
        <v>1491</v>
      </c>
    </row>
    <row r="1009" spans="1:23" ht="75">
      <c r="A1009" s="1">
        <v>371694</v>
      </c>
      <c r="B1009" s="1">
        <v>1</v>
      </c>
      <c r="C1009" s="1">
        <v>21</v>
      </c>
      <c r="D1009" s="2" t="s">
        <v>1351</v>
      </c>
      <c r="E1009" s="11" t="s">
        <v>1351</v>
      </c>
      <c r="F1009" s="11">
        <v>86824</v>
      </c>
      <c r="G1009" s="2" t="s">
        <v>1494</v>
      </c>
      <c r="H1009" s="2" t="s">
        <v>1495</v>
      </c>
      <c r="I1009" s="2" t="s">
        <v>1496</v>
      </c>
      <c r="J1009" s="2" t="str">
        <f t="shared" si="30"/>
        <v>https://permalinkbnd.bnportugal.gov.pt/viewer/86824/?offset=#page=21&amp;viewer=picture&amp;o=info&amp;n=0&amp;q=</v>
      </c>
      <c r="K1009" s="1" t="s">
        <v>1352</v>
      </c>
      <c r="L1009" s="1" t="str">
        <f>VLOOKUP(A1009,Folha2!$A$2:$B$2019,2,FALSE)</f>
        <v>Sonetos / cordenados e acompanhados com um escorço biográfico ... por Teófilo Braga. I parte. - Lisboa : A Educadora- Empresa Editora, 1913, contém lista de sonetos apócrifos e duvidosos.  Im. 7: Teófilo. rectificação: II Parte. Falta consultar Parte I.</v>
      </c>
      <c r="M1009" s="12" t="str">
        <f t="shared" si="31"/>
        <v>https://permalinkbnd.bnportugal.gov.pt/viewer/86824/?offset=#page=21&amp;viewer=picture&amp;o=info&amp;n=0&amp;q=</v>
      </c>
      <c r="N1009" s="12" t="s">
        <v>1497</v>
      </c>
      <c r="O1009" s="12" t="str">
        <f>CONCATENATE(N1009,A1009,"\",B1009,"\",C1009,".jpg")</f>
        <v>C:\Users\mbaptista\OneDrive - Biblioteca Nacional de Portugal\Documentos\python\camoniana\imagens\capas\371694\1\21.jpg</v>
      </c>
      <c r="P1009" s="12" t="str">
        <f>HYPERLINK(O1009)</f>
        <v>C:\Users\mbaptista\OneDrive - Biblioteca Nacional de Portugal\Documentos\python\camoniana\imagens\capas\371694\1\21.jpg</v>
      </c>
      <c r="Q1009" s="12"/>
      <c r="R1009" s="6" t="s">
        <v>1355</v>
      </c>
      <c r="S1009" s="4"/>
      <c r="T1009" s="1" t="s">
        <v>1353</v>
      </c>
      <c r="U1009" s="13"/>
      <c r="V1009" s="13"/>
      <c r="W1009" s="5" t="s">
        <v>1491</v>
      </c>
    </row>
    <row r="1010" spans="1:23" ht="75">
      <c r="A1010" s="1">
        <v>371694</v>
      </c>
      <c r="B1010" s="1">
        <v>1</v>
      </c>
      <c r="C1010" s="1">
        <v>39</v>
      </c>
      <c r="D1010" s="2" t="s">
        <v>1351</v>
      </c>
      <c r="E1010" s="5" t="s">
        <v>1351</v>
      </c>
      <c r="F1010" s="5">
        <v>86824</v>
      </c>
      <c r="G1010" s="2" t="s">
        <v>1494</v>
      </c>
      <c r="H1010" s="2" t="s">
        <v>1495</v>
      </c>
      <c r="I1010" s="2" t="s">
        <v>1496</v>
      </c>
      <c r="J1010" s="2" t="str">
        <f t="shared" si="30"/>
        <v>https://permalinkbnd.bnportugal.gov.pt/viewer/86824/?offset=#page=39&amp;viewer=picture&amp;o=info&amp;n=0&amp;q=</v>
      </c>
      <c r="K1010" s="1" t="s">
        <v>1352</v>
      </c>
      <c r="L1010" s="1" t="str">
        <f>VLOOKUP(A1010,Folha2!$A$2:$B$2019,2,FALSE)</f>
        <v>Sonetos / cordenados e acompanhados com um escorço biográfico ... por Teófilo Braga. I parte. - Lisboa : A Educadora- Empresa Editora, 1913, contém lista de sonetos apócrifos e duvidosos.  Im. 7: Teófilo. rectificação: II Parte. Falta consultar Parte I.</v>
      </c>
      <c r="M1010" s="12" t="str">
        <f t="shared" si="31"/>
        <v>https://permalinkbnd.bnportugal.gov.pt/viewer/86824/?offset=#page=39&amp;viewer=picture&amp;o=info&amp;n=0&amp;q=</v>
      </c>
      <c r="N1010" s="12" t="s">
        <v>1497</v>
      </c>
      <c r="O1010" s="12" t="str">
        <f>CONCATENATE(N1010,A1010,"\",B1010,"\",C1010,".jpg")</f>
        <v>C:\Users\mbaptista\OneDrive - Biblioteca Nacional de Portugal\Documentos\python\camoniana\imagens\capas\371694\1\39.jpg</v>
      </c>
      <c r="P1010" s="12" t="str">
        <f>HYPERLINK(O1010)</f>
        <v>C:\Users\mbaptista\OneDrive - Biblioteca Nacional de Portugal\Documentos\python\camoniana\imagens\capas\371694\1\39.jpg</v>
      </c>
      <c r="Q1010" s="12"/>
      <c r="R1010" s="6" t="s">
        <v>1356</v>
      </c>
      <c r="S1010" s="4"/>
      <c r="T1010" s="1" t="s">
        <v>1353</v>
      </c>
      <c r="U1010" s="13"/>
      <c r="V1010" s="13"/>
      <c r="W1010" s="5" t="s">
        <v>1491</v>
      </c>
    </row>
    <row r="1011" spans="1:23" ht="75">
      <c r="A1011" s="1">
        <v>371694</v>
      </c>
      <c r="B1011" s="1">
        <v>1</v>
      </c>
      <c r="C1011" s="1">
        <v>57</v>
      </c>
      <c r="D1011" s="2" t="s">
        <v>1351</v>
      </c>
      <c r="E1011" s="11" t="s">
        <v>1351</v>
      </c>
      <c r="F1011" s="11">
        <v>86824</v>
      </c>
      <c r="G1011" s="2" t="s">
        <v>1494</v>
      </c>
      <c r="H1011" s="2" t="s">
        <v>1495</v>
      </c>
      <c r="I1011" s="2" t="s">
        <v>1496</v>
      </c>
      <c r="J1011" s="2" t="str">
        <f t="shared" si="30"/>
        <v>https://permalinkbnd.bnportugal.gov.pt/viewer/86824/?offset=#page=57&amp;viewer=picture&amp;o=info&amp;n=0&amp;q=</v>
      </c>
      <c r="K1011" s="1" t="s">
        <v>1352</v>
      </c>
      <c r="L1011" s="1" t="str">
        <f>VLOOKUP(A1011,Folha2!$A$2:$B$2019,2,FALSE)</f>
        <v>Sonetos / cordenados e acompanhados com um escorço biográfico ... por Teófilo Braga. I parte. - Lisboa : A Educadora- Empresa Editora, 1913, contém lista de sonetos apócrifos e duvidosos.  Im. 7: Teófilo. rectificação: II Parte. Falta consultar Parte I.</v>
      </c>
      <c r="M1011" s="12" t="str">
        <f t="shared" si="31"/>
        <v>https://permalinkbnd.bnportugal.gov.pt/viewer/86824/?offset=#page=57&amp;viewer=picture&amp;o=info&amp;n=0&amp;q=</v>
      </c>
      <c r="N1011" s="12" t="s">
        <v>1497</v>
      </c>
      <c r="O1011" s="12" t="str">
        <f>CONCATENATE(N1011,A1011,"\",B1011,"\",C1011,".jpg")</f>
        <v>C:\Users\mbaptista\OneDrive - Biblioteca Nacional de Portugal\Documentos\python\camoniana\imagens\capas\371694\1\57.jpg</v>
      </c>
      <c r="P1011" s="12" t="str">
        <f>HYPERLINK(O1011)</f>
        <v>C:\Users\mbaptista\OneDrive - Biblioteca Nacional de Portugal\Documentos\python\camoniana\imagens\capas\371694\1\57.jpg</v>
      </c>
      <c r="Q1011" s="12"/>
      <c r="R1011" s="6" t="s">
        <v>1357</v>
      </c>
      <c r="S1011" s="4"/>
      <c r="T1011" s="1" t="s">
        <v>1353</v>
      </c>
      <c r="U1011" s="13"/>
      <c r="V1011" s="13"/>
      <c r="W1011" s="5" t="s">
        <v>1491</v>
      </c>
    </row>
    <row r="1012" spans="1:23" ht="150">
      <c r="A1012" s="1">
        <v>381189</v>
      </c>
      <c r="B1012" s="1">
        <v>1</v>
      </c>
      <c r="C1012" s="1">
        <v>7</v>
      </c>
      <c r="D1012" s="2" t="s">
        <v>1358</v>
      </c>
      <c r="E1012" s="5" t="s">
        <v>1358</v>
      </c>
      <c r="F1012" s="5">
        <v>14628</v>
      </c>
      <c r="G1012" s="2" t="s">
        <v>1494</v>
      </c>
      <c r="H1012" s="2" t="s">
        <v>1495</v>
      </c>
      <c r="I1012" s="2" t="s">
        <v>1496</v>
      </c>
      <c r="J1012" s="2" t="str">
        <f t="shared" si="30"/>
        <v>https://permalinkbnd.bnportugal.gov.pt/viewer/14628/?offset=#page=7&amp;viewer=picture&amp;o=info&amp;n=0&amp;q=</v>
      </c>
      <c r="K1012" s="1" t="s">
        <v>1359</v>
      </c>
      <c r="L1012" s="1" t="str">
        <f>VLOOKUP(A1012,Folha2!$A$2:$B$2019,2,FALSE)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2" s="12" t="str">
        <f t="shared" si="31"/>
        <v>https://permalinkbnd.bnportugal.gov.pt/viewer/14628/?offset=#page=7&amp;viewer=picture&amp;o=info&amp;n=0&amp;q=</v>
      </c>
      <c r="N1012" s="12" t="s">
        <v>1497</v>
      </c>
      <c r="O1012" s="12" t="str">
        <f>CONCATENATE(N1012,A1012,"\",B1012,"\",C1012,".jpg")</f>
        <v>C:\Users\mbaptista\OneDrive - Biblioteca Nacional de Portugal\Documentos\python\camoniana\imagens\capas\381189\1\7.jpg</v>
      </c>
      <c r="P1012" s="12" t="str">
        <f>HYPERLINK(O1012)</f>
        <v>C:\Users\mbaptista\OneDrive - Biblioteca Nacional de Portugal\Documentos\python\camoniana\imagens\capas\381189\1\7.jpg</v>
      </c>
      <c r="Q1012" s="12"/>
      <c r="R1012" s="6" t="s">
        <v>1361</v>
      </c>
      <c r="S1012" s="4"/>
      <c r="T1012" s="1" t="s">
        <v>1360</v>
      </c>
      <c r="U1012" s="13"/>
      <c r="V1012" s="13"/>
      <c r="W1012" s="5" t="s">
        <v>1491</v>
      </c>
    </row>
    <row r="1013" spans="1:23" ht="150">
      <c r="A1013" s="1">
        <v>381189</v>
      </c>
      <c r="B1013" s="1">
        <v>1</v>
      </c>
      <c r="C1013" s="1">
        <v>10</v>
      </c>
      <c r="D1013" s="2" t="s">
        <v>1358</v>
      </c>
      <c r="E1013" s="11" t="s">
        <v>1358</v>
      </c>
      <c r="F1013" s="11">
        <v>14628</v>
      </c>
      <c r="G1013" s="2" t="s">
        <v>1494</v>
      </c>
      <c r="H1013" s="2" t="s">
        <v>1495</v>
      </c>
      <c r="I1013" s="2" t="s">
        <v>1496</v>
      </c>
      <c r="J1013" s="2" t="str">
        <f t="shared" si="30"/>
        <v>https://permalinkbnd.bnportugal.gov.pt/viewer/14628/?offset=#page=10&amp;viewer=picture&amp;o=info&amp;n=0&amp;q=</v>
      </c>
      <c r="K1013" s="1" t="s">
        <v>1359</v>
      </c>
      <c r="L1013" s="1" t="str">
        <f>VLOOKUP(A1013,Folha2!$A$2:$B$2019,2,FALSE)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3" s="12" t="str">
        <f t="shared" si="31"/>
        <v>https://permalinkbnd.bnportugal.gov.pt/viewer/14628/?offset=#page=10&amp;viewer=picture&amp;o=info&amp;n=0&amp;q=</v>
      </c>
      <c r="N1013" s="12" t="s">
        <v>1497</v>
      </c>
      <c r="O1013" s="12" t="str">
        <f>CONCATENATE(N1013,A1013,"\",B1013,"\",C1013,".jpg")</f>
        <v>C:\Users\mbaptista\OneDrive - Biblioteca Nacional de Portugal\Documentos\python\camoniana\imagens\capas\381189\1\10.jpg</v>
      </c>
      <c r="P1013" s="12" t="str">
        <f>HYPERLINK(O1013)</f>
        <v>C:\Users\mbaptista\OneDrive - Biblioteca Nacional de Portugal\Documentos\python\camoniana\imagens\capas\381189\1\10.jpg</v>
      </c>
      <c r="Q1013" s="12"/>
      <c r="R1013" s="6" t="s">
        <v>1362</v>
      </c>
      <c r="S1013" s="4"/>
      <c r="T1013" s="1" t="s">
        <v>1360</v>
      </c>
      <c r="U1013" s="13"/>
      <c r="V1013" s="13"/>
      <c r="W1013" s="5" t="s">
        <v>1491</v>
      </c>
    </row>
    <row r="1014" spans="1:23" ht="150">
      <c r="A1014" s="1">
        <v>381189</v>
      </c>
      <c r="B1014" s="1">
        <v>1</v>
      </c>
      <c r="C1014" s="1">
        <v>19</v>
      </c>
      <c r="D1014" s="2" t="s">
        <v>1358</v>
      </c>
      <c r="E1014" s="5" t="s">
        <v>1358</v>
      </c>
      <c r="F1014" s="5">
        <v>14628</v>
      </c>
      <c r="G1014" s="2" t="s">
        <v>1494</v>
      </c>
      <c r="H1014" s="2" t="s">
        <v>1495</v>
      </c>
      <c r="I1014" s="2" t="s">
        <v>1496</v>
      </c>
      <c r="J1014" s="2" t="str">
        <f t="shared" si="30"/>
        <v>https://permalinkbnd.bnportugal.gov.pt/viewer/14628/?offset=#page=19&amp;viewer=picture&amp;o=info&amp;n=0&amp;q=</v>
      </c>
      <c r="K1014" s="1" t="s">
        <v>1359</v>
      </c>
      <c r="L1014" s="1" t="str">
        <f>VLOOKUP(A1014,Folha2!$A$2:$B$2019,2,FALSE)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4" s="12" t="str">
        <f t="shared" si="31"/>
        <v>https://permalinkbnd.bnportugal.gov.pt/viewer/14628/?offset=#page=19&amp;viewer=picture&amp;o=info&amp;n=0&amp;q=</v>
      </c>
      <c r="N1014" s="12" t="s">
        <v>1497</v>
      </c>
      <c r="O1014" s="12" t="str">
        <f>CONCATENATE(N1014,A1014,"\",B1014,"\",C1014,".jpg")</f>
        <v>C:\Users\mbaptista\OneDrive - Biblioteca Nacional de Portugal\Documentos\python\camoniana\imagens\capas\381189\1\19.jpg</v>
      </c>
      <c r="P1014" s="12" t="str">
        <f>HYPERLINK(O1014)</f>
        <v>C:\Users\mbaptista\OneDrive - Biblioteca Nacional de Portugal\Documentos\python\camoniana\imagens\capas\381189\1\19.jpg</v>
      </c>
      <c r="Q1014" s="12"/>
      <c r="R1014" s="6" t="s">
        <v>1363</v>
      </c>
      <c r="S1014" s="4"/>
      <c r="T1014" s="1" t="s">
        <v>1360</v>
      </c>
      <c r="U1014" s="13"/>
      <c r="V1014" s="13"/>
      <c r="W1014" s="5" t="s">
        <v>1491</v>
      </c>
    </row>
    <row r="1015" spans="1:23" ht="150">
      <c r="A1015" s="1">
        <v>381189</v>
      </c>
      <c r="B1015" s="1">
        <v>1</v>
      </c>
      <c r="C1015" s="1">
        <v>72</v>
      </c>
      <c r="D1015" s="2" t="s">
        <v>1358</v>
      </c>
      <c r="E1015" s="11" t="s">
        <v>1358</v>
      </c>
      <c r="F1015" s="11">
        <v>14628</v>
      </c>
      <c r="G1015" s="2" t="s">
        <v>1494</v>
      </c>
      <c r="H1015" s="2" t="s">
        <v>1495</v>
      </c>
      <c r="I1015" s="2" t="s">
        <v>1496</v>
      </c>
      <c r="J1015" s="2" t="str">
        <f t="shared" si="30"/>
        <v>https://permalinkbnd.bnportugal.gov.pt/viewer/14628/?offset=#page=72&amp;viewer=picture&amp;o=info&amp;n=0&amp;q=</v>
      </c>
      <c r="K1015" s="1" t="s">
        <v>1359</v>
      </c>
      <c r="L1015" s="1" t="str">
        <f>VLOOKUP(A1015,Folha2!$A$2:$B$2019,2,FALSE)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5" s="12" t="str">
        <f t="shared" si="31"/>
        <v>https://permalinkbnd.bnportugal.gov.pt/viewer/14628/?offset=#page=72&amp;viewer=picture&amp;o=info&amp;n=0&amp;q=</v>
      </c>
      <c r="N1015" s="12" t="s">
        <v>1497</v>
      </c>
      <c r="O1015" s="12" t="str">
        <f>CONCATENATE(N1015,A1015,"\",B1015,"\",C1015,".jpg")</f>
        <v>C:\Users\mbaptista\OneDrive - Biblioteca Nacional de Portugal\Documentos\python\camoniana\imagens\capas\381189\1\72.jpg</v>
      </c>
      <c r="P1015" s="12" t="str">
        <f>HYPERLINK(O1015)</f>
        <v>C:\Users\mbaptista\OneDrive - Biblioteca Nacional de Portugal\Documentos\python\camoniana\imagens\capas\381189\1\72.jpg</v>
      </c>
      <c r="Q1015" s="12"/>
      <c r="R1015" s="6"/>
      <c r="S1015" s="4"/>
      <c r="T1015" s="1"/>
      <c r="U1015" s="13"/>
      <c r="V1015" s="13"/>
      <c r="W1015" s="5"/>
    </row>
    <row r="1016" spans="1:23" ht="150">
      <c r="A1016" s="1">
        <v>381189</v>
      </c>
      <c r="B1016" s="1">
        <v>1</v>
      </c>
      <c r="C1016" s="1">
        <v>73</v>
      </c>
      <c r="D1016" s="2" t="s">
        <v>1358</v>
      </c>
      <c r="E1016" s="5" t="s">
        <v>1358</v>
      </c>
      <c r="F1016" s="5">
        <v>14628</v>
      </c>
      <c r="G1016" s="2" t="s">
        <v>1494</v>
      </c>
      <c r="H1016" s="2" t="s">
        <v>1495</v>
      </c>
      <c r="I1016" s="2" t="s">
        <v>1496</v>
      </c>
      <c r="J1016" s="2" t="str">
        <f t="shared" si="30"/>
        <v>https://permalinkbnd.bnportugal.gov.pt/viewer/14628/?offset=#page=73&amp;viewer=picture&amp;o=info&amp;n=0&amp;q=</v>
      </c>
      <c r="K1016" s="1" t="s">
        <v>1359</v>
      </c>
      <c r="L1016" s="1" t="str">
        <f>VLOOKUP(A1016,Folha2!$A$2:$B$2019,2,FALSE)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6" s="12" t="str">
        <f t="shared" si="31"/>
        <v>https://permalinkbnd.bnportugal.gov.pt/viewer/14628/?offset=#page=73&amp;viewer=picture&amp;o=info&amp;n=0&amp;q=</v>
      </c>
      <c r="N1016" s="12" t="s">
        <v>1497</v>
      </c>
      <c r="O1016" s="12" t="str">
        <f>CONCATENATE(N1016,A1016,"\",B1016,"\",C1016,".jpg")</f>
        <v>C:\Users\mbaptista\OneDrive - Biblioteca Nacional de Portugal\Documentos\python\camoniana\imagens\capas\381189\1\73.jpg</v>
      </c>
      <c r="P1016" s="12" t="str">
        <f>HYPERLINK(O1016)</f>
        <v>C:\Users\mbaptista\OneDrive - Biblioteca Nacional de Portugal\Documentos\python\camoniana\imagens\capas\381189\1\73.jpg</v>
      </c>
      <c r="Q1016" s="12"/>
      <c r="R1016" s="6"/>
      <c r="S1016" s="4"/>
      <c r="T1016" s="1"/>
      <c r="U1016" s="13"/>
      <c r="V1016" s="13"/>
      <c r="W1016" s="5"/>
    </row>
    <row r="1017" spans="1:23" ht="150">
      <c r="A1017" s="1">
        <v>381189</v>
      </c>
      <c r="B1017" s="1">
        <v>1</v>
      </c>
      <c r="C1017" s="1">
        <v>75</v>
      </c>
      <c r="D1017" s="2" t="s">
        <v>1358</v>
      </c>
      <c r="E1017" s="11" t="s">
        <v>1358</v>
      </c>
      <c r="F1017" s="11">
        <v>14628</v>
      </c>
      <c r="G1017" s="2" t="s">
        <v>1494</v>
      </c>
      <c r="H1017" s="2" t="s">
        <v>1495</v>
      </c>
      <c r="I1017" s="2" t="s">
        <v>1496</v>
      </c>
      <c r="J1017" s="2" t="str">
        <f t="shared" si="30"/>
        <v>https://permalinkbnd.bnportugal.gov.pt/viewer/14628/?offset=#page=75&amp;viewer=picture&amp;o=info&amp;n=0&amp;q=</v>
      </c>
      <c r="K1017" s="1" t="s">
        <v>1359</v>
      </c>
      <c r="L1017" s="1" t="str">
        <f>VLOOKUP(A1017,Folha2!$A$2:$B$2019,2,FALSE)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7" s="12" t="str">
        <f t="shared" si="31"/>
        <v>https://permalinkbnd.bnportugal.gov.pt/viewer/14628/?offset=#page=75&amp;viewer=picture&amp;o=info&amp;n=0&amp;q=</v>
      </c>
      <c r="N1017" s="12" t="s">
        <v>1497</v>
      </c>
      <c r="O1017" s="12" t="str">
        <f>CONCATENATE(N1017,A1017,"\",B1017,"\",C1017,".jpg")</f>
        <v>C:\Users\mbaptista\OneDrive - Biblioteca Nacional de Portugal\Documentos\python\camoniana\imagens\capas\381189\1\75.jpg</v>
      </c>
      <c r="P1017" s="12" t="str">
        <f>HYPERLINK(O1017)</f>
        <v>C:\Users\mbaptista\OneDrive - Biblioteca Nacional de Portugal\Documentos\python\camoniana\imagens\capas\381189\1\75.jpg</v>
      </c>
      <c r="Q1017" s="12"/>
      <c r="R1017" s="6" t="s">
        <v>1364</v>
      </c>
      <c r="S1017" s="4"/>
      <c r="T1017" s="1" t="s">
        <v>1360</v>
      </c>
      <c r="U1017" s="13"/>
      <c r="V1017" s="13"/>
      <c r="W1017" s="5" t="s">
        <v>1491</v>
      </c>
    </row>
    <row r="1018" spans="1:23" ht="150">
      <c r="A1018" s="1">
        <v>381189</v>
      </c>
      <c r="B1018" s="1">
        <v>1</v>
      </c>
      <c r="C1018" s="1">
        <v>79</v>
      </c>
      <c r="D1018" s="2" t="s">
        <v>1358</v>
      </c>
      <c r="E1018" s="5" t="s">
        <v>1358</v>
      </c>
      <c r="F1018" s="5">
        <v>14628</v>
      </c>
      <c r="G1018" s="2" t="s">
        <v>1494</v>
      </c>
      <c r="H1018" s="2" t="s">
        <v>1495</v>
      </c>
      <c r="I1018" s="2" t="s">
        <v>1496</v>
      </c>
      <c r="J1018" s="2" t="str">
        <f t="shared" si="30"/>
        <v>https://permalinkbnd.bnportugal.gov.pt/viewer/14628/?offset=#page=79&amp;viewer=picture&amp;o=info&amp;n=0&amp;q=</v>
      </c>
      <c r="K1018" s="1" t="s">
        <v>1359</v>
      </c>
      <c r="L1018" s="1" t="str">
        <f>VLOOKUP(A1018,Folha2!$A$2:$B$2019,2,FALSE)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8" s="12" t="str">
        <f t="shared" si="31"/>
        <v>https://permalinkbnd.bnportugal.gov.pt/viewer/14628/?offset=#page=79&amp;viewer=picture&amp;o=info&amp;n=0&amp;q=</v>
      </c>
      <c r="N1018" s="12" t="s">
        <v>1497</v>
      </c>
      <c r="O1018" s="12" t="str">
        <f>CONCATENATE(N1018,A1018,"\",B1018,"\",C1018,".jpg")</f>
        <v>C:\Users\mbaptista\OneDrive - Biblioteca Nacional de Portugal\Documentos\python\camoniana\imagens\capas\381189\1\79.jpg</v>
      </c>
      <c r="P1018" s="12" t="str">
        <f>HYPERLINK(O1018)</f>
        <v>C:\Users\mbaptista\OneDrive - Biblioteca Nacional de Portugal\Documentos\python\camoniana\imagens\capas\381189\1\79.jpg</v>
      </c>
      <c r="Q1018" s="12"/>
      <c r="R1018" s="6" t="s">
        <v>1365</v>
      </c>
      <c r="S1018" s="4"/>
      <c r="T1018" s="1" t="s">
        <v>1360</v>
      </c>
      <c r="U1018" s="13"/>
      <c r="V1018" s="13"/>
      <c r="W1018" s="5" t="s">
        <v>1491</v>
      </c>
    </row>
    <row r="1019" spans="1:23" ht="150">
      <c r="A1019" s="1">
        <v>381189</v>
      </c>
      <c r="B1019" s="1">
        <v>1</v>
      </c>
      <c r="C1019" s="1">
        <v>90</v>
      </c>
      <c r="D1019" s="2" t="s">
        <v>1358</v>
      </c>
      <c r="E1019" s="11" t="s">
        <v>1358</v>
      </c>
      <c r="F1019" s="11">
        <v>14628</v>
      </c>
      <c r="G1019" s="2" t="s">
        <v>1494</v>
      </c>
      <c r="H1019" s="2" t="s">
        <v>1495</v>
      </c>
      <c r="I1019" s="2" t="s">
        <v>1496</v>
      </c>
      <c r="J1019" s="2" t="str">
        <f t="shared" si="30"/>
        <v>https://permalinkbnd.bnportugal.gov.pt/viewer/14628/?offset=#page=90&amp;viewer=picture&amp;o=info&amp;n=0&amp;q=</v>
      </c>
      <c r="K1019" s="1" t="s">
        <v>1359</v>
      </c>
      <c r="L1019" s="1" t="str">
        <f>VLOOKUP(A1019,Folha2!$A$2:$B$2019,2,FALSE)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9" s="12" t="str">
        <f t="shared" si="31"/>
        <v>https://permalinkbnd.bnportugal.gov.pt/viewer/14628/?offset=#page=90&amp;viewer=picture&amp;o=info&amp;n=0&amp;q=</v>
      </c>
      <c r="N1019" s="12" t="s">
        <v>1497</v>
      </c>
      <c r="O1019" s="12" t="str">
        <f>CONCATENATE(N1019,A1019,"\",B1019,"\",C1019,".jpg")</f>
        <v>C:\Users\mbaptista\OneDrive - Biblioteca Nacional de Portugal\Documentos\python\camoniana\imagens\capas\381189\1\90.jpg</v>
      </c>
      <c r="P1019" s="12" t="str">
        <f>HYPERLINK(O1019)</f>
        <v>C:\Users\mbaptista\OneDrive - Biblioteca Nacional de Portugal\Documentos\python\camoniana\imagens\capas\381189\1\90.jpg</v>
      </c>
      <c r="Q1019" s="12"/>
      <c r="R1019" s="6" t="s">
        <v>1366</v>
      </c>
      <c r="S1019" s="4"/>
      <c r="T1019" s="1" t="s">
        <v>1360</v>
      </c>
      <c r="U1019" s="13"/>
      <c r="V1019" s="13"/>
      <c r="W1019" s="5" t="s">
        <v>1491</v>
      </c>
    </row>
    <row r="1020" spans="1:23" ht="150">
      <c r="A1020" s="1">
        <v>381189</v>
      </c>
      <c r="B1020" s="1">
        <v>1</v>
      </c>
      <c r="C1020" s="1">
        <v>110</v>
      </c>
      <c r="D1020" s="2" t="s">
        <v>1358</v>
      </c>
      <c r="E1020" s="5" t="s">
        <v>1358</v>
      </c>
      <c r="F1020" s="5">
        <v>14628</v>
      </c>
      <c r="G1020" s="2" t="s">
        <v>1494</v>
      </c>
      <c r="H1020" s="2" t="s">
        <v>1495</v>
      </c>
      <c r="I1020" s="2" t="s">
        <v>1496</v>
      </c>
      <c r="J1020" s="2" t="str">
        <f t="shared" si="30"/>
        <v>https://permalinkbnd.bnportugal.gov.pt/viewer/14628/?offset=#page=110&amp;viewer=picture&amp;o=info&amp;n=0&amp;q=</v>
      </c>
      <c r="K1020" s="1" t="s">
        <v>1359</v>
      </c>
      <c r="L1020" s="1" t="str">
        <f>VLOOKUP(A1020,Folha2!$A$2:$B$2019,2,FALSE)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0" s="12" t="str">
        <f t="shared" si="31"/>
        <v>https://permalinkbnd.bnportugal.gov.pt/viewer/14628/?offset=#page=110&amp;viewer=picture&amp;o=info&amp;n=0&amp;q=</v>
      </c>
      <c r="N1020" s="12" t="s">
        <v>1497</v>
      </c>
      <c r="O1020" s="12" t="str">
        <f>CONCATENATE(N1020,A1020,"\",B1020,"\",C1020,".jpg")</f>
        <v>C:\Users\mbaptista\OneDrive - Biblioteca Nacional de Portugal\Documentos\python\camoniana\imagens\capas\381189\1\110.jpg</v>
      </c>
      <c r="P1020" s="12" t="str">
        <f>HYPERLINK(O1020)</f>
        <v>C:\Users\mbaptista\OneDrive - Biblioteca Nacional de Portugal\Documentos\python\camoniana\imagens\capas\381189\1\110.jpg</v>
      </c>
      <c r="Q1020" s="12"/>
      <c r="R1020" s="6" t="s">
        <v>1367</v>
      </c>
      <c r="S1020" s="4"/>
      <c r="T1020" s="1" t="s">
        <v>1360</v>
      </c>
      <c r="U1020" s="13"/>
      <c r="V1020" s="13"/>
      <c r="W1020" s="5" t="s">
        <v>1491</v>
      </c>
    </row>
    <row r="1021" spans="1:23" ht="150">
      <c r="A1021" s="1">
        <v>381189</v>
      </c>
      <c r="B1021" s="1">
        <v>1</v>
      </c>
      <c r="C1021" s="1">
        <v>117</v>
      </c>
      <c r="D1021" s="2" t="s">
        <v>1358</v>
      </c>
      <c r="E1021" s="11" t="s">
        <v>1358</v>
      </c>
      <c r="F1021" s="11">
        <v>14628</v>
      </c>
      <c r="G1021" s="2" t="s">
        <v>1494</v>
      </c>
      <c r="H1021" s="2" t="s">
        <v>1495</v>
      </c>
      <c r="I1021" s="2" t="s">
        <v>1496</v>
      </c>
      <c r="J1021" s="2" t="str">
        <f t="shared" si="30"/>
        <v>https://permalinkbnd.bnportugal.gov.pt/viewer/14628/?offset=#page=117&amp;viewer=picture&amp;o=info&amp;n=0&amp;q=</v>
      </c>
      <c r="K1021" s="1" t="s">
        <v>1359</v>
      </c>
      <c r="L1021" s="1" t="str">
        <f>VLOOKUP(A1021,Folha2!$A$2:$B$2019,2,FALSE)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1" s="12" t="str">
        <f t="shared" si="31"/>
        <v>https://permalinkbnd.bnportugal.gov.pt/viewer/14628/?offset=#page=117&amp;viewer=picture&amp;o=info&amp;n=0&amp;q=</v>
      </c>
      <c r="N1021" s="12" t="s">
        <v>1497</v>
      </c>
      <c r="O1021" s="12" t="str">
        <f>CONCATENATE(N1021,A1021,"\",B1021,"\",C1021,".jpg")</f>
        <v>C:\Users\mbaptista\OneDrive - Biblioteca Nacional de Portugal\Documentos\python\camoniana\imagens\capas\381189\1\117.jpg</v>
      </c>
      <c r="P1021" s="12" t="str">
        <f>HYPERLINK(O1021)</f>
        <v>C:\Users\mbaptista\OneDrive - Biblioteca Nacional de Portugal\Documentos\python\camoniana\imagens\capas\381189\1\117.jpg</v>
      </c>
      <c r="Q1021" s="12"/>
      <c r="R1021" s="6"/>
      <c r="S1021" s="4"/>
      <c r="T1021" s="1"/>
      <c r="U1021" s="13"/>
      <c r="V1021" s="13"/>
      <c r="W1021" s="5"/>
    </row>
    <row r="1022" spans="1:23" ht="150">
      <c r="A1022" s="1">
        <v>381189</v>
      </c>
      <c r="B1022" s="1">
        <v>1</v>
      </c>
      <c r="C1022" s="1">
        <v>118</v>
      </c>
      <c r="D1022" s="2" t="s">
        <v>1358</v>
      </c>
      <c r="E1022" s="5" t="s">
        <v>1358</v>
      </c>
      <c r="F1022" s="5">
        <v>14628</v>
      </c>
      <c r="G1022" s="2" t="s">
        <v>1494</v>
      </c>
      <c r="H1022" s="2" t="s">
        <v>1495</v>
      </c>
      <c r="I1022" s="2" t="s">
        <v>1496</v>
      </c>
      <c r="J1022" s="2" t="str">
        <f t="shared" si="30"/>
        <v>https://permalinkbnd.bnportugal.gov.pt/viewer/14628/?offset=#page=118&amp;viewer=picture&amp;o=info&amp;n=0&amp;q=</v>
      </c>
      <c r="K1022" s="1" t="s">
        <v>1359</v>
      </c>
      <c r="L1022" s="1" t="str">
        <f>VLOOKUP(A1022,Folha2!$A$2:$B$2019,2,FALSE)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2" s="12" t="str">
        <f t="shared" si="31"/>
        <v>https://permalinkbnd.bnportugal.gov.pt/viewer/14628/?offset=#page=118&amp;viewer=picture&amp;o=info&amp;n=0&amp;q=</v>
      </c>
      <c r="N1022" s="12" t="s">
        <v>1497</v>
      </c>
      <c r="O1022" s="12" t="str">
        <f>CONCATENATE(N1022,A1022,"\",B1022,"\",C1022,".jpg")</f>
        <v>C:\Users\mbaptista\OneDrive - Biblioteca Nacional de Portugal\Documentos\python\camoniana\imagens\capas\381189\1\118.jpg</v>
      </c>
      <c r="P1022" s="12" t="str">
        <f>HYPERLINK(O1022)</f>
        <v>C:\Users\mbaptista\OneDrive - Biblioteca Nacional de Portugal\Documentos\python\camoniana\imagens\capas\381189\1\118.jpg</v>
      </c>
      <c r="Q1022" s="12"/>
      <c r="R1022" s="6" t="s">
        <v>1368</v>
      </c>
      <c r="S1022" s="4"/>
      <c r="T1022" s="1" t="s">
        <v>1360</v>
      </c>
      <c r="U1022" s="13"/>
      <c r="V1022" s="13"/>
      <c r="W1022" s="5" t="s">
        <v>1491</v>
      </c>
    </row>
    <row r="1023" spans="1:23" ht="150">
      <c r="A1023" s="1">
        <v>381189</v>
      </c>
      <c r="B1023" s="1">
        <v>1</v>
      </c>
      <c r="C1023" s="1">
        <v>120</v>
      </c>
      <c r="D1023" s="2" t="s">
        <v>1358</v>
      </c>
      <c r="E1023" s="11" t="s">
        <v>1358</v>
      </c>
      <c r="F1023" s="11">
        <v>14628</v>
      </c>
      <c r="G1023" s="2" t="s">
        <v>1494</v>
      </c>
      <c r="H1023" s="2" t="s">
        <v>1495</v>
      </c>
      <c r="I1023" s="2" t="s">
        <v>1496</v>
      </c>
      <c r="J1023" s="2" t="str">
        <f t="shared" si="30"/>
        <v>https://permalinkbnd.bnportugal.gov.pt/viewer/14628/?offset=#page=120&amp;viewer=picture&amp;o=info&amp;n=0&amp;q=</v>
      </c>
      <c r="K1023" s="1" t="s">
        <v>1359</v>
      </c>
      <c r="L1023" s="1" t="str">
        <f>VLOOKUP(A1023,Folha2!$A$2:$B$2019,2,FALSE)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3" s="12" t="str">
        <f t="shared" si="31"/>
        <v>https://permalinkbnd.bnportugal.gov.pt/viewer/14628/?offset=#page=120&amp;viewer=picture&amp;o=info&amp;n=0&amp;q=</v>
      </c>
      <c r="N1023" s="12" t="s">
        <v>1497</v>
      </c>
      <c r="O1023" s="12" t="str">
        <f>CONCATENATE(N1023,A1023,"\",B1023,"\",C1023,".jpg")</f>
        <v>C:\Users\mbaptista\OneDrive - Biblioteca Nacional de Portugal\Documentos\python\camoniana\imagens\capas\381189\1\120.jpg</v>
      </c>
      <c r="P1023" s="12" t="str">
        <f>HYPERLINK(O1023)</f>
        <v>C:\Users\mbaptista\OneDrive - Biblioteca Nacional de Portugal\Documentos\python\camoniana\imagens\capas\381189\1\120.jpg</v>
      </c>
      <c r="Q1023" s="12"/>
      <c r="R1023" s="6" t="s">
        <v>1369</v>
      </c>
      <c r="S1023" s="4"/>
      <c r="T1023" s="1" t="s">
        <v>1360</v>
      </c>
      <c r="U1023" s="13"/>
      <c r="V1023" s="13"/>
      <c r="W1023" s="5" t="s">
        <v>1491</v>
      </c>
    </row>
    <row r="1024" spans="1:23" ht="150">
      <c r="A1024" s="1">
        <v>381189</v>
      </c>
      <c r="B1024" s="1">
        <v>1</v>
      </c>
      <c r="C1024" s="1">
        <v>134</v>
      </c>
      <c r="D1024" s="2" t="s">
        <v>1358</v>
      </c>
      <c r="E1024" s="5" t="s">
        <v>1358</v>
      </c>
      <c r="F1024" s="5">
        <v>14628</v>
      </c>
      <c r="G1024" s="2" t="s">
        <v>1494</v>
      </c>
      <c r="H1024" s="2" t="s">
        <v>1495</v>
      </c>
      <c r="I1024" s="2" t="s">
        <v>1496</v>
      </c>
      <c r="J1024" s="2" t="str">
        <f t="shared" si="30"/>
        <v>https://permalinkbnd.bnportugal.gov.pt/viewer/14628/?offset=#page=134&amp;viewer=picture&amp;o=info&amp;n=0&amp;q=</v>
      </c>
      <c r="K1024" s="1" t="s">
        <v>1359</v>
      </c>
      <c r="L1024" s="1" t="str">
        <f>VLOOKUP(A1024,Folha2!$A$2:$B$2019,2,FALSE)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4" s="12" t="str">
        <f t="shared" si="31"/>
        <v>https://permalinkbnd.bnportugal.gov.pt/viewer/14628/?offset=#page=134&amp;viewer=picture&amp;o=info&amp;n=0&amp;q=</v>
      </c>
      <c r="N1024" s="12" t="s">
        <v>1497</v>
      </c>
      <c r="O1024" s="12" t="str">
        <f>CONCATENATE(N1024,A1024,"\",B1024,"\",C1024,".jpg")</f>
        <v>C:\Users\mbaptista\OneDrive - Biblioteca Nacional de Portugal\Documentos\python\camoniana\imagens\capas\381189\1\134.jpg</v>
      </c>
      <c r="P1024" s="12" t="str">
        <f>HYPERLINK(O1024)</f>
        <v>C:\Users\mbaptista\OneDrive - Biblioteca Nacional de Portugal\Documentos\python\camoniana\imagens\capas\381189\1\134.jpg</v>
      </c>
      <c r="Q1024" s="12"/>
      <c r="R1024" s="6" t="s">
        <v>1370</v>
      </c>
      <c r="S1024" s="4"/>
      <c r="T1024" s="1" t="s">
        <v>1360</v>
      </c>
      <c r="U1024" s="13"/>
      <c r="V1024" s="13"/>
      <c r="W1024" s="5" t="s">
        <v>1491</v>
      </c>
    </row>
    <row r="1025" spans="1:23" ht="150">
      <c r="A1025" s="1">
        <v>381189</v>
      </c>
      <c r="B1025" s="1">
        <v>1</v>
      </c>
      <c r="C1025" s="1">
        <v>156</v>
      </c>
      <c r="D1025" s="2" t="s">
        <v>1358</v>
      </c>
      <c r="E1025" s="11" t="s">
        <v>1358</v>
      </c>
      <c r="F1025" s="11">
        <v>14628</v>
      </c>
      <c r="G1025" s="2" t="s">
        <v>1494</v>
      </c>
      <c r="H1025" s="2" t="s">
        <v>1495</v>
      </c>
      <c r="I1025" s="2" t="s">
        <v>1496</v>
      </c>
      <c r="J1025" s="2" t="str">
        <f t="shared" si="30"/>
        <v>https://permalinkbnd.bnportugal.gov.pt/viewer/14628/?offset=#page=156&amp;viewer=picture&amp;o=info&amp;n=0&amp;q=</v>
      </c>
      <c r="K1025" s="1" t="s">
        <v>1359</v>
      </c>
      <c r="L1025" s="1" t="str">
        <f>VLOOKUP(A1025,Folha2!$A$2:$B$2019,2,FALSE)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5" s="12" t="str">
        <f t="shared" si="31"/>
        <v>https://permalinkbnd.bnportugal.gov.pt/viewer/14628/?offset=#page=156&amp;viewer=picture&amp;o=info&amp;n=0&amp;q=</v>
      </c>
      <c r="N1025" s="12" t="s">
        <v>1497</v>
      </c>
      <c r="O1025" s="12" t="str">
        <f>CONCATENATE(N1025,A1025,"\",B1025,"\",C1025,".jpg")</f>
        <v>C:\Users\mbaptista\OneDrive - Biblioteca Nacional de Portugal\Documentos\python\camoniana\imagens\capas\381189\1\156.jpg</v>
      </c>
      <c r="P1025" s="12" t="str">
        <f>HYPERLINK(O1025)</f>
        <v>C:\Users\mbaptista\OneDrive - Biblioteca Nacional de Portugal\Documentos\python\camoniana\imagens\capas\381189\1\156.jpg</v>
      </c>
      <c r="Q1025" s="12"/>
      <c r="R1025" s="6" t="s">
        <v>1371</v>
      </c>
      <c r="S1025" s="4"/>
      <c r="T1025" s="1" t="s">
        <v>1360</v>
      </c>
      <c r="U1025" s="13"/>
      <c r="V1025" s="13"/>
      <c r="W1025" s="5" t="s">
        <v>1491</v>
      </c>
    </row>
    <row r="1026" spans="1:23" ht="150">
      <c r="A1026" s="1">
        <v>381189</v>
      </c>
      <c r="B1026" s="1">
        <v>1</v>
      </c>
      <c r="C1026" s="1">
        <v>162</v>
      </c>
      <c r="D1026" s="2" t="s">
        <v>1358</v>
      </c>
      <c r="E1026" s="5" t="s">
        <v>1358</v>
      </c>
      <c r="F1026" s="5">
        <v>14628</v>
      </c>
      <c r="G1026" s="2" t="s">
        <v>1494</v>
      </c>
      <c r="H1026" s="2" t="s">
        <v>1495</v>
      </c>
      <c r="I1026" s="2" t="s">
        <v>1496</v>
      </c>
      <c r="J1026" s="2" t="str">
        <f t="shared" ref="J1026:J1089" si="32">CONCATENATE(G1026,F1026,H1026,C1026,I1026)</f>
        <v>https://permalinkbnd.bnportugal.gov.pt/viewer/14628/?offset=#page=162&amp;viewer=picture&amp;o=info&amp;n=0&amp;q=</v>
      </c>
      <c r="K1026" s="1" t="s">
        <v>1359</v>
      </c>
      <c r="L1026" s="1" t="str">
        <f>VLOOKUP(A1026,Folha2!$A$2:$B$2019,2,FALSE)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6" s="12" t="str">
        <f t="shared" ref="M1026:M1089" si="33">HYPERLINK(J1026)</f>
        <v>https://permalinkbnd.bnportugal.gov.pt/viewer/14628/?offset=#page=162&amp;viewer=picture&amp;o=info&amp;n=0&amp;q=</v>
      </c>
      <c r="N1026" s="12" t="s">
        <v>1497</v>
      </c>
      <c r="O1026" s="12" t="str">
        <f>CONCATENATE(N1026,A1026,"\",B1026,"\",C1026,".jpg")</f>
        <v>C:\Users\mbaptista\OneDrive - Biblioteca Nacional de Portugal\Documentos\python\camoniana\imagens\capas\381189\1\162.jpg</v>
      </c>
      <c r="P1026" s="12" t="str">
        <f>HYPERLINK(O1026)</f>
        <v>C:\Users\mbaptista\OneDrive - Biblioteca Nacional de Portugal\Documentos\python\camoniana\imagens\capas\381189\1\162.jpg</v>
      </c>
      <c r="Q1026" s="12"/>
      <c r="R1026" s="6" t="s">
        <v>1372</v>
      </c>
      <c r="S1026" s="4"/>
      <c r="T1026" s="1" t="s">
        <v>1360</v>
      </c>
      <c r="U1026" s="13"/>
      <c r="V1026" s="13"/>
      <c r="W1026" s="5" t="s">
        <v>1491</v>
      </c>
    </row>
    <row r="1027" spans="1:23" ht="150">
      <c r="A1027" s="1">
        <v>381189</v>
      </c>
      <c r="B1027" s="1">
        <v>1</v>
      </c>
      <c r="C1027" s="1">
        <v>164</v>
      </c>
      <c r="D1027" s="2" t="s">
        <v>1358</v>
      </c>
      <c r="E1027" s="11" t="s">
        <v>1358</v>
      </c>
      <c r="F1027" s="11">
        <v>14628</v>
      </c>
      <c r="G1027" s="2" t="s">
        <v>1494</v>
      </c>
      <c r="H1027" s="2" t="s">
        <v>1495</v>
      </c>
      <c r="I1027" s="2" t="s">
        <v>1496</v>
      </c>
      <c r="J1027" s="2" t="str">
        <f t="shared" si="32"/>
        <v>https://permalinkbnd.bnportugal.gov.pt/viewer/14628/?offset=#page=164&amp;viewer=picture&amp;o=info&amp;n=0&amp;q=</v>
      </c>
      <c r="K1027" s="1" t="s">
        <v>1359</v>
      </c>
      <c r="L1027" s="1" t="str">
        <f>VLOOKUP(A1027,Folha2!$A$2:$B$2019,2,FALSE)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7" s="12" t="str">
        <f t="shared" si="33"/>
        <v>https://permalinkbnd.bnportugal.gov.pt/viewer/14628/?offset=#page=164&amp;viewer=picture&amp;o=info&amp;n=0&amp;q=</v>
      </c>
      <c r="N1027" s="12" t="s">
        <v>1497</v>
      </c>
      <c r="O1027" s="12" t="str">
        <f>CONCATENATE(N1027,A1027,"\",B1027,"\",C1027,".jpg")</f>
        <v>C:\Users\mbaptista\OneDrive - Biblioteca Nacional de Portugal\Documentos\python\camoniana\imagens\capas\381189\1\164.jpg</v>
      </c>
      <c r="P1027" s="12" t="str">
        <f>HYPERLINK(O1027)</f>
        <v>C:\Users\mbaptista\OneDrive - Biblioteca Nacional de Portugal\Documentos\python\camoniana\imagens\capas\381189\1\164.jpg</v>
      </c>
      <c r="Q1027" s="12"/>
      <c r="R1027" s="6" t="s">
        <v>1373</v>
      </c>
      <c r="S1027" s="4"/>
      <c r="T1027" s="1" t="s">
        <v>1360</v>
      </c>
      <c r="U1027" s="13"/>
      <c r="V1027" s="13"/>
      <c r="W1027" s="5" t="s">
        <v>1491</v>
      </c>
    </row>
    <row r="1028" spans="1:23" ht="150">
      <c r="A1028" s="1">
        <v>381189</v>
      </c>
      <c r="B1028" s="1">
        <v>1</v>
      </c>
      <c r="C1028" s="1">
        <v>205</v>
      </c>
      <c r="D1028" s="2" t="s">
        <v>1358</v>
      </c>
      <c r="E1028" s="5" t="s">
        <v>1358</v>
      </c>
      <c r="F1028" s="5">
        <v>14628</v>
      </c>
      <c r="G1028" s="2" t="s">
        <v>1494</v>
      </c>
      <c r="H1028" s="2" t="s">
        <v>1495</v>
      </c>
      <c r="I1028" s="2" t="s">
        <v>1496</v>
      </c>
      <c r="J1028" s="2" t="str">
        <f t="shared" si="32"/>
        <v>https://permalinkbnd.bnportugal.gov.pt/viewer/14628/?offset=#page=205&amp;viewer=picture&amp;o=info&amp;n=0&amp;q=</v>
      </c>
      <c r="K1028" s="1" t="s">
        <v>1359</v>
      </c>
      <c r="L1028" s="1" t="str">
        <f>VLOOKUP(A1028,Folha2!$A$2:$B$2019,2,FALSE)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8" s="12" t="str">
        <f t="shared" si="33"/>
        <v>https://permalinkbnd.bnportugal.gov.pt/viewer/14628/?offset=#page=205&amp;viewer=picture&amp;o=info&amp;n=0&amp;q=</v>
      </c>
      <c r="N1028" s="12" t="s">
        <v>1497</v>
      </c>
      <c r="O1028" s="12" t="str">
        <f>CONCATENATE(N1028,A1028,"\",B1028,"\",C1028,".jpg")</f>
        <v>C:\Users\mbaptista\OneDrive - Biblioteca Nacional de Portugal\Documentos\python\camoniana\imagens\capas\381189\1\205.jpg</v>
      </c>
      <c r="P1028" s="12" t="str">
        <f>HYPERLINK(O1028)</f>
        <v>C:\Users\mbaptista\OneDrive - Biblioteca Nacional de Portugal\Documentos\python\camoniana\imagens\capas\381189\1\205.jpg</v>
      </c>
      <c r="Q1028" s="12"/>
      <c r="R1028" s="6" t="s">
        <v>1374</v>
      </c>
      <c r="S1028" s="4"/>
      <c r="T1028" s="1" t="s">
        <v>1360</v>
      </c>
      <c r="U1028" s="13"/>
      <c r="V1028" s="13"/>
      <c r="W1028" s="5" t="s">
        <v>1491</v>
      </c>
    </row>
    <row r="1029" spans="1:23" ht="150">
      <c r="A1029" s="1">
        <v>381189</v>
      </c>
      <c r="B1029" s="1">
        <v>1</v>
      </c>
      <c r="C1029" s="1">
        <v>215</v>
      </c>
      <c r="D1029" s="2" t="s">
        <v>1358</v>
      </c>
      <c r="E1029" s="11" t="s">
        <v>1358</v>
      </c>
      <c r="F1029" s="11">
        <v>14628</v>
      </c>
      <c r="G1029" s="2" t="s">
        <v>1494</v>
      </c>
      <c r="H1029" s="2" t="s">
        <v>1495</v>
      </c>
      <c r="I1029" s="2" t="s">
        <v>1496</v>
      </c>
      <c r="J1029" s="2" t="str">
        <f t="shared" si="32"/>
        <v>https://permalinkbnd.bnportugal.gov.pt/viewer/14628/?offset=#page=215&amp;viewer=picture&amp;o=info&amp;n=0&amp;q=</v>
      </c>
      <c r="K1029" s="1" t="s">
        <v>1359</v>
      </c>
      <c r="L1029" s="1" t="str">
        <f>VLOOKUP(A1029,Folha2!$A$2:$B$2019,2,FALSE)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9" s="12" t="str">
        <f t="shared" si="33"/>
        <v>https://permalinkbnd.bnportugal.gov.pt/viewer/14628/?offset=#page=215&amp;viewer=picture&amp;o=info&amp;n=0&amp;q=</v>
      </c>
      <c r="N1029" s="12" t="s">
        <v>1497</v>
      </c>
      <c r="O1029" s="12" t="str">
        <f>CONCATENATE(N1029,A1029,"\",B1029,"\",C1029,".jpg")</f>
        <v>C:\Users\mbaptista\OneDrive - Biblioteca Nacional de Portugal\Documentos\python\camoniana\imagens\capas\381189\1\215.jpg</v>
      </c>
      <c r="P1029" s="12" t="str">
        <f>HYPERLINK(O1029)</f>
        <v>C:\Users\mbaptista\OneDrive - Biblioteca Nacional de Portugal\Documentos\python\camoniana\imagens\capas\381189\1\215.jpg</v>
      </c>
      <c r="Q1029" s="12"/>
      <c r="R1029" s="6" t="s">
        <v>1375</v>
      </c>
      <c r="S1029" s="4"/>
      <c r="T1029" s="1" t="s">
        <v>1360</v>
      </c>
      <c r="U1029" s="13"/>
      <c r="V1029" s="13"/>
      <c r="W1029" s="5" t="s">
        <v>1491</v>
      </c>
    </row>
    <row r="1030" spans="1:23" ht="150">
      <c r="A1030" s="1">
        <v>381189</v>
      </c>
      <c r="B1030" s="1">
        <v>1</v>
      </c>
      <c r="C1030" s="1">
        <v>217</v>
      </c>
      <c r="D1030" s="2" t="s">
        <v>1358</v>
      </c>
      <c r="E1030" s="5" t="s">
        <v>1358</v>
      </c>
      <c r="F1030" s="5">
        <v>14628</v>
      </c>
      <c r="G1030" s="2" t="s">
        <v>1494</v>
      </c>
      <c r="H1030" s="2" t="s">
        <v>1495</v>
      </c>
      <c r="I1030" s="2" t="s">
        <v>1496</v>
      </c>
      <c r="J1030" s="2" t="str">
        <f t="shared" si="32"/>
        <v>https://permalinkbnd.bnportugal.gov.pt/viewer/14628/?offset=#page=217&amp;viewer=picture&amp;o=info&amp;n=0&amp;q=</v>
      </c>
      <c r="K1030" s="1" t="s">
        <v>1359</v>
      </c>
      <c r="L1030" s="1" t="str">
        <f>VLOOKUP(A1030,Folha2!$A$2:$B$2019,2,FALSE)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0" s="12" t="str">
        <f t="shared" si="33"/>
        <v>https://permalinkbnd.bnportugal.gov.pt/viewer/14628/?offset=#page=217&amp;viewer=picture&amp;o=info&amp;n=0&amp;q=</v>
      </c>
      <c r="N1030" s="12" t="s">
        <v>1497</v>
      </c>
      <c r="O1030" s="12" t="str">
        <f>CONCATENATE(N1030,A1030,"\",B1030,"\",C1030,".jpg")</f>
        <v>C:\Users\mbaptista\OneDrive - Biblioteca Nacional de Portugal\Documentos\python\camoniana\imagens\capas\381189\1\217.jpg</v>
      </c>
      <c r="P1030" s="12" t="str">
        <f>HYPERLINK(O1030)</f>
        <v>C:\Users\mbaptista\OneDrive - Biblioteca Nacional de Portugal\Documentos\python\camoniana\imagens\capas\381189\1\217.jpg</v>
      </c>
      <c r="Q1030" s="12"/>
      <c r="R1030" s="6" t="s">
        <v>1376</v>
      </c>
      <c r="S1030" s="4"/>
      <c r="T1030" s="1" t="s">
        <v>1360</v>
      </c>
      <c r="U1030" s="13"/>
      <c r="V1030" s="13"/>
      <c r="W1030" s="5" t="s">
        <v>1491</v>
      </c>
    </row>
    <row r="1031" spans="1:23" ht="150">
      <c r="A1031" s="1">
        <v>381189</v>
      </c>
      <c r="B1031" s="1">
        <v>1</v>
      </c>
      <c r="C1031" s="1">
        <v>242</v>
      </c>
      <c r="D1031" s="2" t="s">
        <v>1358</v>
      </c>
      <c r="E1031" s="11" t="s">
        <v>1358</v>
      </c>
      <c r="F1031" s="11">
        <v>14628</v>
      </c>
      <c r="G1031" s="2" t="s">
        <v>1494</v>
      </c>
      <c r="H1031" s="2" t="s">
        <v>1495</v>
      </c>
      <c r="I1031" s="2" t="s">
        <v>1496</v>
      </c>
      <c r="J1031" s="2" t="str">
        <f t="shared" si="32"/>
        <v>https://permalinkbnd.bnportugal.gov.pt/viewer/14628/?offset=#page=242&amp;viewer=picture&amp;o=info&amp;n=0&amp;q=</v>
      </c>
      <c r="K1031" s="1" t="s">
        <v>1359</v>
      </c>
      <c r="L1031" s="1" t="str">
        <f>VLOOKUP(A1031,Folha2!$A$2:$B$2019,2,FALSE)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1" s="12" t="str">
        <f t="shared" si="33"/>
        <v>https://permalinkbnd.bnportugal.gov.pt/viewer/14628/?offset=#page=242&amp;viewer=picture&amp;o=info&amp;n=0&amp;q=</v>
      </c>
      <c r="N1031" s="12" t="s">
        <v>1497</v>
      </c>
      <c r="O1031" s="12" t="str">
        <f>CONCATENATE(N1031,A1031,"\",B1031,"\",C1031,".jpg")</f>
        <v>C:\Users\mbaptista\OneDrive - Biblioteca Nacional de Portugal\Documentos\python\camoniana\imagens\capas\381189\1\242.jpg</v>
      </c>
      <c r="P1031" s="12" t="str">
        <f>HYPERLINK(O1031)</f>
        <v>C:\Users\mbaptista\OneDrive - Biblioteca Nacional de Portugal\Documentos\python\camoniana\imagens\capas\381189\1\242.jpg</v>
      </c>
      <c r="Q1031" s="12"/>
      <c r="R1031" s="6" t="s">
        <v>1377</v>
      </c>
      <c r="S1031" s="4"/>
      <c r="T1031" s="1" t="s">
        <v>1360</v>
      </c>
      <c r="U1031" s="13"/>
      <c r="V1031" s="13"/>
      <c r="W1031" s="5" t="s">
        <v>1491</v>
      </c>
    </row>
    <row r="1032" spans="1:23" ht="150">
      <c r="A1032" s="1">
        <v>381189</v>
      </c>
      <c r="B1032" s="1">
        <v>1</v>
      </c>
      <c r="C1032" s="1">
        <v>252</v>
      </c>
      <c r="D1032" s="2" t="s">
        <v>1358</v>
      </c>
      <c r="E1032" s="5" t="s">
        <v>1358</v>
      </c>
      <c r="F1032" s="5">
        <v>14628</v>
      </c>
      <c r="G1032" s="2" t="s">
        <v>1494</v>
      </c>
      <c r="H1032" s="2" t="s">
        <v>1495</v>
      </c>
      <c r="I1032" s="2" t="s">
        <v>1496</v>
      </c>
      <c r="J1032" s="2" t="str">
        <f t="shared" si="32"/>
        <v>https://permalinkbnd.bnportugal.gov.pt/viewer/14628/?offset=#page=252&amp;viewer=picture&amp;o=info&amp;n=0&amp;q=</v>
      </c>
      <c r="K1032" s="1" t="s">
        <v>1359</v>
      </c>
      <c r="L1032" s="1" t="str">
        <f>VLOOKUP(A1032,Folha2!$A$2:$B$2019,2,FALSE)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2" s="12" t="str">
        <f t="shared" si="33"/>
        <v>https://permalinkbnd.bnportugal.gov.pt/viewer/14628/?offset=#page=252&amp;viewer=picture&amp;o=info&amp;n=0&amp;q=</v>
      </c>
      <c r="N1032" s="12" t="s">
        <v>1497</v>
      </c>
      <c r="O1032" s="12" t="str">
        <f>CONCATENATE(N1032,A1032,"\",B1032,"\",C1032,".jpg")</f>
        <v>C:\Users\mbaptista\OneDrive - Biblioteca Nacional de Portugal\Documentos\python\camoniana\imagens\capas\381189\1\252.jpg</v>
      </c>
      <c r="P1032" s="12" t="str">
        <f>HYPERLINK(O1032)</f>
        <v>C:\Users\mbaptista\OneDrive - Biblioteca Nacional de Portugal\Documentos\python\camoniana\imagens\capas\381189\1\252.jpg</v>
      </c>
      <c r="Q1032" s="12"/>
      <c r="R1032" s="6" t="s">
        <v>1378</v>
      </c>
      <c r="S1032" s="4"/>
      <c r="T1032" s="1" t="s">
        <v>1360</v>
      </c>
      <c r="U1032" s="13"/>
      <c r="V1032" s="13"/>
      <c r="W1032" s="5" t="s">
        <v>1491</v>
      </c>
    </row>
    <row r="1033" spans="1:23" ht="150">
      <c r="A1033" s="1">
        <v>381189</v>
      </c>
      <c r="B1033" s="1">
        <v>1</v>
      </c>
      <c r="C1033" s="1">
        <v>257</v>
      </c>
      <c r="D1033" s="2" t="s">
        <v>1358</v>
      </c>
      <c r="E1033" s="11" t="s">
        <v>1358</v>
      </c>
      <c r="F1033" s="11">
        <v>14628</v>
      </c>
      <c r="G1033" s="2" t="s">
        <v>1494</v>
      </c>
      <c r="H1033" s="2" t="s">
        <v>1495</v>
      </c>
      <c r="I1033" s="2" t="s">
        <v>1496</v>
      </c>
      <c r="J1033" s="2" t="str">
        <f t="shared" si="32"/>
        <v>https://permalinkbnd.bnportugal.gov.pt/viewer/14628/?offset=#page=257&amp;viewer=picture&amp;o=info&amp;n=0&amp;q=</v>
      </c>
      <c r="K1033" s="1" t="s">
        <v>1359</v>
      </c>
      <c r="L1033" s="1" t="str">
        <f>VLOOKUP(A1033,Folha2!$A$2:$B$2019,2,FALSE)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3" s="12" t="str">
        <f t="shared" si="33"/>
        <v>https://permalinkbnd.bnportugal.gov.pt/viewer/14628/?offset=#page=257&amp;viewer=picture&amp;o=info&amp;n=0&amp;q=</v>
      </c>
      <c r="N1033" s="12" t="s">
        <v>1497</v>
      </c>
      <c r="O1033" s="12" t="str">
        <f>CONCATENATE(N1033,A1033,"\",B1033,"\",C1033,".jpg")</f>
        <v>C:\Users\mbaptista\OneDrive - Biblioteca Nacional de Portugal\Documentos\python\camoniana\imagens\capas\381189\1\257.jpg</v>
      </c>
      <c r="P1033" s="12" t="str">
        <f>HYPERLINK(O1033)</f>
        <v>C:\Users\mbaptista\OneDrive - Biblioteca Nacional de Portugal\Documentos\python\camoniana\imagens\capas\381189\1\257.jpg</v>
      </c>
      <c r="Q1033" s="12"/>
      <c r="R1033" s="6"/>
      <c r="S1033" s="4"/>
      <c r="T1033" s="1"/>
      <c r="U1033" s="13"/>
      <c r="V1033" s="13"/>
      <c r="W1033" s="5"/>
    </row>
    <row r="1034" spans="1:23" ht="150">
      <c r="A1034" s="1">
        <v>381189</v>
      </c>
      <c r="B1034" s="1">
        <v>1</v>
      </c>
      <c r="C1034" s="1">
        <v>258</v>
      </c>
      <c r="D1034" s="2" t="s">
        <v>1358</v>
      </c>
      <c r="E1034" s="5" t="s">
        <v>1358</v>
      </c>
      <c r="F1034" s="5">
        <v>14628</v>
      </c>
      <c r="G1034" s="2" t="s">
        <v>1494</v>
      </c>
      <c r="H1034" s="2" t="s">
        <v>1495</v>
      </c>
      <c r="I1034" s="2" t="s">
        <v>1496</v>
      </c>
      <c r="J1034" s="2" t="str">
        <f t="shared" si="32"/>
        <v>https://permalinkbnd.bnportugal.gov.pt/viewer/14628/?offset=#page=258&amp;viewer=picture&amp;o=info&amp;n=0&amp;q=</v>
      </c>
      <c r="K1034" s="1" t="s">
        <v>1359</v>
      </c>
      <c r="L1034" s="1" t="str">
        <f>VLOOKUP(A1034,Folha2!$A$2:$B$2019,2,FALSE)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4" s="12" t="str">
        <f t="shared" si="33"/>
        <v>https://permalinkbnd.bnportugal.gov.pt/viewer/14628/?offset=#page=258&amp;viewer=picture&amp;o=info&amp;n=0&amp;q=</v>
      </c>
      <c r="N1034" s="12" t="s">
        <v>1497</v>
      </c>
      <c r="O1034" s="12" t="str">
        <f>CONCATENATE(N1034,A1034,"\",B1034,"\",C1034,".jpg")</f>
        <v>C:\Users\mbaptista\OneDrive - Biblioteca Nacional de Portugal\Documentos\python\camoniana\imagens\capas\381189\1\258.jpg</v>
      </c>
      <c r="P1034" s="12" t="str">
        <f>HYPERLINK(O1034)</f>
        <v>C:\Users\mbaptista\OneDrive - Biblioteca Nacional de Portugal\Documentos\python\camoniana\imagens\capas\381189\1\258.jpg</v>
      </c>
      <c r="Q1034" s="12"/>
      <c r="R1034" s="6" t="s">
        <v>1379</v>
      </c>
      <c r="S1034" s="4"/>
      <c r="T1034" s="1" t="s">
        <v>1360</v>
      </c>
      <c r="U1034" s="13"/>
      <c r="V1034" s="13"/>
      <c r="W1034" s="5" t="s">
        <v>1491</v>
      </c>
    </row>
    <row r="1035" spans="1:23" ht="150">
      <c r="A1035" s="1">
        <v>381189</v>
      </c>
      <c r="B1035" s="1">
        <v>1</v>
      </c>
      <c r="C1035" s="1">
        <v>260</v>
      </c>
      <c r="D1035" s="2" t="s">
        <v>1358</v>
      </c>
      <c r="E1035" s="11" t="s">
        <v>1358</v>
      </c>
      <c r="F1035" s="11">
        <v>14628</v>
      </c>
      <c r="G1035" s="2" t="s">
        <v>1494</v>
      </c>
      <c r="H1035" s="2" t="s">
        <v>1495</v>
      </c>
      <c r="I1035" s="2" t="s">
        <v>1496</v>
      </c>
      <c r="J1035" s="2" t="str">
        <f t="shared" si="32"/>
        <v>https://permalinkbnd.bnportugal.gov.pt/viewer/14628/?offset=#page=260&amp;viewer=picture&amp;o=info&amp;n=0&amp;q=</v>
      </c>
      <c r="K1035" s="1" t="s">
        <v>1359</v>
      </c>
      <c r="L1035" s="1" t="str">
        <f>VLOOKUP(A1035,Folha2!$A$2:$B$2019,2,FALSE)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5" s="12" t="str">
        <f t="shared" si="33"/>
        <v>https://permalinkbnd.bnportugal.gov.pt/viewer/14628/?offset=#page=260&amp;viewer=picture&amp;o=info&amp;n=0&amp;q=</v>
      </c>
      <c r="N1035" s="12" t="s">
        <v>1497</v>
      </c>
      <c r="O1035" s="12" t="str">
        <f>CONCATENATE(N1035,A1035,"\",B1035,"\",C1035,".jpg")</f>
        <v>C:\Users\mbaptista\OneDrive - Biblioteca Nacional de Portugal\Documentos\python\camoniana\imagens\capas\381189\1\260.jpg</v>
      </c>
      <c r="P1035" s="12" t="str">
        <f>HYPERLINK(O1035)</f>
        <v>C:\Users\mbaptista\OneDrive - Biblioteca Nacional de Portugal\Documentos\python\camoniana\imagens\capas\381189\1\260.jpg</v>
      </c>
      <c r="Q1035" s="12"/>
      <c r="R1035" s="6" t="s">
        <v>1380</v>
      </c>
      <c r="S1035" s="4"/>
      <c r="T1035" s="1" t="s">
        <v>1360</v>
      </c>
      <c r="U1035" s="13"/>
      <c r="V1035" s="13"/>
      <c r="W1035" s="5" t="s">
        <v>1491</v>
      </c>
    </row>
    <row r="1036" spans="1:23" ht="150">
      <c r="A1036" s="1">
        <v>381189</v>
      </c>
      <c r="B1036" s="1">
        <v>1</v>
      </c>
      <c r="C1036" s="1">
        <v>277</v>
      </c>
      <c r="D1036" s="2" t="s">
        <v>1358</v>
      </c>
      <c r="E1036" s="5" t="s">
        <v>1358</v>
      </c>
      <c r="F1036" s="5">
        <v>14628</v>
      </c>
      <c r="G1036" s="2" t="s">
        <v>1494</v>
      </c>
      <c r="H1036" s="2" t="s">
        <v>1495</v>
      </c>
      <c r="I1036" s="2" t="s">
        <v>1496</v>
      </c>
      <c r="J1036" s="2" t="str">
        <f t="shared" si="32"/>
        <v>https://permalinkbnd.bnportugal.gov.pt/viewer/14628/?offset=#page=277&amp;viewer=picture&amp;o=info&amp;n=0&amp;q=</v>
      </c>
      <c r="K1036" s="1" t="s">
        <v>1359</v>
      </c>
      <c r="L1036" s="1" t="str">
        <f>VLOOKUP(A1036,Folha2!$A$2:$B$2019,2,FALSE)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6" s="12" t="str">
        <f t="shared" si="33"/>
        <v>https://permalinkbnd.bnportugal.gov.pt/viewer/14628/?offset=#page=277&amp;viewer=picture&amp;o=info&amp;n=0&amp;q=</v>
      </c>
      <c r="N1036" s="12" t="s">
        <v>1497</v>
      </c>
      <c r="O1036" s="12" t="str">
        <f>CONCATENATE(N1036,A1036,"\",B1036,"\",C1036,".jpg")</f>
        <v>C:\Users\mbaptista\OneDrive - Biblioteca Nacional de Portugal\Documentos\python\camoniana\imagens\capas\381189\1\277.jpg</v>
      </c>
      <c r="P1036" s="12" t="str">
        <f>HYPERLINK(O1036)</f>
        <v>C:\Users\mbaptista\OneDrive - Biblioteca Nacional de Portugal\Documentos\python\camoniana\imagens\capas\381189\1\277.jpg</v>
      </c>
      <c r="Q1036" s="12"/>
      <c r="R1036" s="6" t="s">
        <v>1381</v>
      </c>
      <c r="S1036" s="4"/>
      <c r="T1036" s="1" t="s">
        <v>1360</v>
      </c>
      <c r="U1036" s="13"/>
      <c r="V1036" s="13"/>
      <c r="W1036" s="5" t="s">
        <v>1491</v>
      </c>
    </row>
    <row r="1037" spans="1:23" ht="150">
      <c r="A1037" s="1">
        <v>381189</v>
      </c>
      <c r="B1037" s="1">
        <v>1</v>
      </c>
      <c r="C1037" s="1">
        <v>291</v>
      </c>
      <c r="D1037" s="2" t="s">
        <v>1358</v>
      </c>
      <c r="E1037" s="11" t="s">
        <v>1358</v>
      </c>
      <c r="F1037" s="11">
        <v>14628</v>
      </c>
      <c r="G1037" s="2" t="s">
        <v>1494</v>
      </c>
      <c r="H1037" s="2" t="s">
        <v>1495</v>
      </c>
      <c r="I1037" s="2" t="s">
        <v>1496</v>
      </c>
      <c r="J1037" s="2" t="str">
        <f t="shared" si="32"/>
        <v>https://permalinkbnd.bnportugal.gov.pt/viewer/14628/?offset=#page=291&amp;viewer=picture&amp;o=info&amp;n=0&amp;q=</v>
      </c>
      <c r="K1037" s="1" t="s">
        <v>1359</v>
      </c>
      <c r="L1037" s="1" t="str">
        <f>VLOOKUP(A1037,Folha2!$A$2:$B$2019,2,FALSE)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7" s="12" t="str">
        <f t="shared" si="33"/>
        <v>https://permalinkbnd.bnportugal.gov.pt/viewer/14628/?offset=#page=291&amp;viewer=picture&amp;o=info&amp;n=0&amp;q=</v>
      </c>
      <c r="N1037" s="12" t="s">
        <v>1497</v>
      </c>
      <c r="O1037" s="12" t="str">
        <f>CONCATENATE(N1037,A1037,"\",B1037,"\",C1037,".jpg")</f>
        <v>C:\Users\mbaptista\OneDrive - Biblioteca Nacional de Portugal\Documentos\python\camoniana\imagens\capas\381189\1\291.jpg</v>
      </c>
      <c r="P1037" s="12" t="str">
        <f>HYPERLINK(O1037)</f>
        <v>C:\Users\mbaptista\OneDrive - Biblioteca Nacional de Portugal\Documentos\python\camoniana\imagens\capas\381189\1\291.jpg</v>
      </c>
      <c r="Q1037" s="12"/>
      <c r="R1037" s="6" t="s">
        <v>1382</v>
      </c>
      <c r="S1037" s="4"/>
      <c r="T1037" s="1" t="s">
        <v>1360</v>
      </c>
      <c r="U1037" s="13"/>
      <c r="V1037" s="13"/>
      <c r="W1037" s="5" t="s">
        <v>1491</v>
      </c>
    </row>
    <row r="1038" spans="1:23" ht="150">
      <c r="A1038" s="1">
        <v>381189</v>
      </c>
      <c r="B1038" s="1">
        <v>1</v>
      </c>
      <c r="C1038" s="1">
        <v>299</v>
      </c>
      <c r="D1038" s="2" t="s">
        <v>1358</v>
      </c>
      <c r="E1038" s="5" t="s">
        <v>1358</v>
      </c>
      <c r="F1038" s="5">
        <v>14628</v>
      </c>
      <c r="G1038" s="2" t="s">
        <v>1494</v>
      </c>
      <c r="H1038" s="2" t="s">
        <v>1495</v>
      </c>
      <c r="I1038" s="2" t="s">
        <v>1496</v>
      </c>
      <c r="J1038" s="2" t="str">
        <f t="shared" si="32"/>
        <v>https://permalinkbnd.bnportugal.gov.pt/viewer/14628/?offset=#page=299&amp;viewer=picture&amp;o=info&amp;n=0&amp;q=</v>
      </c>
      <c r="K1038" s="1" t="s">
        <v>1359</v>
      </c>
      <c r="L1038" s="1" t="str">
        <f>VLOOKUP(A1038,Folha2!$A$2:$B$2019,2,FALSE)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8" s="12" t="str">
        <f t="shared" si="33"/>
        <v>https://permalinkbnd.bnportugal.gov.pt/viewer/14628/?offset=#page=299&amp;viewer=picture&amp;o=info&amp;n=0&amp;q=</v>
      </c>
      <c r="N1038" s="12" t="s">
        <v>1497</v>
      </c>
      <c r="O1038" s="12" t="str">
        <f>CONCATENATE(N1038,A1038,"\",B1038,"\",C1038,".jpg")</f>
        <v>C:\Users\mbaptista\OneDrive - Biblioteca Nacional de Portugal\Documentos\python\camoniana\imagens\capas\381189\1\299.jpg</v>
      </c>
      <c r="P1038" s="12" t="str">
        <f>HYPERLINK(O1038)</f>
        <v>C:\Users\mbaptista\OneDrive - Biblioteca Nacional de Portugal\Documentos\python\camoniana\imagens\capas\381189\1\299.jpg</v>
      </c>
      <c r="Q1038" s="12"/>
      <c r="R1038" s="6" t="s">
        <v>1383</v>
      </c>
      <c r="S1038" s="4"/>
      <c r="T1038" s="1" t="s">
        <v>1360</v>
      </c>
      <c r="U1038" s="13"/>
      <c r="V1038" s="13"/>
      <c r="W1038" s="5" t="s">
        <v>1491</v>
      </c>
    </row>
    <row r="1039" spans="1:23" ht="150">
      <c r="A1039" s="1">
        <v>381189</v>
      </c>
      <c r="B1039" s="1">
        <v>1</v>
      </c>
      <c r="C1039" s="1">
        <v>301</v>
      </c>
      <c r="D1039" s="2" t="s">
        <v>1358</v>
      </c>
      <c r="E1039" s="11" t="s">
        <v>1358</v>
      </c>
      <c r="F1039" s="11">
        <v>14628</v>
      </c>
      <c r="G1039" s="2" t="s">
        <v>1494</v>
      </c>
      <c r="H1039" s="2" t="s">
        <v>1495</v>
      </c>
      <c r="I1039" s="2" t="s">
        <v>1496</v>
      </c>
      <c r="J1039" s="2" t="str">
        <f t="shared" si="32"/>
        <v>https://permalinkbnd.bnportugal.gov.pt/viewer/14628/?offset=#page=301&amp;viewer=picture&amp;o=info&amp;n=0&amp;q=</v>
      </c>
      <c r="K1039" s="1" t="s">
        <v>1359</v>
      </c>
      <c r="L1039" s="1" t="str">
        <f>VLOOKUP(A1039,Folha2!$A$2:$B$2019,2,FALSE)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9" s="12" t="str">
        <f t="shared" si="33"/>
        <v>https://permalinkbnd.bnportugal.gov.pt/viewer/14628/?offset=#page=301&amp;viewer=picture&amp;o=info&amp;n=0&amp;q=</v>
      </c>
      <c r="N1039" s="12" t="s">
        <v>1497</v>
      </c>
      <c r="O1039" s="12" t="str">
        <f>CONCATENATE(N1039,A1039,"\",B1039,"\",C1039,".jpg")</f>
        <v>C:\Users\mbaptista\OneDrive - Biblioteca Nacional de Portugal\Documentos\python\camoniana\imagens\capas\381189\1\301.jpg</v>
      </c>
      <c r="P1039" s="12" t="str">
        <f>HYPERLINK(O1039)</f>
        <v>C:\Users\mbaptista\OneDrive - Biblioteca Nacional de Portugal\Documentos\python\camoniana\imagens\capas\381189\1\301.jpg</v>
      </c>
      <c r="Q1039" s="12"/>
      <c r="R1039" s="6" t="s">
        <v>1384</v>
      </c>
      <c r="S1039" s="4"/>
      <c r="T1039" s="1" t="s">
        <v>1360</v>
      </c>
      <c r="U1039" s="13"/>
      <c r="V1039" s="13"/>
      <c r="W1039" s="5" t="s">
        <v>1491</v>
      </c>
    </row>
    <row r="1040" spans="1:23" ht="150">
      <c r="A1040" s="1">
        <v>381189</v>
      </c>
      <c r="B1040" s="1">
        <v>1</v>
      </c>
      <c r="C1040" s="1">
        <v>311</v>
      </c>
      <c r="D1040" s="2" t="s">
        <v>1358</v>
      </c>
      <c r="E1040" s="5" t="s">
        <v>1358</v>
      </c>
      <c r="F1040" s="5">
        <v>14628</v>
      </c>
      <c r="G1040" s="2" t="s">
        <v>1494</v>
      </c>
      <c r="H1040" s="2" t="s">
        <v>1495</v>
      </c>
      <c r="I1040" s="2" t="s">
        <v>1496</v>
      </c>
      <c r="J1040" s="2" t="str">
        <f t="shared" si="32"/>
        <v>https://permalinkbnd.bnportugal.gov.pt/viewer/14628/?offset=#page=311&amp;viewer=picture&amp;o=info&amp;n=0&amp;q=</v>
      </c>
      <c r="K1040" s="1" t="s">
        <v>1359</v>
      </c>
      <c r="L1040" s="1" t="str">
        <f>VLOOKUP(A1040,Folha2!$A$2:$B$2019,2,FALSE)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0" s="12" t="str">
        <f t="shared" si="33"/>
        <v>https://permalinkbnd.bnportugal.gov.pt/viewer/14628/?offset=#page=311&amp;viewer=picture&amp;o=info&amp;n=0&amp;q=</v>
      </c>
      <c r="N1040" s="12" t="s">
        <v>1497</v>
      </c>
      <c r="O1040" s="12" t="str">
        <f>CONCATENATE(N1040,A1040,"\",B1040,"\",C1040,".jpg")</f>
        <v>C:\Users\mbaptista\OneDrive - Biblioteca Nacional de Portugal\Documentos\python\camoniana\imagens\capas\381189\1\311.jpg</v>
      </c>
      <c r="P1040" s="12" t="str">
        <f>HYPERLINK(O1040)</f>
        <v>C:\Users\mbaptista\OneDrive - Biblioteca Nacional de Portugal\Documentos\python\camoniana\imagens\capas\381189\1\311.jpg</v>
      </c>
      <c r="Q1040" s="12"/>
      <c r="R1040" s="6" t="s">
        <v>1385</v>
      </c>
      <c r="S1040" s="4"/>
      <c r="T1040" s="1" t="s">
        <v>1360</v>
      </c>
      <c r="U1040" s="13"/>
      <c r="V1040" s="13"/>
      <c r="W1040" s="5" t="s">
        <v>1491</v>
      </c>
    </row>
    <row r="1041" spans="1:23" ht="150">
      <c r="A1041" s="1">
        <v>381189</v>
      </c>
      <c r="B1041" s="1">
        <v>1</v>
      </c>
      <c r="C1041" s="1">
        <v>334</v>
      </c>
      <c r="D1041" s="2" t="s">
        <v>1358</v>
      </c>
      <c r="E1041" s="11" t="s">
        <v>1358</v>
      </c>
      <c r="F1041" s="11">
        <v>14628</v>
      </c>
      <c r="G1041" s="2" t="s">
        <v>1494</v>
      </c>
      <c r="H1041" s="2" t="s">
        <v>1495</v>
      </c>
      <c r="I1041" s="2" t="s">
        <v>1496</v>
      </c>
      <c r="J1041" s="2" t="str">
        <f t="shared" si="32"/>
        <v>https://permalinkbnd.bnportugal.gov.pt/viewer/14628/?offset=#page=334&amp;viewer=picture&amp;o=info&amp;n=0&amp;q=</v>
      </c>
      <c r="K1041" s="1" t="s">
        <v>1359</v>
      </c>
      <c r="L1041" s="1" t="str">
        <f>VLOOKUP(A1041,Folha2!$A$2:$B$2019,2,FALSE)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1" s="12" t="str">
        <f t="shared" si="33"/>
        <v>https://permalinkbnd.bnportugal.gov.pt/viewer/14628/?offset=#page=334&amp;viewer=picture&amp;o=info&amp;n=0&amp;q=</v>
      </c>
      <c r="N1041" s="12" t="s">
        <v>1497</v>
      </c>
      <c r="O1041" s="12" t="str">
        <f>CONCATENATE(N1041,A1041,"\",B1041,"\",C1041,".jpg")</f>
        <v>C:\Users\mbaptista\OneDrive - Biblioteca Nacional de Portugal\Documentos\python\camoniana\imagens\capas\381189\1\334.jpg</v>
      </c>
      <c r="P1041" s="12" t="str">
        <f>HYPERLINK(O1041)</f>
        <v>C:\Users\mbaptista\OneDrive - Biblioteca Nacional de Portugal\Documentos\python\camoniana\imagens\capas\381189\1\334.jpg</v>
      </c>
      <c r="Q1041" s="12"/>
      <c r="R1041" s="6" t="s">
        <v>1386</v>
      </c>
      <c r="S1041" s="4"/>
      <c r="T1041" s="1" t="s">
        <v>1360</v>
      </c>
      <c r="U1041" s="13"/>
      <c r="V1041" s="13"/>
      <c r="W1041" s="5" t="s">
        <v>1491</v>
      </c>
    </row>
    <row r="1042" spans="1:23" ht="150">
      <c r="A1042" s="1">
        <v>381189</v>
      </c>
      <c r="B1042" s="1">
        <v>1</v>
      </c>
      <c r="C1042" s="1">
        <v>339</v>
      </c>
      <c r="D1042" s="2" t="s">
        <v>1358</v>
      </c>
      <c r="E1042" s="5" t="s">
        <v>1358</v>
      </c>
      <c r="F1042" s="5">
        <v>14628</v>
      </c>
      <c r="G1042" s="2" t="s">
        <v>1494</v>
      </c>
      <c r="H1042" s="2" t="s">
        <v>1495</v>
      </c>
      <c r="I1042" s="2" t="s">
        <v>1496</v>
      </c>
      <c r="J1042" s="2" t="str">
        <f t="shared" si="32"/>
        <v>https://permalinkbnd.bnportugal.gov.pt/viewer/14628/?offset=#page=339&amp;viewer=picture&amp;o=info&amp;n=0&amp;q=</v>
      </c>
      <c r="K1042" s="1" t="s">
        <v>1359</v>
      </c>
      <c r="L1042" s="1" t="str">
        <f>VLOOKUP(A1042,Folha2!$A$2:$B$2019,2,FALSE)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2" s="12" t="str">
        <f t="shared" si="33"/>
        <v>https://permalinkbnd.bnportugal.gov.pt/viewer/14628/?offset=#page=339&amp;viewer=picture&amp;o=info&amp;n=0&amp;q=</v>
      </c>
      <c r="N1042" s="12" t="s">
        <v>1497</v>
      </c>
      <c r="O1042" s="12" t="str">
        <f>CONCATENATE(N1042,A1042,"\",B1042,"\",C1042,".jpg")</f>
        <v>C:\Users\mbaptista\OneDrive - Biblioteca Nacional de Portugal\Documentos\python\camoniana\imagens\capas\381189\1\339.jpg</v>
      </c>
      <c r="P1042" s="12" t="str">
        <f>HYPERLINK(O1042)</f>
        <v>C:\Users\mbaptista\OneDrive - Biblioteca Nacional de Portugal\Documentos\python\camoniana\imagens\capas\381189\1\339.jpg</v>
      </c>
      <c r="Q1042" s="12"/>
      <c r="R1042" s="6"/>
      <c r="S1042" s="4"/>
      <c r="T1042" s="1"/>
      <c r="U1042" s="13"/>
      <c r="V1042" s="13"/>
      <c r="W1042" s="5"/>
    </row>
    <row r="1043" spans="1:23" ht="150">
      <c r="A1043" s="1">
        <v>381189</v>
      </c>
      <c r="B1043" s="1">
        <v>1</v>
      </c>
      <c r="C1043" s="1">
        <v>340</v>
      </c>
      <c r="D1043" s="2" t="s">
        <v>1358</v>
      </c>
      <c r="E1043" s="11" t="s">
        <v>1358</v>
      </c>
      <c r="F1043" s="11">
        <v>14628</v>
      </c>
      <c r="G1043" s="2" t="s">
        <v>1494</v>
      </c>
      <c r="H1043" s="2" t="s">
        <v>1495</v>
      </c>
      <c r="I1043" s="2" t="s">
        <v>1496</v>
      </c>
      <c r="J1043" s="2" t="str">
        <f t="shared" si="32"/>
        <v>https://permalinkbnd.bnportugal.gov.pt/viewer/14628/?offset=#page=340&amp;viewer=picture&amp;o=info&amp;n=0&amp;q=</v>
      </c>
      <c r="K1043" s="1" t="s">
        <v>1359</v>
      </c>
      <c r="L1043" s="1" t="str">
        <f>VLOOKUP(A1043,Folha2!$A$2:$B$2019,2,FALSE)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3" s="12" t="str">
        <f t="shared" si="33"/>
        <v>https://permalinkbnd.bnportugal.gov.pt/viewer/14628/?offset=#page=340&amp;viewer=picture&amp;o=info&amp;n=0&amp;q=</v>
      </c>
      <c r="N1043" s="12" t="s">
        <v>1497</v>
      </c>
      <c r="O1043" s="12" t="str">
        <f>CONCATENATE(N1043,A1043,"\",B1043,"\",C1043,".jpg")</f>
        <v>C:\Users\mbaptista\OneDrive - Biblioteca Nacional de Portugal\Documentos\python\camoniana\imagens\capas\381189\1\340.jpg</v>
      </c>
      <c r="P1043" s="12" t="str">
        <f>HYPERLINK(O1043)</f>
        <v>C:\Users\mbaptista\OneDrive - Biblioteca Nacional de Portugal\Documentos\python\camoniana\imagens\capas\381189\1\340.jpg</v>
      </c>
      <c r="Q1043" s="12"/>
      <c r="R1043" s="6" t="s">
        <v>1387</v>
      </c>
      <c r="S1043" s="4"/>
      <c r="T1043" s="1" t="s">
        <v>1360</v>
      </c>
      <c r="U1043" s="13"/>
      <c r="V1043" s="13"/>
      <c r="W1043" s="5" t="s">
        <v>1491</v>
      </c>
    </row>
    <row r="1044" spans="1:23" ht="150">
      <c r="A1044" s="1">
        <v>381189</v>
      </c>
      <c r="B1044" s="1">
        <v>1</v>
      </c>
      <c r="C1044" s="1">
        <v>342</v>
      </c>
      <c r="D1044" s="2" t="s">
        <v>1358</v>
      </c>
      <c r="E1044" s="5" t="s">
        <v>1358</v>
      </c>
      <c r="F1044" s="5">
        <v>14628</v>
      </c>
      <c r="G1044" s="2" t="s">
        <v>1494</v>
      </c>
      <c r="H1044" s="2" t="s">
        <v>1495</v>
      </c>
      <c r="I1044" s="2" t="s">
        <v>1496</v>
      </c>
      <c r="J1044" s="2" t="str">
        <f t="shared" si="32"/>
        <v>https://permalinkbnd.bnportugal.gov.pt/viewer/14628/?offset=#page=342&amp;viewer=picture&amp;o=info&amp;n=0&amp;q=</v>
      </c>
      <c r="K1044" s="1" t="s">
        <v>1359</v>
      </c>
      <c r="L1044" s="1" t="str">
        <f>VLOOKUP(A1044,Folha2!$A$2:$B$2019,2,FALSE)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4" s="12" t="str">
        <f t="shared" si="33"/>
        <v>https://permalinkbnd.bnportugal.gov.pt/viewer/14628/?offset=#page=342&amp;viewer=picture&amp;o=info&amp;n=0&amp;q=</v>
      </c>
      <c r="N1044" s="12" t="s">
        <v>1497</v>
      </c>
      <c r="O1044" s="12" t="str">
        <f>CONCATENATE(N1044,A1044,"\",B1044,"\",C1044,".jpg")</f>
        <v>C:\Users\mbaptista\OneDrive - Biblioteca Nacional de Portugal\Documentos\python\camoniana\imagens\capas\381189\1\342.jpg</v>
      </c>
      <c r="P1044" s="12" t="str">
        <f>HYPERLINK(O1044)</f>
        <v>C:\Users\mbaptista\OneDrive - Biblioteca Nacional de Portugal\Documentos\python\camoniana\imagens\capas\381189\1\342.jpg</v>
      </c>
      <c r="Q1044" s="12"/>
      <c r="R1044" s="6" t="s">
        <v>1388</v>
      </c>
      <c r="S1044" s="4"/>
      <c r="T1044" s="1" t="s">
        <v>1360</v>
      </c>
      <c r="U1044" s="13"/>
      <c r="V1044" s="13"/>
      <c r="W1044" s="5" t="s">
        <v>1491</v>
      </c>
    </row>
    <row r="1045" spans="1:23" ht="150">
      <c r="A1045" s="1">
        <v>381189</v>
      </c>
      <c r="B1045" s="1">
        <v>1</v>
      </c>
      <c r="C1045" s="1">
        <v>357</v>
      </c>
      <c r="D1045" s="2" t="s">
        <v>1358</v>
      </c>
      <c r="E1045" s="11" t="s">
        <v>1358</v>
      </c>
      <c r="F1045" s="11">
        <v>14628</v>
      </c>
      <c r="G1045" s="2" t="s">
        <v>1494</v>
      </c>
      <c r="H1045" s="2" t="s">
        <v>1495</v>
      </c>
      <c r="I1045" s="2" t="s">
        <v>1496</v>
      </c>
      <c r="J1045" s="2" t="str">
        <f t="shared" si="32"/>
        <v>https://permalinkbnd.bnportugal.gov.pt/viewer/14628/?offset=#page=357&amp;viewer=picture&amp;o=info&amp;n=0&amp;q=</v>
      </c>
      <c r="K1045" s="1" t="s">
        <v>1359</v>
      </c>
      <c r="L1045" s="1" t="str">
        <f>VLOOKUP(A1045,Folha2!$A$2:$B$2019,2,FALSE)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5" s="12" t="str">
        <f t="shared" si="33"/>
        <v>https://permalinkbnd.bnportugal.gov.pt/viewer/14628/?offset=#page=357&amp;viewer=picture&amp;o=info&amp;n=0&amp;q=</v>
      </c>
      <c r="N1045" s="12" t="s">
        <v>1497</v>
      </c>
      <c r="O1045" s="12" t="str">
        <f>CONCATENATE(N1045,A1045,"\",B1045,"\",C1045,".jpg")</f>
        <v>C:\Users\mbaptista\OneDrive - Biblioteca Nacional de Portugal\Documentos\python\camoniana\imagens\capas\381189\1\357.jpg</v>
      </c>
      <c r="P1045" s="12" t="str">
        <f>HYPERLINK(O1045)</f>
        <v>C:\Users\mbaptista\OneDrive - Biblioteca Nacional de Portugal\Documentos\python\camoniana\imagens\capas\381189\1\357.jpg</v>
      </c>
      <c r="Q1045" s="12"/>
      <c r="R1045" s="6" t="s">
        <v>1389</v>
      </c>
      <c r="S1045" s="4"/>
      <c r="T1045" s="1" t="s">
        <v>1360</v>
      </c>
      <c r="U1045" s="13"/>
      <c r="V1045" s="13"/>
      <c r="W1045" s="5" t="s">
        <v>1491</v>
      </c>
    </row>
    <row r="1046" spans="1:23" ht="150">
      <c r="A1046" s="1">
        <v>381189</v>
      </c>
      <c r="B1046" s="1">
        <v>1</v>
      </c>
      <c r="C1046" s="1">
        <v>371</v>
      </c>
      <c r="D1046" s="2" t="s">
        <v>1358</v>
      </c>
      <c r="E1046" s="5" t="s">
        <v>1358</v>
      </c>
      <c r="F1046" s="5">
        <v>14628</v>
      </c>
      <c r="G1046" s="2" t="s">
        <v>1494</v>
      </c>
      <c r="H1046" s="2" t="s">
        <v>1495</v>
      </c>
      <c r="I1046" s="2" t="s">
        <v>1496</v>
      </c>
      <c r="J1046" s="2" t="str">
        <f t="shared" si="32"/>
        <v>https://permalinkbnd.bnportugal.gov.pt/viewer/14628/?offset=#page=371&amp;viewer=picture&amp;o=info&amp;n=0&amp;q=</v>
      </c>
      <c r="K1046" s="1" t="s">
        <v>1359</v>
      </c>
      <c r="L1046" s="1" t="str">
        <f>VLOOKUP(A1046,Folha2!$A$2:$B$2019,2,FALSE)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6" s="12" t="str">
        <f t="shared" si="33"/>
        <v>https://permalinkbnd.bnportugal.gov.pt/viewer/14628/?offset=#page=371&amp;viewer=picture&amp;o=info&amp;n=0&amp;q=</v>
      </c>
      <c r="N1046" s="12" t="s">
        <v>1497</v>
      </c>
      <c r="O1046" s="12" t="str">
        <f>CONCATENATE(N1046,A1046,"\",B1046,"\",C1046,".jpg")</f>
        <v>C:\Users\mbaptista\OneDrive - Biblioteca Nacional de Portugal\Documentos\python\camoniana\imagens\capas\381189\1\371.jpg</v>
      </c>
      <c r="P1046" s="12" t="str">
        <f>HYPERLINK(O1046)</f>
        <v>C:\Users\mbaptista\OneDrive - Biblioteca Nacional de Portugal\Documentos\python\camoniana\imagens\capas\381189\1\371.jpg</v>
      </c>
      <c r="Q1046" s="12"/>
      <c r="R1046" s="6" t="s">
        <v>1390</v>
      </c>
      <c r="S1046" s="4"/>
      <c r="T1046" s="1" t="s">
        <v>1360</v>
      </c>
      <c r="U1046" s="13"/>
      <c r="V1046" s="13"/>
      <c r="W1046" s="5" t="s">
        <v>1491</v>
      </c>
    </row>
    <row r="1047" spans="1:23" ht="150">
      <c r="A1047" s="1">
        <v>381189</v>
      </c>
      <c r="B1047" s="1">
        <v>1</v>
      </c>
      <c r="C1047" s="1">
        <v>376</v>
      </c>
      <c r="D1047" s="2" t="s">
        <v>1358</v>
      </c>
      <c r="E1047" s="11" t="s">
        <v>1358</v>
      </c>
      <c r="F1047" s="11">
        <v>14628</v>
      </c>
      <c r="G1047" s="2" t="s">
        <v>1494</v>
      </c>
      <c r="H1047" s="2" t="s">
        <v>1495</v>
      </c>
      <c r="I1047" s="2" t="s">
        <v>1496</v>
      </c>
      <c r="J1047" s="2" t="str">
        <f t="shared" si="32"/>
        <v>https://permalinkbnd.bnportugal.gov.pt/viewer/14628/?offset=#page=376&amp;viewer=picture&amp;o=info&amp;n=0&amp;q=</v>
      </c>
      <c r="K1047" s="1" t="s">
        <v>1359</v>
      </c>
      <c r="L1047" s="1" t="str">
        <f>VLOOKUP(A1047,Folha2!$A$2:$B$2019,2,FALSE)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7" s="12" t="str">
        <f t="shared" si="33"/>
        <v>https://permalinkbnd.bnportugal.gov.pt/viewer/14628/?offset=#page=376&amp;viewer=picture&amp;o=info&amp;n=0&amp;q=</v>
      </c>
      <c r="N1047" s="12" t="s">
        <v>1497</v>
      </c>
      <c r="O1047" s="12" t="str">
        <f>CONCATENATE(N1047,A1047,"\",B1047,"\",C1047,".jpg")</f>
        <v>C:\Users\mbaptista\OneDrive - Biblioteca Nacional de Portugal\Documentos\python\camoniana\imagens\capas\381189\1\376.jpg</v>
      </c>
      <c r="P1047" s="12" t="str">
        <f>HYPERLINK(O1047)</f>
        <v>C:\Users\mbaptista\OneDrive - Biblioteca Nacional de Portugal\Documentos\python\camoniana\imagens\capas\381189\1\376.jpg</v>
      </c>
      <c r="Q1047" s="12"/>
      <c r="R1047" s="6"/>
      <c r="S1047" s="4"/>
      <c r="T1047" s="1"/>
      <c r="U1047" s="13"/>
      <c r="V1047" s="13"/>
      <c r="W1047" s="5"/>
    </row>
    <row r="1048" spans="1:23" ht="150">
      <c r="A1048" s="1">
        <v>381189</v>
      </c>
      <c r="B1048" s="1">
        <v>1</v>
      </c>
      <c r="C1048" s="1">
        <v>377</v>
      </c>
      <c r="D1048" s="2" t="s">
        <v>1358</v>
      </c>
      <c r="E1048" s="5" t="s">
        <v>1358</v>
      </c>
      <c r="F1048" s="5">
        <v>14628</v>
      </c>
      <c r="G1048" s="2" t="s">
        <v>1494</v>
      </c>
      <c r="H1048" s="2" t="s">
        <v>1495</v>
      </c>
      <c r="I1048" s="2" t="s">
        <v>1496</v>
      </c>
      <c r="J1048" s="2" t="str">
        <f t="shared" si="32"/>
        <v>https://permalinkbnd.bnportugal.gov.pt/viewer/14628/?offset=#page=377&amp;viewer=picture&amp;o=info&amp;n=0&amp;q=</v>
      </c>
      <c r="K1048" s="1" t="s">
        <v>1359</v>
      </c>
      <c r="L1048" s="1" t="str">
        <f>VLOOKUP(A1048,Folha2!$A$2:$B$2019,2,FALSE)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8" s="12" t="str">
        <f t="shared" si="33"/>
        <v>https://permalinkbnd.bnportugal.gov.pt/viewer/14628/?offset=#page=377&amp;viewer=picture&amp;o=info&amp;n=0&amp;q=</v>
      </c>
      <c r="N1048" s="12" t="s">
        <v>1497</v>
      </c>
      <c r="O1048" s="12" t="str">
        <f>CONCATENATE(N1048,A1048,"\",B1048,"\",C1048,".jpg")</f>
        <v>C:\Users\mbaptista\OneDrive - Biblioteca Nacional de Portugal\Documentos\python\camoniana\imagens\capas\381189\1\377.jpg</v>
      </c>
      <c r="P1048" s="12" t="str">
        <f>HYPERLINK(O1048)</f>
        <v>C:\Users\mbaptista\OneDrive - Biblioteca Nacional de Portugal\Documentos\python\camoniana\imagens\capas\381189\1\377.jpg</v>
      </c>
      <c r="Q1048" s="12"/>
      <c r="R1048" s="6" t="s">
        <v>1391</v>
      </c>
      <c r="S1048" s="4"/>
      <c r="T1048" s="1" t="s">
        <v>1360</v>
      </c>
      <c r="U1048" s="13"/>
      <c r="V1048" s="13"/>
      <c r="W1048" s="5" t="s">
        <v>1491</v>
      </c>
    </row>
    <row r="1049" spans="1:23" ht="150">
      <c r="A1049" s="1">
        <v>381189</v>
      </c>
      <c r="B1049" s="1">
        <v>1</v>
      </c>
      <c r="C1049" s="1">
        <v>379</v>
      </c>
      <c r="D1049" s="2" t="s">
        <v>1358</v>
      </c>
      <c r="E1049" s="11" t="s">
        <v>1358</v>
      </c>
      <c r="F1049" s="11">
        <v>14628</v>
      </c>
      <c r="G1049" s="2" t="s">
        <v>1494</v>
      </c>
      <c r="H1049" s="2" t="s">
        <v>1495</v>
      </c>
      <c r="I1049" s="2" t="s">
        <v>1496</v>
      </c>
      <c r="J1049" s="2" t="str">
        <f t="shared" si="32"/>
        <v>https://permalinkbnd.bnportugal.gov.pt/viewer/14628/?offset=#page=379&amp;viewer=picture&amp;o=info&amp;n=0&amp;q=</v>
      </c>
      <c r="K1049" s="1" t="s">
        <v>1359</v>
      </c>
      <c r="L1049" s="1" t="str">
        <f>VLOOKUP(A1049,Folha2!$A$2:$B$2019,2,FALSE)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9" s="12" t="str">
        <f t="shared" si="33"/>
        <v>https://permalinkbnd.bnportugal.gov.pt/viewer/14628/?offset=#page=379&amp;viewer=picture&amp;o=info&amp;n=0&amp;q=</v>
      </c>
      <c r="N1049" s="12" t="s">
        <v>1497</v>
      </c>
      <c r="O1049" s="12" t="str">
        <f>CONCATENATE(N1049,A1049,"\",B1049,"\",C1049,".jpg")</f>
        <v>C:\Users\mbaptista\OneDrive - Biblioteca Nacional de Portugal\Documentos\python\camoniana\imagens\capas\381189\1\379.jpg</v>
      </c>
      <c r="P1049" s="12" t="str">
        <f>HYPERLINK(O1049)</f>
        <v>C:\Users\mbaptista\OneDrive - Biblioteca Nacional de Portugal\Documentos\python\camoniana\imagens\capas\381189\1\379.jpg</v>
      </c>
      <c r="Q1049" s="12"/>
      <c r="R1049" s="6" t="s">
        <v>1392</v>
      </c>
      <c r="S1049" s="4"/>
      <c r="T1049" s="1" t="s">
        <v>1360</v>
      </c>
      <c r="U1049" s="13"/>
      <c r="V1049" s="13"/>
      <c r="W1049" s="5" t="s">
        <v>1491</v>
      </c>
    </row>
    <row r="1050" spans="1:23" ht="150">
      <c r="A1050" s="1">
        <v>381189</v>
      </c>
      <c r="B1050" s="1">
        <v>1</v>
      </c>
      <c r="C1050" s="1">
        <v>381</v>
      </c>
      <c r="D1050" s="2" t="s">
        <v>1358</v>
      </c>
      <c r="E1050" s="5" t="s">
        <v>1358</v>
      </c>
      <c r="F1050" s="5">
        <v>14628</v>
      </c>
      <c r="G1050" s="2" t="s">
        <v>1494</v>
      </c>
      <c r="H1050" s="2" t="s">
        <v>1495</v>
      </c>
      <c r="I1050" s="2" t="s">
        <v>1496</v>
      </c>
      <c r="J1050" s="2" t="str">
        <f t="shared" si="32"/>
        <v>https://permalinkbnd.bnportugal.gov.pt/viewer/14628/?offset=#page=381&amp;viewer=picture&amp;o=info&amp;n=0&amp;q=</v>
      </c>
      <c r="K1050" s="1" t="s">
        <v>1359</v>
      </c>
      <c r="L1050" s="1" t="str">
        <f>VLOOKUP(A1050,Folha2!$A$2:$B$2019,2,FALSE)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0" s="12" t="str">
        <f t="shared" si="33"/>
        <v>https://permalinkbnd.bnportugal.gov.pt/viewer/14628/?offset=#page=381&amp;viewer=picture&amp;o=info&amp;n=0&amp;q=</v>
      </c>
      <c r="N1050" s="12" t="s">
        <v>1497</v>
      </c>
      <c r="O1050" s="12" t="str">
        <f>CONCATENATE(N1050,A1050,"\",B1050,"\",C1050,".jpg")</f>
        <v>C:\Users\mbaptista\OneDrive - Biblioteca Nacional de Portugal\Documentos\python\camoniana\imagens\capas\381189\1\381.jpg</v>
      </c>
      <c r="P1050" s="12" t="str">
        <f>HYPERLINK(O1050)</f>
        <v>C:\Users\mbaptista\OneDrive - Biblioteca Nacional de Portugal\Documentos\python\camoniana\imagens\capas\381189\1\381.jpg</v>
      </c>
      <c r="Q1050" s="12"/>
      <c r="R1050" s="6" t="s">
        <v>1393</v>
      </c>
      <c r="S1050" s="4"/>
      <c r="T1050" s="1" t="s">
        <v>1360</v>
      </c>
      <c r="U1050" s="13"/>
      <c r="V1050" s="13"/>
      <c r="W1050" s="5" t="s">
        <v>1491</v>
      </c>
    </row>
    <row r="1051" spans="1:23" ht="150">
      <c r="A1051" s="1">
        <v>381189</v>
      </c>
      <c r="B1051" s="1">
        <v>1</v>
      </c>
      <c r="C1051" s="1">
        <v>402</v>
      </c>
      <c r="D1051" s="2" t="s">
        <v>1358</v>
      </c>
      <c r="E1051" s="11" t="s">
        <v>1358</v>
      </c>
      <c r="F1051" s="11">
        <v>14628</v>
      </c>
      <c r="G1051" s="2" t="s">
        <v>1494</v>
      </c>
      <c r="H1051" s="2" t="s">
        <v>1495</v>
      </c>
      <c r="I1051" s="2" t="s">
        <v>1496</v>
      </c>
      <c r="J1051" s="2" t="str">
        <f t="shared" si="32"/>
        <v>https://permalinkbnd.bnportugal.gov.pt/viewer/14628/?offset=#page=402&amp;viewer=picture&amp;o=info&amp;n=0&amp;q=</v>
      </c>
      <c r="K1051" s="1" t="s">
        <v>1359</v>
      </c>
      <c r="L1051" s="1" t="str">
        <f>VLOOKUP(A1051,Folha2!$A$2:$B$2019,2,FALSE)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1" s="12" t="str">
        <f t="shared" si="33"/>
        <v>https://permalinkbnd.bnportugal.gov.pt/viewer/14628/?offset=#page=402&amp;viewer=picture&amp;o=info&amp;n=0&amp;q=</v>
      </c>
      <c r="N1051" s="12" t="s">
        <v>1497</v>
      </c>
      <c r="O1051" s="12" t="str">
        <f>CONCATENATE(N1051,A1051,"\",B1051,"\",C1051,".jpg")</f>
        <v>C:\Users\mbaptista\OneDrive - Biblioteca Nacional de Portugal\Documentos\python\camoniana\imagens\capas\381189\1\402.jpg</v>
      </c>
      <c r="P1051" s="12" t="str">
        <f>HYPERLINK(O1051)</f>
        <v>C:\Users\mbaptista\OneDrive - Biblioteca Nacional de Portugal\Documentos\python\camoniana\imagens\capas\381189\1\402.jpg</v>
      </c>
      <c r="Q1051" s="12"/>
      <c r="R1051" s="6" t="s">
        <v>1394</v>
      </c>
      <c r="S1051" s="4"/>
      <c r="T1051" s="1" t="s">
        <v>1360</v>
      </c>
      <c r="U1051" s="13"/>
      <c r="V1051" s="13"/>
      <c r="W1051" s="5" t="s">
        <v>1491</v>
      </c>
    </row>
    <row r="1052" spans="1:23" ht="150">
      <c r="A1052" s="1">
        <v>381189</v>
      </c>
      <c r="B1052" s="1">
        <v>1</v>
      </c>
      <c r="C1052" s="1">
        <v>417</v>
      </c>
      <c r="D1052" s="2" t="s">
        <v>1358</v>
      </c>
      <c r="E1052" s="5" t="s">
        <v>1358</v>
      </c>
      <c r="F1052" s="5">
        <v>14628</v>
      </c>
      <c r="G1052" s="2" t="s">
        <v>1494</v>
      </c>
      <c r="H1052" s="2" t="s">
        <v>1495</v>
      </c>
      <c r="I1052" s="2" t="s">
        <v>1496</v>
      </c>
      <c r="J1052" s="2" t="str">
        <f t="shared" si="32"/>
        <v>https://permalinkbnd.bnportugal.gov.pt/viewer/14628/?offset=#page=417&amp;viewer=picture&amp;o=info&amp;n=0&amp;q=</v>
      </c>
      <c r="K1052" s="1" t="s">
        <v>1359</v>
      </c>
      <c r="L1052" s="1" t="str">
        <f>VLOOKUP(A1052,Folha2!$A$2:$B$2019,2,FALSE)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2" s="12" t="str">
        <f t="shared" si="33"/>
        <v>https://permalinkbnd.bnportugal.gov.pt/viewer/14628/?offset=#page=417&amp;viewer=picture&amp;o=info&amp;n=0&amp;q=</v>
      </c>
      <c r="N1052" s="12" t="s">
        <v>1497</v>
      </c>
      <c r="O1052" s="12" t="str">
        <f>CONCATENATE(N1052,A1052,"\",B1052,"\",C1052,".jpg")</f>
        <v>C:\Users\mbaptista\OneDrive - Biblioteca Nacional de Portugal\Documentos\python\camoniana\imagens\capas\381189\1\417.jpg</v>
      </c>
      <c r="P1052" s="12" t="str">
        <f>HYPERLINK(O1052)</f>
        <v>C:\Users\mbaptista\OneDrive - Biblioteca Nacional de Portugal\Documentos\python\camoniana\imagens\capas\381189\1\417.jpg</v>
      </c>
      <c r="Q1052" s="12"/>
      <c r="R1052" s="6"/>
      <c r="S1052" s="4"/>
      <c r="T1052" s="1"/>
      <c r="U1052" s="13"/>
      <c r="V1052" s="13"/>
      <c r="W1052" s="5"/>
    </row>
    <row r="1053" spans="1:23" ht="150">
      <c r="A1053" s="1">
        <v>381189</v>
      </c>
      <c r="B1053" s="1">
        <v>1</v>
      </c>
      <c r="C1053" s="1">
        <v>418</v>
      </c>
      <c r="D1053" s="2" t="s">
        <v>1358</v>
      </c>
      <c r="E1053" s="11" t="s">
        <v>1358</v>
      </c>
      <c r="F1053" s="11">
        <v>14628</v>
      </c>
      <c r="G1053" s="2" t="s">
        <v>1494</v>
      </c>
      <c r="H1053" s="2" t="s">
        <v>1495</v>
      </c>
      <c r="I1053" s="2" t="s">
        <v>1496</v>
      </c>
      <c r="J1053" s="2" t="str">
        <f t="shared" si="32"/>
        <v>https://permalinkbnd.bnportugal.gov.pt/viewer/14628/?offset=#page=418&amp;viewer=picture&amp;o=info&amp;n=0&amp;q=</v>
      </c>
      <c r="K1053" s="1" t="s">
        <v>1359</v>
      </c>
      <c r="L1053" s="1" t="str">
        <f>VLOOKUP(A1053,Folha2!$A$2:$B$2019,2,FALSE)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3" s="12" t="str">
        <f t="shared" si="33"/>
        <v>https://permalinkbnd.bnportugal.gov.pt/viewer/14628/?offset=#page=418&amp;viewer=picture&amp;o=info&amp;n=0&amp;q=</v>
      </c>
      <c r="N1053" s="12" t="s">
        <v>1497</v>
      </c>
      <c r="O1053" s="12" t="str">
        <f>CONCATENATE(N1053,A1053,"\",B1053,"\",C1053,".jpg")</f>
        <v>C:\Users\mbaptista\OneDrive - Biblioteca Nacional de Portugal\Documentos\python\camoniana\imagens\capas\381189\1\418.jpg</v>
      </c>
      <c r="P1053" s="12" t="str">
        <f>HYPERLINK(O1053)</f>
        <v>C:\Users\mbaptista\OneDrive - Biblioteca Nacional de Portugal\Documentos\python\camoniana\imagens\capas\381189\1\418.jpg</v>
      </c>
      <c r="Q1053" s="12"/>
      <c r="R1053" s="6" t="s">
        <v>1395</v>
      </c>
      <c r="S1053" s="4"/>
      <c r="T1053" s="1" t="s">
        <v>1360</v>
      </c>
      <c r="U1053" s="13"/>
      <c r="V1053" s="13"/>
      <c r="W1053" s="5" t="s">
        <v>1491</v>
      </c>
    </row>
    <row r="1054" spans="1:23" ht="150">
      <c r="A1054" s="1">
        <v>381189</v>
      </c>
      <c r="B1054" s="1">
        <v>1</v>
      </c>
      <c r="C1054" s="1">
        <v>420</v>
      </c>
      <c r="D1054" s="2" t="s">
        <v>1358</v>
      </c>
      <c r="E1054" s="5" t="s">
        <v>1358</v>
      </c>
      <c r="F1054" s="5">
        <v>14628</v>
      </c>
      <c r="G1054" s="2" t="s">
        <v>1494</v>
      </c>
      <c r="H1054" s="2" t="s">
        <v>1495</v>
      </c>
      <c r="I1054" s="2" t="s">
        <v>1496</v>
      </c>
      <c r="J1054" s="2" t="str">
        <f t="shared" si="32"/>
        <v>https://permalinkbnd.bnportugal.gov.pt/viewer/14628/?offset=#page=420&amp;viewer=picture&amp;o=info&amp;n=0&amp;q=</v>
      </c>
      <c r="K1054" s="1" t="s">
        <v>1359</v>
      </c>
      <c r="L1054" s="1" t="str">
        <f>VLOOKUP(A1054,Folha2!$A$2:$B$2019,2,FALSE)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4" s="12" t="str">
        <f t="shared" si="33"/>
        <v>https://permalinkbnd.bnportugal.gov.pt/viewer/14628/?offset=#page=420&amp;viewer=picture&amp;o=info&amp;n=0&amp;q=</v>
      </c>
      <c r="N1054" s="12" t="s">
        <v>1497</v>
      </c>
      <c r="O1054" s="12" t="str">
        <f>CONCATENATE(N1054,A1054,"\",B1054,"\",C1054,".jpg")</f>
        <v>C:\Users\mbaptista\OneDrive - Biblioteca Nacional de Portugal\Documentos\python\camoniana\imagens\capas\381189\1\420.jpg</v>
      </c>
      <c r="P1054" s="12" t="str">
        <f>HYPERLINK(O1054)</f>
        <v>C:\Users\mbaptista\OneDrive - Biblioteca Nacional de Portugal\Documentos\python\camoniana\imagens\capas\381189\1\420.jpg</v>
      </c>
      <c r="Q1054" s="12"/>
      <c r="R1054" s="6" t="s">
        <v>1396</v>
      </c>
      <c r="S1054" s="4"/>
      <c r="T1054" s="1" t="s">
        <v>1360</v>
      </c>
      <c r="U1054" s="13"/>
      <c r="V1054" s="13"/>
      <c r="W1054" s="5" t="s">
        <v>1491</v>
      </c>
    </row>
    <row r="1055" spans="1:23" ht="150">
      <c r="A1055" s="1">
        <v>381189</v>
      </c>
      <c r="B1055" s="1">
        <v>1</v>
      </c>
      <c r="C1055" s="1">
        <v>436</v>
      </c>
      <c r="D1055" s="2" t="s">
        <v>1358</v>
      </c>
      <c r="E1055" s="11" t="s">
        <v>1358</v>
      </c>
      <c r="F1055" s="11">
        <v>14628</v>
      </c>
      <c r="G1055" s="2" t="s">
        <v>1494</v>
      </c>
      <c r="H1055" s="2" t="s">
        <v>1495</v>
      </c>
      <c r="I1055" s="2" t="s">
        <v>1496</v>
      </c>
      <c r="J1055" s="2" t="str">
        <f t="shared" si="32"/>
        <v>https://permalinkbnd.bnportugal.gov.pt/viewer/14628/?offset=#page=436&amp;viewer=picture&amp;o=info&amp;n=0&amp;q=</v>
      </c>
      <c r="K1055" s="1" t="s">
        <v>1359</v>
      </c>
      <c r="L1055" s="1" t="str">
        <f>VLOOKUP(A1055,Folha2!$A$2:$B$2019,2,FALSE)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5" s="12" t="str">
        <f t="shared" si="33"/>
        <v>https://permalinkbnd.bnportugal.gov.pt/viewer/14628/?offset=#page=436&amp;viewer=picture&amp;o=info&amp;n=0&amp;q=</v>
      </c>
      <c r="N1055" s="12" t="s">
        <v>1497</v>
      </c>
      <c r="O1055" s="12" t="str">
        <f>CONCATENATE(N1055,A1055,"\",B1055,"\",C1055,".jpg")</f>
        <v>C:\Users\mbaptista\OneDrive - Biblioteca Nacional de Portugal\Documentos\python\camoniana\imagens\capas\381189\1\436.jpg</v>
      </c>
      <c r="P1055" s="12" t="str">
        <f>HYPERLINK(O1055)</f>
        <v>C:\Users\mbaptista\OneDrive - Biblioteca Nacional de Portugal\Documentos\python\camoniana\imagens\capas\381189\1\436.jpg</v>
      </c>
      <c r="Q1055" s="12"/>
      <c r="R1055" s="6" t="s">
        <v>1397</v>
      </c>
      <c r="S1055" s="4"/>
      <c r="T1055" s="1" t="s">
        <v>1360</v>
      </c>
      <c r="U1055" s="13"/>
      <c r="V1055" s="13"/>
      <c r="W1055" s="5" t="s">
        <v>1491</v>
      </c>
    </row>
    <row r="1056" spans="1:23" ht="150">
      <c r="A1056" s="1">
        <v>381189</v>
      </c>
      <c r="B1056" s="1">
        <v>1</v>
      </c>
      <c r="C1056" s="1">
        <v>444</v>
      </c>
      <c r="D1056" s="2" t="s">
        <v>1358</v>
      </c>
      <c r="E1056" s="5" t="s">
        <v>1358</v>
      </c>
      <c r="F1056" s="5">
        <v>14628</v>
      </c>
      <c r="G1056" s="2" t="s">
        <v>1494</v>
      </c>
      <c r="H1056" s="2" t="s">
        <v>1495</v>
      </c>
      <c r="I1056" s="2" t="s">
        <v>1496</v>
      </c>
      <c r="J1056" s="2" t="str">
        <f t="shared" si="32"/>
        <v>https://permalinkbnd.bnportugal.gov.pt/viewer/14628/?offset=#page=444&amp;viewer=picture&amp;o=info&amp;n=0&amp;q=</v>
      </c>
      <c r="K1056" s="1" t="s">
        <v>1359</v>
      </c>
      <c r="L1056" s="1" t="str">
        <f>VLOOKUP(A1056,Folha2!$A$2:$B$2019,2,FALSE)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6" s="12" t="str">
        <f t="shared" si="33"/>
        <v>https://permalinkbnd.bnportugal.gov.pt/viewer/14628/?offset=#page=444&amp;viewer=picture&amp;o=info&amp;n=0&amp;q=</v>
      </c>
      <c r="N1056" s="12" t="s">
        <v>1497</v>
      </c>
      <c r="O1056" s="12" t="str">
        <f>CONCATENATE(N1056,A1056,"\",B1056,"\",C1056,".jpg")</f>
        <v>C:\Users\mbaptista\OneDrive - Biblioteca Nacional de Portugal\Documentos\python\camoniana\imagens\capas\381189\1\444.jpg</v>
      </c>
      <c r="P1056" s="12" t="str">
        <f>HYPERLINK(O1056)</f>
        <v>C:\Users\mbaptista\OneDrive - Biblioteca Nacional de Portugal\Documentos\python\camoniana\imagens\capas\381189\1\444.jpg</v>
      </c>
      <c r="Q1056" s="12"/>
      <c r="R1056" s="6" t="s">
        <v>1398</v>
      </c>
      <c r="S1056" s="4"/>
      <c r="T1056" s="1" t="s">
        <v>1360</v>
      </c>
      <c r="U1056" s="13"/>
      <c r="V1056" s="13"/>
      <c r="W1056" s="5" t="s">
        <v>1491</v>
      </c>
    </row>
    <row r="1057" spans="1:23" ht="150">
      <c r="A1057" s="1">
        <v>381189</v>
      </c>
      <c r="B1057" s="1">
        <v>1</v>
      </c>
      <c r="C1057" s="1">
        <v>453</v>
      </c>
      <c r="D1057" s="2" t="s">
        <v>1358</v>
      </c>
      <c r="E1057" s="11" t="s">
        <v>1358</v>
      </c>
      <c r="F1057" s="11">
        <v>14628</v>
      </c>
      <c r="G1057" s="2" t="s">
        <v>1494</v>
      </c>
      <c r="H1057" s="2" t="s">
        <v>1495</v>
      </c>
      <c r="I1057" s="2" t="s">
        <v>1496</v>
      </c>
      <c r="J1057" s="2" t="str">
        <f t="shared" si="32"/>
        <v>https://permalinkbnd.bnportugal.gov.pt/viewer/14628/?offset=#page=453&amp;viewer=picture&amp;o=info&amp;n=0&amp;q=</v>
      </c>
      <c r="K1057" s="1" t="s">
        <v>1359</v>
      </c>
      <c r="L1057" s="1" t="str">
        <f>VLOOKUP(A1057,Folha2!$A$2:$B$2019,2,FALSE)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7" s="12" t="str">
        <f t="shared" si="33"/>
        <v>https://permalinkbnd.bnportugal.gov.pt/viewer/14628/?offset=#page=453&amp;viewer=picture&amp;o=info&amp;n=0&amp;q=</v>
      </c>
      <c r="N1057" s="12" t="s">
        <v>1497</v>
      </c>
      <c r="O1057" s="12" t="str">
        <f>CONCATENATE(N1057,A1057,"\",B1057,"\",C1057,".jpg")</f>
        <v>C:\Users\mbaptista\OneDrive - Biblioteca Nacional de Portugal\Documentos\python\camoniana\imagens\capas\381189\1\453.jpg</v>
      </c>
      <c r="P1057" s="12" t="str">
        <f>HYPERLINK(O1057)</f>
        <v>C:\Users\mbaptista\OneDrive - Biblioteca Nacional de Portugal\Documentos\python\camoniana\imagens\capas\381189\1\453.jpg</v>
      </c>
      <c r="Q1057" s="12"/>
      <c r="R1057" s="6" t="s">
        <v>1399</v>
      </c>
      <c r="S1057" s="4"/>
      <c r="T1057" s="1" t="s">
        <v>1360</v>
      </c>
      <c r="U1057" s="13"/>
      <c r="V1057" s="13"/>
      <c r="W1057" s="5" t="s">
        <v>1491</v>
      </c>
    </row>
    <row r="1058" spans="1:23" ht="150">
      <c r="A1058" s="1">
        <v>381189</v>
      </c>
      <c r="B1058" s="1">
        <v>1</v>
      </c>
      <c r="C1058" s="1">
        <v>459</v>
      </c>
      <c r="D1058" s="2" t="s">
        <v>1358</v>
      </c>
      <c r="E1058" s="5" t="s">
        <v>1358</v>
      </c>
      <c r="F1058" s="5">
        <v>14628</v>
      </c>
      <c r="G1058" s="2" t="s">
        <v>1494</v>
      </c>
      <c r="H1058" s="2" t="s">
        <v>1495</v>
      </c>
      <c r="I1058" s="2" t="s">
        <v>1496</v>
      </c>
      <c r="J1058" s="2" t="str">
        <f t="shared" si="32"/>
        <v>https://permalinkbnd.bnportugal.gov.pt/viewer/14628/?offset=#page=459&amp;viewer=picture&amp;o=info&amp;n=0&amp;q=</v>
      </c>
      <c r="K1058" s="1" t="s">
        <v>1359</v>
      </c>
      <c r="L1058" s="1" t="str">
        <f>VLOOKUP(A1058,Folha2!$A$2:$B$2019,2,FALSE)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8" s="12" t="str">
        <f t="shared" si="33"/>
        <v>https://permalinkbnd.bnportugal.gov.pt/viewer/14628/?offset=#page=459&amp;viewer=picture&amp;o=info&amp;n=0&amp;q=</v>
      </c>
      <c r="N1058" s="12" t="s">
        <v>1497</v>
      </c>
      <c r="O1058" s="12" t="str">
        <f>CONCATENATE(N1058,A1058,"\",B1058,"\",C1058,".jpg")</f>
        <v>C:\Users\mbaptista\OneDrive - Biblioteca Nacional de Portugal\Documentos\python\camoniana\imagens\capas\381189\1\459.jpg</v>
      </c>
      <c r="P1058" s="12" t="str">
        <f>HYPERLINK(O1058)</f>
        <v>C:\Users\mbaptista\OneDrive - Biblioteca Nacional de Portugal\Documentos\python\camoniana\imagens\capas\381189\1\459.jpg</v>
      </c>
      <c r="Q1058" s="12"/>
      <c r="R1058" s="6" t="s">
        <v>1400</v>
      </c>
      <c r="S1058" s="4"/>
      <c r="T1058" s="1" t="s">
        <v>1360</v>
      </c>
      <c r="U1058" s="13"/>
      <c r="V1058" s="13"/>
      <c r="W1058" s="5" t="s">
        <v>1491</v>
      </c>
    </row>
    <row r="1059" spans="1:23" ht="150">
      <c r="A1059" s="1">
        <v>381189</v>
      </c>
      <c r="B1059" s="1">
        <v>1</v>
      </c>
      <c r="C1059" s="1">
        <v>461</v>
      </c>
      <c r="D1059" s="2" t="s">
        <v>1358</v>
      </c>
      <c r="E1059" s="11" t="s">
        <v>1358</v>
      </c>
      <c r="F1059" s="11">
        <v>14628</v>
      </c>
      <c r="G1059" s="2" t="s">
        <v>1494</v>
      </c>
      <c r="H1059" s="2" t="s">
        <v>1495</v>
      </c>
      <c r="I1059" s="2" t="s">
        <v>1496</v>
      </c>
      <c r="J1059" s="2" t="str">
        <f t="shared" si="32"/>
        <v>https://permalinkbnd.bnportugal.gov.pt/viewer/14628/?offset=#page=461&amp;viewer=picture&amp;o=info&amp;n=0&amp;q=</v>
      </c>
      <c r="K1059" s="1" t="s">
        <v>1359</v>
      </c>
      <c r="L1059" s="1" t="str">
        <f>VLOOKUP(A1059,Folha2!$A$2:$B$2019,2,FALSE)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9" s="12" t="str">
        <f t="shared" si="33"/>
        <v>https://permalinkbnd.bnportugal.gov.pt/viewer/14628/?offset=#page=461&amp;viewer=picture&amp;o=info&amp;n=0&amp;q=</v>
      </c>
      <c r="N1059" s="12" t="s">
        <v>1497</v>
      </c>
      <c r="O1059" s="12" t="str">
        <f>CONCATENATE(N1059,A1059,"\",B1059,"\",C1059,".jpg")</f>
        <v>C:\Users\mbaptista\OneDrive - Biblioteca Nacional de Portugal\Documentos\python\camoniana\imagens\capas\381189\1\461.jpg</v>
      </c>
      <c r="P1059" s="12" t="str">
        <f>HYPERLINK(O1059)</f>
        <v>C:\Users\mbaptista\OneDrive - Biblioteca Nacional de Portugal\Documentos\python\camoniana\imagens\capas\381189\1\461.jpg</v>
      </c>
      <c r="Q1059" s="12"/>
      <c r="R1059" s="6" t="s">
        <v>1401</v>
      </c>
      <c r="S1059" s="4"/>
      <c r="T1059" s="1" t="s">
        <v>1360</v>
      </c>
      <c r="U1059" s="13"/>
      <c r="V1059" s="13"/>
      <c r="W1059" s="5" t="s">
        <v>1491</v>
      </c>
    </row>
    <row r="1060" spans="1:23" ht="150">
      <c r="A1060" s="1">
        <v>381189</v>
      </c>
      <c r="B1060" s="1">
        <v>1</v>
      </c>
      <c r="C1060" s="1">
        <v>463</v>
      </c>
      <c r="D1060" s="2" t="s">
        <v>1358</v>
      </c>
      <c r="E1060" s="5" t="s">
        <v>1358</v>
      </c>
      <c r="F1060" s="5">
        <v>14628</v>
      </c>
      <c r="G1060" s="2" t="s">
        <v>1494</v>
      </c>
      <c r="H1060" s="2" t="s">
        <v>1495</v>
      </c>
      <c r="I1060" s="2" t="s">
        <v>1496</v>
      </c>
      <c r="J1060" s="2" t="str">
        <f t="shared" si="32"/>
        <v>https://permalinkbnd.bnportugal.gov.pt/viewer/14628/?offset=#page=463&amp;viewer=picture&amp;o=info&amp;n=0&amp;q=</v>
      </c>
      <c r="K1060" s="1" t="s">
        <v>1359</v>
      </c>
      <c r="L1060" s="1" t="str">
        <f>VLOOKUP(A1060,Folha2!$A$2:$B$2019,2,FALSE)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0" s="12" t="str">
        <f t="shared" si="33"/>
        <v>https://permalinkbnd.bnportugal.gov.pt/viewer/14628/?offset=#page=463&amp;viewer=picture&amp;o=info&amp;n=0&amp;q=</v>
      </c>
      <c r="N1060" s="12" t="s">
        <v>1497</v>
      </c>
      <c r="O1060" s="12" t="str">
        <f>CONCATENATE(N1060,A1060,"\",B1060,"\",C1060,".jpg")</f>
        <v>C:\Users\mbaptista\OneDrive - Biblioteca Nacional de Portugal\Documentos\python\camoniana\imagens\capas\381189\1\463.jpg</v>
      </c>
      <c r="P1060" s="12" t="str">
        <f>HYPERLINK(O1060)</f>
        <v>C:\Users\mbaptista\OneDrive - Biblioteca Nacional de Portugal\Documentos\python\camoniana\imagens\capas\381189\1\463.jpg</v>
      </c>
      <c r="Q1060" s="12"/>
      <c r="R1060" s="6" t="s">
        <v>1402</v>
      </c>
      <c r="S1060" s="4"/>
      <c r="T1060" s="1" t="s">
        <v>1360</v>
      </c>
      <c r="U1060" s="13"/>
      <c r="V1060" s="13"/>
      <c r="W1060" s="5" t="s">
        <v>1491</v>
      </c>
    </row>
    <row r="1061" spans="1:23" ht="150">
      <c r="A1061" s="1">
        <v>381189</v>
      </c>
      <c r="B1061" s="1">
        <v>1</v>
      </c>
      <c r="C1061" s="1">
        <v>512</v>
      </c>
      <c r="D1061" s="2" t="s">
        <v>1358</v>
      </c>
      <c r="E1061" s="11" t="s">
        <v>1358</v>
      </c>
      <c r="F1061" s="11">
        <v>14628</v>
      </c>
      <c r="G1061" s="2" t="s">
        <v>1494</v>
      </c>
      <c r="H1061" s="2" t="s">
        <v>1495</v>
      </c>
      <c r="I1061" s="2" t="s">
        <v>1496</v>
      </c>
      <c r="J1061" s="2" t="str">
        <f t="shared" si="32"/>
        <v>https://permalinkbnd.bnportugal.gov.pt/viewer/14628/?offset=#page=512&amp;viewer=picture&amp;o=info&amp;n=0&amp;q=</v>
      </c>
      <c r="K1061" s="1" t="s">
        <v>1359</v>
      </c>
      <c r="L1061" s="1" t="str">
        <f>VLOOKUP(A1061,Folha2!$A$2:$B$2019,2,FALSE)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1" s="12" t="str">
        <f t="shared" si="33"/>
        <v>https://permalinkbnd.bnportugal.gov.pt/viewer/14628/?offset=#page=512&amp;viewer=picture&amp;o=info&amp;n=0&amp;q=</v>
      </c>
      <c r="N1061" s="12" t="s">
        <v>1497</v>
      </c>
      <c r="O1061" s="12" t="str">
        <f>CONCATENATE(N1061,A1061,"\",B1061,"\",C1061,".jpg")</f>
        <v>C:\Users\mbaptista\OneDrive - Biblioteca Nacional de Portugal\Documentos\python\camoniana\imagens\capas\381189\1\512.jpg</v>
      </c>
      <c r="P1061" s="12" t="str">
        <f>HYPERLINK(O1061)</f>
        <v>C:\Users\mbaptista\OneDrive - Biblioteca Nacional de Portugal\Documentos\python\camoniana\imagens\capas\381189\1\512.jpg</v>
      </c>
      <c r="Q1061" s="12"/>
      <c r="R1061" s="6" t="s">
        <v>1403</v>
      </c>
      <c r="S1061" s="4"/>
      <c r="T1061" s="1" t="s">
        <v>1360</v>
      </c>
      <c r="U1061" s="13"/>
      <c r="V1061" s="13"/>
      <c r="W1061" s="5" t="s">
        <v>1491</v>
      </c>
    </row>
    <row r="1062" spans="1:23" ht="150">
      <c r="A1062" s="1">
        <v>381189</v>
      </c>
      <c r="B1062" s="1">
        <v>1</v>
      </c>
      <c r="C1062" s="1">
        <v>641</v>
      </c>
      <c r="D1062" s="2" t="s">
        <v>1358</v>
      </c>
      <c r="E1062" s="5" t="s">
        <v>1358</v>
      </c>
      <c r="F1062" s="5">
        <v>14628</v>
      </c>
      <c r="G1062" s="2" t="s">
        <v>1494</v>
      </c>
      <c r="H1062" s="2" t="s">
        <v>1495</v>
      </c>
      <c r="I1062" s="2" t="s">
        <v>1496</v>
      </c>
      <c r="J1062" s="2" t="str">
        <f t="shared" si="32"/>
        <v>https://permalinkbnd.bnportugal.gov.pt/viewer/14628/?offset=#page=641&amp;viewer=picture&amp;o=info&amp;n=0&amp;q=</v>
      </c>
      <c r="K1062" s="1" t="s">
        <v>1359</v>
      </c>
      <c r="L1062" s="1" t="str">
        <f>VLOOKUP(A1062,Folha2!$A$2:$B$2019,2,FALSE)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2" s="12" t="str">
        <f t="shared" si="33"/>
        <v>https://permalinkbnd.bnportugal.gov.pt/viewer/14628/?offset=#page=641&amp;viewer=picture&amp;o=info&amp;n=0&amp;q=</v>
      </c>
      <c r="N1062" s="12" t="s">
        <v>1497</v>
      </c>
      <c r="O1062" s="12" t="str">
        <f>CONCATENATE(N1062,A1062,"\",B1062,"\",C1062,".jpg")</f>
        <v>C:\Users\mbaptista\OneDrive - Biblioteca Nacional de Portugal\Documentos\python\camoniana\imagens\capas\381189\1\641.jpg</v>
      </c>
      <c r="P1062" s="12" t="str">
        <f>HYPERLINK(O1062)</f>
        <v>C:\Users\mbaptista\OneDrive - Biblioteca Nacional de Portugal\Documentos\python\camoniana\imagens\capas\381189\1\641.jpg</v>
      </c>
      <c r="Q1062" s="12"/>
      <c r="R1062" s="6"/>
      <c r="S1062" s="4"/>
      <c r="T1062" s="1"/>
      <c r="U1062" s="13"/>
      <c r="V1062" s="13"/>
      <c r="W1062" s="5"/>
    </row>
    <row r="1063" spans="1:23" ht="105">
      <c r="A1063" s="1">
        <v>381297</v>
      </c>
      <c r="B1063" s="1">
        <v>1</v>
      </c>
      <c r="C1063" s="1">
        <v>10</v>
      </c>
      <c r="D1063" s="2" t="s">
        <v>1404</v>
      </c>
      <c r="E1063" s="11" t="s">
        <v>1404</v>
      </c>
      <c r="F1063" s="11">
        <v>14598</v>
      </c>
      <c r="G1063" s="2" t="s">
        <v>1494</v>
      </c>
      <c r="H1063" s="2" t="s">
        <v>1495</v>
      </c>
      <c r="I1063" s="2" t="s">
        <v>1496</v>
      </c>
      <c r="J1063" s="2" t="str">
        <f t="shared" si="32"/>
        <v>https://permalinkbnd.bnportugal.gov.pt/viewer/14598/?offset=#page=10&amp;viewer=picture&amp;o=info&amp;n=0&amp;q=</v>
      </c>
      <c r="K1063" s="1" t="s">
        <v>1405</v>
      </c>
      <c r="L1063" s="1" t="str">
        <f>VLOOKUP(A1063,Folha2!$A$2:$B$2019,2,FALSE)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3" s="12" t="str">
        <f t="shared" si="33"/>
        <v>https://permalinkbnd.bnportugal.gov.pt/viewer/14598/?offset=#page=10&amp;viewer=picture&amp;o=info&amp;n=0&amp;q=</v>
      </c>
      <c r="N1063" s="12" t="s">
        <v>1497</v>
      </c>
      <c r="O1063" s="12" t="str">
        <f>CONCATENATE(N1063,A1063,"\",B1063,"\",C1063,".jpg")</f>
        <v>C:\Users\mbaptista\OneDrive - Biblioteca Nacional de Portugal\Documentos\python\camoniana\imagens\capas\381297\1\10.jpg</v>
      </c>
      <c r="P1063" s="12" t="str">
        <f>HYPERLINK(O1063)</f>
        <v>C:\Users\mbaptista\OneDrive - Biblioteca Nacional de Portugal\Documentos\python\camoniana\imagens\capas\381297\1\10.jpg</v>
      </c>
      <c r="Q1063" s="12"/>
      <c r="R1063" s="6" t="s">
        <v>1407</v>
      </c>
      <c r="S1063" s="4"/>
      <c r="T1063" s="1" t="s">
        <v>1406</v>
      </c>
      <c r="U1063" s="13"/>
      <c r="V1063" s="13"/>
      <c r="W1063" s="5" t="s">
        <v>1491</v>
      </c>
    </row>
    <row r="1064" spans="1:23" ht="105">
      <c r="A1064" s="1">
        <v>381297</v>
      </c>
      <c r="B1064" s="1">
        <v>1</v>
      </c>
      <c r="C1064" s="1">
        <v>69</v>
      </c>
      <c r="D1064" s="2" t="s">
        <v>1404</v>
      </c>
      <c r="E1064" s="5" t="s">
        <v>1404</v>
      </c>
      <c r="F1064" s="5">
        <v>14598</v>
      </c>
      <c r="G1064" s="2" t="s">
        <v>1494</v>
      </c>
      <c r="H1064" s="2" t="s">
        <v>1495</v>
      </c>
      <c r="I1064" s="2" t="s">
        <v>1496</v>
      </c>
      <c r="J1064" s="2" t="str">
        <f t="shared" si="32"/>
        <v>https://permalinkbnd.bnportugal.gov.pt/viewer/14598/?offset=#page=69&amp;viewer=picture&amp;o=info&amp;n=0&amp;q=</v>
      </c>
      <c r="K1064" s="1" t="s">
        <v>1405</v>
      </c>
      <c r="L1064" s="1" t="str">
        <f>VLOOKUP(A1064,Folha2!$A$2:$B$2019,2,FALSE)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4" s="12" t="str">
        <f t="shared" si="33"/>
        <v>https://permalinkbnd.bnportugal.gov.pt/viewer/14598/?offset=#page=69&amp;viewer=picture&amp;o=info&amp;n=0&amp;q=</v>
      </c>
      <c r="N1064" s="12" t="s">
        <v>1497</v>
      </c>
      <c r="O1064" s="12" t="str">
        <f>CONCATENATE(N1064,A1064,"\",B1064,"\",C1064,".jpg")</f>
        <v>C:\Users\mbaptista\OneDrive - Biblioteca Nacional de Portugal\Documentos\python\camoniana\imagens\capas\381297\1\69.jpg</v>
      </c>
      <c r="P1064" s="12" t="str">
        <f>HYPERLINK(O1064)</f>
        <v>C:\Users\mbaptista\OneDrive - Biblioteca Nacional de Portugal\Documentos\python\camoniana\imagens\capas\381297\1\69.jpg</v>
      </c>
      <c r="Q1064" s="12"/>
      <c r="R1064" s="6" t="s">
        <v>1408</v>
      </c>
      <c r="S1064" s="4"/>
      <c r="T1064" s="1" t="s">
        <v>1406</v>
      </c>
      <c r="U1064" s="13"/>
      <c r="V1064" s="13"/>
      <c r="W1064" s="5" t="s">
        <v>1491</v>
      </c>
    </row>
    <row r="1065" spans="1:23" ht="105">
      <c r="A1065" s="1">
        <v>381297</v>
      </c>
      <c r="B1065" s="1">
        <v>1</v>
      </c>
      <c r="C1065" s="1">
        <v>156</v>
      </c>
      <c r="D1065" s="2" t="s">
        <v>1404</v>
      </c>
      <c r="E1065" s="11" t="s">
        <v>1404</v>
      </c>
      <c r="F1065" s="11">
        <v>14598</v>
      </c>
      <c r="G1065" s="2" t="s">
        <v>1494</v>
      </c>
      <c r="H1065" s="2" t="s">
        <v>1495</v>
      </c>
      <c r="I1065" s="2" t="s">
        <v>1496</v>
      </c>
      <c r="J1065" s="2" t="str">
        <f t="shared" si="32"/>
        <v>https://permalinkbnd.bnportugal.gov.pt/viewer/14598/?offset=#page=156&amp;viewer=picture&amp;o=info&amp;n=0&amp;q=</v>
      </c>
      <c r="K1065" s="1" t="s">
        <v>1405</v>
      </c>
      <c r="L1065" s="1" t="str">
        <f>VLOOKUP(A1065,Folha2!$A$2:$B$2019,2,FALSE)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5" s="12" t="str">
        <f t="shared" si="33"/>
        <v>https://permalinkbnd.bnportugal.gov.pt/viewer/14598/?offset=#page=156&amp;viewer=picture&amp;o=info&amp;n=0&amp;q=</v>
      </c>
      <c r="N1065" s="12" t="s">
        <v>1497</v>
      </c>
      <c r="O1065" s="12" t="str">
        <f>CONCATENATE(N1065,A1065,"\",B1065,"\",C1065,".jpg")</f>
        <v>C:\Users\mbaptista\OneDrive - Biblioteca Nacional de Portugal\Documentos\python\camoniana\imagens\capas\381297\1\156.jpg</v>
      </c>
      <c r="P1065" s="12" t="str">
        <f>HYPERLINK(O1065)</f>
        <v>C:\Users\mbaptista\OneDrive - Biblioteca Nacional de Portugal\Documentos\python\camoniana\imagens\capas\381297\1\156.jpg</v>
      </c>
      <c r="Q1065" s="12"/>
      <c r="R1065" s="6" t="s">
        <v>1409</v>
      </c>
      <c r="S1065" s="4"/>
      <c r="T1065" s="1" t="s">
        <v>1406</v>
      </c>
      <c r="U1065" s="13"/>
      <c r="V1065" s="13"/>
      <c r="W1065" s="5" t="s">
        <v>1491</v>
      </c>
    </row>
    <row r="1066" spans="1:23" ht="105">
      <c r="A1066" s="1">
        <v>381297</v>
      </c>
      <c r="B1066" s="1">
        <v>1</v>
      </c>
      <c r="C1066" s="1">
        <v>196</v>
      </c>
      <c r="D1066" s="2" t="s">
        <v>1404</v>
      </c>
      <c r="E1066" s="5" t="s">
        <v>1404</v>
      </c>
      <c r="F1066" s="5">
        <v>14598</v>
      </c>
      <c r="G1066" s="2" t="s">
        <v>1494</v>
      </c>
      <c r="H1066" s="2" t="s">
        <v>1495</v>
      </c>
      <c r="I1066" s="2" t="s">
        <v>1496</v>
      </c>
      <c r="J1066" s="2" t="str">
        <f t="shared" si="32"/>
        <v>https://permalinkbnd.bnportugal.gov.pt/viewer/14598/?offset=#page=196&amp;viewer=picture&amp;o=info&amp;n=0&amp;q=</v>
      </c>
      <c r="K1066" s="1" t="s">
        <v>1405</v>
      </c>
      <c r="L1066" s="1" t="str">
        <f>VLOOKUP(A1066,Folha2!$A$2:$B$2019,2,FALSE)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6" s="12" t="str">
        <f t="shared" si="33"/>
        <v>https://permalinkbnd.bnportugal.gov.pt/viewer/14598/?offset=#page=196&amp;viewer=picture&amp;o=info&amp;n=0&amp;q=</v>
      </c>
      <c r="N1066" s="12" t="s">
        <v>1497</v>
      </c>
      <c r="O1066" s="12" t="str">
        <f>CONCATENATE(N1066,A1066,"\",B1066,"\",C1066,".jpg")</f>
        <v>C:\Users\mbaptista\OneDrive - Biblioteca Nacional de Portugal\Documentos\python\camoniana\imagens\capas\381297\1\196.jpg</v>
      </c>
      <c r="P1066" s="12" t="str">
        <f>HYPERLINK(O1066)</f>
        <v>C:\Users\mbaptista\OneDrive - Biblioteca Nacional de Portugal\Documentos\python\camoniana\imagens\capas\381297\1\196.jpg</v>
      </c>
      <c r="Q1066" s="12"/>
      <c r="R1066" s="6" t="s">
        <v>1410</v>
      </c>
      <c r="S1066" s="4"/>
      <c r="T1066" s="1" t="s">
        <v>1406</v>
      </c>
      <c r="U1066" s="13"/>
      <c r="V1066" s="13"/>
      <c r="W1066" s="5" t="s">
        <v>1491</v>
      </c>
    </row>
    <row r="1067" spans="1:23" ht="105">
      <c r="A1067" s="1">
        <v>381297</v>
      </c>
      <c r="B1067" s="1">
        <v>1</v>
      </c>
      <c r="C1067" s="1">
        <v>238</v>
      </c>
      <c r="D1067" s="2" t="s">
        <v>1404</v>
      </c>
      <c r="E1067" s="11" t="s">
        <v>1404</v>
      </c>
      <c r="F1067" s="11">
        <v>14598</v>
      </c>
      <c r="G1067" s="2" t="s">
        <v>1494</v>
      </c>
      <c r="H1067" s="2" t="s">
        <v>1495</v>
      </c>
      <c r="I1067" s="2" t="s">
        <v>1496</v>
      </c>
      <c r="J1067" s="2" t="str">
        <f t="shared" si="32"/>
        <v>https://permalinkbnd.bnportugal.gov.pt/viewer/14598/?offset=#page=238&amp;viewer=picture&amp;o=info&amp;n=0&amp;q=</v>
      </c>
      <c r="K1067" s="1" t="s">
        <v>1405</v>
      </c>
      <c r="L1067" s="1" t="str">
        <f>VLOOKUP(A1067,Folha2!$A$2:$B$2019,2,FALSE)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7" s="12" t="str">
        <f t="shared" si="33"/>
        <v>https://permalinkbnd.bnportugal.gov.pt/viewer/14598/?offset=#page=238&amp;viewer=picture&amp;o=info&amp;n=0&amp;q=</v>
      </c>
      <c r="N1067" s="12" t="s">
        <v>1497</v>
      </c>
      <c r="O1067" s="12" t="str">
        <f>CONCATENATE(N1067,A1067,"\",B1067,"\",C1067,".jpg")</f>
        <v>C:\Users\mbaptista\OneDrive - Biblioteca Nacional de Portugal\Documentos\python\camoniana\imagens\capas\381297\1\238.jpg</v>
      </c>
      <c r="P1067" s="12" t="str">
        <f>HYPERLINK(O1067)</f>
        <v>C:\Users\mbaptista\OneDrive - Biblioteca Nacional de Portugal\Documentos\python\camoniana\imagens\capas\381297\1\238.jpg</v>
      </c>
      <c r="Q1067" s="12"/>
      <c r="R1067" s="6" t="s">
        <v>1411</v>
      </c>
      <c r="S1067" s="4"/>
      <c r="T1067" s="1" t="s">
        <v>1406</v>
      </c>
      <c r="U1067" s="13"/>
      <c r="V1067" s="13"/>
      <c r="W1067" s="5" t="s">
        <v>1491</v>
      </c>
    </row>
    <row r="1068" spans="1:23" ht="105">
      <c r="A1068" s="1">
        <v>381297</v>
      </c>
      <c r="B1068" s="1">
        <v>1</v>
      </c>
      <c r="C1068" s="1">
        <v>290</v>
      </c>
      <c r="D1068" s="2" t="s">
        <v>1404</v>
      </c>
      <c r="E1068" s="5" t="s">
        <v>1404</v>
      </c>
      <c r="F1068" s="5">
        <v>14598</v>
      </c>
      <c r="G1068" s="2" t="s">
        <v>1494</v>
      </c>
      <c r="H1068" s="2" t="s">
        <v>1495</v>
      </c>
      <c r="I1068" s="2" t="s">
        <v>1496</v>
      </c>
      <c r="J1068" s="2" t="str">
        <f t="shared" si="32"/>
        <v>https://permalinkbnd.bnportugal.gov.pt/viewer/14598/?offset=#page=290&amp;viewer=picture&amp;o=info&amp;n=0&amp;q=</v>
      </c>
      <c r="K1068" s="1" t="s">
        <v>1405</v>
      </c>
      <c r="L1068" s="1" t="str">
        <f>VLOOKUP(A1068,Folha2!$A$2:$B$2019,2,FALSE)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8" s="12" t="str">
        <f t="shared" si="33"/>
        <v>https://permalinkbnd.bnportugal.gov.pt/viewer/14598/?offset=#page=290&amp;viewer=picture&amp;o=info&amp;n=0&amp;q=</v>
      </c>
      <c r="N1068" s="12" t="s">
        <v>1497</v>
      </c>
      <c r="O1068" s="12" t="str">
        <f>CONCATENATE(N1068,A1068,"\",B1068,"\",C1068,".jpg")</f>
        <v>C:\Users\mbaptista\OneDrive - Biblioteca Nacional de Portugal\Documentos\python\camoniana\imagens\capas\381297\1\290.jpg</v>
      </c>
      <c r="P1068" s="12" t="str">
        <f>HYPERLINK(O1068)</f>
        <v>C:\Users\mbaptista\OneDrive - Biblioteca Nacional de Portugal\Documentos\python\camoniana\imagens\capas\381297\1\290.jpg</v>
      </c>
      <c r="Q1068" s="12"/>
      <c r="R1068" s="6" t="s">
        <v>1412</v>
      </c>
      <c r="S1068" s="4"/>
      <c r="T1068" s="1" t="s">
        <v>1406</v>
      </c>
      <c r="U1068" s="13"/>
      <c r="V1068" s="13"/>
      <c r="W1068" s="5" t="s">
        <v>1491</v>
      </c>
    </row>
    <row r="1069" spans="1:23" ht="105">
      <c r="A1069" s="1">
        <v>381297</v>
      </c>
      <c r="B1069" s="1">
        <v>1</v>
      </c>
      <c r="C1069" s="1">
        <v>330</v>
      </c>
      <c r="D1069" s="2" t="s">
        <v>1404</v>
      </c>
      <c r="E1069" s="11" t="s">
        <v>1404</v>
      </c>
      <c r="F1069" s="11">
        <v>14598</v>
      </c>
      <c r="G1069" s="2" t="s">
        <v>1494</v>
      </c>
      <c r="H1069" s="2" t="s">
        <v>1495</v>
      </c>
      <c r="I1069" s="2" t="s">
        <v>1496</v>
      </c>
      <c r="J1069" s="2" t="str">
        <f t="shared" si="32"/>
        <v>https://permalinkbnd.bnportugal.gov.pt/viewer/14598/?offset=#page=330&amp;viewer=picture&amp;o=info&amp;n=0&amp;q=</v>
      </c>
      <c r="K1069" s="1" t="s">
        <v>1405</v>
      </c>
      <c r="L1069" s="1" t="str">
        <f>VLOOKUP(A1069,Folha2!$A$2:$B$2019,2,FALSE)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9" s="12" t="str">
        <f t="shared" si="33"/>
        <v>https://permalinkbnd.bnportugal.gov.pt/viewer/14598/?offset=#page=330&amp;viewer=picture&amp;o=info&amp;n=0&amp;q=</v>
      </c>
      <c r="N1069" s="12" t="s">
        <v>1497</v>
      </c>
      <c r="O1069" s="12" t="str">
        <f>CONCATENATE(N1069,A1069,"\",B1069,"\",C1069,".jpg")</f>
        <v>C:\Users\mbaptista\OneDrive - Biblioteca Nacional de Portugal\Documentos\python\camoniana\imagens\capas\381297\1\330.jpg</v>
      </c>
      <c r="P1069" s="12" t="str">
        <f>HYPERLINK(O1069)</f>
        <v>C:\Users\mbaptista\OneDrive - Biblioteca Nacional de Portugal\Documentos\python\camoniana\imagens\capas\381297\1\330.jpg</v>
      </c>
      <c r="Q1069" s="12"/>
      <c r="R1069" s="6" t="s">
        <v>1413</v>
      </c>
      <c r="S1069" s="4"/>
      <c r="T1069" s="1" t="s">
        <v>1406</v>
      </c>
      <c r="U1069" s="13"/>
      <c r="V1069" s="13"/>
      <c r="W1069" s="5" t="s">
        <v>1491</v>
      </c>
    </row>
    <row r="1070" spans="1:23" ht="105">
      <c r="A1070" s="1">
        <v>381297</v>
      </c>
      <c r="B1070" s="1">
        <v>1</v>
      </c>
      <c r="C1070" s="1">
        <v>368</v>
      </c>
      <c r="D1070" s="2" t="s">
        <v>1404</v>
      </c>
      <c r="E1070" s="5" t="s">
        <v>1404</v>
      </c>
      <c r="F1070" s="5">
        <v>14598</v>
      </c>
      <c r="G1070" s="2" t="s">
        <v>1494</v>
      </c>
      <c r="H1070" s="2" t="s">
        <v>1495</v>
      </c>
      <c r="I1070" s="2" t="s">
        <v>1496</v>
      </c>
      <c r="J1070" s="2" t="str">
        <f t="shared" si="32"/>
        <v>https://permalinkbnd.bnportugal.gov.pt/viewer/14598/?offset=#page=368&amp;viewer=picture&amp;o=info&amp;n=0&amp;q=</v>
      </c>
      <c r="K1070" s="1" t="s">
        <v>1405</v>
      </c>
      <c r="L1070" s="1" t="str">
        <f>VLOOKUP(A1070,Folha2!$A$2:$B$2019,2,FALSE)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0" s="12" t="str">
        <f t="shared" si="33"/>
        <v>https://permalinkbnd.bnportugal.gov.pt/viewer/14598/?offset=#page=368&amp;viewer=picture&amp;o=info&amp;n=0&amp;q=</v>
      </c>
      <c r="N1070" s="12" t="s">
        <v>1497</v>
      </c>
      <c r="O1070" s="12" t="str">
        <f>CONCATENATE(N1070,A1070,"\",B1070,"\",C1070,".jpg")</f>
        <v>C:\Users\mbaptista\OneDrive - Biblioteca Nacional de Portugal\Documentos\python\camoniana\imagens\capas\381297\1\368.jpg</v>
      </c>
      <c r="P1070" s="12" t="str">
        <f>HYPERLINK(O1070)</f>
        <v>C:\Users\mbaptista\OneDrive - Biblioteca Nacional de Portugal\Documentos\python\camoniana\imagens\capas\381297\1\368.jpg</v>
      </c>
      <c r="Q1070" s="12"/>
      <c r="R1070" s="6" t="s">
        <v>1414</v>
      </c>
      <c r="S1070" s="4"/>
      <c r="T1070" s="1" t="s">
        <v>1406</v>
      </c>
      <c r="U1070" s="13"/>
      <c r="V1070" s="13"/>
      <c r="W1070" s="5" t="s">
        <v>1491</v>
      </c>
    </row>
    <row r="1071" spans="1:23" ht="105">
      <c r="A1071" s="1">
        <v>381297</v>
      </c>
      <c r="B1071" s="1">
        <v>1</v>
      </c>
      <c r="C1071" s="1">
        <v>406</v>
      </c>
      <c r="D1071" s="2" t="s">
        <v>1404</v>
      </c>
      <c r="E1071" s="11" t="s">
        <v>1404</v>
      </c>
      <c r="F1071" s="11">
        <v>14598</v>
      </c>
      <c r="G1071" s="2" t="s">
        <v>1494</v>
      </c>
      <c r="H1071" s="2" t="s">
        <v>1495</v>
      </c>
      <c r="I1071" s="2" t="s">
        <v>1496</v>
      </c>
      <c r="J1071" s="2" t="str">
        <f t="shared" si="32"/>
        <v>https://permalinkbnd.bnportugal.gov.pt/viewer/14598/?offset=#page=406&amp;viewer=picture&amp;o=info&amp;n=0&amp;q=</v>
      </c>
      <c r="K1071" s="1" t="s">
        <v>1405</v>
      </c>
      <c r="L1071" s="1" t="str">
        <f>VLOOKUP(A1071,Folha2!$A$2:$B$2019,2,FALSE)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1" s="12" t="str">
        <f t="shared" si="33"/>
        <v>https://permalinkbnd.bnportugal.gov.pt/viewer/14598/?offset=#page=406&amp;viewer=picture&amp;o=info&amp;n=0&amp;q=</v>
      </c>
      <c r="N1071" s="12" t="s">
        <v>1497</v>
      </c>
      <c r="O1071" s="12" t="str">
        <f>CONCATENATE(N1071,A1071,"\",B1071,"\",C1071,".jpg")</f>
        <v>C:\Users\mbaptista\OneDrive - Biblioteca Nacional de Portugal\Documentos\python\camoniana\imagens\capas\381297\1\406.jpg</v>
      </c>
      <c r="P1071" s="12" t="str">
        <f>HYPERLINK(O1071)</f>
        <v>C:\Users\mbaptista\OneDrive - Biblioteca Nacional de Portugal\Documentos\python\camoniana\imagens\capas\381297\1\406.jpg</v>
      </c>
      <c r="Q1071" s="12"/>
      <c r="R1071" s="6" t="s">
        <v>1415</v>
      </c>
      <c r="S1071" s="4"/>
      <c r="T1071" s="1" t="s">
        <v>1406</v>
      </c>
      <c r="U1071" s="13"/>
      <c r="V1071" s="13"/>
      <c r="W1071" s="5" t="s">
        <v>1491</v>
      </c>
    </row>
    <row r="1072" spans="1:23" ht="105">
      <c r="A1072" s="1">
        <v>381297</v>
      </c>
      <c r="B1072" s="1">
        <v>1</v>
      </c>
      <c r="C1072" s="1">
        <v>440</v>
      </c>
      <c r="D1072" s="2" t="s">
        <v>1404</v>
      </c>
      <c r="E1072" s="5" t="s">
        <v>1404</v>
      </c>
      <c r="F1072" s="5">
        <v>14598</v>
      </c>
      <c r="G1072" s="2" t="s">
        <v>1494</v>
      </c>
      <c r="H1072" s="2" t="s">
        <v>1495</v>
      </c>
      <c r="I1072" s="2" t="s">
        <v>1496</v>
      </c>
      <c r="J1072" s="2" t="str">
        <f t="shared" si="32"/>
        <v>https://permalinkbnd.bnportugal.gov.pt/viewer/14598/?offset=#page=440&amp;viewer=picture&amp;o=info&amp;n=0&amp;q=</v>
      </c>
      <c r="K1072" s="1" t="s">
        <v>1405</v>
      </c>
      <c r="L1072" s="1" t="str">
        <f>VLOOKUP(A1072,Folha2!$A$2:$B$2019,2,FALSE)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2" s="12" t="str">
        <f t="shared" si="33"/>
        <v>https://permalinkbnd.bnportugal.gov.pt/viewer/14598/?offset=#page=440&amp;viewer=picture&amp;o=info&amp;n=0&amp;q=</v>
      </c>
      <c r="N1072" s="12" t="s">
        <v>1497</v>
      </c>
      <c r="O1072" s="12" t="str">
        <f>CONCATENATE(N1072,A1072,"\",B1072,"\",C1072,".jpg")</f>
        <v>C:\Users\mbaptista\OneDrive - Biblioteca Nacional de Portugal\Documentos\python\camoniana\imagens\capas\381297\1\440.jpg</v>
      </c>
      <c r="P1072" s="12" t="str">
        <f>HYPERLINK(O1072)</f>
        <v>C:\Users\mbaptista\OneDrive - Biblioteca Nacional de Portugal\Documentos\python\camoniana\imagens\capas\381297\1\440.jpg</v>
      </c>
      <c r="Q1072" s="12"/>
      <c r="R1072" s="6" t="s">
        <v>1416</v>
      </c>
      <c r="S1072" s="4"/>
      <c r="T1072" s="1" t="s">
        <v>1406</v>
      </c>
      <c r="U1072" s="13"/>
      <c r="V1072" s="13"/>
      <c r="W1072" s="5" t="s">
        <v>1491</v>
      </c>
    </row>
    <row r="1073" spans="1:23" ht="105">
      <c r="A1073" s="1">
        <v>381297</v>
      </c>
      <c r="B1073" s="1">
        <v>1</v>
      </c>
      <c r="C1073" s="1">
        <v>478</v>
      </c>
      <c r="D1073" s="2" t="s">
        <v>1404</v>
      </c>
      <c r="E1073" s="11" t="s">
        <v>1404</v>
      </c>
      <c r="F1073" s="11">
        <v>14598</v>
      </c>
      <c r="G1073" s="2" t="s">
        <v>1494</v>
      </c>
      <c r="H1073" s="2" t="s">
        <v>1495</v>
      </c>
      <c r="I1073" s="2" t="s">
        <v>1496</v>
      </c>
      <c r="J1073" s="2" t="str">
        <f t="shared" si="32"/>
        <v>https://permalinkbnd.bnportugal.gov.pt/viewer/14598/?offset=#page=478&amp;viewer=picture&amp;o=info&amp;n=0&amp;q=</v>
      </c>
      <c r="K1073" s="1" t="s">
        <v>1405</v>
      </c>
      <c r="L1073" s="1" t="str">
        <f>VLOOKUP(A1073,Folha2!$A$2:$B$2019,2,FALSE)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3" s="12" t="str">
        <f t="shared" si="33"/>
        <v>https://permalinkbnd.bnportugal.gov.pt/viewer/14598/?offset=#page=478&amp;viewer=picture&amp;o=info&amp;n=0&amp;q=</v>
      </c>
      <c r="N1073" s="12" t="s">
        <v>1497</v>
      </c>
      <c r="O1073" s="12" t="str">
        <f>CONCATENATE(N1073,A1073,"\",B1073,"\",C1073,".jpg")</f>
        <v>C:\Users\mbaptista\OneDrive - Biblioteca Nacional de Portugal\Documentos\python\camoniana\imagens\capas\381297\1\478.jpg</v>
      </c>
      <c r="P1073" s="12" t="str">
        <f>HYPERLINK(O1073)</f>
        <v>C:\Users\mbaptista\OneDrive - Biblioteca Nacional de Portugal\Documentos\python\camoniana\imagens\capas\381297\1\478.jpg</v>
      </c>
      <c r="Q1073" s="12"/>
      <c r="R1073" s="6" t="s">
        <v>1417</v>
      </c>
      <c r="S1073" s="4"/>
      <c r="T1073" s="1" t="s">
        <v>1406</v>
      </c>
      <c r="U1073" s="13"/>
      <c r="V1073" s="13"/>
      <c r="W1073" s="5" t="s">
        <v>1491</v>
      </c>
    </row>
    <row r="1074" spans="1:23" ht="105">
      <c r="A1074" s="1">
        <v>381297</v>
      </c>
      <c r="B1074" s="1">
        <v>1</v>
      </c>
      <c r="C1074" s="1">
        <v>514</v>
      </c>
      <c r="D1074" s="2" t="s">
        <v>1404</v>
      </c>
      <c r="E1074" s="5" t="s">
        <v>1404</v>
      </c>
      <c r="F1074" s="5">
        <v>14598</v>
      </c>
      <c r="G1074" s="2" t="s">
        <v>1494</v>
      </c>
      <c r="H1074" s="2" t="s">
        <v>1495</v>
      </c>
      <c r="I1074" s="2" t="s">
        <v>1496</v>
      </c>
      <c r="J1074" s="2" t="str">
        <f t="shared" si="32"/>
        <v>https://permalinkbnd.bnportugal.gov.pt/viewer/14598/?offset=#page=514&amp;viewer=picture&amp;o=info&amp;n=0&amp;q=</v>
      </c>
      <c r="K1074" s="1" t="s">
        <v>1405</v>
      </c>
      <c r="L1074" s="1" t="str">
        <f>VLOOKUP(A1074,Folha2!$A$2:$B$2019,2,FALSE)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4" s="12" t="str">
        <f t="shared" si="33"/>
        <v>https://permalinkbnd.bnportugal.gov.pt/viewer/14598/?offset=#page=514&amp;viewer=picture&amp;o=info&amp;n=0&amp;q=</v>
      </c>
      <c r="N1074" s="12" t="s">
        <v>1497</v>
      </c>
      <c r="O1074" s="12" t="str">
        <f>CONCATENATE(N1074,A1074,"\",B1074,"\",C1074,".jpg")</f>
        <v>C:\Users\mbaptista\OneDrive - Biblioteca Nacional de Portugal\Documentos\python\camoniana\imagens\capas\381297\1\514.jpg</v>
      </c>
      <c r="P1074" s="12" t="str">
        <f>HYPERLINK(O1074)</f>
        <v>C:\Users\mbaptista\OneDrive - Biblioteca Nacional de Portugal\Documentos\python\camoniana\imagens\capas\381297\1\514.jpg</v>
      </c>
      <c r="Q1074" s="12"/>
      <c r="R1074" s="6" t="s">
        <v>1418</v>
      </c>
      <c r="S1074" s="4"/>
      <c r="T1074" s="1" t="s">
        <v>1406</v>
      </c>
      <c r="U1074" s="13"/>
      <c r="V1074" s="13"/>
      <c r="W1074" s="5" t="s">
        <v>1491</v>
      </c>
    </row>
    <row r="1075" spans="1:23" ht="75">
      <c r="A1075" s="1">
        <v>381496</v>
      </c>
      <c r="B1075" s="1">
        <v>1</v>
      </c>
      <c r="C1075" s="1">
        <v>10</v>
      </c>
      <c r="D1075" s="2" t="s">
        <v>1419</v>
      </c>
      <c r="E1075" s="11" t="s">
        <v>1419</v>
      </c>
      <c r="F1075" s="11">
        <v>14581</v>
      </c>
      <c r="G1075" s="2" t="s">
        <v>1494</v>
      </c>
      <c r="H1075" s="2" t="s">
        <v>1495</v>
      </c>
      <c r="I1075" s="2" t="s">
        <v>1496</v>
      </c>
      <c r="J1075" s="2" t="str">
        <f t="shared" si="32"/>
        <v>https://permalinkbnd.bnportugal.gov.pt/viewer/14581/?offset=#page=10&amp;viewer=picture&amp;o=info&amp;n=0&amp;q=</v>
      </c>
      <c r="K1075" s="1" t="s">
        <v>1420</v>
      </c>
      <c r="L1075" s="1" t="str">
        <f>VLOOKUP(A1075,Folha2!$A$2:$B$2019,2,FALSE)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5" s="12" t="str">
        <f t="shared" si="33"/>
        <v>https://permalinkbnd.bnportugal.gov.pt/viewer/14581/?offset=#page=10&amp;viewer=picture&amp;o=info&amp;n=0&amp;q=</v>
      </c>
      <c r="N1075" s="12" t="s">
        <v>1497</v>
      </c>
      <c r="O1075" s="12" t="str">
        <f>CONCATENATE(N1075,A1075,"\",B1075,"\",C1075,".jpg")</f>
        <v>C:\Users\mbaptista\OneDrive - Biblioteca Nacional de Portugal\Documentos\python\camoniana\imagens\capas\381496\1\10.jpg</v>
      </c>
      <c r="P1075" s="12" t="str">
        <f>HYPERLINK(O1075)</f>
        <v>C:\Users\mbaptista\OneDrive - Biblioteca Nacional de Portugal\Documentos\python\camoniana\imagens\capas\381496\1\10.jpg</v>
      </c>
      <c r="Q1075" s="12"/>
      <c r="R1075" s="6" t="s">
        <v>1422</v>
      </c>
      <c r="S1075" s="4"/>
      <c r="T1075" s="1" t="s">
        <v>1421</v>
      </c>
      <c r="U1075" s="13"/>
      <c r="V1075" s="13"/>
      <c r="W1075" s="5" t="s">
        <v>1491</v>
      </c>
    </row>
    <row r="1076" spans="1:23" ht="75">
      <c r="A1076" s="1">
        <v>381496</v>
      </c>
      <c r="B1076" s="1">
        <v>1</v>
      </c>
      <c r="C1076" s="1">
        <v>49</v>
      </c>
      <c r="D1076" s="2" t="s">
        <v>1419</v>
      </c>
      <c r="E1076" s="5" t="s">
        <v>1419</v>
      </c>
      <c r="F1076" s="5">
        <v>14581</v>
      </c>
      <c r="G1076" s="2" t="s">
        <v>1494</v>
      </c>
      <c r="H1076" s="2" t="s">
        <v>1495</v>
      </c>
      <c r="I1076" s="2" t="s">
        <v>1496</v>
      </c>
      <c r="J1076" s="2" t="str">
        <f t="shared" si="32"/>
        <v>https://permalinkbnd.bnportugal.gov.pt/viewer/14581/?offset=#page=49&amp;viewer=picture&amp;o=info&amp;n=0&amp;q=</v>
      </c>
      <c r="K1076" s="1" t="s">
        <v>1420</v>
      </c>
      <c r="L1076" s="1" t="str">
        <f>VLOOKUP(A1076,Folha2!$A$2:$B$2019,2,FALSE)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6" s="12" t="str">
        <f t="shared" si="33"/>
        <v>https://permalinkbnd.bnportugal.gov.pt/viewer/14581/?offset=#page=49&amp;viewer=picture&amp;o=info&amp;n=0&amp;q=</v>
      </c>
      <c r="N1076" s="12" t="s">
        <v>1497</v>
      </c>
      <c r="O1076" s="12" t="str">
        <f>CONCATENATE(N1076,A1076,"\",B1076,"\",C1076,".jpg")</f>
        <v>C:\Users\mbaptista\OneDrive - Biblioteca Nacional de Portugal\Documentos\python\camoniana\imagens\capas\381496\1\49.jpg</v>
      </c>
      <c r="P1076" s="12" t="str">
        <f>HYPERLINK(O1076)</f>
        <v>C:\Users\mbaptista\OneDrive - Biblioteca Nacional de Portugal\Documentos\python\camoniana\imagens\capas\381496\1\49.jpg</v>
      </c>
      <c r="Q1076" s="12"/>
      <c r="R1076" s="6" t="s">
        <v>1423</v>
      </c>
      <c r="S1076" s="4"/>
      <c r="T1076" s="1" t="s">
        <v>1421</v>
      </c>
      <c r="U1076" s="13"/>
      <c r="V1076" s="13"/>
      <c r="W1076" s="5" t="s">
        <v>1491</v>
      </c>
    </row>
    <row r="1077" spans="1:23" ht="75">
      <c r="A1077" s="1">
        <v>381496</v>
      </c>
      <c r="B1077" s="1">
        <v>1</v>
      </c>
      <c r="C1077" s="1">
        <v>83</v>
      </c>
      <c r="D1077" s="2" t="s">
        <v>1419</v>
      </c>
      <c r="E1077" s="11" t="s">
        <v>1419</v>
      </c>
      <c r="F1077" s="11">
        <v>14581</v>
      </c>
      <c r="G1077" s="2" t="s">
        <v>1494</v>
      </c>
      <c r="H1077" s="2" t="s">
        <v>1495</v>
      </c>
      <c r="I1077" s="2" t="s">
        <v>1496</v>
      </c>
      <c r="J1077" s="2" t="str">
        <f t="shared" si="32"/>
        <v>https://permalinkbnd.bnportugal.gov.pt/viewer/14581/?offset=#page=83&amp;viewer=picture&amp;o=info&amp;n=0&amp;q=</v>
      </c>
      <c r="K1077" s="1" t="s">
        <v>1420</v>
      </c>
      <c r="L1077" s="1" t="str">
        <f>VLOOKUP(A1077,Folha2!$A$2:$B$2019,2,FALSE)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7" s="12" t="str">
        <f t="shared" si="33"/>
        <v>https://permalinkbnd.bnportugal.gov.pt/viewer/14581/?offset=#page=83&amp;viewer=picture&amp;o=info&amp;n=0&amp;q=</v>
      </c>
      <c r="N1077" s="12" t="s">
        <v>1497</v>
      </c>
      <c r="O1077" s="12" t="str">
        <f>CONCATENATE(N1077,A1077,"\",B1077,"\",C1077,".jpg")</f>
        <v>C:\Users\mbaptista\OneDrive - Biblioteca Nacional de Portugal\Documentos\python\camoniana\imagens\capas\381496\1\83.jpg</v>
      </c>
      <c r="P1077" s="12" t="str">
        <f>HYPERLINK(O1077)</f>
        <v>C:\Users\mbaptista\OneDrive - Biblioteca Nacional de Portugal\Documentos\python\camoniana\imagens\capas\381496\1\83.jpg</v>
      </c>
      <c r="Q1077" s="12"/>
      <c r="R1077" s="6" t="s">
        <v>1424</v>
      </c>
      <c r="S1077" s="4"/>
      <c r="T1077" s="1" t="s">
        <v>1421</v>
      </c>
      <c r="U1077" s="13"/>
      <c r="V1077" s="13"/>
      <c r="W1077" s="5" t="s">
        <v>1491</v>
      </c>
    </row>
    <row r="1078" spans="1:23" ht="75">
      <c r="A1078" s="1">
        <v>381496</v>
      </c>
      <c r="B1078" s="1">
        <v>1</v>
      </c>
      <c r="C1078" s="1">
        <v>119</v>
      </c>
      <c r="D1078" s="2" t="s">
        <v>1419</v>
      </c>
      <c r="E1078" s="5" t="s">
        <v>1419</v>
      </c>
      <c r="F1078" s="5">
        <v>14581</v>
      </c>
      <c r="G1078" s="2" t="s">
        <v>1494</v>
      </c>
      <c r="H1078" s="2" t="s">
        <v>1495</v>
      </c>
      <c r="I1078" s="2" t="s">
        <v>1496</v>
      </c>
      <c r="J1078" s="2" t="str">
        <f t="shared" si="32"/>
        <v>https://permalinkbnd.bnportugal.gov.pt/viewer/14581/?offset=#page=119&amp;viewer=picture&amp;o=info&amp;n=0&amp;q=</v>
      </c>
      <c r="K1078" s="1" t="s">
        <v>1420</v>
      </c>
      <c r="L1078" s="1" t="str">
        <f>VLOOKUP(A1078,Folha2!$A$2:$B$2019,2,FALSE)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8" s="12" t="str">
        <f t="shared" si="33"/>
        <v>https://permalinkbnd.bnportugal.gov.pt/viewer/14581/?offset=#page=119&amp;viewer=picture&amp;o=info&amp;n=0&amp;q=</v>
      </c>
      <c r="N1078" s="12" t="s">
        <v>1497</v>
      </c>
      <c r="O1078" s="12" t="str">
        <f>CONCATENATE(N1078,A1078,"\",B1078,"\",C1078,".jpg")</f>
        <v>C:\Users\mbaptista\OneDrive - Biblioteca Nacional de Portugal\Documentos\python\camoniana\imagens\capas\381496\1\119.jpg</v>
      </c>
      <c r="P1078" s="12" t="str">
        <f>HYPERLINK(O1078)</f>
        <v>C:\Users\mbaptista\OneDrive - Biblioteca Nacional de Portugal\Documentos\python\camoniana\imagens\capas\381496\1\119.jpg</v>
      </c>
      <c r="Q1078" s="12"/>
      <c r="R1078" s="6" t="s">
        <v>1425</v>
      </c>
      <c r="S1078" s="4"/>
      <c r="T1078" s="1" t="s">
        <v>1421</v>
      </c>
      <c r="U1078" s="13"/>
      <c r="V1078" s="13"/>
      <c r="W1078" s="5" t="s">
        <v>1491</v>
      </c>
    </row>
    <row r="1079" spans="1:23" ht="75">
      <c r="A1079" s="1">
        <v>381496</v>
      </c>
      <c r="B1079" s="1">
        <v>1</v>
      </c>
      <c r="C1079" s="1">
        <v>161</v>
      </c>
      <c r="D1079" s="2" t="s">
        <v>1419</v>
      </c>
      <c r="E1079" s="11" t="s">
        <v>1419</v>
      </c>
      <c r="F1079" s="11">
        <v>14581</v>
      </c>
      <c r="G1079" s="2" t="s">
        <v>1494</v>
      </c>
      <c r="H1079" s="2" t="s">
        <v>1495</v>
      </c>
      <c r="I1079" s="2" t="s">
        <v>1496</v>
      </c>
      <c r="J1079" s="2" t="str">
        <f t="shared" si="32"/>
        <v>https://permalinkbnd.bnportugal.gov.pt/viewer/14581/?offset=#page=161&amp;viewer=picture&amp;o=info&amp;n=0&amp;q=</v>
      </c>
      <c r="K1079" s="1" t="s">
        <v>1420</v>
      </c>
      <c r="L1079" s="1" t="str">
        <f>VLOOKUP(A1079,Folha2!$A$2:$B$2019,2,FALSE)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9" s="12" t="str">
        <f t="shared" si="33"/>
        <v>https://permalinkbnd.bnportugal.gov.pt/viewer/14581/?offset=#page=161&amp;viewer=picture&amp;o=info&amp;n=0&amp;q=</v>
      </c>
      <c r="N1079" s="12" t="s">
        <v>1497</v>
      </c>
      <c r="O1079" s="12" t="str">
        <f>CONCATENATE(N1079,A1079,"\",B1079,"\",C1079,".jpg")</f>
        <v>C:\Users\mbaptista\OneDrive - Biblioteca Nacional de Portugal\Documentos\python\camoniana\imagens\capas\381496\1\161.jpg</v>
      </c>
      <c r="P1079" s="12" t="str">
        <f>HYPERLINK(O1079)</f>
        <v>C:\Users\mbaptista\OneDrive - Biblioteca Nacional de Portugal\Documentos\python\camoniana\imagens\capas\381496\1\161.jpg</v>
      </c>
      <c r="Q1079" s="12"/>
      <c r="R1079" s="6" t="s">
        <v>1426</v>
      </c>
      <c r="S1079" s="4"/>
      <c r="T1079" s="1" t="s">
        <v>1421</v>
      </c>
      <c r="U1079" s="13"/>
      <c r="V1079" s="13"/>
      <c r="W1079" s="5" t="s">
        <v>1491</v>
      </c>
    </row>
    <row r="1080" spans="1:23" ht="75">
      <c r="A1080" s="1">
        <v>381496</v>
      </c>
      <c r="B1080" s="1">
        <v>1</v>
      </c>
      <c r="C1080" s="1">
        <v>195</v>
      </c>
      <c r="D1080" s="2" t="s">
        <v>1419</v>
      </c>
      <c r="E1080" s="5" t="s">
        <v>1419</v>
      </c>
      <c r="F1080" s="5">
        <v>14581</v>
      </c>
      <c r="G1080" s="2" t="s">
        <v>1494</v>
      </c>
      <c r="H1080" s="2" t="s">
        <v>1495</v>
      </c>
      <c r="I1080" s="2" t="s">
        <v>1496</v>
      </c>
      <c r="J1080" s="2" t="str">
        <f t="shared" si="32"/>
        <v>https://permalinkbnd.bnportugal.gov.pt/viewer/14581/?offset=#page=195&amp;viewer=picture&amp;o=info&amp;n=0&amp;q=</v>
      </c>
      <c r="K1080" s="1" t="s">
        <v>1420</v>
      </c>
      <c r="L1080" s="1" t="str">
        <f>VLOOKUP(A1080,Folha2!$A$2:$B$2019,2,FALSE)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0" s="12" t="str">
        <f t="shared" si="33"/>
        <v>https://permalinkbnd.bnportugal.gov.pt/viewer/14581/?offset=#page=195&amp;viewer=picture&amp;o=info&amp;n=0&amp;q=</v>
      </c>
      <c r="N1080" s="12" t="s">
        <v>1497</v>
      </c>
      <c r="O1080" s="12" t="str">
        <f>CONCATENATE(N1080,A1080,"\",B1080,"\",C1080,".jpg")</f>
        <v>C:\Users\mbaptista\OneDrive - Biblioteca Nacional de Portugal\Documentos\python\camoniana\imagens\capas\381496\1\195.jpg</v>
      </c>
      <c r="P1080" s="12" t="str">
        <f>HYPERLINK(O1080)</f>
        <v>C:\Users\mbaptista\OneDrive - Biblioteca Nacional de Portugal\Documentos\python\camoniana\imagens\capas\381496\1\195.jpg</v>
      </c>
      <c r="Q1080" s="12"/>
      <c r="R1080" s="6" t="s">
        <v>1427</v>
      </c>
      <c r="S1080" s="4"/>
      <c r="T1080" s="1" t="s">
        <v>1421</v>
      </c>
      <c r="U1080" s="13"/>
      <c r="V1080" s="13"/>
      <c r="W1080" s="5" t="s">
        <v>1491</v>
      </c>
    </row>
    <row r="1081" spans="1:23" ht="75">
      <c r="A1081" s="1">
        <v>381496</v>
      </c>
      <c r="B1081" s="1">
        <v>1</v>
      </c>
      <c r="C1081" s="1">
        <v>227</v>
      </c>
      <c r="D1081" s="2" t="s">
        <v>1419</v>
      </c>
      <c r="E1081" s="11" t="s">
        <v>1419</v>
      </c>
      <c r="F1081" s="11">
        <v>14581</v>
      </c>
      <c r="G1081" s="2" t="s">
        <v>1494</v>
      </c>
      <c r="H1081" s="2" t="s">
        <v>1495</v>
      </c>
      <c r="I1081" s="2" t="s">
        <v>1496</v>
      </c>
      <c r="J1081" s="2" t="str">
        <f t="shared" si="32"/>
        <v>https://permalinkbnd.bnportugal.gov.pt/viewer/14581/?offset=#page=227&amp;viewer=picture&amp;o=info&amp;n=0&amp;q=</v>
      </c>
      <c r="K1081" s="1" t="s">
        <v>1420</v>
      </c>
      <c r="L1081" s="1" t="str">
        <f>VLOOKUP(A1081,Folha2!$A$2:$B$2019,2,FALSE)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1" s="12" t="str">
        <f t="shared" si="33"/>
        <v>https://permalinkbnd.bnportugal.gov.pt/viewer/14581/?offset=#page=227&amp;viewer=picture&amp;o=info&amp;n=0&amp;q=</v>
      </c>
      <c r="N1081" s="12" t="s">
        <v>1497</v>
      </c>
      <c r="O1081" s="12" t="str">
        <f>CONCATENATE(N1081,A1081,"\",B1081,"\",C1081,".jpg")</f>
        <v>C:\Users\mbaptista\OneDrive - Biblioteca Nacional de Portugal\Documentos\python\camoniana\imagens\capas\381496\1\227.jpg</v>
      </c>
      <c r="P1081" s="12" t="str">
        <f>HYPERLINK(O1081)</f>
        <v>C:\Users\mbaptista\OneDrive - Biblioteca Nacional de Portugal\Documentos\python\camoniana\imagens\capas\381496\1\227.jpg</v>
      </c>
      <c r="Q1081" s="12"/>
      <c r="R1081" s="6" t="s">
        <v>1428</v>
      </c>
      <c r="S1081" s="4"/>
      <c r="T1081" s="1" t="s">
        <v>1421</v>
      </c>
      <c r="U1081" s="13"/>
      <c r="V1081" s="13"/>
      <c r="W1081" s="5" t="s">
        <v>1491</v>
      </c>
    </row>
    <row r="1082" spans="1:23" ht="75">
      <c r="A1082" s="1">
        <v>381496</v>
      </c>
      <c r="B1082" s="1">
        <v>1</v>
      </c>
      <c r="C1082" s="1">
        <v>259</v>
      </c>
      <c r="D1082" s="2" t="s">
        <v>1419</v>
      </c>
      <c r="E1082" s="5" t="s">
        <v>1419</v>
      </c>
      <c r="F1082" s="5">
        <v>14581</v>
      </c>
      <c r="G1082" s="2" t="s">
        <v>1494</v>
      </c>
      <c r="H1082" s="2" t="s">
        <v>1495</v>
      </c>
      <c r="I1082" s="2" t="s">
        <v>1496</v>
      </c>
      <c r="J1082" s="2" t="str">
        <f t="shared" si="32"/>
        <v>https://permalinkbnd.bnportugal.gov.pt/viewer/14581/?offset=#page=259&amp;viewer=picture&amp;o=info&amp;n=0&amp;q=</v>
      </c>
      <c r="K1082" s="1" t="s">
        <v>1420</v>
      </c>
      <c r="L1082" s="1" t="str">
        <f>VLOOKUP(A1082,Folha2!$A$2:$B$2019,2,FALSE)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2" s="12" t="str">
        <f t="shared" si="33"/>
        <v>https://permalinkbnd.bnportugal.gov.pt/viewer/14581/?offset=#page=259&amp;viewer=picture&amp;o=info&amp;n=0&amp;q=</v>
      </c>
      <c r="N1082" s="12" t="s">
        <v>1497</v>
      </c>
      <c r="O1082" s="12" t="str">
        <f>CONCATENATE(N1082,A1082,"\",B1082,"\",C1082,".jpg")</f>
        <v>C:\Users\mbaptista\OneDrive - Biblioteca Nacional de Portugal\Documentos\python\camoniana\imagens\capas\381496\1\259.jpg</v>
      </c>
      <c r="P1082" s="12" t="str">
        <f>HYPERLINK(O1082)</f>
        <v>C:\Users\mbaptista\OneDrive - Biblioteca Nacional de Portugal\Documentos\python\camoniana\imagens\capas\381496\1\259.jpg</v>
      </c>
      <c r="Q1082" s="12"/>
      <c r="R1082" s="6" t="s">
        <v>1429</v>
      </c>
      <c r="S1082" s="4"/>
      <c r="T1082" s="1" t="s">
        <v>1421</v>
      </c>
      <c r="U1082" s="13"/>
      <c r="V1082" s="13"/>
      <c r="W1082" s="5" t="s">
        <v>1491</v>
      </c>
    </row>
    <row r="1083" spans="1:23" ht="75">
      <c r="A1083" s="1">
        <v>381496</v>
      </c>
      <c r="B1083" s="1">
        <v>1</v>
      </c>
      <c r="C1083" s="1">
        <v>287</v>
      </c>
      <c r="D1083" s="2" t="s">
        <v>1419</v>
      </c>
      <c r="E1083" s="11" t="s">
        <v>1419</v>
      </c>
      <c r="F1083" s="11">
        <v>14581</v>
      </c>
      <c r="G1083" s="2" t="s">
        <v>1494</v>
      </c>
      <c r="H1083" s="2" t="s">
        <v>1495</v>
      </c>
      <c r="I1083" s="2" t="s">
        <v>1496</v>
      </c>
      <c r="J1083" s="2" t="str">
        <f t="shared" si="32"/>
        <v>https://permalinkbnd.bnportugal.gov.pt/viewer/14581/?offset=#page=287&amp;viewer=picture&amp;o=info&amp;n=0&amp;q=</v>
      </c>
      <c r="K1083" s="1" t="s">
        <v>1420</v>
      </c>
      <c r="L1083" s="1" t="str">
        <f>VLOOKUP(A1083,Folha2!$A$2:$B$2019,2,FALSE)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3" s="12" t="str">
        <f t="shared" si="33"/>
        <v>https://permalinkbnd.bnportugal.gov.pt/viewer/14581/?offset=#page=287&amp;viewer=picture&amp;o=info&amp;n=0&amp;q=</v>
      </c>
      <c r="N1083" s="12" t="s">
        <v>1497</v>
      </c>
      <c r="O1083" s="12" t="str">
        <f>CONCATENATE(N1083,A1083,"\",B1083,"\",C1083,".jpg")</f>
        <v>C:\Users\mbaptista\OneDrive - Biblioteca Nacional de Portugal\Documentos\python\camoniana\imagens\capas\381496\1\287.jpg</v>
      </c>
      <c r="P1083" s="12" t="str">
        <f>HYPERLINK(O1083)</f>
        <v>C:\Users\mbaptista\OneDrive - Biblioteca Nacional de Portugal\Documentos\python\camoniana\imagens\capas\381496\1\287.jpg</v>
      </c>
      <c r="Q1083" s="12"/>
      <c r="R1083" s="6" t="s">
        <v>1430</v>
      </c>
      <c r="S1083" s="4"/>
      <c r="T1083" s="1" t="s">
        <v>1421</v>
      </c>
      <c r="U1083" s="13"/>
      <c r="V1083" s="13"/>
      <c r="W1083" s="5" t="s">
        <v>1491</v>
      </c>
    </row>
    <row r="1084" spans="1:23" ht="75">
      <c r="A1084" s="1">
        <v>381496</v>
      </c>
      <c r="B1084" s="1">
        <v>1</v>
      </c>
      <c r="C1084" s="1">
        <v>319</v>
      </c>
      <c r="D1084" s="2" t="s">
        <v>1419</v>
      </c>
      <c r="E1084" s="5" t="s">
        <v>1419</v>
      </c>
      <c r="F1084" s="5">
        <v>14581</v>
      </c>
      <c r="G1084" s="2" t="s">
        <v>1494</v>
      </c>
      <c r="H1084" s="2" t="s">
        <v>1495</v>
      </c>
      <c r="I1084" s="2" t="s">
        <v>1496</v>
      </c>
      <c r="J1084" s="2" t="str">
        <f t="shared" si="32"/>
        <v>https://permalinkbnd.bnportugal.gov.pt/viewer/14581/?offset=#page=319&amp;viewer=picture&amp;o=info&amp;n=0&amp;q=</v>
      </c>
      <c r="K1084" s="1" t="s">
        <v>1420</v>
      </c>
      <c r="L1084" s="1" t="str">
        <f>VLOOKUP(A1084,Folha2!$A$2:$B$2019,2,FALSE)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4" s="12" t="str">
        <f t="shared" si="33"/>
        <v>https://permalinkbnd.bnportugal.gov.pt/viewer/14581/?offset=#page=319&amp;viewer=picture&amp;o=info&amp;n=0&amp;q=</v>
      </c>
      <c r="N1084" s="12" t="s">
        <v>1497</v>
      </c>
      <c r="O1084" s="12" t="str">
        <f>CONCATENATE(N1084,A1084,"\",B1084,"\",C1084,".jpg")</f>
        <v>C:\Users\mbaptista\OneDrive - Biblioteca Nacional de Portugal\Documentos\python\camoniana\imagens\capas\381496\1\319.jpg</v>
      </c>
      <c r="P1084" s="12" t="str">
        <f>HYPERLINK(O1084)</f>
        <v>C:\Users\mbaptista\OneDrive - Biblioteca Nacional de Portugal\Documentos\python\camoniana\imagens\capas\381496\1\319.jpg</v>
      </c>
      <c r="Q1084" s="12"/>
      <c r="R1084" s="6" t="s">
        <v>1431</v>
      </c>
      <c r="S1084" s="4"/>
      <c r="T1084" s="1" t="s">
        <v>1421</v>
      </c>
      <c r="U1084" s="13"/>
      <c r="V1084" s="13"/>
      <c r="W1084" s="5" t="s">
        <v>1491</v>
      </c>
    </row>
    <row r="1085" spans="1:23" ht="75">
      <c r="A1085" s="1">
        <v>381496</v>
      </c>
      <c r="B1085" s="1">
        <v>1</v>
      </c>
      <c r="C1085" s="1">
        <v>349</v>
      </c>
      <c r="D1085" s="2" t="s">
        <v>1419</v>
      </c>
      <c r="E1085" s="11" t="s">
        <v>1419</v>
      </c>
      <c r="F1085" s="11">
        <v>14581</v>
      </c>
      <c r="G1085" s="2" t="s">
        <v>1494</v>
      </c>
      <c r="H1085" s="2" t="s">
        <v>1495</v>
      </c>
      <c r="I1085" s="2" t="s">
        <v>1496</v>
      </c>
      <c r="J1085" s="2" t="str">
        <f t="shared" si="32"/>
        <v>https://permalinkbnd.bnportugal.gov.pt/viewer/14581/?offset=#page=349&amp;viewer=picture&amp;o=info&amp;n=0&amp;q=</v>
      </c>
      <c r="K1085" s="1" t="s">
        <v>1420</v>
      </c>
      <c r="L1085" s="1" t="str">
        <f>VLOOKUP(A1085,Folha2!$A$2:$B$2019,2,FALSE)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5" s="12" t="str">
        <f t="shared" si="33"/>
        <v>https://permalinkbnd.bnportugal.gov.pt/viewer/14581/?offset=#page=349&amp;viewer=picture&amp;o=info&amp;n=0&amp;q=</v>
      </c>
      <c r="N1085" s="12" t="s">
        <v>1497</v>
      </c>
      <c r="O1085" s="12" t="str">
        <f>CONCATENATE(N1085,A1085,"\",B1085,"\",C1085,".jpg")</f>
        <v>C:\Users\mbaptista\OneDrive - Biblioteca Nacional de Portugal\Documentos\python\camoniana\imagens\capas\381496\1\349.jpg</v>
      </c>
      <c r="P1085" s="12" t="str">
        <f>HYPERLINK(O1085)</f>
        <v>C:\Users\mbaptista\OneDrive - Biblioteca Nacional de Portugal\Documentos\python\camoniana\imagens\capas\381496\1\349.jpg</v>
      </c>
      <c r="Q1085" s="12"/>
      <c r="R1085" s="6" t="s">
        <v>1432</v>
      </c>
      <c r="S1085" s="4"/>
      <c r="T1085" s="1" t="s">
        <v>1421</v>
      </c>
      <c r="U1085" s="13"/>
      <c r="V1085" s="13"/>
      <c r="W1085" s="5" t="s">
        <v>1491</v>
      </c>
    </row>
    <row r="1086" spans="1:23" ht="75">
      <c r="A1086" s="1">
        <v>384309</v>
      </c>
      <c r="B1086" s="1">
        <v>1</v>
      </c>
      <c r="C1086" s="1">
        <v>1</v>
      </c>
      <c r="D1086" s="2" t="s">
        <v>1433</v>
      </c>
      <c r="E1086" s="5" t="s">
        <v>1433</v>
      </c>
      <c r="F1086" s="5">
        <v>86181</v>
      </c>
      <c r="G1086" s="2" t="s">
        <v>1494</v>
      </c>
      <c r="H1086" s="2" t="s">
        <v>1495</v>
      </c>
      <c r="I1086" s="2" t="s">
        <v>1496</v>
      </c>
      <c r="J1086" s="2" t="str">
        <f t="shared" si="32"/>
        <v>https://permalinkbnd.bnportugal.gov.pt/viewer/86181/?offset=#page=1&amp;viewer=picture&amp;o=info&amp;n=0&amp;q=</v>
      </c>
      <c r="K1086" s="1" t="s">
        <v>1434</v>
      </c>
      <c r="L1086" s="1" t="str">
        <f>VLOOKUP(A1086,Folha2!$A$2:$B$2019,2,FALSE)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6" s="12" t="str">
        <f t="shared" si="33"/>
        <v>https://permalinkbnd.bnportugal.gov.pt/viewer/86181/?offset=#page=1&amp;viewer=picture&amp;o=info&amp;n=0&amp;q=</v>
      </c>
      <c r="N1086" s="12" t="s">
        <v>1497</v>
      </c>
      <c r="O1086" s="12" t="str">
        <f>CONCATENATE(N1086,A1086,"\",B1086,"\",C1086,".jpg")</f>
        <v>C:\Users\mbaptista\OneDrive - Biblioteca Nacional de Portugal\Documentos\python\camoniana\imagens\capas\384309\1\1.jpg</v>
      </c>
      <c r="P1086" s="12" t="str">
        <f>HYPERLINK(O1086)</f>
        <v>C:\Users\mbaptista\OneDrive - Biblioteca Nacional de Portugal\Documentos\python\camoniana\imagens\capas\384309\1\1.jpg</v>
      </c>
      <c r="Q1086" s="12"/>
      <c r="R1086" s="6" t="s">
        <v>1436</v>
      </c>
      <c r="S1086" s="4"/>
      <c r="T1086" s="1" t="s">
        <v>1435</v>
      </c>
      <c r="U1086" s="13"/>
      <c r="V1086" s="13"/>
      <c r="W1086" s="5" t="s">
        <v>1491</v>
      </c>
    </row>
    <row r="1087" spans="1:23" ht="75">
      <c r="A1087" s="1">
        <v>384309</v>
      </c>
      <c r="B1087" s="1">
        <v>1</v>
      </c>
      <c r="C1087" s="1">
        <v>3</v>
      </c>
      <c r="D1087" s="2" t="s">
        <v>1433</v>
      </c>
      <c r="E1087" s="11" t="s">
        <v>1433</v>
      </c>
      <c r="F1087" s="11">
        <v>86181</v>
      </c>
      <c r="G1087" s="2" t="s">
        <v>1494</v>
      </c>
      <c r="H1087" s="2" t="s">
        <v>1495</v>
      </c>
      <c r="I1087" s="2" t="s">
        <v>1496</v>
      </c>
      <c r="J1087" s="2" t="str">
        <f t="shared" si="32"/>
        <v>https://permalinkbnd.bnportugal.gov.pt/viewer/86181/?offset=#page=3&amp;viewer=picture&amp;o=info&amp;n=0&amp;q=</v>
      </c>
      <c r="K1087" s="1" t="s">
        <v>1434</v>
      </c>
      <c r="L1087" s="1" t="str">
        <f>VLOOKUP(A1087,Folha2!$A$2:$B$2019,2,FALSE)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7" s="12" t="str">
        <f t="shared" si="33"/>
        <v>https://permalinkbnd.bnportugal.gov.pt/viewer/86181/?offset=#page=3&amp;viewer=picture&amp;o=info&amp;n=0&amp;q=</v>
      </c>
      <c r="N1087" s="12" t="s">
        <v>1497</v>
      </c>
      <c r="O1087" s="12" t="str">
        <f>CONCATENATE(N1087,A1087,"\",B1087,"\",C1087,".jpg")</f>
        <v>C:\Users\mbaptista\OneDrive - Biblioteca Nacional de Portugal\Documentos\python\camoniana\imagens\capas\384309\1\3.jpg</v>
      </c>
      <c r="P1087" s="12" t="str">
        <f>HYPERLINK(O1087)</f>
        <v>C:\Users\mbaptista\OneDrive - Biblioteca Nacional de Portugal\Documentos\python\camoniana\imagens\capas\384309\1\3.jpg</v>
      </c>
      <c r="Q1087" s="12"/>
      <c r="R1087" s="6" t="s">
        <v>1437</v>
      </c>
      <c r="S1087" s="4"/>
      <c r="T1087" s="1" t="s">
        <v>1435</v>
      </c>
      <c r="U1087" s="13"/>
      <c r="V1087" s="13"/>
      <c r="W1087" s="5" t="s">
        <v>1491</v>
      </c>
    </row>
    <row r="1088" spans="1:23" ht="75">
      <c r="A1088" s="1">
        <v>384309</v>
      </c>
      <c r="B1088" s="1">
        <v>1</v>
      </c>
      <c r="C1088" s="1">
        <v>7</v>
      </c>
      <c r="D1088" s="2" t="s">
        <v>1433</v>
      </c>
      <c r="E1088" s="5" t="s">
        <v>1433</v>
      </c>
      <c r="F1088" s="5">
        <v>86181</v>
      </c>
      <c r="G1088" s="2" t="s">
        <v>1494</v>
      </c>
      <c r="H1088" s="2" t="s">
        <v>1495</v>
      </c>
      <c r="I1088" s="2" t="s">
        <v>1496</v>
      </c>
      <c r="J1088" s="2" t="str">
        <f t="shared" si="32"/>
        <v>https://permalinkbnd.bnportugal.gov.pt/viewer/86181/?offset=#page=7&amp;viewer=picture&amp;o=info&amp;n=0&amp;q=</v>
      </c>
      <c r="K1088" s="1" t="s">
        <v>1434</v>
      </c>
      <c r="L1088" s="1" t="str">
        <f>VLOOKUP(A1088,Folha2!$A$2:$B$2019,2,FALSE)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8" s="12" t="str">
        <f t="shared" si="33"/>
        <v>https://permalinkbnd.bnportugal.gov.pt/viewer/86181/?offset=#page=7&amp;viewer=picture&amp;o=info&amp;n=0&amp;q=</v>
      </c>
      <c r="N1088" s="12" t="s">
        <v>1497</v>
      </c>
      <c r="O1088" s="12" t="str">
        <f>CONCATENATE(N1088,A1088,"\",B1088,"\",C1088,".jpg")</f>
        <v>C:\Users\mbaptista\OneDrive - Biblioteca Nacional de Portugal\Documentos\python\camoniana\imagens\capas\384309\1\7.jpg</v>
      </c>
      <c r="P1088" s="12" t="str">
        <f>HYPERLINK(O1088)</f>
        <v>C:\Users\mbaptista\OneDrive - Biblioteca Nacional de Portugal\Documentos\python\camoniana\imagens\capas\384309\1\7.jpg</v>
      </c>
      <c r="Q1088" s="12"/>
      <c r="R1088" s="6" t="s">
        <v>1438</v>
      </c>
      <c r="S1088" s="4"/>
      <c r="T1088" s="1" t="s">
        <v>1435</v>
      </c>
      <c r="U1088" s="13"/>
      <c r="V1088" s="13"/>
      <c r="W1088" s="5" t="s">
        <v>1491</v>
      </c>
    </row>
    <row r="1089" spans="1:23" ht="75">
      <c r="A1089" s="1">
        <v>410603</v>
      </c>
      <c r="B1089" s="1">
        <v>1</v>
      </c>
      <c r="C1089" s="1">
        <v>13</v>
      </c>
      <c r="D1089" s="2" t="s">
        <v>1439</v>
      </c>
      <c r="E1089" s="11" t="s">
        <v>1439</v>
      </c>
      <c r="F1089" s="11">
        <v>14678</v>
      </c>
      <c r="G1089" s="2" t="s">
        <v>1494</v>
      </c>
      <c r="H1089" s="2" t="s">
        <v>1495</v>
      </c>
      <c r="I1089" s="2" t="s">
        <v>1496</v>
      </c>
      <c r="J1089" s="2" t="str">
        <f t="shared" si="32"/>
        <v>https://permalinkbnd.bnportugal.gov.pt/viewer/14678/?offset=#page=13&amp;viewer=picture&amp;o=info&amp;n=0&amp;q=</v>
      </c>
      <c r="K1089" s="1">
        <v>13</v>
      </c>
      <c r="L1089" s="1" t="str">
        <f>VLOOKUP(A1089,Folha2!$A$2:$B$2019,2,FALSE)</f>
        <v xml:space="preserve">Programa da celebração em Lisboa do Tricentenário de Luís de Camões. - Lisboa : Tip. Universal, 1880. Celebrações (1880), discussão, programas e relatórios </v>
      </c>
      <c r="M1089" s="12" t="str">
        <f t="shared" si="33"/>
        <v>https://permalinkbnd.bnportugal.gov.pt/viewer/14678/?offset=#page=13&amp;viewer=picture&amp;o=info&amp;n=0&amp;q=</v>
      </c>
      <c r="N1089" s="12" t="s">
        <v>1497</v>
      </c>
      <c r="O1089" s="12" t="str">
        <f>CONCATENATE(N1089,A1089,"\",B1089,"\",C1089,".jpg")</f>
        <v>C:\Users\mbaptista\OneDrive - Biblioteca Nacional de Portugal\Documentos\python\camoniana\imagens\capas\410603\1\13.jpg</v>
      </c>
      <c r="P1089" s="12" t="str">
        <f>HYPERLINK(O1089)</f>
        <v>C:\Users\mbaptista\OneDrive - Biblioteca Nacional de Portugal\Documentos\python\camoniana\imagens\capas\410603\1\13.jpg</v>
      </c>
      <c r="Q1089" s="12"/>
      <c r="R1089" s="6" t="s">
        <v>1440</v>
      </c>
      <c r="S1089" s="4"/>
      <c r="T1089" s="1">
        <v>13</v>
      </c>
      <c r="U1089" s="13"/>
      <c r="V1089" s="13"/>
      <c r="W1089" s="5" t="s">
        <v>1491</v>
      </c>
    </row>
    <row r="1090" spans="1:23" ht="75">
      <c r="A1090" s="1">
        <v>475467</v>
      </c>
      <c r="B1090" s="1">
        <v>1</v>
      </c>
      <c r="C1090" s="1">
        <v>1</v>
      </c>
      <c r="D1090" s="2" t="s">
        <v>1441</v>
      </c>
      <c r="E1090" s="5" t="s">
        <v>1441</v>
      </c>
      <c r="F1090" s="5">
        <v>86483</v>
      </c>
      <c r="G1090" s="2" t="s">
        <v>1494</v>
      </c>
      <c r="H1090" s="2" t="s">
        <v>1495</v>
      </c>
      <c r="I1090" s="2" t="s">
        <v>1496</v>
      </c>
      <c r="J1090" s="2" t="str">
        <f t="shared" ref="J1090:J1116" si="34">CONCATENATE(G1090,F1090,H1090,C1090,I1090)</f>
        <v>https://permalinkbnd.bnportugal.gov.pt/viewer/86483/?offset=#page=1&amp;viewer=picture&amp;o=info&amp;n=0&amp;q=</v>
      </c>
      <c r="K1090" s="1">
        <v>1</v>
      </c>
      <c r="L1090" s="1" t="str">
        <f>VLOOKUP(A1090,Folha2!$A$2:$B$2019,2,FALSE)</f>
        <v>Alma minha! : melodia para piano e canto / poesia de Luiz de Camões ; musica de Amelia Augusta d' Azevedo. - [Lisboa?] : Imp. Nacional, [1880-1881].</v>
      </c>
      <c r="M1090" s="12" t="str">
        <f t="shared" ref="M1090:M1116" si="35">HYPERLINK(J1090)</f>
        <v>https://permalinkbnd.bnportugal.gov.pt/viewer/86483/?offset=#page=1&amp;viewer=picture&amp;o=info&amp;n=0&amp;q=</v>
      </c>
      <c r="N1090" s="12" t="s">
        <v>1497</v>
      </c>
      <c r="O1090" s="12" t="str">
        <f>CONCATENATE(N1090,A1090,"\",B1090,"\",C1090,".jpg")</f>
        <v>C:\Users\mbaptista\OneDrive - Biblioteca Nacional de Portugal\Documentos\python\camoniana\imagens\capas\475467\1\1.jpg</v>
      </c>
      <c r="P1090" s="12" t="str">
        <f>HYPERLINK(O1090)</f>
        <v>C:\Users\mbaptista\OneDrive - Biblioteca Nacional de Portugal\Documentos\python\camoniana\imagens\capas\475467\1\1.jpg</v>
      </c>
      <c r="Q1090" s="12"/>
      <c r="R1090" s="6" t="s">
        <v>1442</v>
      </c>
      <c r="S1090" s="4"/>
      <c r="T1090" s="1">
        <v>1</v>
      </c>
      <c r="U1090" s="13"/>
      <c r="V1090" s="13"/>
      <c r="W1090" s="5" t="s">
        <v>1491</v>
      </c>
    </row>
    <row r="1091" spans="1:23" ht="75">
      <c r="A1091" s="1">
        <v>640093</v>
      </c>
      <c r="B1091" s="1">
        <v>1</v>
      </c>
      <c r="C1091" s="1">
        <v>1</v>
      </c>
      <c r="D1091" s="2" t="s">
        <v>1443</v>
      </c>
      <c r="E1091" s="11" t="s">
        <v>1443</v>
      </c>
      <c r="F1091" s="11">
        <v>35163</v>
      </c>
      <c r="G1091" s="2" t="s">
        <v>1494</v>
      </c>
      <c r="H1091" s="2" t="s">
        <v>1495</v>
      </c>
      <c r="I1091" s="2" t="s">
        <v>1496</v>
      </c>
      <c r="J1091" s="2" t="str">
        <f t="shared" si="34"/>
        <v>https://permalinkbnd.bnportugal.gov.pt/viewer/35163/?offset=#page=1&amp;viewer=picture&amp;o=info&amp;n=0&amp;q=</v>
      </c>
      <c r="K1091" s="1">
        <v>1</v>
      </c>
      <c r="L1091" s="1" t="str">
        <f>VLOOKUP(A1091,Folha2!$A$2:$B$2019,2,FALSE)</f>
        <v>[Mosteiro dos Jerónimos] / P J Pinto. - [S.l. : s.n.], 1937. - 1 gravura : ponta-seca, p&amp;b. Consultada cópia interna: Lugares de Memória.</v>
      </c>
      <c r="M1091" s="12" t="str">
        <f t="shared" si="35"/>
        <v>https://permalinkbnd.bnportugal.gov.pt/viewer/35163/?offset=#page=1&amp;viewer=picture&amp;o=info&amp;n=0&amp;q=</v>
      </c>
      <c r="N1091" s="12" t="s">
        <v>1497</v>
      </c>
      <c r="O1091" s="12" t="str">
        <f>CONCATENATE(N1091,A1091,"\",B1091,"\",C1091,".jpg")</f>
        <v>C:\Users\mbaptista\OneDrive - Biblioteca Nacional de Portugal\Documentos\python\camoniana\imagens\capas\640093\1\1.jpg</v>
      </c>
      <c r="P1091" s="12" t="str">
        <f>HYPERLINK(O1091)</f>
        <v>C:\Users\mbaptista\OneDrive - Biblioteca Nacional de Portugal\Documentos\python\camoniana\imagens\capas\640093\1\1.jpg</v>
      </c>
      <c r="Q1091" s="12"/>
      <c r="R1091" s="6" t="s">
        <v>1444</v>
      </c>
      <c r="S1091" s="4"/>
      <c r="T1091" s="1">
        <v>1</v>
      </c>
      <c r="U1091" s="13"/>
      <c r="V1091" s="13"/>
      <c r="W1091" s="5" t="s">
        <v>1491</v>
      </c>
    </row>
    <row r="1092" spans="1:23" ht="195">
      <c r="A1092" s="1">
        <v>765484</v>
      </c>
      <c r="B1092" s="1">
        <v>1</v>
      </c>
      <c r="C1092" s="1">
        <v>5</v>
      </c>
      <c r="D1092" s="2" t="s">
        <v>1445</v>
      </c>
      <c r="E1092" s="5" t="s">
        <v>1445</v>
      </c>
      <c r="F1092" s="5">
        <v>14644</v>
      </c>
      <c r="G1092" s="2" t="s">
        <v>1494</v>
      </c>
      <c r="H1092" s="2" t="s">
        <v>1495</v>
      </c>
      <c r="I1092" s="2" t="s">
        <v>1496</v>
      </c>
      <c r="J1092" s="2" t="str">
        <f t="shared" si="34"/>
        <v>https://permalinkbnd.bnportugal.gov.pt/viewer/14644/?offset=#page=5&amp;viewer=picture&amp;o=info&amp;n=0&amp;q=</v>
      </c>
      <c r="K1092" s="1" t="s">
        <v>1446</v>
      </c>
      <c r="L1092" s="1" t="str">
        <f>VLOOKUP(A1092,Folha2!$A$2:$B$2019,2,FALSE)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2" s="12" t="str">
        <f t="shared" si="35"/>
        <v>https://permalinkbnd.bnportugal.gov.pt/viewer/14644/?offset=#page=5&amp;viewer=picture&amp;o=info&amp;n=0&amp;q=</v>
      </c>
      <c r="N1092" s="12" t="s">
        <v>1497</v>
      </c>
      <c r="O1092" s="12" t="str">
        <f>CONCATENATE(N1092,A1092,"\",B1092,"\",C1092,".jpg")</f>
        <v>C:\Users\mbaptista\OneDrive - Biblioteca Nacional de Portugal\Documentos\python\camoniana\imagens\capas\765484\1\5.jpg</v>
      </c>
      <c r="P1092" s="12" t="str">
        <f>HYPERLINK(O1092)</f>
        <v>C:\Users\mbaptista\OneDrive - Biblioteca Nacional de Portugal\Documentos\python\camoniana\imagens\capas\765484\1\5.jpg</v>
      </c>
      <c r="Q1092" s="12"/>
      <c r="R1092" s="6" t="s">
        <v>1447</v>
      </c>
      <c r="S1092" s="4"/>
      <c r="T1092" s="1"/>
      <c r="U1092" s="13"/>
      <c r="V1092" s="13"/>
      <c r="W1092" s="5" t="s">
        <v>1491</v>
      </c>
    </row>
    <row r="1093" spans="1:23" ht="195">
      <c r="A1093" s="1">
        <v>765484</v>
      </c>
      <c r="B1093" s="1">
        <v>2</v>
      </c>
      <c r="C1093" s="1">
        <v>2</v>
      </c>
      <c r="D1093" s="2" t="s">
        <v>1445</v>
      </c>
      <c r="E1093" s="11" t="s">
        <v>1445</v>
      </c>
      <c r="F1093" s="11">
        <v>14644</v>
      </c>
      <c r="G1093" s="2" t="s">
        <v>1494</v>
      </c>
      <c r="H1093" s="2" t="s">
        <v>1495</v>
      </c>
      <c r="I1093" s="2" t="s">
        <v>1496</v>
      </c>
      <c r="J1093" s="2" t="str">
        <f t="shared" si="34"/>
        <v>https://permalinkbnd.bnportugal.gov.pt/viewer/14644/?offset=#page=2&amp;viewer=picture&amp;o=info&amp;n=0&amp;q=</v>
      </c>
      <c r="K1093" s="1" t="s">
        <v>1446</v>
      </c>
      <c r="L1093" s="1" t="str">
        <f>VLOOKUP(A1093,Folha2!$A$2:$B$2019,2,FALSE)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3" s="12" t="str">
        <f t="shared" si="35"/>
        <v>https://permalinkbnd.bnportugal.gov.pt/viewer/14644/?offset=#page=2&amp;viewer=picture&amp;o=info&amp;n=0&amp;q=</v>
      </c>
      <c r="N1093" s="12" t="s">
        <v>1497</v>
      </c>
      <c r="O1093" s="12" t="str">
        <f>CONCATENATE(N1093,A1093,"\",B1093,"\",C1093,".jpg")</f>
        <v>C:\Users\mbaptista\OneDrive - Biblioteca Nacional de Portugal\Documentos\python\camoniana\imagens\capas\765484\2\2.jpg</v>
      </c>
      <c r="P1093" s="12" t="str">
        <f>HYPERLINK(O1093)</f>
        <v>C:\Users\mbaptista\OneDrive - Biblioteca Nacional de Portugal\Documentos\python\camoniana\imagens\capas\765484\2\2.jpg</v>
      </c>
      <c r="Q1093" s="12"/>
      <c r="R1093" s="6" t="s">
        <v>1448</v>
      </c>
      <c r="S1093" s="4"/>
      <c r="T1093" s="1"/>
      <c r="U1093" s="13"/>
      <c r="V1093" s="13"/>
      <c r="W1093" s="5" t="s">
        <v>1491</v>
      </c>
    </row>
    <row r="1094" spans="1:23" ht="75">
      <c r="A1094" s="1">
        <v>808818</v>
      </c>
      <c r="B1094" s="1">
        <v>1</v>
      </c>
      <c r="C1094" s="1">
        <v>1</v>
      </c>
      <c r="D1094" s="2" t="s">
        <v>1449</v>
      </c>
      <c r="E1094" s="5" t="s">
        <v>1449</v>
      </c>
      <c r="F1094" s="5">
        <v>14613</v>
      </c>
      <c r="G1094" s="2" t="s">
        <v>1494</v>
      </c>
      <c r="H1094" s="2" t="s">
        <v>1495</v>
      </c>
      <c r="I1094" s="2" t="s">
        <v>1496</v>
      </c>
      <c r="J1094" s="2" t="str">
        <f t="shared" si="34"/>
        <v>https://permalinkbnd.bnportugal.gov.pt/viewer/14613/?offset=#page=1&amp;viewer=picture&amp;o=info&amp;n=0&amp;q=</v>
      </c>
      <c r="K1094" s="1" t="s">
        <v>1450</v>
      </c>
      <c r="L1094" s="1" t="str">
        <f>VLOOKUP(A1094,Folha2!$A$2:$B$2019,2,FALSE)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4" s="12" t="str">
        <f t="shared" si="35"/>
        <v>https://permalinkbnd.bnportugal.gov.pt/viewer/14613/?offset=#page=1&amp;viewer=picture&amp;o=info&amp;n=0&amp;q=</v>
      </c>
      <c r="N1094" s="12" t="s">
        <v>1497</v>
      </c>
      <c r="O1094" s="12" t="str">
        <f>CONCATENATE(N1094,A1094,"\",B1094,"\",C1094,".jpg")</f>
        <v>C:\Users\mbaptista\OneDrive - Biblioteca Nacional de Portugal\Documentos\python\camoniana\imagens\capas\808818\1\1.jpg</v>
      </c>
      <c r="P1094" s="12" t="str">
        <f>HYPERLINK(O1094)</f>
        <v>C:\Users\mbaptista\OneDrive - Biblioteca Nacional de Portugal\Documentos\python\camoniana\imagens\capas\808818\1\1.jpg</v>
      </c>
      <c r="Q1094" s="12"/>
      <c r="R1094" s="6"/>
      <c r="S1094" s="4"/>
      <c r="T1094" s="1"/>
      <c r="U1094" s="13"/>
      <c r="V1094" s="13"/>
      <c r="W1094" s="5"/>
    </row>
    <row r="1095" spans="1:23" ht="75">
      <c r="A1095" s="1">
        <v>808818</v>
      </c>
      <c r="B1095" s="1">
        <v>1</v>
      </c>
      <c r="C1095" s="1">
        <v>8</v>
      </c>
      <c r="D1095" s="2" t="s">
        <v>1449</v>
      </c>
      <c r="E1095" s="11" t="s">
        <v>1449</v>
      </c>
      <c r="F1095" s="11">
        <v>14613</v>
      </c>
      <c r="G1095" s="2" t="s">
        <v>1494</v>
      </c>
      <c r="H1095" s="2" t="s">
        <v>1495</v>
      </c>
      <c r="I1095" s="2" t="s">
        <v>1496</v>
      </c>
      <c r="J1095" s="2" t="str">
        <f t="shared" si="34"/>
        <v>https://permalinkbnd.bnportugal.gov.pt/viewer/14613/?offset=#page=8&amp;viewer=picture&amp;o=info&amp;n=0&amp;q=</v>
      </c>
      <c r="K1095" s="1" t="s">
        <v>1450</v>
      </c>
      <c r="L1095" s="1" t="str">
        <f>VLOOKUP(A1095,Folha2!$A$2:$B$2019,2,FALSE)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5" s="12" t="str">
        <f t="shared" si="35"/>
        <v>https://permalinkbnd.bnportugal.gov.pt/viewer/14613/?offset=#page=8&amp;viewer=picture&amp;o=info&amp;n=0&amp;q=</v>
      </c>
      <c r="N1095" s="12" t="s">
        <v>1497</v>
      </c>
      <c r="O1095" s="12" t="str">
        <f>CONCATENATE(N1095,A1095,"\",B1095,"\",C1095,".jpg")</f>
        <v>C:\Users\mbaptista\OneDrive - Biblioteca Nacional de Portugal\Documentos\python\camoniana\imagens\capas\808818\1\8.jpg</v>
      </c>
      <c r="P1095" s="12" t="str">
        <f>HYPERLINK(O1095)</f>
        <v>C:\Users\mbaptista\OneDrive - Biblioteca Nacional de Portugal\Documentos\python\camoniana\imagens\capas\808818\1\8.jpg</v>
      </c>
      <c r="Q1095" s="12"/>
      <c r="R1095" s="6" t="s">
        <v>1452</v>
      </c>
      <c r="S1095" s="4"/>
      <c r="T1095" s="1" t="s">
        <v>1451</v>
      </c>
      <c r="U1095" s="13" t="s">
        <v>142</v>
      </c>
      <c r="V1095" s="13"/>
      <c r="W1095" s="5" t="s">
        <v>1491</v>
      </c>
    </row>
    <row r="1096" spans="1:23" ht="75">
      <c r="A1096" s="1">
        <v>808818</v>
      </c>
      <c r="B1096" s="1">
        <v>1</v>
      </c>
      <c r="C1096" s="1">
        <v>9</v>
      </c>
      <c r="D1096" s="2" t="s">
        <v>1449</v>
      </c>
      <c r="E1096" s="5" t="s">
        <v>1449</v>
      </c>
      <c r="F1096" s="5">
        <v>14613</v>
      </c>
      <c r="G1096" s="2" t="s">
        <v>1494</v>
      </c>
      <c r="H1096" s="2" t="s">
        <v>1495</v>
      </c>
      <c r="I1096" s="2" t="s">
        <v>1496</v>
      </c>
      <c r="J1096" s="2" t="str">
        <f t="shared" si="34"/>
        <v>https://permalinkbnd.bnportugal.gov.pt/viewer/14613/?offset=#page=9&amp;viewer=picture&amp;o=info&amp;n=0&amp;q=</v>
      </c>
      <c r="K1096" s="1" t="s">
        <v>1450</v>
      </c>
      <c r="L1096" s="1" t="str">
        <f>VLOOKUP(A1096,Folha2!$A$2:$B$2019,2,FALSE)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6" s="12" t="str">
        <f t="shared" si="35"/>
        <v>https://permalinkbnd.bnportugal.gov.pt/viewer/14613/?offset=#page=9&amp;viewer=picture&amp;o=info&amp;n=0&amp;q=</v>
      </c>
      <c r="N1096" s="12" t="s">
        <v>1497</v>
      </c>
      <c r="O1096" s="12" t="str">
        <f>CONCATENATE(N1096,A1096,"\",B1096,"\",C1096,".jpg")</f>
        <v>C:\Users\mbaptista\OneDrive - Biblioteca Nacional de Portugal\Documentos\python\camoniana\imagens\capas\808818\1\9.jpg</v>
      </c>
      <c r="P1096" s="12" t="str">
        <f>HYPERLINK(O1096)</f>
        <v>C:\Users\mbaptista\OneDrive - Biblioteca Nacional de Portugal\Documentos\python\camoniana\imagens\capas\808818\1\9.jpg</v>
      </c>
      <c r="Q1096" s="12"/>
      <c r="R1096" s="6" t="s">
        <v>1453</v>
      </c>
      <c r="S1096" s="4"/>
      <c r="T1096" s="1" t="s">
        <v>1451</v>
      </c>
      <c r="U1096" s="13" t="s">
        <v>142</v>
      </c>
      <c r="V1096" s="13"/>
      <c r="W1096" s="5" t="s">
        <v>1491</v>
      </c>
    </row>
    <row r="1097" spans="1:23" ht="75">
      <c r="A1097" s="1">
        <v>808818</v>
      </c>
      <c r="B1097" s="1">
        <v>1</v>
      </c>
      <c r="C1097" s="1">
        <v>39</v>
      </c>
      <c r="D1097" s="2" t="s">
        <v>1449</v>
      </c>
      <c r="E1097" s="11" t="s">
        <v>1449</v>
      </c>
      <c r="F1097" s="11">
        <v>14613</v>
      </c>
      <c r="G1097" s="2" t="s">
        <v>1494</v>
      </c>
      <c r="H1097" s="2" t="s">
        <v>1495</v>
      </c>
      <c r="I1097" s="2" t="s">
        <v>1496</v>
      </c>
      <c r="J1097" s="2" t="str">
        <f t="shared" si="34"/>
        <v>https://permalinkbnd.bnportugal.gov.pt/viewer/14613/?offset=#page=39&amp;viewer=picture&amp;o=info&amp;n=0&amp;q=</v>
      </c>
      <c r="K1097" s="1" t="s">
        <v>1450</v>
      </c>
      <c r="L1097" s="1" t="str">
        <f>VLOOKUP(A1097,Folha2!$A$2:$B$2019,2,FALSE)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7" s="12" t="str">
        <f t="shared" si="35"/>
        <v>https://permalinkbnd.bnportugal.gov.pt/viewer/14613/?offset=#page=39&amp;viewer=picture&amp;o=info&amp;n=0&amp;q=</v>
      </c>
      <c r="N1097" s="12" t="s">
        <v>1497</v>
      </c>
      <c r="O1097" s="12" t="str">
        <f>CONCATENATE(N1097,A1097,"\",B1097,"\",C1097,".jpg")</f>
        <v>C:\Users\mbaptista\OneDrive - Biblioteca Nacional de Portugal\Documentos\python\camoniana\imagens\capas\808818\1\39.jpg</v>
      </c>
      <c r="P1097" s="12" t="str">
        <f>HYPERLINK(O1097)</f>
        <v>C:\Users\mbaptista\OneDrive - Biblioteca Nacional de Portugal\Documentos\python\camoniana\imagens\capas\808818\1\39.jpg</v>
      </c>
      <c r="Q1097" s="12"/>
      <c r="R1097" s="6" t="s">
        <v>1454</v>
      </c>
      <c r="S1097" s="4"/>
      <c r="T1097" s="1" t="s">
        <v>1451</v>
      </c>
      <c r="U1097" s="13" t="s">
        <v>142</v>
      </c>
      <c r="V1097" s="13"/>
      <c r="W1097" s="5" t="s">
        <v>1491</v>
      </c>
    </row>
    <row r="1098" spans="1:23" ht="75">
      <c r="A1098" s="1">
        <v>865343</v>
      </c>
      <c r="B1098" s="1">
        <v>1</v>
      </c>
      <c r="C1098" s="1">
        <v>120</v>
      </c>
      <c r="D1098" s="2" t="s">
        <v>1455</v>
      </c>
      <c r="E1098" s="5" t="s">
        <v>1455</v>
      </c>
      <c r="F1098" s="5">
        <v>7634</v>
      </c>
      <c r="G1098" s="2" t="s">
        <v>1494</v>
      </c>
      <c r="H1098" s="2" t="s">
        <v>1495</v>
      </c>
      <c r="I1098" s="2" t="s">
        <v>1496</v>
      </c>
      <c r="J1098" s="2" t="str">
        <f t="shared" si="34"/>
        <v>https://permalinkbnd.bnportugal.gov.pt/viewer/7634/?offset=#page=120&amp;viewer=picture&amp;o=info&amp;n=0&amp;q=</v>
      </c>
      <c r="K1098" s="1" t="s">
        <v>1456</v>
      </c>
      <c r="L1098" s="1" t="str">
        <f>VLOOKUP(A1098,Folha2!$A$2:$B$2019,2,FALSE)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8" s="12" t="str">
        <f t="shared" si="35"/>
        <v>https://permalinkbnd.bnportugal.gov.pt/viewer/7634/?offset=#page=120&amp;viewer=picture&amp;o=info&amp;n=0&amp;q=</v>
      </c>
      <c r="N1098" s="12" t="s">
        <v>1497</v>
      </c>
      <c r="O1098" s="12" t="str">
        <f>CONCATENATE(N1098,A1098,"\",B1098,"\",C1098,".jpg")</f>
        <v>C:\Users\mbaptista\OneDrive - Biblioteca Nacional de Portugal\Documentos\python\camoniana\imagens\capas\865343\1\120.jpg</v>
      </c>
      <c r="P1098" s="12" t="str">
        <f>HYPERLINK(O1098)</f>
        <v>C:\Users\mbaptista\OneDrive - Biblioteca Nacional de Portugal\Documentos\python\camoniana\imagens\capas\865343\1\120.jpg</v>
      </c>
      <c r="Q1098" s="12"/>
      <c r="R1098" s="6" t="s">
        <v>1458</v>
      </c>
      <c r="S1098" s="4"/>
      <c r="T1098" s="1"/>
      <c r="U1098" s="13" t="s">
        <v>1457</v>
      </c>
      <c r="V1098" s="13"/>
      <c r="W1098" s="5" t="s">
        <v>1491</v>
      </c>
    </row>
    <row r="1099" spans="1:23" ht="75">
      <c r="A1099" s="1">
        <v>865343</v>
      </c>
      <c r="B1099" s="1">
        <v>1</v>
      </c>
      <c r="C1099" s="1">
        <v>121</v>
      </c>
      <c r="D1099" s="2" t="s">
        <v>1455</v>
      </c>
      <c r="E1099" s="11" t="s">
        <v>1455</v>
      </c>
      <c r="F1099" s="11">
        <v>7634</v>
      </c>
      <c r="G1099" s="2" t="s">
        <v>1494</v>
      </c>
      <c r="H1099" s="2" t="s">
        <v>1495</v>
      </c>
      <c r="I1099" s="2" t="s">
        <v>1496</v>
      </c>
      <c r="J1099" s="2" t="str">
        <f t="shared" si="34"/>
        <v>https://permalinkbnd.bnportugal.gov.pt/viewer/7634/?offset=#page=121&amp;viewer=picture&amp;o=info&amp;n=0&amp;q=</v>
      </c>
      <c r="K1099" s="1" t="s">
        <v>1456</v>
      </c>
      <c r="L1099" s="1" t="str">
        <f>VLOOKUP(A1099,Folha2!$A$2:$B$2019,2,FALSE)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9" s="12" t="str">
        <f t="shared" si="35"/>
        <v>https://permalinkbnd.bnportugal.gov.pt/viewer/7634/?offset=#page=121&amp;viewer=picture&amp;o=info&amp;n=0&amp;q=</v>
      </c>
      <c r="N1099" s="12" t="s">
        <v>1497</v>
      </c>
      <c r="O1099" s="12" t="str">
        <f>CONCATENATE(N1099,A1099,"\",B1099,"\",C1099,".jpg")</f>
        <v>C:\Users\mbaptista\OneDrive - Biblioteca Nacional de Portugal\Documentos\python\camoniana\imagens\capas\865343\1\121.jpg</v>
      </c>
      <c r="P1099" s="12" t="str">
        <f>HYPERLINK(O1099)</f>
        <v>C:\Users\mbaptista\OneDrive - Biblioteca Nacional de Portugal\Documentos\python\camoniana\imagens\capas\865343\1\121.jpg</v>
      </c>
      <c r="Q1099" s="12"/>
      <c r="R1099" s="6"/>
      <c r="S1099" s="4"/>
      <c r="T1099" s="1"/>
      <c r="U1099" s="13"/>
      <c r="V1099" s="13"/>
      <c r="W1099" s="5"/>
    </row>
    <row r="1100" spans="1:23" ht="75">
      <c r="A1100" s="1">
        <v>2194758</v>
      </c>
      <c r="B1100" s="1">
        <v>1</v>
      </c>
      <c r="C1100" s="1">
        <v>1</v>
      </c>
      <c r="D1100" s="2" t="s">
        <v>1459</v>
      </c>
      <c r="E1100" s="5" t="s">
        <v>1459</v>
      </c>
      <c r="F1100" s="5">
        <v>1880</v>
      </c>
      <c r="G1100" s="2" t="s">
        <v>1494</v>
      </c>
      <c r="H1100" s="2" t="s">
        <v>1495</v>
      </c>
      <c r="I1100" s="2" t="s">
        <v>1496</v>
      </c>
      <c r="J1100" s="2" t="str">
        <f t="shared" si="34"/>
        <v>https://permalinkbnd.bnportugal.gov.pt/viewer/1880/?offset=#page=1&amp;viewer=picture&amp;o=info&amp;n=0&amp;q=</v>
      </c>
      <c r="K1100" s="1" t="s">
        <v>1460</v>
      </c>
      <c r="L1100" s="1" t="str">
        <f>VLOOKUP(A1100,Folha2!$A$2:$B$2019,2,FALSE)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0" s="12" t="str">
        <f t="shared" si="35"/>
        <v>https://permalinkbnd.bnportugal.gov.pt/viewer/1880/?offset=#page=1&amp;viewer=picture&amp;o=info&amp;n=0&amp;q=</v>
      </c>
      <c r="N1100" s="12" t="s">
        <v>1497</v>
      </c>
      <c r="O1100" s="12" t="str">
        <f>CONCATENATE(N1100,A1100,"\",B1100,"\",C1100,".jpg")</f>
        <v>C:\Users\mbaptista\OneDrive - Biblioteca Nacional de Portugal\Documentos\python\camoniana\imagens\capas\2194758\1\1.jpg</v>
      </c>
      <c r="P1100" s="12" t="str">
        <f>HYPERLINK(O1100)</f>
        <v>C:\Users\mbaptista\OneDrive - Biblioteca Nacional de Portugal\Documentos\python\camoniana\imagens\capas\2194758\1\1.jpg</v>
      </c>
      <c r="Q1100" s="12"/>
      <c r="R1100" s="6" t="s">
        <v>188</v>
      </c>
      <c r="S1100" s="4"/>
      <c r="T1100" s="1" t="s">
        <v>1461</v>
      </c>
      <c r="U1100" s="13"/>
      <c r="V1100" s="13"/>
      <c r="W1100" s="5" t="s">
        <v>1491</v>
      </c>
    </row>
    <row r="1101" spans="1:23" ht="75">
      <c r="A1101" s="1">
        <v>2194758</v>
      </c>
      <c r="B1101" s="1">
        <v>1</v>
      </c>
      <c r="C1101" s="1">
        <v>2</v>
      </c>
      <c r="D1101" s="2" t="s">
        <v>1459</v>
      </c>
      <c r="E1101" s="11" t="s">
        <v>1459</v>
      </c>
      <c r="F1101" s="11">
        <v>1880</v>
      </c>
      <c r="G1101" s="2" t="s">
        <v>1494</v>
      </c>
      <c r="H1101" s="2" t="s">
        <v>1495</v>
      </c>
      <c r="I1101" s="2" t="s">
        <v>1496</v>
      </c>
      <c r="J1101" s="2" t="str">
        <f t="shared" si="34"/>
        <v>https://permalinkbnd.bnportugal.gov.pt/viewer/1880/?offset=#page=2&amp;viewer=picture&amp;o=info&amp;n=0&amp;q=</v>
      </c>
      <c r="K1101" s="1" t="s">
        <v>1460</v>
      </c>
      <c r="L1101" s="1" t="str">
        <f>VLOOKUP(A1101,Folha2!$A$2:$B$2019,2,FALSE)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1" s="12" t="str">
        <f t="shared" si="35"/>
        <v>https://permalinkbnd.bnportugal.gov.pt/viewer/1880/?offset=#page=2&amp;viewer=picture&amp;o=info&amp;n=0&amp;q=</v>
      </c>
      <c r="N1101" s="12" t="s">
        <v>1497</v>
      </c>
      <c r="O1101" s="12" t="str">
        <f>CONCATENATE(N1101,A1101,"\",B1101,"\",C1101,".jpg")</f>
        <v>C:\Users\mbaptista\OneDrive - Biblioteca Nacional de Portugal\Documentos\python\camoniana\imagens\capas\2194758\1\2.jpg</v>
      </c>
      <c r="P1101" s="12" t="str">
        <f>HYPERLINK(O1101)</f>
        <v>C:\Users\mbaptista\OneDrive - Biblioteca Nacional de Portugal\Documentos\python\camoniana\imagens\capas\2194758\1\2.jpg</v>
      </c>
      <c r="Q1101" s="12"/>
      <c r="R1101" s="6" t="s">
        <v>1462</v>
      </c>
      <c r="S1101" s="4"/>
      <c r="T1101" s="1" t="s">
        <v>1461</v>
      </c>
      <c r="U1101" s="13"/>
      <c r="V1101" s="13"/>
      <c r="W1101" s="5" t="s">
        <v>1491</v>
      </c>
    </row>
    <row r="1102" spans="1:23" ht="75">
      <c r="A1102" s="1">
        <v>2194758</v>
      </c>
      <c r="B1102" s="1">
        <v>1</v>
      </c>
      <c r="C1102" s="1">
        <v>3</v>
      </c>
      <c r="D1102" s="2" t="s">
        <v>1459</v>
      </c>
      <c r="E1102" s="5" t="s">
        <v>1459</v>
      </c>
      <c r="F1102" s="5">
        <v>1880</v>
      </c>
      <c r="G1102" s="2" t="s">
        <v>1494</v>
      </c>
      <c r="H1102" s="2" t="s">
        <v>1495</v>
      </c>
      <c r="I1102" s="2" t="s">
        <v>1496</v>
      </c>
      <c r="J1102" s="2" t="str">
        <f t="shared" si="34"/>
        <v>https://permalinkbnd.bnportugal.gov.pt/viewer/1880/?offset=#page=3&amp;viewer=picture&amp;o=info&amp;n=0&amp;q=</v>
      </c>
      <c r="K1102" s="1" t="s">
        <v>1460</v>
      </c>
      <c r="L1102" s="1" t="str">
        <f>VLOOKUP(A1102,Folha2!$A$2:$B$2019,2,FALSE)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2" s="12" t="str">
        <f t="shared" si="35"/>
        <v>https://permalinkbnd.bnportugal.gov.pt/viewer/1880/?offset=#page=3&amp;viewer=picture&amp;o=info&amp;n=0&amp;q=</v>
      </c>
      <c r="N1102" s="12" t="s">
        <v>1497</v>
      </c>
      <c r="O1102" s="12" t="str">
        <f>CONCATENATE(N1102,A1102,"\",B1102,"\",C1102,".jpg")</f>
        <v>C:\Users\mbaptista\OneDrive - Biblioteca Nacional de Portugal\Documentos\python\camoniana\imagens\capas\2194758\1\3.jpg</v>
      </c>
      <c r="P1102" s="12" t="str">
        <f>HYPERLINK(O1102)</f>
        <v>C:\Users\mbaptista\OneDrive - Biblioteca Nacional de Portugal\Documentos\python\camoniana\imagens\capas\2194758\1\3.jpg</v>
      </c>
      <c r="Q1102" s="12"/>
      <c r="R1102" s="6" t="s">
        <v>1463</v>
      </c>
      <c r="S1102" s="4"/>
      <c r="T1102" s="1" t="s">
        <v>1461</v>
      </c>
      <c r="U1102" s="13"/>
      <c r="V1102" s="13"/>
      <c r="W1102" s="5" t="s">
        <v>1491</v>
      </c>
    </row>
    <row r="1103" spans="1:23" ht="75">
      <c r="A1103" s="1">
        <v>2194827</v>
      </c>
      <c r="B1103" s="1">
        <v>1</v>
      </c>
      <c r="C1103" s="1">
        <v>1</v>
      </c>
      <c r="D1103" s="2" t="s">
        <v>1464</v>
      </c>
      <c r="E1103" s="11" t="s">
        <v>1464</v>
      </c>
      <c r="F1103" s="11">
        <v>275033</v>
      </c>
      <c r="G1103" s="2" t="s">
        <v>1494</v>
      </c>
      <c r="H1103" s="2" t="s">
        <v>1495</v>
      </c>
      <c r="I1103" s="2" t="s">
        <v>1496</v>
      </c>
      <c r="J1103" s="2" t="str">
        <f t="shared" si="34"/>
        <v>https://permalinkbnd.bnportugal.gov.pt/viewer/275033/?offset=#page=1&amp;viewer=picture&amp;o=info&amp;n=0&amp;q=</v>
      </c>
      <c r="K1103" s="1" t="s">
        <v>1465</v>
      </c>
      <c r="L1103" s="1" t="str">
        <f>VLOOKUP(A1103,Folha2!$A$2:$B$2019,2,FALSE)</f>
        <v>[Homenagem a Camões : número inaugural do "Diario Civilisador", N.º 1, 1.º Anno, 10 de Junho de 1880,  José Fortunato Barreto (Admn.)]. - Lisboa : João Wager Russell Junior, 1880. Sobre os festejos.</v>
      </c>
      <c r="M1103" s="12" t="str">
        <f t="shared" si="35"/>
        <v>https://permalinkbnd.bnportugal.gov.pt/viewer/275033/?offset=#page=1&amp;viewer=picture&amp;o=info&amp;n=0&amp;q=</v>
      </c>
      <c r="N1103" s="12" t="s">
        <v>1497</v>
      </c>
      <c r="O1103" s="12" t="str">
        <f>CONCATENATE(N1103,A1103,"\",B1103,"\",C1103,".jpg")</f>
        <v>C:\Users\mbaptista\OneDrive - Biblioteca Nacional de Portugal\Documentos\python\camoniana\imagens\capas\2194827\1\1.jpg</v>
      </c>
      <c r="P1103" s="12" t="str">
        <f>HYPERLINK(O1103)</f>
        <v>C:\Users\mbaptista\OneDrive - Biblioteca Nacional de Portugal\Documentos\python\camoniana\imagens\capas\2194827\1\1.jpg</v>
      </c>
      <c r="Q1103" s="12"/>
      <c r="R1103" s="6" t="s">
        <v>1466</v>
      </c>
      <c r="S1103" s="4"/>
      <c r="T1103" s="1">
        <v>1</v>
      </c>
      <c r="U1103" s="13"/>
      <c r="V1103" s="13"/>
      <c r="W1103" s="5" t="s">
        <v>1491</v>
      </c>
    </row>
    <row r="1104" spans="1:23" ht="75">
      <c r="A1104" s="1">
        <v>2194848</v>
      </c>
      <c r="B1104" s="1">
        <v>1</v>
      </c>
      <c r="C1104" s="1">
        <v>1</v>
      </c>
      <c r="D1104" s="2" t="s">
        <v>1467</v>
      </c>
      <c r="E1104" s="5" t="s">
        <v>1467</v>
      </c>
      <c r="F1104" s="5">
        <v>275038</v>
      </c>
      <c r="G1104" s="2" t="s">
        <v>1494</v>
      </c>
      <c r="H1104" s="2" t="s">
        <v>1495</v>
      </c>
      <c r="I1104" s="2" t="s">
        <v>1496</v>
      </c>
      <c r="J1104" s="2" t="str">
        <f t="shared" si="34"/>
        <v>https://permalinkbnd.bnportugal.gov.pt/viewer/275038/?offset=#page=1&amp;viewer=picture&amp;o=info&amp;n=0&amp;q=</v>
      </c>
      <c r="K1104" s="1" t="s">
        <v>1468</v>
      </c>
      <c r="L1104" s="1" t="str">
        <f>VLOOKUP(A1104,Folha2!$A$2:$B$2019,2,FALSE)</f>
        <v>[Tricentenário de Camões : número dedicado do "Diario de Portugal", Anno IV, N.º 769, quinta-feira, 10 de Junho de 1880]. - Lisboa : Typ. de Cristovão A. Rodrigues, 1880. Prosa.</v>
      </c>
      <c r="M1104" s="12" t="str">
        <f t="shared" si="35"/>
        <v>https://permalinkbnd.bnportugal.gov.pt/viewer/275038/?offset=#page=1&amp;viewer=picture&amp;o=info&amp;n=0&amp;q=</v>
      </c>
      <c r="N1104" s="12" t="s">
        <v>1497</v>
      </c>
      <c r="O1104" s="12" t="str">
        <f>CONCATENATE(N1104,A1104,"\",B1104,"\",C1104,".jpg")</f>
        <v>C:\Users\mbaptista\OneDrive - Biblioteca Nacional de Portugal\Documentos\python\camoniana\imagens\capas\2194848\1\1.jpg</v>
      </c>
      <c r="P1104" s="12" t="str">
        <f>HYPERLINK(O1104)</f>
        <v>C:\Users\mbaptista\OneDrive - Biblioteca Nacional de Portugal\Documentos\python\camoniana\imagens\capas\2194848\1\1.jpg</v>
      </c>
      <c r="Q1104" s="12"/>
      <c r="R1104" s="6" t="s">
        <v>1469</v>
      </c>
      <c r="S1104" s="4"/>
      <c r="T1104" s="1">
        <v>1</v>
      </c>
      <c r="U1104" s="13"/>
      <c r="V1104" s="13"/>
      <c r="W1104" s="5" t="s">
        <v>1491</v>
      </c>
    </row>
    <row r="1105" spans="1:23" ht="75">
      <c r="A1105" s="1">
        <v>2194859</v>
      </c>
      <c r="B1105" s="1">
        <v>1</v>
      </c>
      <c r="C1105" s="1">
        <v>1</v>
      </c>
      <c r="D1105" s="2" t="s">
        <v>1470</v>
      </c>
      <c r="E1105" s="11" t="s">
        <v>1470</v>
      </c>
      <c r="F1105" s="11">
        <v>273677</v>
      </c>
      <c r="G1105" s="2" t="s">
        <v>1494</v>
      </c>
      <c r="H1105" s="2" t="s">
        <v>1495</v>
      </c>
      <c r="I1105" s="2" t="s">
        <v>1496</v>
      </c>
      <c r="J1105" s="2" t="str">
        <f t="shared" si="34"/>
        <v>https://permalinkbnd.bnportugal.gov.pt/viewer/273677/?offset=#page=1&amp;viewer=picture&amp;o=info&amp;n=0&amp;q=</v>
      </c>
      <c r="K1105" s="1" t="s">
        <v>1041</v>
      </c>
      <c r="L1105" s="1" t="str">
        <f>VLOOKUP(A1105,Folha2!$A$2:$B$2019,2,FALSE)</f>
        <v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v>
      </c>
      <c r="M1105" s="12" t="str">
        <f t="shared" si="35"/>
        <v>https://permalinkbnd.bnportugal.gov.pt/viewer/273677/?offset=#page=1&amp;viewer=picture&amp;o=info&amp;n=0&amp;q=</v>
      </c>
      <c r="N1105" s="12" t="s">
        <v>1497</v>
      </c>
      <c r="O1105" s="12" t="str">
        <f>CONCATENATE(N1105,A1105,"\",B1105,"\",C1105,".jpg")</f>
        <v>C:\Users\mbaptista\OneDrive - Biblioteca Nacional de Portugal\Documentos\python\camoniana\imagens\capas\2194859\1\1.jpg</v>
      </c>
      <c r="P1105" s="12" t="str">
        <f>HYPERLINK(O1105)</f>
        <v>C:\Users\mbaptista\OneDrive - Biblioteca Nacional de Portugal\Documentos\python\camoniana\imagens\capas\2194859\1\1.jpg</v>
      </c>
      <c r="Q1105" s="12"/>
      <c r="R1105" s="6" t="s">
        <v>1471</v>
      </c>
      <c r="S1105" s="4"/>
      <c r="T1105" s="1">
        <v>1</v>
      </c>
      <c r="U1105" s="13"/>
      <c r="V1105" s="13"/>
      <c r="W1105" s="5" t="s">
        <v>1491</v>
      </c>
    </row>
    <row r="1106" spans="1:23" ht="75">
      <c r="A1106" s="1">
        <v>2195077</v>
      </c>
      <c r="B1106" s="1">
        <v>1</v>
      </c>
      <c r="C1106" s="1">
        <v>9</v>
      </c>
      <c r="D1106" s="2" t="s">
        <v>1472</v>
      </c>
      <c r="E1106" s="5" t="s">
        <v>1472</v>
      </c>
      <c r="F1106" s="5">
        <v>1880</v>
      </c>
      <c r="G1106" s="2" t="s">
        <v>1494</v>
      </c>
      <c r="H1106" s="2" t="s">
        <v>1495</v>
      </c>
      <c r="I1106" s="2" t="s">
        <v>1496</v>
      </c>
      <c r="J1106" s="2" t="str">
        <f t="shared" si="34"/>
        <v>https://permalinkbnd.bnportugal.gov.pt/viewer/1880/?offset=#page=9&amp;viewer=picture&amp;o=info&amp;n=0&amp;q=</v>
      </c>
      <c r="K1106" s="1">
        <v>9</v>
      </c>
      <c r="L1106" s="1" t="str">
        <f>VLOOKUP(A1106,Folha2!$A$2:$B$2019,2,FALSE)</f>
        <v>À memoria de Luiz de Camões no seu tricentenario em 10 de Junho de 1880 : A Sentinella, semanario bracarense. - Braga : Typographia de Gonçalves Gouvea, 1880. Episódio: Excerto Canto VI, episódio Os doze de Inglaterra e versão livre espanhola do episódio de Inês de Castro.</v>
      </c>
      <c r="M1106" s="12" t="str">
        <f t="shared" si="35"/>
        <v>https://permalinkbnd.bnportugal.gov.pt/viewer/1880/?offset=#page=9&amp;viewer=picture&amp;o=info&amp;n=0&amp;q=</v>
      </c>
      <c r="N1106" s="12" t="s">
        <v>1497</v>
      </c>
      <c r="O1106" s="12" t="str">
        <f>CONCATENATE(N1106,A1106,"\",B1106,"\",C1106,".jpg")</f>
        <v>C:\Users\mbaptista\OneDrive - Biblioteca Nacional de Portugal\Documentos\python\camoniana\imagens\capas\2195077\1\9.jpg</v>
      </c>
      <c r="P1106" s="12" t="str">
        <f>HYPERLINK(O1106)</f>
        <v>C:\Users\mbaptista\OneDrive - Biblioteca Nacional de Portugal\Documentos\python\camoniana\imagens\capas\2195077\1\9.jpg</v>
      </c>
      <c r="Q1106" s="12"/>
      <c r="R1106" s="6" t="s">
        <v>52</v>
      </c>
      <c r="S1106" s="4"/>
      <c r="T1106" s="1">
        <v>9</v>
      </c>
      <c r="U1106" s="13"/>
      <c r="V1106" s="13"/>
      <c r="W1106" s="5" t="s">
        <v>1491</v>
      </c>
    </row>
    <row r="1107" spans="1:23" ht="75">
      <c r="A1107" s="1">
        <v>2195085</v>
      </c>
      <c r="B1107" s="1">
        <v>1</v>
      </c>
      <c r="C1107" s="1">
        <v>1</v>
      </c>
      <c r="D1107" s="2" t="s">
        <v>1473</v>
      </c>
      <c r="E1107" s="11" t="s">
        <v>1473</v>
      </c>
      <c r="F1107" s="11">
        <v>273687</v>
      </c>
      <c r="G1107" s="2" t="s">
        <v>1494</v>
      </c>
      <c r="H1107" s="2" t="s">
        <v>1495</v>
      </c>
      <c r="I1107" s="2" t="s">
        <v>1496</v>
      </c>
      <c r="J1107" s="2" t="str">
        <f t="shared" si="34"/>
        <v>https://permalinkbnd.bnportugal.gov.pt/viewer/273687/?offset=#page=1&amp;viewer=picture&amp;o=info&amp;n=0&amp;q=</v>
      </c>
      <c r="K1107" s="1" t="s">
        <v>1041</v>
      </c>
      <c r="L1107" s="1" t="str">
        <f>VLOOKUP(A1107,Folha2!$A$2:$B$2019,2,FALSE)</f>
        <v>[Tricentenário de Camões]. - [Campinas] : Typ. do Diario de Campinas, 1880.</v>
      </c>
      <c r="M1107" s="12" t="str">
        <f t="shared" si="35"/>
        <v>https://permalinkbnd.bnportugal.gov.pt/viewer/273687/?offset=#page=1&amp;viewer=picture&amp;o=info&amp;n=0&amp;q=</v>
      </c>
      <c r="N1107" s="12" t="s">
        <v>1497</v>
      </c>
      <c r="O1107" s="12" t="str">
        <f>CONCATENATE(N1107,A1107,"\",B1107,"\",C1107,".jpg")</f>
        <v>C:\Users\mbaptista\OneDrive - Biblioteca Nacional de Portugal\Documentos\python\camoniana\imagens\capas\2195085\1\1.jpg</v>
      </c>
      <c r="P1107" s="12" t="str">
        <f>HYPERLINK(O1107)</f>
        <v>C:\Users\mbaptista\OneDrive - Biblioteca Nacional de Portugal\Documentos\python\camoniana\imagens\capas\2195085\1\1.jpg</v>
      </c>
      <c r="Q1107" s="12"/>
      <c r="R1107" s="6" t="s">
        <v>1474</v>
      </c>
      <c r="S1107" s="4"/>
      <c r="T1107" s="1">
        <v>1</v>
      </c>
      <c r="U1107" s="13"/>
      <c r="V1107" s="13"/>
      <c r="W1107" s="5" t="s">
        <v>1491</v>
      </c>
    </row>
    <row r="1108" spans="1:23" ht="75">
      <c r="A1108" s="1">
        <v>2195086</v>
      </c>
      <c r="B1108" s="1">
        <v>1</v>
      </c>
      <c r="C1108" s="1">
        <v>1</v>
      </c>
      <c r="D1108" s="2" t="s">
        <v>1475</v>
      </c>
      <c r="E1108" s="5" t="s">
        <v>1475</v>
      </c>
      <c r="F1108" s="5">
        <v>273688</v>
      </c>
      <c r="G1108" s="2" t="s">
        <v>1494</v>
      </c>
      <c r="H1108" s="2" t="s">
        <v>1495</v>
      </c>
      <c r="I1108" s="2" t="s">
        <v>1496</v>
      </c>
      <c r="J1108" s="2" t="str">
        <f t="shared" si="34"/>
        <v>https://permalinkbnd.bnportugal.gov.pt/viewer/273688/?offset=#page=1&amp;viewer=picture&amp;o=info&amp;n=0&amp;q=</v>
      </c>
      <c r="K1108" s="1" t="s">
        <v>1041</v>
      </c>
      <c r="L1108" s="1" t="str">
        <f>VLOOKUP(A1108,Folha2!$A$2:$B$2019,2,FALSE)</f>
        <v>Luiz de Camões : homenagem da Gazeta de Noticias. - Rio de Janeiro : Typographia da Gazeta de Noticias, 1880. Textos sobre a vida, entre outros, recepção criativa.</v>
      </c>
      <c r="M1108" s="12" t="str">
        <f t="shared" si="35"/>
        <v>https://permalinkbnd.bnportugal.gov.pt/viewer/273688/?offset=#page=1&amp;viewer=picture&amp;o=info&amp;n=0&amp;q=</v>
      </c>
      <c r="N1108" s="12" t="s">
        <v>1497</v>
      </c>
      <c r="O1108" s="12" t="str">
        <f>CONCATENATE(N1108,A1108,"\",B1108,"\",C1108,".jpg")</f>
        <v>C:\Users\mbaptista\OneDrive - Biblioteca Nacional de Portugal\Documentos\python\camoniana\imagens\capas\2195086\1\1.jpg</v>
      </c>
      <c r="P1108" s="12" t="str">
        <f>HYPERLINK(O1108)</f>
        <v>C:\Users\mbaptista\OneDrive - Biblioteca Nacional de Portugal\Documentos\python\camoniana\imagens\capas\2195086\1\1.jpg</v>
      </c>
      <c r="Q1108" s="12"/>
      <c r="R1108" s="6" t="s">
        <v>1476</v>
      </c>
      <c r="S1108" s="4"/>
      <c r="T1108" s="1">
        <v>1</v>
      </c>
      <c r="U1108" s="13"/>
      <c r="V1108" s="13"/>
      <c r="W1108" s="5" t="s">
        <v>1491</v>
      </c>
    </row>
    <row r="1109" spans="1:23" ht="75">
      <c r="A1109" s="1">
        <v>2195089</v>
      </c>
      <c r="B1109" s="1">
        <v>1</v>
      </c>
      <c r="C1109" s="1">
        <v>5</v>
      </c>
      <c r="D1109" s="2" t="s">
        <v>1477</v>
      </c>
      <c r="E1109" s="11" t="s">
        <v>1477</v>
      </c>
      <c r="F1109" s="11">
        <v>277330</v>
      </c>
      <c r="G1109" s="2" t="s">
        <v>1494</v>
      </c>
      <c r="H1109" s="2" t="s">
        <v>1495</v>
      </c>
      <c r="I1109" s="2" t="s">
        <v>1496</v>
      </c>
      <c r="J1109" s="2" t="str">
        <f t="shared" si="34"/>
        <v>https://permalinkbnd.bnportugal.gov.pt/viewer/277330/?offset=#page=5&amp;viewer=picture&amp;o=info&amp;n=0&amp;q=</v>
      </c>
      <c r="K1109" s="1" t="s">
        <v>1478</v>
      </c>
      <c r="L1109" s="1" t="str">
        <f>VLOOKUP(A1109,Folha2!$A$2:$B$2019,2,FALSE)</f>
        <v>O Sorvete á Camões. - [Porto : Imprensa Litterario-Commercial], 1880. Se possível, completar o registo no purl: N.º 107, 3.º Anno, 10 de Junho de 1880. Lugares da memória [Praça de Camões]</v>
      </c>
      <c r="M1109" s="12" t="str">
        <f t="shared" si="35"/>
        <v>https://permalinkbnd.bnportugal.gov.pt/viewer/277330/?offset=#page=5&amp;viewer=picture&amp;o=info&amp;n=0&amp;q=</v>
      </c>
      <c r="N1109" s="12" t="s">
        <v>1497</v>
      </c>
      <c r="O1109" s="12" t="str">
        <f>CONCATENATE(N1109,A1109,"\",B1109,"\",C1109,".jpg")</f>
        <v>C:\Users\mbaptista\OneDrive - Biblioteca Nacional de Portugal\Documentos\python\camoniana\imagens\capas\2195089\1\5.jpg</v>
      </c>
      <c r="P1109" s="12" t="str">
        <f>HYPERLINK(O1109)</f>
        <v>C:\Users\mbaptista\OneDrive - Biblioteca Nacional de Portugal\Documentos\python\camoniana\imagens\capas\2195089\1\5.jpg</v>
      </c>
      <c r="Q1109" s="12"/>
      <c r="R1109" s="6" t="s">
        <v>1480</v>
      </c>
      <c r="S1109" s="4"/>
      <c r="T1109" s="1" t="s">
        <v>1479</v>
      </c>
      <c r="U1109" s="13"/>
      <c r="V1109" s="13"/>
      <c r="W1109" s="5" t="s">
        <v>1491</v>
      </c>
    </row>
    <row r="1110" spans="1:23" ht="75">
      <c r="A1110" s="1">
        <v>2195089</v>
      </c>
      <c r="B1110" s="1">
        <v>1</v>
      </c>
      <c r="C1110" s="1">
        <v>7</v>
      </c>
      <c r="D1110" s="2" t="s">
        <v>1477</v>
      </c>
      <c r="E1110" s="5" t="s">
        <v>1477</v>
      </c>
      <c r="F1110" s="5">
        <v>277330</v>
      </c>
      <c r="G1110" s="2" t="s">
        <v>1494</v>
      </c>
      <c r="H1110" s="2" t="s">
        <v>1495</v>
      </c>
      <c r="I1110" s="2" t="s">
        <v>1496</v>
      </c>
      <c r="J1110" s="2" t="str">
        <f t="shared" si="34"/>
        <v>https://permalinkbnd.bnportugal.gov.pt/viewer/277330/?offset=#page=7&amp;viewer=picture&amp;o=info&amp;n=0&amp;q=</v>
      </c>
      <c r="K1110" s="1" t="s">
        <v>1478</v>
      </c>
      <c r="L1110" s="1" t="str">
        <f>VLOOKUP(A1110,Folha2!$A$2:$B$2019,2,FALSE)</f>
        <v>O Sorvete á Camões. - [Porto : Imprensa Litterario-Commercial], 1880. Se possível, completar o registo no purl: N.º 107, 3.º Anno, 10 de Junho de 1880. Lugares da memória [Praça de Camões]</v>
      </c>
      <c r="M1110" s="12" t="str">
        <f t="shared" si="35"/>
        <v>https://permalinkbnd.bnportugal.gov.pt/viewer/277330/?offset=#page=7&amp;viewer=picture&amp;o=info&amp;n=0&amp;q=</v>
      </c>
      <c r="N1110" s="12" t="s">
        <v>1497</v>
      </c>
      <c r="O1110" s="12" t="str">
        <f>CONCATENATE(N1110,A1110,"\",B1110,"\",C1110,".jpg")</f>
        <v>C:\Users\mbaptista\OneDrive - Biblioteca Nacional de Portugal\Documentos\python\camoniana\imagens\capas\2195089\1\7.jpg</v>
      </c>
      <c r="P1110" s="12" t="str">
        <f>HYPERLINK(O1110)</f>
        <v>C:\Users\mbaptista\OneDrive - Biblioteca Nacional de Portugal\Documentos\python\camoniana\imagens\capas\2195089\1\7.jpg</v>
      </c>
      <c r="Q1110" s="12"/>
      <c r="R1110" s="6" t="s">
        <v>1481</v>
      </c>
      <c r="S1110" s="4"/>
      <c r="T1110" s="1" t="s">
        <v>1479</v>
      </c>
      <c r="U1110" s="13"/>
      <c r="V1110" s="13"/>
      <c r="W1110" s="5" t="s">
        <v>1491</v>
      </c>
    </row>
    <row r="1111" spans="1:23" ht="75">
      <c r="A1111" s="1">
        <v>2195089</v>
      </c>
      <c r="B1111" s="1">
        <v>1</v>
      </c>
      <c r="C1111" s="1">
        <v>8</v>
      </c>
      <c r="D1111" s="2" t="s">
        <v>1477</v>
      </c>
      <c r="E1111" s="11" t="s">
        <v>1477</v>
      </c>
      <c r="F1111" s="11">
        <v>277330</v>
      </c>
      <c r="G1111" s="2" t="s">
        <v>1494</v>
      </c>
      <c r="H1111" s="2" t="s">
        <v>1495</v>
      </c>
      <c r="I1111" s="2" t="s">
        <v>1496</v>
      </c>
      <c r="J1111" s="2" t="str">
        <f t="shared" si="34"/>
        <v>https://permalinkbnd.bnportugal.gov.pt/viewer/277330/?offset=#page=8&amp;viewer=picture&amp;o=info&amp;n=0&amp;q=</v>
      </c>
      <c r="K1111" s="1" t="s">
        <v>1478</v>
      </c>
      <c r="L1111" s="1" t="str">
        <f>VLOOKUP(A1111,Folha2!$A$2:$B$2019,2,FALSE)</f>
        <v>O Sorvete á Camões. - [Porto : Imprensa Litterario-Commercial], 1880. Se possível, completar o registo no purl: N.º 107, 3.º Anno, 10 de Junho de 1880. Lugares da memória [Praça de Camões]</v>
      </c>
      <c r="M1111" s="12" t="str">
        <f t="shared" si="35"/>
        <v>https://permalinkbnd.bnportugal.gov.pt/viewer/277330/?offset=#page=8&amp;viewer=picture&amp;o=info&amp;n=0&amp;q=</v>
      </c>
      <c r="N1111" s="12" t="s">
        <v>1497</v>
      </c>
      <c r="O1111" s="12" t="str">
        <f>CONCATENATE(N1111,A1111,"\",B1111,"\",C1111,".jpg")</f>
        <v>C:\Users\mbaptista\OneDrive - Biblioteca Nacional de Portugal\Documentos\python\camoniana\imagens\capas\2195089\1\8.jpg</v>
      </c>
      <c r="P1111" s="12" t="str">
        <f>HYPERLINK(O1111)</f>
        <v>C:\Users\mbaptista\OneDrive - Biblioteca Nacional de Portugal\Documentos\python\camoniana\imagens\capas\2195089\1\8.jpg</v>
      </c>
      <c r="Q1111" s="12"/>
      <c r="R1111" s="6" t="s">
        <v>1482</v>
      </c>
      <c r="S1111" s="4"/>
      <c r="T1111" s="1" t="s">
        <v>1479</v>
      </c>
      <c r="U1111" s="13"/>
      <c r="V1111" s="13"/>
      <c r="W1111" s="5" t="s">
        <v>1491</v>
      </c>
    </row>
    <row r="1112" spans="1:23" ht="75">
      <c r="A1112" s="1">
        <v>2195089</v>
      </c>
      <c r="B1112" s="1">
        <v>1</v>
      </c>
      <c r="C1112" s="1">
        <v>9</v>
      </c>
      <c r="D1112" s="2" t="s">
        <v>1477</v>
      </c>
      <c r="E1112" s="5" t="s">
        <v>1477</v>
      </c>
      <c r="F1112" s="5">
        <v>277330</v>
      </c>
      <c r="G1112" s="2" t="s">
        <v>1494</v>
      </c>
      <c r="H1112" s="2" t="s">
        <v>1495</v>
      </c>
      <c r="I1112" s="2" t="s">
        <v>1496</v>
      </c>
      <c r="J1112" s="2" t="str">
        <f t="shared" si="34"/>
        <v>https://permalinkbnd.bnportugal.gov.pt/viewer/277330/?offset=#page=9&amp;viewer=picture&amp;o=info&amp;n=0&amp;q=</v>
      </c>
      <c r="K1112" s="1" t="s">
        <v>1478</v>
      </c>
      <c r="L1112" s="1" t="str">
        <f>VLOOKUP(A1112,Folha2!$A$2:$B$2019,2,FALSE)</f>
        <v>O Sorvete á Camões. - [Porto : Imprensa Litterario-Commercial], 1880. Se possível, completar o registo no purl: N.º 107, 3.º Anno, 10 de Junho de 1880. Lugares da memória [Praça de Camões]</v>
      </c>
      <c r="M1112" s="12" t="str">
        <f t="shared" si="35"/>
        <v>https://permalinkbnd.bnportugal.gov.pt/viewer/277330/?offset=#page=9&amp;viewer=picture&amp;o=info&amp;n=0&amp;q=</v>
      </c>
      <c r="N1112" s="12" t="s">
        <v>1497</v>
      </c>
      <c r="O1112" s="12" t="str">
        <f>CONCATENATE(N1112,A1112,"\",B1112,"\",C1112,".jpg")</f>
        <v>C:\Users\mbaptista\OneDrive - Biblioteca Nacional de Portugal\Documentos\python\camoniana\imagens\capas\2195089\1\9.jpg</v>
      </c>
      <c r="P1112" s="12" t="str">
        <f>HYPERLINK(O1112)</f>
        <v>C:\Users\mbaptista\OneDrive - Biblioteca Nacional de Portugal\Documentos\python\camoniana\imagens\capas\2195089\1\9.jpg</v>
      </c>
      <c r="Q1112" s="12"/>
      <c r="R1112" s="6" t="s">
        <v>1483</v>
      </c>
      <c r="S1112" s="4"/>
      <c r="T1112" s="1" t="s">
        <v>1479</v>
      </c>
      <c r="U1112" s="13"/>
      <c r="V1112" s="13"/>
      <c r="W1112" s="5" t="s">
        <v>1491</v>
      </c>
    </row>
    <row r="1113" spans="1:23" ht="75">
      <c r="A1113" s="1">
        <v>2195089</v>
      </c>
      <c r="B1113" s="1">
        <v>1</v>
      </c>
      <c r="C1113" s="1">
        <v>10</v>
      </c>
      <c r="D1113" s="2" t="s">
        <v>1477</v>
      </c>
      <c r="E1113" s="11" t="s">
        <v>1477</v>
      </c>
      <c r="F1113" s="11">
        <v>277330</v>
      </c>
      <c r="G1113" s="2" t="s">
        <v>1494</v>
      </c>
      <c r="H1113" s="2" t="s">
        <v>1495</v>
      </c>
      <c r="I1113" s="2" t="s">
        <v>1496</v>
      </c>
      <c r="J1113" s="2" t="str">
        <f t="shared" si="34"/>
        <v>https://permalinkbnd.bnportugal.gov.pt/viewer/277330/?offset=#page=10&amp;viewer=picture&amp;o=info&amp;n=0&amp;q=</v>
      </c>
      <c r="K1113" s="1" t="s">
        <v>1478</v>
      </c>
      <c r="L1113" s="1" t="str">
        <f>VLOOKUP(A1113,Folha2!$A$2:$B$2019,2,FALSE)</f>
        <v>O Sorvete á Camões. - [Porto : Imprensa Litterario-Commercial], 1880. Se possível, completar o registo no purl: N.º 107, 3.º Anno, 10 de Junho de 1880. Lugares da memória [Praça de Camões]</v>
      </c>
      <c r="M1113" s="12" t="str">
        <f t="shared" si="35"/>
        <v>https://permalinkbnd.bnportugal.gov.pt/viewer/277330/?offset=#page=10&amp;viewer=picture&amp;o=info&amp;n=0&amp;q=</v>
      </c>
      <c r="N1113" s="12" t="s">
        <v>1497</v>
      </c>
      <c r="O1113" s="12" t="str">
        <f>CONCATENATE(N1113,A1113,"\",B1113,"\",C1113,".jpg")</f>
        <v>C:\Users\mbaptista\OneDrive - Biblioteca Nacional de Portugal\Documentos\python\camoniana\imagens\capas\2195089\1\10.jpg</v>
      </c>
      <c r="P1113" s="12" t="str">
        <f>HYPERLINK(O1113)</f>
        <v>C:\Users\mbaptista\OneDrive - Biblioteca Nacional de Portugal\Documentos\python\camoniana\imagens\capas\2195089\1\10.jpg</v>
      </c>
      <c r="Q1113" s="12"/>
      <c r="R1113" s="6" t="s">
        <v>1484</v>
      </c>
      <c r="S1113" s="4"/>
      <c r="T1113" s="1" t="s">
        <v>1479</v>
      </c>
      <c r="U1113" s="13"/>
      <c r="V1113" s="13"/>
      <c r="W1113" s="5" t="s">
        <v>1491</v>
      </c>
    </row>
    <row r="1114" spans="1:23" ht="75">
      <c r="A1114" s="1">
        <v>2195089</v>
      </c>
      <c r="B1114" s="1">
        <v>1</v>
      </c>
      <c r="C1114" s="1">
        <v>11</v>
      </c>
      <c r="D1114" s="2" t="s">
        <v>1477</v>
      </c>
      <c r="E1114" s="5" t="s">
        <v>1477</v>
      </c>
      <c r="F1114" s="5">
        <v>277330</v>
      </c>
      <c r="G1114" s="2" t="s">
        <v>1494</v>
      </c>
      <c r="H1114" s="2" t="s">
        <v>1495</v>
      </c>
      <c r="I1114" s="2" t="s">
        <v>1496</v>
      </c>
      <c r="J1114" s="2" t="str">
        <f t="shared" si="34"/>
        <v>https://permalinkbnd.bnportugal.gov.pt/viewer/277330/?offset=#page=11&amp;viewer=picture&amp;o=info&amp;n=0&amp;q=</v>
      </c>
      <c r="K1114" s="1" t="s">
        <v>1478</v>
      </c>
      <c r="L1114" s="1" t="str">
        <f>VLOOKUP(A1114,Folha2!$A$2:$B$2019,2,FALSE)</f>
        <v>O Sorvete á Camões. - [Porto : Imprensa Litterario-Commercial], 1880. Se possível, completar o registo no purl: N.º 107, 3.º Anno, 10 de Junho de 1880. Lugares da memória [Praça de Camões]</v>
      </c>
      <c r="M1114" s="12" t="str">
        <f t="shared" si="35"/>
        <v>https://permalinkbnd.bnportugal.gov.pt/viewer/277330/?offset=#page=11&amp;viewer=picture&amp;o=info&amp;n=0&amp;q=</v>
      </c>
      <c r="N1114" s="12" t="s">
        <v>1497</v>
      </c>
      <c r="O1114" s="12" t="str">
        <f>CONCATENATE(N1114,A1114,"\",B1114,"\",C1114,".jpg")</f>
        <v>C:\Users\mbaptista\OneDrive - Biblioteca Nacional de Portugal\Documentos\python\camoniana\imagens\capas\2195089\1\11.jpg</v>
      </c>
      <c r="P1114" s="12" t="str">
        <f>HYPERLINK(O1114)</f>
        <v>C:\Users\mbaptista\OneDrive - Biblioteca Nacional de Portugal\Documentos\python\camoniana\imagens\capas\2195089\1\11.jpg</v>
      </c>
      <c r="Q1114" s="12"/>
      <c r="R1114" s="6" t="s">
        <v>1485</v>
      </c>
      <c r="S1114" s="4"/>
      <c r="T1114" s="1" t="s">
        <v>1479</v>
      </c>
      <c r="U1114" s="13"/>
      <c r="V1114" s="13"/>
      <c r="W1114" s="5" t="s">
        <v>1491</v>
      </c>
    </row>
    <row r="1115" spans="1:23" ht="75">
      <c r="A1115" s="1">
        <v>2195091</v>
      </c>
      <c r="B1115" s="1">
        <v>1</v>
      </c>
      <c r="C1115" s="1">
        <v>5</v>
      </c>
      <c r="D1115" s="2" t="s">
        <v>1486</v>
      </c>
      <c r="E1115" s="11" t="s">
        <v>1486</v>
      </c>
      <c r="F1115" s="11">
        <v>277332</v>
      </c>
      <c r="G1115" s="2" t="s">
        <v>1494</v>
      </c>
      <c r="H1115" s="2" t="s">
        <v>1495</v>
      </c>
      <c r="I1115" s="2" t="s">
        <v>1496</v>
      </c>
      <c r="J1115" s="2" t="str">
        <f t="shared" si="34"/>
        <v>https://permalinkbnd.bnportugal.gov.pt/viewer/277332/?offset=#page=5&amp;viewer=picture&amp;o=info&amp;n=0&amp;q=</v>
      </c>
      <c r="K1115" s="1" t="s">
        <v>1284</v>
      </c>
      <c r="L1115" s="1" t="str">
        <f>VLOOKUP(A1115,Folha2!$A$2:$B$2019,2,FALSE)</f>
        <v>[Tricentenário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v>
      </c>
      <c r="M1115" s="12" t="str">
        <f t="shared" si="35"/>
        <v>https://permalinkbnd.bnportugal.gov.pt/viewer/277332/?offset=#page=5&amp;viewer=picture&amp;o=info&amp;n=0&amp;q=</v>
      </c>
      <c r="N1115" s="12" t="s">
        <v>1497</v>
      </c>
      <c r="O1115" s="12" t="str">
        <f>CONCATENATE(N1115,A1115,"\",B1115,"\",C1115,".jpg")</f>
        <v>C:\Users\mbaptista\OneDrive - Biblioteca Nacional de Portugal\Documentos\python\camoniana\imagens\capas\2195091\1\5.jpg</v>
      </c>
      <c r="P1115" s="12" t="str">
        <f>HYPERLINK(O1115)</f>
        <v>C:\Users\mbaptista\OneDrive - Biblioteca Nacional de Portugal\Documentos\python\camoniana\imagens\capas\2195091\1\5.jpg</v>
      </c>
      <c r="Q1115" s="12"/>
      <c r="R1115" s="6" t="s">
        <v>1487</v>
      </c>
      <c r="S1115" s="4"/>
      <c r="T1115" s="1">
        <v>5</v>
      </c>
      <c r="U1115" s="13"/>
      <c r="V1115" s="13"/>
      <c r="W1115" s="5" t="s">
        <v>1491</v>
      </c>
    </row>
    <row r="1116" spans="1:23" ht="75">
      <c r="A1116" s="1">
        <v>2195211</v>
      </c>
      <c r="B1116" s="1">
        <v>1</v>
      </c>
      <c r="C1116" s="1">
        <v>11</v>
      </c>
      <c r="D1116" s="2" t="s">
        <v>1488</v>
      </c>
      <c r="E1116" s="5" t="s">
        <v>1488</v>
      </c>
      <c r="F1116" s="5">
        <v>277834</v>
      </c>
      <c r="G1116" s="2" t="s">
        <v>1494</v>
      </c>
      <c r="H1116" s="2" t="s">
        <v>1495</v>
      </c>
      <c r="I1116" s="2" t="s">
        <v>1496</v>
      </c>
      <c r="J1116" s="2" t="str">
        <f t="shared" si="34"/>
        <v>https://permalinkbnd.bnportugal.gov.pt/viewer/277834/?offset=#page=11&amp;viewer=picture&amp;o=info&amp;n=0&amp;q=</v>
      </c>
      <c r="K1116" s="1" t="s">
        <v>1489</v>
      </c>
      <c r="L1116" s="1" t="str">
        <f>VLOOKUP(A1116,Folha2!$A$2:$B$2019,2,FALSE)</f>
        <v>[O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v>
      </c>
      <c r="M1116" s="12" t="str">
        <f t="shared" si="35"/>
        <v>https://permalinkbnd.bnportugal.gov.pt/viewer/277834/?offset=#page=11&amp;viewer=picture&amp;o=info&amp;n=0&amp;q=</v>
      </c>
      <c r="N1116" s="12" t="s">
        <v>1497</v>
      </c>
      <c r="O1116" s="12" t="str">
        <f>CONCATENATE(N1116,A1116,"\",B1116,"\",C1116,".jpg")</f>
        <v>C:\Users\mbaptista\OneDrive - Biblioteca Nacional de Portugal\Documentos\python\camoniana\imagens\capas\2195211\1\11.jpg</v>
      </c>
      <c r="P1116" s="12" t="str">
        <f>HYPERLINK(O1116)</f>
        <v>C:\Users\mbaptista\OneDrive - Biblioteca Nacional de Portugal\Documentos\python\camoniana\imagens\capas\2195211\1\11.jpg</v>
      </c>
      <c r="Q1116" s="12"/>
      <c r="R1116" s="6" t="s">
        <v>1490</v>
      </c>
      <c r="S1116" s="4"/>
      <c r="T1116" s="1"/>
      <c r="U1116" s="13"/>
      <c r="V1116" s="13"/>
      <c r="W1116" s="5" t="s">
        <v>1491</v>
      </c>
    </row>
  </sheetData>
  <autoFilter ref="A1:W1116" xr:uid="{13EA1C17-4758-4759-86E8-093829EAC1BC}"/>
  <hyperlinks>
    <hyperlink ref="R2" r:id="rId1" location="page=1&amp;viewer=picture&amp;o=info&amp;n=0&amp;q=" xr:uid="{57DFC563-79E8-4537-9CBC-422CD79E1AAA}"/>
    <hyperlink ref="R24" r:id="rId2" location="page=499&amp;viewer=picture&amp;o=info&amp;n=0&amp;q=" display="https://permalinkbnd.bnportugal.gov.pt/viewer/274089/?offset= - page=499&amp;viewer=picture&amp;o=info&amp;n=0&amp;q=" xr:uid="{383B83F3-0172-439D-84B6-E388D951862B}"/>
    <hyperlink ref="R52" r:id="rId3" location="page=644&amp;viewer=picture&amp;o=info&amp;n=0&amp;q=" display="https://permalinkbnd.bnportugal.gov.pt/viewer/271573/?offset= - page=644&amp;viewer=picture&amp;o=info&amp;n=0&amp;q=" xr:uid="{52CF5361-3A6F-43F8-8BB7-3C9E1430F246}"/>
    <hyperlink ref="R53" r:id="rId4" location="page=8&amp;viewer=picture&amp;o=info&amp;n=0&amp;q=" display="https://permalinkbnd.bnportugal.gov.pt/viewer/274087/?offset= - page=8&amp;viewer=picture&amp;o=info&amp;n=0&amp;q=" xr:uid="{63CA4C4A-008E-4F08-89B8-B9EF83E4934C}"/>
    <hyperlink ref="R54" r:id="rId5" location="page=11&amp;viewer=picture&amp;o=info&amp;n=0&amp;q=" display="https://permalinkbnd.bnportugal.gov.pt/viewer/281141/?offset= - page=11&amp;viewer=picture&amp;o=info&amp;n=0&amp;q=" xr:uid="{64713F14-885F-4FBA-AD69-2DC6868B33EE}"/>
    <hyperlink ref="R55" r:id="rId6" location="page=1&amp;viewer=picture&amp;o=info&amp;n=0&amp;q=" display="https://permalinkbnd.bnportugal.gov.pt/viewer/273118/?offset= - page=1&amp;viewer=picture&amp;o=info&amp;n=0&amp;q=" xr:uid="{94C3BB43-062C-4DB6-97AD-366C27268B0E}"/>
    <hyperlink ref="R56" r:id="rId7" location="page=5&amp;viewer=picture&amp;o=info&amp;n=0&amp;q=" display="https://permalinkbnd.bnportugal.gov.pt/viewer/270037/?offset= - page=5&amp;viewer=picture&amp;o=info&amp;n=0&amp;q=" xr:uid="{54041635-8768-43C9-A7A0-6DAF58641F15}"/>
    <hyperlink ref="R57" r:id="rId8" location="page=7&amp;viewer=picture&amp;o=info&amp;n=0&amp;q=" display="https://permalinkbnd.bnportugal.gov.pt/viewer/270109/?offset= - page=7&amp;viewer=picture&amp;o=info&amp;n=0&amp;q=" xr:uid="{776389B7-D4FD-40EA-A838-91C51EDB5E90}"/>
    <hyperlink ref="R58" r:id="rId9" location="page=19&amp;viewer=picture&amp;o=info&amp;n=0&amp;q=" display="https://permalinkbnd.bnportugal.gov.pt/viewer/270109/?offset= - page=19&amp;viewer=picture&amp;o=info&amp;n=0&amp;q=" xr:uid="{3EBEC838-F747-4CBE-ADBD-C0CD528F0EE2}"/>
    <hyperlink ref="R59" r:id="rId10" location="page=23&amp;viewer=picture&amp;o=info&amp;n=0&amp;q=" display="https://permalinkbnd.bnportugal.gov.pt/viewer/270109/?offset= - page=23&amp;viewer=picture&amp;o=info&amp;n=0&amp;q=" xr:uid="{0D0DBD24-ED75-450F-891B-1455F4C5F2F1}"/>
    <hyperlink ref="R60" r:id="rId11" location="page=11&amp;viewer=picture&amp;o=info&amp;n=0&amp;q=" display="https://permalinkbnd.bnportugal.gov.pt/viewer/273316/?offset= - page=11&amp;viewer=picture&amp;o=info&amp;n=0&amp;q=" xr:uid="{D68AA98C-7E44-4E11-9210-E64001C7F2BE}"/>
    <hyperlink ref="R61" r:id="rId12" location="page=3&amp;viewer=picture&amp;o=info&amp;n=0&amp;q=" display="https://permalinkbnd.bnportugal.gov.pt/viewer/271559/?offset= - page=3&amp;viewer=picture&amp;o=info&amp;n=0&amp;q=" xr:uid="{535AD3C2-1539-47AE-BCF8-D1ED9DD2B523}"/>
    <hyperlink ref="R62" r:id="rId13" location="page=6&amp;viewer=picture&amp;o=info&amp;n=0&amp;q=" display="https://permalinkbnd.bnportugal.gov.pt/viewer/274171/?offset= - page=6&amp;viewer=picture&amp;o=info&amp;n=0&amp;q=" xr:uid="{EF9B6D51-E710-4F0C-AE2F-86AA827B4EFE}"/>
    <hyperlink ref="R63" r:id="rId14" location="page=14&amp;viewer=picture&amp;o=info&amp;n=0&amp;q=" display="https://permalinkbnd.bnportugal.gov.pt/viewer/274229/?offset= - page=14&amp;viewer=picture&amp;o=info&amp;n=0&amp;q=" xr:uid="{B2DDB395-9C80-4C87-B63B-EBF063A4273A}"/>
    <hyperlink ref="R64" r:id="rId15" location="page=7&amp;viewer=picture&amp;o=info&amp;n=0&amp;q=" display="https://permalinkbnd.bnportugal.gov.pt/viewer/274235/?offset= - page=7&amp;viewer=picture&amp;o=info&amp;n=0&amp;q=" xr:uid="{8AC01536-CDA8-4EFD-A65B-20B941C77025}"/>
    <hyperlink ref="R65" r:id="rId16" location="page=13&amp;viewer=picture&amp;o=info&amp;n=0&amp;q=" display="https://permalinkbnd.bnportugal.gov.pt/viewer/274235/?offset= - page=13&amp;viewer=picture&amp;o=info&amp;n=0&amp;q=" xr:uid="{2CD5456E-6AAA-48F3-840C-03457BB510E2}"/>
    <hyperlink ref="R66" r:id="rId17" location="page=15&amp;viewer=picture&amp;o=info&amp;n=0&amp;q=" display="https://permalinkbnd.bnportugal.gov.pt/viewer/274235/?offset= - page=15&amp;viewer=picture&amp;o=info&amp;n=0&amp;q=" xr:uid="{1A295BA1-31B7-428F-BBFC-7B94D56E27EB}"/>
    <hyperlink ref="R67" r:id="rId18" location="page=9&amp;viewer=picture&amp;o=info&amp;n=0&amp;q=" display="https://permalinkbnd.bnportugal.gov.pt/viewer/1880/?offset= - page=9&amp;viewer=picture&amp;o=info&amp;n=0&amp;q=" xr:uid="{B481A183-ED62-449D-A056-98999166DEA3}"/>
    <hyperlink ref="R70" r:id="rId19" location="page=15&amp;viewer=picture&amp;o=info&amp;n=0&amp;q=" display="https://permalinkbnd.bnportugal.gov.pt/viewer/273149/?offset= - page=15&amp;viewer=picture&amp;o=info&amp;n=0&amp;q=" xr:uid="{F6F8CA60-A810-4EC3-A966-2601C002742E}"/>
    <hyperlink ref="R71" r:id="rId20" location="page=1&amp;viewer=picture&amp;o=info&amp;n=0&amp;q=" display="https://permalinkbnd.bnportugal.gov.pt/viewer/274256/?offset= - page=1&amp;viewer=picture&amp;o=info&amp;n=0&amp;q=" xr:uid="{35C9F42D-40D6-46F7-962E-357DBAE9454E}"/>
    <hyperlink ref="R72" r:id="rId21" location="page=1&amp;viewer=picture&amp;o=info&amp;n=0&amp;q=" display="https://permalinkbnd.bnportugal.gov.pt/viewer/273122/?offset= - page=1&amp;viewer=picture&amp;o=info&amp;n=0&amp;q=" xr:uid="{FDD75142-1EFA-44EE-99A7-4A21BEEE808E}"/>
    <hyperlink ref="R73" r:id="rId22" location="page=1&amp;viewer=picture&amp;o=info&amp;n=0&amp;q=" display="https://permalinkbnd.bnportugal.gov.pt/viewer/273124/?offset= - page=1&amp;viewer=picture&amp;o=info&amp;n=0&amp;q=" xr:uid="{C0D84575-51E0-4E53-BFE8-AFC43A0EE786}"/>
    <hyperlink ref="R74" r:id="rId23" location="page=1&amp;viewer=picture&amp;o=info&amp;n=0&amp;q=" display="https://permalinkbnd.bnportugal.gov.pt/viewer/36059/?offset= - page=1&amp;viewer=picture&amp;o=info&amp;n=0&amp;q=" xr:uid="{2BF48F1F-E1D2-4AC7-B671-CD2BE4B1DA20}"/>
    <hyperlink ref="R75" r:id="rId24" location="page=11&amp;viewer=picture&amp;o=info&amp;n=0&amp;q=" display="https://permalinkbnd.bnportugal.gov.pt/viewer/273150/?offset= - page=11&amp;viewer=picture&amp;o=info&amp;n=0&amp;q=" xr:uid="{EC7E6E48-4810-477D-B17D-7CEBAF9EC6B8}"/>
    <hyperlink ref="R77" r:id="rId25" location="page=6&amp;viewer=picture&amp;o=info&amp;n=0&amp;q=" display="https://permalinkbnd.bnportugal.gov.pt/viewer/272368/?offset= - page=6&amp;viewer=picture&amp;o=info&amp;n=0&amp;q=" xr:uid="{20183615-0BAA-40B4-82CC-30C9A70D8CAE}"/>
    <hyperlink ref="R79" r:id="rId26" location="page=7&amp;viewer=picture&amp;o=info&amp;n=0&amp;q=" display="https://permalinkbnd.bnportugal.gov.pt/viewer/274090/?offset= - page=7&amp;viewer=picture&amp;o=info&amp;n=0&amp;q=" xr:uid="{4669CD83-37B0-4370-8EE5-CABCB0D66ADE}"/>
    <hyperlink ref="R81" r:id="rId27" location="page=14&amp;viewer=picture&amp;o=info&amp;n=0&amp;q=" display="https://permalinkbnd.bnportugal.gov.pt/viewer/274172/?offset= - page=14&amp;viewer=picture&amp;o=info&amp;n=0&amp;q=" xr:uid="{8FD0B300-93D0-4F3F-9A0F-4B492011BCC6}"/>
    <hyperlink ref="R82" r:id="rId28" location="page=11&amp;viewer=picture&amp;o=info&amp;n=0&amp;q=" display="https://permalinkbnd.bnportugal.gov.pt/viewer/273148/?offset= - page=11&amp;viewer=picture&amp;o=info&amp;n=0&amp;q=" xr:uid="{181929E5-0A06-43D8-9881-7FABA62BA338}"/>
    <hyperlink ref="R83" r:id="rId29" location="page=9&amp;viewer=picture&amp;o=info&amp;n=0&amp;q=" display="https://permalinkbnd.bnportugal.gov.pt/viewer/274230/?offset= - page=9&amp;viewer=picture&amp;o=info&amp;n=0&amp;q=" xr:uid="{921D02DE-24E0-4BAC-B79C-27565E1559D1}"/>
    <hyperlink ref="R84" r:id="rId30" location="page=9&amp;viewer=picture&amp;o=info&amp;n=0&amp;q=" display="https://permalinkbnd.bnportugal.gov.pt/viewer/1576/?offset= - page=9&amp;viewer=picture&amp;o=info&amp;n=0&amp;q=" xr:uid="{53AD5CA6-B550-45A2-841E-8E3D959E01DA}"/>
    <hyperlink ref="R86" r:id="rId31" location="page=3&amp;viewer=picture&amp;o=info&amp;n=0&amp;q=" display="https://permalinkbnd.bnportugal.gov.pt/viewer/273125/?offset= - page=3&amp;viewer=picture&amp;o=info&amp;n=0&amp;q=" xr:uid="{2B88C3DC-E29F-4B04-A5DE-F7BB36D07DC3}"/>
    <hyperlink ref="R87" r:id="rId32" location="page=1&amp;viewer=picture&amp;o=info&amp;n=0&amp;q=" display="https://permalinkbnd.bnportugal.gov.pt/viewer/3/?offset= - page=1&amp;viewer=picture&amp;o=info&amp;n=0&amp;q=" xr:uid="{56C83A95-268C-4CED-845D-0B3C5B7C7326}"/>
    <hyperlink ref="R88" r:id="rId33" location="page=1&amp;viewer=picture&amp;o=info&amp;n=0&amp;q=" display="https://permalinkbnd.bnportugal.gov.pt/viewer/274260/?offset= - page=1&amp;viewer=picture&amp;o=info&amp;n=0&amp;q=" xr:uid="{97CAB438-9908-426A-AFDC-5D538534C3E4}"/>
    <hyperlink ref="R89" r:id="rId34" location="page=16&amp;viewer=picture&amp;o=info&amp;n=0&amp;q=" display="https://permalinkbnd.bnportugal.gov.pt/viewer/274280/?offset= - page=16&amp;viewer=picture&amp;o=info&amp;n=0&amp;q=" xr:uid="{DB6B3E1A-EE84-4FF3-ADBD-07CDA13273AE}"/>
    <hyperlink ref="R90" r:id="rId35" location="page=22&amp;viewer=picture&amp;o=info&amp;n=0&amp;q=" display="https://permalinkbnd.bnportugal.gov.pt/viewer/274280/?offset= - page=22&amp;viewer=picture&amp;o=info&amp;n=0&amp;q=" xr:uid="{353E869F-A10D-4CCD-9F2D-910B7B0583BE}"/>
    <hyperlink ref="R91" r:id="rId36" location="page=9&amp;viewer=picture&amp;o=info&amp;n=0&amp;q=" display="https://permalinkbnd.bnportugal.gov.pt/viewer/273560/?offset= - page=9&amp;viewer=picture&amp;o=info&amp;n=0&amp;q=" xr:uid="{2541DAA3-85EF-4478-9B71-6CCB0D80C5A6}"/>
    <hyperlink ref="R92" r:id="rId37" location="page=7&amp;viewer=picture&amp;o=info&amp;n=0&amp;q=" display="https://permalinkbnd.bnportugal.gov.pt/viewer/273347/?offset= - page=7&amp;viewer=picture&amp;o=info&amp;n=0&amp;q=" xr:uid="{225BEE11-1E8A-40B9-ACD1-6421D63B3055}"/>
    <hyperlink ref="R94" r:id="rId38" location="page=21&amp;viewer=picture&amp;o=info&amp;n=0&amp;q=" display="https://permalinkbnd.bnportugal.gov.pt/viewer/274348/?offset= - page=21&amp;viewer=picture&amp;o=info&amp;n=0&amp;q=" xr:uid="{B6DD8F0C-5F93-4433-813B-597B68B1E08D}"/>
    <hyperlink ref="R95" r:id="rId39" location="page=69&amp;viewer=picture&amp;o=info&amp;n=0&amp;q=" display="https://permalinkbnd.bnportugal.gov.pt/viewer/274348/?offset= - page=69&amp;viewer=picture&amp;o=info&amp;n=0&amp;q=" xr:uid="{344DE907-3727-4F26-A106-138C4A20B0CA}"/>
    <hyperlink ref="R96" r:id="rId40" location="page=6&amp;viewer=picture&amp;o=info&amp;n=0&amp;q=" display="https://permalinkbnd.bnportugal.gov.pt/viewer/274346/?offset= - page=6&amp;viewer=picture&amp;o=info&amp;n=0&amp;q=" xr:uid="{A90E16F0-892F-49BC-982C-336E5179A80D}"/>
    <hyperlink ref="R97" r:id="rId41" location="page=1&amp;viewer=picture&amp;o=info&amp;n=0&amp;q=" display="https://permalinkbnd.bnportugal.gov.pt/viewer/273798/?offset= - page=1&amp;viewer=picture&amp;o=info&amp;n=0&amp;q=" xr:uid="{C956D6B3-248A-45D6-9933-2DDD1161049F}"/>
    <hyperlink ref="R98" r:id="rId42" location="page=1&amp;viewer=picture&amp;o=info&amp;n=0&amp;q=" display="https://permalinkbnd.bnportugal.gov.pt/viewer/272882/?offset= - page=1&amp;viewer=picture&amp;o=info&amp;n=0&amp;q=" xr:uid="{D40AB844-1F4A-4143-B93C-38005F064541}"/>
    <hyperlink ref="R99" r:id="rId43" location="page=11&amp;viewer=picture&amp;o=info&amp;n=0&amp;q=" display="https://permalinkbnd.bnportugal.gov.pt/viewer/1880/?offset= - page=11&amp;viewer=picture&amp;o=info&amp;n=0&amp;q=" xr:uid="{6F6BA54B-C83A-48E7-829E-E2AEE49038CD}"/>
    <hyperlink ref="R100" r:id="rId44" location="page=1&amp;viewer=picture&amp;o=info&amp;n=0&amp;q=" display="https://permalinkbnd.bnportugal.gov.pt/viewer/35644/?offset= - page=1&amp;viewer=picture&amp;o=info&amp;n=0&amp;q=" xr:uid="{10457DE2-306E-4040-93E4-C2BF3FEEED55}"/>
    <hyperlink ref="R101" r:id="rId45" location="page=9&amp;viewer=picture&amp;o=info&amp;n=0&amp;q=" display="https://permalinkbnd.bnportugal.gov.pt/viewer/1880/?offset= - page=9&amp;viewer=picture&amp;o=info&amp;n=0&amp;q=" xr:uid="{1C3F7513-D184-4DF4-8A68-8909FAB527DD}"/>
    <hyperlink ref="R102" r:id="rId46" location="page=3&amp;viewer=picture&amp;o=info&amp;n=0&amp;q=" display="https://permalinkbnd.bnportugal.gov.pt/viewer/273923/?offset= - page=3&amp;viewer=picture&amp;o=info&amp;n=0&amp;q=" xr:uid="{E3F8F896-E16C-454F-8B85-D85AF6B973DA}"/>
    <hyperlink ref="R103" r:id="rId47" location="page=8&amp;viewer=picture&amp;o=info&amp;n=0&amp;q=" display="https://permalinkbnd.bnportugal.gov.pt/viewer/270331/?offset= - page=8&amp;viewer=picture&amp;o=info&amp;n=0&amp;q=" xr:uid="{7721A3C6-AC48-47D1-8AE4-8EA6212AD022}"/>
    <hyperlink ref="R104" r:id="rId48" location="page=62&amp;viewer=picture&amp;o=info&amp;n=0&amp;q=" display="https://permalinkbnd.bnportugal.gov.pt/viewer/270331/?offset= - page=62&amp;viewer=picture&amp;o=info&amp;n=0&amp;q=" xr:uid="{545142ED-459B-4323-BDC2-E90CBED7BF1A}"/>
    <hyperlink ref="R105" r:id="rId49" location="page=8&amp;viewer=picture&amp;o=info&amp;n=0&amp;q=" display="https://permalinkbnd.bnportugal.gov.pt/viewer/270331/?offset= - page=8&amp;viewer=picture&amp;o=info&amp;n=0&amp;q=" xr:uid="{B5807947-A8A6-4D26-A395-AC7DA763343F}"/>
    <hyperlink ref="R106" r:id="rId50" location="page=10&amp;viewer=picture&amp;o=info&amp;n=0&amp;q=" display="https://permalinkbnd.bnportugal.gov.pt/viewer/270345/?offset= - page=10&amp;viewer=picture&amp;o=info&amp;n=0&amp;q=" xr:uid="{C7DBB778-94E6-4D46-BDDE-F86453C06E60}"/>
    <hyperlink ref="R110" r:id="rId51" location="page=10&amp;viewer=picture&amp;o=info&amp;n=0&amp;q=" display="https://permalinkbnd.bnportugal.gov.pt/viewer/273525/?offset= - page=10&amp;viewer=picture&amp;o=info&amp;n=0&amp;q=" xr:uid="{C2F850F0-DB04-4D34-AC4B-44C03A604587}"/>
    <hyperlink ref="R116" r:id="rId52" location="page=11&amp;viewer=picture&amp;o=info&amp;n=0&amp;q=" display="https://permalinkbnd.bnportugal.gov.pt/viewer/270116/?offset= - page=11&amp;viewer=picture&amp;o=info&amp;n=0&amp;q=" xr:uid="{1C2914EA-CB4B-49FE-B28F-C12AAD97EAB3}"/>
    <hyperlink ref="R117" r:id="rId53" location="page=5&amp;viewer=picture&amp;o=info&amp;n=0&amp;q=" xr:uid="{D71D9AB2-47A3-4EDD-8F42-4F7CF6B797B8}"/>
    <hyperlink ref="R118" r:id="rId54" location="page=12&amp;viewer=picture&amp;o=info&amp;n=0&amp;q=" display="https://permalinkbnd.bnportugal.gov.pt/viewer/270116/?offset= - page=12&amp;viewer=picture&amp;o=info&amp;n=0&amp;q=" xr:uid="{C05A8864-2AB0-41E3-BD1B-7D8DC9121A46}"/>
    <hyperlink ref="R119" r:id="rId55" location="page=12&amp;viewer=picture&amp;o=info&amp;n=0&amp;q=" display="https://permalinkbnd.bnportugal.gov.pt/viewer/270116/?offset= - page=12&amp;viewer=picture&amp;o=info&amp;n=0&amp;q=" xr:uid="{DF44FE87-F415-4070-949B-E44318D65890}"/>
    <hyperlink ref="R120" r:id="rId56" location="page=11&amp;viewer=picture&amp;o=info&amp;n=0&amp;q=" display="https://permalinkbnd.bnportugal.gov.pt/viewer/270116/?offset= - page=11&amp;viewer=picture&amp;o=info&amp;n=0&amp;q=" xr:uid="{48A6CB27-7B24-46CE-BC95-13E6FC1C3841}"/>
    <hyperlink ref="R121" r:id="rId57" location="page=12&amp;viewer=picture&amp;o=info&amp;n=0&amp;q=" display="https://permalinkbnd.bnportugal.gov.pt/viewer/270116/?offset= - page=12&amp;viewer=picture&amp;o=info&amp;n=0&amp;q=" xr:uid="{EA1ACD0F-1FB6-4DFC-81D7-71D49A95233B}"/>
    <hyperlink ref="R122" r:id="rId58" location="page=3&amp;viewer=picture&amp;o=info&amp;n=0&amp;q=" display="https://permalinkbnd.bnportugal.gov.pt/viewer/274117/?offset= - page=3&amp;viewer=picture&amp;o=info&amp;n=0&amp;q=" xr:uid="{46E27658-3339-4C86-8037-8FA753187093}"/>
    <hyperlink ref="R123" r:id="rId59" location="page=5&amp;viewer=picture&amp;o=info&amp;n=0&amp;q=" display="https://permalinkbnd.bnportugal.gov.pt/viewer/274153/?offset= - page=5&amp;viewer=picture&amp;o=info&amp;n=0&amp;q=" xr:uid="{4F8FC257-E873-465C-8FAD-09E3F1AFBC8E}"/>
    <hyperlink ref="R124" r:id="rId60" location="page=13&amp;viewer=picture&amp;o=info&amp;n=0&amp;q=" display="https://permalinkbnd.bnportugal.gov.pt/viewer/272371/?offset= - page=13&amp;viewer=picture&amp;o=info&amp;n=0&amp;q=" xr:uid="{C860C297-B109-4BA2-B3CC-05224FF8477D}"/>
    <hyperlink ref="R125" r:id="rId61" location="page=7&amp;viewer=picture&amp;o=info&amp;n=0&amp;q=" display="https://permalinkbnd.bnportugal.gov.pt/viewer/273182/?offset= - page=7&amp;viewer=picture&amp;o=info&amp;n=0&amp;q=" xr:uid="{983078E2-0729-40D0-BA3E-F47C3C8A021C}"/>
    <hyperlink ref="R126" r:id="rId62" location="page=1&amp;viewer=picture&amp;o=info&amp;n=0&amp;q=" display="https://permalinkbnd.bnportugal.gov.pt/viewer/273318/?offset= - page=1&amp;viewer=picture&amp;o=info&amp;n=0&amp;q=" xr:uid="{AA3D8E78-6ED6-4D5F-9401-045922F39BEF}"/>
    <hyperlink ref="R127" r:id="rId63" location="page=1&amp;viewer=picture&amp;o=info&amp;n=0&amp;q=" display="https://permalinkbnd.bnportugal.gov.pt/viewer/273319/?offset= - page=1&amp;viewer=picture&amp;o=info&amp;n=0&amp;q=" xr:uid="{87FDD2AB-7083-42B3-BEF2-73B7144555F0}"/>
    <hyperlink ref="R128" r:id="rId64" location="page=5&amp;viewer=picture&amp;o=info&amp;n=0&amp;q=" display="https://permalinkbnd.bnportugal.gov.pt/viewer/273102/?offset= - page=5&amp;viewer=picture&amp;o=info&amp;n=0&amp;q=" xr:uid="{9FC124CE-6156-4EB4-8A32-25AF001ECEC9}"/>
    <hyperlink ref="R129" r:id="rId65" location="page=1&amp;viewer=picture&amp;o=info&amp;n=0&amp;q=" display="https://permalinkbnd.bnportugal.gov.pt/viewer/270341/?offset= - page=1&amp;viewer=picture&amp;o=info&amp;n=0&amp;q=" xr:uid="{66FBED69-52C1-498C-857B-FDF7CB6A3474}"/>
    <hyperlink ref="R130" r:id="rId66" location="page=1&amp;viewer=picture&amp;o=info&amp;n=0&amp;q=" display="https://permalinkbnd.bnportugal.gov.pt/viewer/270336/?offset= - page=1&amp;viewer=picture&amp;o=info&amp;n=0&amp;q=" xr:uid="{E83CBF34-531F-411D-8676-4EEEB4189918}"/>
    <hyperlink ref="R131" r:id="rId67" location="page=1&amp;viewer=picture&amp;o=info&amp;n=0&amp;q=" display="https://permalinkbnd.bnportugal.gov.pt/viewer/273314/?offset= - page=1&amp;viewer=picture&amp;o=info&amp;n=0&amp;q=" xr:uid="{7A273B75-FE83-45CE-8CEE-B3D962E7EF1A}"/>
    <hyperlink ref="R132" r:id="rId68" location="page=10&amp;viewer=picture&amp;o=info&amp;n=0&amp;q=" display="https://permalinkbnd.bnportugal.gov.pt/viewer/281908/?offset= - page=10&amp;viewer=picture&amp;o=info&amp;n=0&amp;q=" xr:uid="{71F9F1C1-3AA1-48A1-8295-1D3F18CF4A6A}"/>
    <hyperlink ref="R133" r:id="rId69" location="page=1&amp;viewer=picture&amp;o=info&amp;n=0&amp;q=" display="https://permalinkbnd.bnportugal.gov.pt/viewer/36540/?offset= - page=1&amp;viewer=picture&amp;o=info&amp;n=0&amp;q=" xr:uid="{38DF1581-B69E-4A24-8E49-6C3E66F83615}"/>
    <hyperlink ref="R134" r:id="rId70" location="page=1&amp;viewer=picture&amp;o=info&amp;n=0&amp;q=" display="https://permalinkbnd.bnportugal.gov.pt/viewer/14040/?offset= - page=1&amp;viewer=picture&amp;o=info&amp;n=0&amp;q=" xr:uid="{F4C4B712-8B14-43DF-9EB2-24D4B0F98B18}"/>
    <hyperlink ref="R135" r:id="rId71" location="page=1&amp;viewer=picture&amp;o=info&amp;n=0&amp;q=" display="https://permalinkbnd.bnportugal.gov.pt/viewer/272734/?offset= - page=1&amp;viewer=picture&amp;o=info&amp;n=0&amp;q=" xr:uid="{30CA2DF2-4608-455F-9CFF-FDD93F08AEB3}"/>
    <hyperlink ref="R136" r:id="rId72" location="page=1&amp;viewer=picture&amp;o=info&amp;n=0&amp;q=" display="https://permalinkbnd.bnportugal.gov.pt/viewer/36741/?offset= - page=1&amp;viewer=picture&amp;o=info&amp;n=0&amp;q=" xr:uid="{258BF836-3294-4A63-906A-008ECD44903D}"/>
    <hyperlink ref="R137" r:id="rId73" location="page=1&amp;viewer=picture&amp;o=info&amp;n=0&amp;q=" display="https://permalinkbnd.bnportugal.gov.pt/viewer/37180/?offset= - page=1&amp;viewer=picture&amp;o=info&amp;n=0&amp;q=" xr:uid="{B97B0C74-5894-445D-8657-24B455D80C43}"/>
    <hyperlink ref="R138" r:id="rId74" location="page=1&amp;viewer=picture&amp;o=info&amp;n=0&amp;q=" display="https://permalinkbnd.bnportugal.gov.pt/viewer/37208/?offset= - page=1&amp;viewer=picture&amp;o=info&amp;n=0&amp;q=" xr:uid="{6C737EE0-DBB3-4B3F-81D8-3B53DD0A9F4F}"/>
    <hyperlink ref="R139" r:id="rId75" location="page=1&amp;viewer=picture&amp;o=info&amp;n=0&amp;q=" display="https://permalinkbnd.bnportugal.gov.pt/viewer/35147/?offset= - page=1&amp;viewer=picture&amp;o=info&amp;n=0&amp;q=" xr:uid="{4309ADFC-58AD-4E06-8974-16A2B040BAD9}"/>
    <hyperlink ref="R140" r:id="rId76" location="page=1&amp;viewer=picture&amp;o=info&amp;n=0&amp;q=" display="https://permalinkbnd.bnportugal.gov.pt/viewer/1880/?offset= - page=1&amp;viewer=picture&amp;o=info&amp;n=0&amp;q=" xr:uid="{F1BE2DF1-E44C-42D1-8D85-FEBBE8320387}"/>
    <hyperlink ref="R141" r:id="rId77" location="page=1&amp;viewer=picture&amp;o=info&amp;n=0&amp;q=" display="https://permalinkbnd.bnportugal.gov.pt/viewer/35133/?offset= - page=1&amp;viewer=picture&amp;o=info&amp;n=0&amp;q=" xr:uid="{AB872AD2-921A-4CC8-9E9C-1F47DBB44A78}"/>
    <hyperlink ref="R142" r:id="rId78" location="page=1&amp;viewer=picture&amp;o=info&amp;n=0&amp;q=" display="https://permalinkbnd.bnportugal.gov.pt/viewer/35127/?offset= - page=1&amp;viewer=picture&amp;o=info&amp;n=0&amp;q=" xr:uid="{B6D4DC2F-2E46-4731-B881-126625070C2E}"/>
    <hyperlink ref="R143" r:id="rId79" location="page=1&amp;viewer=picture&amp;o=info&amp;n=0&amp;q=" display="https://permalinkbnd.bnportugal.gov.pt/viewer/35137/?offset= - page=1&amp;viewer=picture&amp;o=info&amp;n=0&amp;q=" xr:uid="{93A4EF1D-F5CB-4FEF-B3AC-6DE722B2E493}"/>
    <hyperlink ref="R144" r:id="rId80" location="page=1&amp;viewer=picture&amp;o=info&amp;n=0&amp;q=" display="https://permalinkbnd.bnportugal.gov.pt/viewer/37203/?offset= - page=1&amp;viewer=picture&amp;o=info&amp;n=0&amp;q=" xr:uid="{0AAD557D-24B7-4274-8BFD-07AC9895D3EF}"/>
    <hyperlink ref="R145" r:id="rId81" location="page=1&amp;viewer=picture&amp;o=info&amp;n=0&amp;q=" display="https://permalinkbnd.bnportugal.gov.pt/viewer/37132/?offset= - page=1&amp;viewer=picture&amp;o=info&amp;n=0&amp;q=" xr:uid="{81E6129B-A690-4C04-A085-90025476ACD0}"/>
    <hyperlink ref="R146" r:id="rId82" location="page=1&amp;viewer=picture&amp;o=info&amp;n=0&amp;q=" display="https://permalinkbnd.bnportugal.gov.pt/viewer/34623/?offset= - page=1&amp;viewer=picture&amp;o=info&amp;n=0&amp;q=" xr:uid="{DA929A73-103A-431A-AB6C-20620D73E711}"/>
    <hyperlink ref="R147" r:id="rId83" location="page=1&amp;viewer=picture&amp;o=info&amp;n=0&amp;q=" display="https://permalinkbnd.bnportugal.gov.pt/viewer/37092/?offset= - page=1&amp;viewer=picture&amp;o=info&amp;n=0&amp;q=" xr:uid="{BC21E0AE-C6C5-4C9D-A5DF-10F8A703725F}"/>
    <hyperlink ref="R148" r:id="rId84" location="page=1&amp;viewer=picture&amp;o=info&amp;n=0&amp;q=" display="https://permalinkbnd.bnportugal.gov.pt/viewer/37325/?offset= - page=1&amp;viewer=picture&amp;o=info&amp;n=0&amp;q=" xr:uid="{B3DC69DB-9544-413F-9583-DC4ABFD8879B}"/>
    <hyperlink ref="R149" r:id="rId85" location="page=1&amp;viewer=picture&amp;o=info&amp;n=0&amp;q=" display="https://permalinkbnd.bnportugal.gov.pt/viewer/33427/?offset= - page=1&amp;viewer=picture&amp;o=info&amp;n=0&amp;q=" xr:uid="{4C49E1EA-74E7-4CA4-B3A7-119B81A32459}"/>
    <hyperlink ref="R150" r:id="rId86" location="page=1&amp;viewer=picture&amp;o=info&amp;n=0&amp;q=" display="https://permalinkbnd.bnportugal.gov.pt/viewer/36374/?offset= - page=1&amp;viewer=picture&amp;o=info&amp;n=0&amp;q=" xr:uid="{987E6AC3-9D08-4592-81FC-40D20CCE82C7}"/>
    <hyperlink ref="R151" r:id="rId87" location="page=1&amp;viewer=picture&amp;o=info&amp;n=0&amp;q=" display="https://permalinkbnd.bnportugal.gov.pt/viewer/36554/?offset= - page=1&amp;viewer=picture&amp;o=info&amp;n=0&amp;q=" xr:uid="{14EAF8D0-0163-4A57-A316-2B846FE06ACB}"/>
    <hyperlink ref="R152" r:id="rId88" location="page=1&amp;viewer=picture&amp;o=info&amp;n=0&amp;q=" display="https://permalinkbnd.bnportugal.gov.pt/viewer/37663/?offset= - page=1&amp;viewer=picture&amp;o=info&amp;n=0&amp;q=" xr:uid="{8E8F15FB-12EC-485B-B013-EE250F5BBAE3}"/>
    <hyperlink ref="R153" r:id="rId89" location="page=1&amp;viewer=picture&amp;o=info&amp;n=0&amp;q=" display="https://permalinkbnd.bnportugal.gov.pt/viewer/37195/?offset= - page=1&amp;viewer=picture&amp;o=info&amp;n=0&amp;q=" xr:uid="{F199D9D5-A89D-4C34-BAFF-F2D3DEEBA35D}"/>
    <hyperlink ref="R154" r:id="rId90" location="page=1&amp;viewer=picture&amp;o=info&amp;n=0&amp;q=" display="https://permalinkbnd.bnportugal.gov.pt/viewer/37674/?offset= - page=1&amp;viewer=picture&amp;o=info&amp;n=0&amp;q=" xr:uid="{05B4ED8C-31AD-4FCC-B78A-20C62AEB9A51}"/>
    <hyperlink ref="R155" r:id="rId91" location="page=10&amp;viewer=picture&amp;o=info&amp;n=0&amp;q=" display="https://permalinkbnd.bnportugal.gov.pt/viewer/274166/?offset= - page=10&amp;viewer=picture&amp;o=info&amp;n=0&amp;q=" xr:uid="{D1168062-E2BC-4A98-9FFA-1F4262AF6837}"/>
    <hyperlink ref="R156" r:id="rId92" location="page=18&amp;viewer=picture&amp;o=info&amp;n=0&amp;q=" display="https://permalinkbnd.bnportugal.gov.pt/viewer/274166/?offset= - page=18&amp;viewer=picture&amp;o=info&amp;n=0&amp;q=" xr:uid="{67786506-27BE-4A7C-9D84-4F0CEF6628D6}"/>
    <hyperlink ref="R157" r:id="rId93" location="page=7&amp;viewer=picture&amp;o=info&amp;n=0&amp;q=" display="https://permalinkbnd.bnportugal.gov.pt/viewer/270042/?offset= - page=7&amp;viewer=picture&amp;o=info&amp;n=0&amp;q=" xr:uid="{F7D4DD10-BCF4-486C-BB29-E3CCB8D7D055}"/>
    <hyperlink ref="R159" r:id="rId94" location="page=4&amp;viewer=picture&amp;o=info&amp;n=0&amp;q=" display="https://permalinkbnd.bnportugal.gov.pt/viewer/273943/?offset= - page=4&amp;viewer=picture&amp;o=info&amp;n=0&amp;q=" xr:uid="{B901CFBB-3D99-4CF4-9B1E-2D2CDDA7648C}"/>
    <hyperlink ref="R160" r:id="rId95" location="page=3&amp;viewer=picture&amp;o=info&amp;n=0&amp;q=" display="https://permalinkbnd.bnportugal.gov.pt/viewer/273427/?offset= - page=3&amp;viewer=picture&amp;o=info&amp;n=0&amp;q=" xr:uid="{B4C2B07E-CFC4-4F31-B6FF-B380A02AA62A}"/>
    <hyperlink ref="R161" r:id="rId96" location="page=6&amp;viewer=picture&amp;o=info&amp;n=0&amp;q=" display="https://permalinkbnd.bnportugal.gov.pt/viewer/272372/?offset= - page=6&amp;viewer=picture&amp;o=info&amp;n=0&amp;q=" xr:uid="{5DBC25BD-EF49-4317-BA1F-F931233D3C1D}"/>
    <hyperlink ref="R162" r:id="rId97" location="page=21&amp;viewer=picture&amp;o=info&amp;n=0&amp;q=" display="https://permalinkbnd.bnportugal.gov.pt/viewer/272381/?offset= - page=21&amp;viewer=picture&amp;o=info&amp;n=0&amp;q=" xr:uid="{CA99A494-E0C9-4C5E-B4BD-B3290DD3EF8B}"/>
    <hyperlink ref="R163" r:id="rId98" location="page=24&amp;viewer=picture&amp;o=info&amp;n=0&amp;q=" display="https://permalinkbnd.bnportugal.gov.pt/viewer/272381/?offset= - page=24&amp;viewer=picture&amp;o=info&amp;n=0&amp;q=" xr:uid="{96A41408-4277-4A0C-992D-8DC2C96ADFAE}"/>
    <hyperlink ref="R164" r:id="rId99" location="page=25&amp;viewer=picture&amp;o=info&amp;n=0&amp;q=" display="https://permalinkbnd.bnportugal.gov.pt/viewer/272381/?offset= - page=25&amp;viewer=picture&amp;o=info&amp;n=0&amp;q=" xr:uid="{1B63036D-1409-42FC-A2F0-78239AA4F7E4}"/>
    <hyperlink ref="R165" r:id="rId100" location="page=28&amp;viewer=picture&amp;o=info&amp;n=0&amp;q=" display="https://permalinkbnd.bnportugal.gov.pt/viewer/272381/?offset= - page=28&amp;viewer=picture&amp;o=info&amp;n=0&amp;q=" xr:uid="{9754495D-E196-401B-AD94-73ADADA19940}"/>
    <hyperlink ref="R166" r:id="rId101" location="page=29&amp;viewer=picture&amp;o=info&amp;n=0&amp;q=" display="https://permalinkbnd.bnportugal.gov.pt/viewer/272381/?offset= - page=29&amp;viewer=picture&amp;o=info&amp;n=0&amp;q=" xr:uid="{C87805F5-766B-4CEF-AC60-3D301A28D6DD}"/>
    <hyperlink ref="R167" r:id="rId102" location="page=32&amp;viewer=picture&amp;o=info&amp;n=0&amp;q=" display="https://permalinkbnd.bnportugal.gov.pt/viewer/272381/?offset= - page=32&amp;viewer=picture&amp;o=info&amp;n=0&amp;q=" xr:uid="{EF3D52EF-27DD-4C81-8990-1B28BB6C131E}"/>
    <hyperlink ref="R168" r:id="rId103" location="page=33&amp;viewer=picture&amp;o=info&amp;n=0&amp;q=" display="https://permalinkbnd.bnportugal.gov.pt/viewer/272381/?offset= - page=33&amp;viewer=picture&amp;o=info&amp;n=0&amp;q=" xr:uid="{D15F4FEE-4222-4D1D-83DF-007B961FCA8D}"/>
    <hyperlink ref="R169" r:id="rId104" location="page=36&amp;viewer=picture&amp;o=info&amp;n=0&amp;q=" display="https://permalinkbnd.bnportugal.gov.pt/viewer/272381/?offset= - page=36&amp;viewer=picture&amp;o=info&amp;n=0&amp;q=" xr:uid="{7F0EFC94-620C-4940-9F9C-FB1788808E83}"/>
    <hyperlink ref="R170" r:id="rId105" location="page=37&amp;viewer=picture&amp;o=info&amp;n=0&amp;q=" display="https://permalinkbnd.bnportugal.gov.pt/viewer/272381/?offset= - page=37&amp;viewer=picture&amp;o=info&amp;n=0&amp;q=" xr:uid="{812F778C-695A-4D6A-9998-59C8BE9B0E79}"/>
    <hyperlink ref="R171" r:id="rId106" location="page=40&amp;viewer=picture&amp;o=info&amp;n=0&amp;q=" display="https://permalinkbnd.bnportugal.gov.pt/viewer/272381/?offset= - page=40&amp;viewer=picture&amp;o=info&amp;n=0&amp;q=" xr:uid="{8D4FDDB0-DC8C-47D3-9087-4C31A97AE545}"/>
    <hyperlink ref="R172" r:id="rId107" location="page=41&amp;viewer=picture&amp;o=info&amp;n=0&amp;q=" display="https://permalinkbnd.bnportugal.gov.pt/viewer/272381/?offset= - page=41&amp;viewer=picture&amp;o=info&amp;n=0&amp;q=" xr:uid="{C4FFEF2D-16EA-4067-A966-3B7398C88AFC}"/>
    <hyperlink ref="R173" r:id="rId108" location="page=10&amp;viewer=picture&amp;o=info&amp;n=0&amp;q=" display="https://permalinkbnd.bnportugal.gov.pt/viewer/280474/?offset= - page=10&amp;viewer=picture&amp;o=info&amp;n=0&amp;q=" xr:uid="{241E73EC-024A-45BD-ABB6-7FBEB3369420}"/>
    <hyperlink ref="R174" r:id="rId109" location="page=8&amp;viewer=picture&amp;o=info&amp;n=0&amp;q=" display="https://permalinkbnd.bnportugal.gov.pt/viewer/272359/?offset= - page=8&amp;viewer=picture&amp;o=info&amp;n=0&amp;q=" xr:uid="{9821BBD7-865A-4DC4-82F0-174A9F978F5B}"/>
    <hyperlink ref="R181" r:id="rId110" location="page=216&amp;viewer=picture&amp;o=info&amp;n=0&amp;q=" display="https://permalinkbnd.bnportugal.gov.pt/viewer/272367/?offset= - page=216&amp;viewer=picture&amp;o=info&amp;n=0&amp;q=" xr:uid="{C88341DD-D7DA-4074-B465-7A7E17467EDB}"/>
    <hyperlink ref="R182" r:id="rId111" location="page=10&amp;viewer=picture&amp;o=info&amp;n=0&amp;q=" display="https://permalinkbnd.bnportugal.gov.pt/viewer/272379/?offset= - page=10&amp;viewer=picture&amp;o=info&amp;n=0&amp;q=" xr:uid="{F25559BC-D0CF-4105-A576-7AE768A03BB0}"/>
    <hyperlink ref="R183" r:id="rId112" location="page=8&amp;viewer=picture&amp;o=info&amp;n=0&amp;q=" display="https://permalinkbnd.bnportugal.gov.pt/viewer/272383/?offset= - page=8&amp;viewer=picture&amp;o=info&amp;n=0&amp;q=" xr:uid="{09994B3D-9402-4359-A0A9-C51FE4859F2C}"/>
    <hyperlink ref="R185" r:id="rId113" location="page=5&amp;viewer=picture&amp;o=info&amp;n=0&amp;q=" display="https://permalinkbnd.bnportugal.gov.pt/viewer/272376/?offset= - page=5&amp;viewer=picture&amp;o=info&amp;n=0&amp;q=" xr:uid="{9D2DE365-AC72-4B73-AB50-66E6CCCB1E67}"/>
    <hyperlink ref="R186" r:id="rId114" location="page=2&amp;viewer=picture&amp;o=info&amp;n=0&amp;q=" display="https://permalinkbnd.bnportugal.gov.pt/viewer/272380/?offset= - page=2&amp;viewer=picture&amp;o=info&amp;n=0&amp;q=" xr:uid="{4BC14ADD-B878-4C0C-A11F-DD8648D6C65B}"/>
    <hyperlink ref="R187" r:id="rId115" location="page=5&amp;viewer=picture&amp;o=info&amp;n=0&amp;q=" display="https://permalinkbnd.bnportugal.gov.pt/viewer/272389/?offset= - page=5&amp;viewer=picture&amp;o=info&amp;n=0&amp;q=" xr:uid="{20C6D700-497A-4BB7-B47C-DADD7E67C7D9}"/>
    <hyperlink ref="R188" r:id="rId116" location="page=5&amp;viewer=picture&amp;o=info&amp;n=0&amp;q=" display="https://permalinkbnd.bnportugal.gov.pt/viewer/272392/?offset= - page=5&amp;viewer=picture&amp;o=info&amp;n=0&amp;q=" xr:uid="{F7F48ACA-6B29-4156-9572-8A8885A572B5}"/>
    <hyperlink ref="R190" r:id="rId117" location="page=7&amp;viewer=picture&amp;o=info&amp;n=0&amp;q=" display="https://permalinkbnd.bnportugal.gov.pt/viewer/270350/?offset= - page=7&amp;viewer=picture&amp;o=info&amp;n=0&amp;q=" xr:uid="{94FA6241-13D2-44E5-96EB-49D99E1358C2}"/>
    <hyperlink ref="R192" r:id="rId118" location="page=13&amp;viewer=picture&amp;o=info&amp;n=0&amp;q=" display="https://permalinkbnd.bnportugal.gov.pt/viewer/274038/?offset= - page=13&amp;viewer=picture&amp;o=info&amp;n=0&amp;q=" xr:uid="{45A8B206-E1E3-4550-9E3C-DC8F3632138A}"/>
    <hyperlink ref="R193" r:id="rId119" location="page=3&amp;viewer=picture&amp;o=info&amp;n=0&amp;q=" display="https://permalinkbnd.bnportugal.gov.pt/viewer/272399/?offset= - page=3&amp;viewer=picture&amp;o=info&amp;n=0&amp;q=" xr:uid="{FE3F5AF3-B6A1-4662-B312-601CDF6B4411}"/>
    <hyperlink ref="R194" r:id="rId120" location="page=8&amp;viewer=picture&amp;o=info&amp;n=0&amp;q=" display="https://permalinkbnd.bnportugal.gov.pt/viewer/274084/?offset= - page=8&amp;viewer=picture&amp;o=info&amp;n=0&amp;q=" xr:uid="{8F2EA250-81BC-456D-B1C2-3E4B3C6C758F}"/>
    <hyperlink ref="R195" r:id="rId121" location="page=8&amp;viewer=picture&amp;o=info&amp;n=0&amp;q=" display="https://permalinkbnd.bnportugal.gov.pt/viewer/272355/?offset= - page=8&amp;viewer=picture&amp;o=info&amp;n=0&amp;q=" xr:uid="{58DD5CF3-293E-4A03-B8F2-955601890D4D}"/>
    <hyperlink ref="R196" r:id="rId122" location="page=42&amp;viewer=picture&amp;o=info&amp;n=0&amp;q=" display="https://permalinkbnd.bnportugal.gov.pt/viewer/272355/?offset= - page=42&amp;viewer=picture&amp;o=info&amp;n=0&amp;q=" xr:uid="{89CE954D-A4FC-46B6-9429-192617961BA2}"/>
    <hyperlink ref="R197" r:id="rId123" location="page=10&amp;viewer=picture&amp;o=info&amp;n=0&amp;q=" display="https://permalinkbnd.bnportugal.gov.pt/viewer/270138/?offset= - page=10&amp;viewer=picture&amp;o=info&amp;n=0&amp;q=" xr:uid="{AE45640F-6CF9-4E6B-822C-11DA083A816E}"/>
    <hyperlink ref="R198" r:id="rId124" location="page=10&amp;viewer=picture&amp;o=info&amp;n=0&amp;q=" display="https://permalinkbnd.bnportugal.gov.pt/viewer/270138/?offset= - page=10&amp;viewer=picture&amp;o=info&amp;n=0&amp;q=" xr:uid="{0260DA24-60AF-48A6-AD85-E3FF9F86C04A}"/>
    <hyperlink ref="R199" r:id="rId125" location="page=43&amp;viewer=picture&amp;o=info&amp;n=0&amp;q=" display="https://permalinkbnd.bnportugal.gov.pt/viewer/270138/?offset= - page=43&amp;viewer=picture&amp;o=info&amp;n=0&amp;q=" xr:uid="{6D2B4552-471A-43EB-A9AA-E972662D4BBA}"/>
    <hyperlink ref="R200" r:id="rId126" location="page=174&amp;viewer=picture&amp;o=info&amp;n=0&amp;q=" display="https://permalinkbnd.bnportugal.gov.pt/viewer/270138/?offset= - page=174&amp;viewer=picture&amp;o=info&amp;n=0&amp;q=" xr:uid="{CC319862-C316-4FCE-97FB-24C7FA552E80}"/>
    <hyperlink ref="R201" r:id="rId127" location="page=388&amp;viewer=picture&amp;o=info&amp;n=0&amp;q=" display="https://permalinkbnd.bnportugal.gov.pt/viewer/270138/?offset= - page=388&amp;viewer=picture&amp;o=info&amp;n=0&amp;q=" xr:uid="{10ADDFDD-DC4B-4EB0-9284-9B5CCCF70BB0}"/>
    <hyperlink ref="R202" r:id="rId128" location="page=7&amp;viewer=picture&amp;o=info&amp;n=0&amp;q=" display="https://permalinkbnd.bnportugal.gov.pt/viewer/270047/?offset= - page=7&amp;viewer=picture&amp;o=info&amp;n=0&amp;q=" xr:uid="{F07F79AA-AF24-4B1C-86AC-72C5D820B38F}"/>
    <hyperlink ref="R203" r:id="rId129" location="page=8&amp;viewer=picture&amp;o=info&amp;n=0&amp;q=" display="https://permalinkbnd.bnportugal.gov.pt/viewer/274169/?offset= - page=8&amp;viewer=picture&amp;o=info&amp;n=0&amp;q=" xr:uid="{4FCD9C88-E9B7-4F8A-8792-198092ECB14E}"/>
    <hyperlink ref="R205" r:id="rId130" location="page=54&amp;viewer=picture&amp;o=info&amp;n=0&amp;q=" display="https://permalinkbnd.bnportugal.gov.pt/viewer/270089/?offset= - page=54&amp;viewer=picture&amp;o=info&amp;n=0&amp;q=" xr:uid="{B30078CE-9B18-42F5-84A2-EF3FC5074878}"/>
    <hyperlink ref="R206" r:id="rId131" location="page=1 vs. 9&amp;viewer=picture&amp;o=info&amp;n=0&amp;q=" display="https://permalinkbnd.bnportugal.gov.pt/viewer/281023/?offset= - page=1 vs. 9&amp;viewer=picture&amp;o=info&amp;n=0&amp;q=" xr:uid="{EEBEB208-CEF0-4C0E-A4C9-43C126F6862B}"/>
    <hyperlink ref="R207" r:id="rId132" location="page=17&amp;viewer=picture&amp;o=info&amp;n=0&amp;q=" display="https://permalinkbnd.bnportugal.gov.pt/viewer/274252/?offset= - page=17&amp;viewer=picture&amp;o=info&amp;n=0&amp;q=" xr:uid="{EC0C23D0-7269-4C59-B8F7-3A5B678EF73B}"/>
    <hyperlink ref="R208" r:id="rId133" location="page=26&amp;viewer=picture&amp;o=info&amp;n=0&amp;q=" display="https://permalinkbnd.bnportugal.gov.pt/viewer/274252/?offset= - page=26&amp;viewer=picture&amp;o=info&amp;n=0&amp;q=" xr:uid="{19615838-8BEB-440E-8F4E-4B17AF957F9F}"/>
    <hyperlink ref="R209" r:id="rId134" location="page=29&amp;viewer=picture&amp;o=info&amp;n=0&amp;q=" display="https://permalinkbnd.bnportugal.gov.pt/viewer/274252/?offset= - page=29&amp;viewer=picture&amp;o=info&amp;n=0&amp;q=" xr:uid="{34BD24D9-22D9-4ED0-A7C2-11A8C4EA1E51}"/>
    <hyperlink ref="R210" r:id="rId135" location="page=7&amp;viewer=picture&amp;o=info&amp;n=0&amp;q=" display="https://permalinkbnd.bnportugal.gov.pt/viewer/273233/?offset= - page=7&amp;viewer=picture&amp;o=info&amp;n=0&amp;q=" xr:uid="{A83B0AB2-3022-4A5C-87E5-D1E4CD2DEE8B}"/>
    <hyperlink ref="R211" r:id="rId136" location="page=12&amp;viewer=picture&amp;o=info&amp;n=0&amp;q=" display="https://permalinkbnd.bnportugal.gov.pt/viewer/270086/?offset= - page=12&amp;viewer=picture&amp;o=info&amp;n=0&amp;q=" xr:uid="{0414C6D0-7AC5-482C-972E-E705B64338F5}"/>
    <hyperlink ref="R212" r:id="rId137" location="page=7&amp;viewer=picture&amp;o=info&amp;n=0&amp;q=" display="https://permalinkbnd.bnportugal.gov.pt/viewer/270087/?offset= - page=7&amp;viewer=picture&amp;o=info&amp;n=0&amp;q=" xr:uid="{C0934002-614B-4756-B4C1-F008195B4B14}"/>
    <hyperlink ref="R213" r:id="rId138" location="page=17&amp;viewer=picture&amp;o=info&amp;n=0&amp;q=" display="https://permalinkbnd.bnportugal.gov.pt/viewer/270087/?offset= - page=17&amp;viewer=picture&amp;o=info&amp;n=0&amp;q=" xr:uid="{21C6B943-160F-421C-BB59-7B0379B09B58}"/>
    <hyperlink ref="R214" r:id="rId139" location="page=79&amp;viewer=picture&amp;o=info&amp;n=0&amp;q=" display="https://permalinkbnd.bnportugal.gov.pt/viewer/270087/?offset= - page=79&amp;viewer=picture&amp;o=info&amp;n=0&amp;q=" xr:uid="{E3605FE9-9A03-4C96-8A29-EE3392469E1E}"/>
    <hyperlink ref="R215" r:id="rId140" location="page=89&amp;viewer=picture&amp;o=info&amp;n=0&amp;q=" display="https://permalinkbnd.bnportugal.gov.pt/viewer/270087/?offset= - page=89&amp;viewer=picture&amp;o=info&amp;n=0&amp;q=" xr:uid="{B0781D77-A0ED-49BC-B1FA-1089428DBB69}"/>
    <hyperlink ref="R216" r:id="rId141" location="page=97&amp;viewer=picture&amp;o=info&amp;n=0&amp;q=" display="https://permalinkbnd.bnportugal.gov.pt/viewer/270087/?offset= - page=97&amp;viewer=picture&amp;o=info&amp;n=0&amp;q=" xr:uid="{28BD9E9E-6047-490A-BF1F-6523A7336FD2}"/>
    <hyperlink ref="R217" r:id="rId142" location="page=104&amp;viewer=picture&amp;o=info&amp;n=0&amp;q=" display="https://permalinkbnd.bnportugal.gov.pt/viewer/270087/?offset= - page=104&amp;viewer=picture&amp;o=info&amp;n=0&amp;q=" xr:uid="{3B1E433D-BF58-4F16-A1CD-C28083CD0799}"/>
    <hyperlink ref="R218" r:id="rId143" location="page=105&amp;viewer=picture&amp;o=info&amp;n=0&amp;q=" display="https://permalinkbnd.bnportugal.gov.pt/viewer/270087/?offset= - page=105&amp;viewer=picture&amp;o=info&amp;n=0&amp;q=" xr:uid="{91A17853-2348-4F3A-A65D-63DDDDA586CE}"/>
    <hyperlink ref="R219" r:id="rId144" location="page=10&amp;viewer=picture&amp;o=info&amp;n=0&amp;q=" display="https://permalinkbnd.bnportugal.gov.pt/viewer/273350/?offset= - page=10&amp;viewer=picture&amp;o=info&amp;n=0&amp;q=" xr:uid="{983B4D6D-E3E2-4F1A-9FA3-AFCE458E3890}"/>
    <hyperlink ref="R221" r:id="rId145" location="page=11&amp;viewer=picture&amp;o=info&amp;n=0&amp;q=" display="https://permalinkbnd.bnportugal.gov.pt/viewer/273316/?offset= - page=11&amp;viewer=picture&amp;o=info&amp;n=0&amp;q=" xr:uid="{EB38560E-B223-4AF5-95C0-54AEA34388AC}"/>
    <hyperlink ref="R222" r:id="rId146" location="page=1&amp;viewer=picture&amp;o=info&amp;n=0&amp;q=" display="https://permalinkbnd.bnportugal.gov.pt/viewer/273346/?offset= - page=1&amp;viewer=picture&amp;o=info&amp;n=0&amp;q=" xr:uid="{68AB8E24-8599-4842-983E-30AF00EC46FB}"/>
    <hyperlink ref="R223" r:id="rId147" location="page=5&amp;viewer=picture&amp;o=info&amp;n=0&amp;q=" display="https://permalinkbnd.bnportugal.gov.pt/viewer/273346/?offset= - page=5&amp;viewer=picture&amp;o=info&amp;n=0&amp;q=" xr:uid="{D8676C12-5A80-426F-8F3C-DC62C442BBFC}"/>
    <hyperlink ref="R224" r:id="rId148" location="page=7&amp;viewer=picture&amp;o=info&amp;n=0&amp;q=" display="https://permalinkbnd.bnportugal.gov.pt/viewer/274342/?offset= - page=7&amp;viewer=picture&amp;o=info&amp;n=0&amp;q=" xr:uid="{A064CD54-9330-4F26-B0F9-0BDAC2CD6DC5}"/>
    <hyperlink ref="R225" r:id="rId149" location="page=3&amp;viewer=picture&amp;o=info&amp;n=0&amp;q=" display="https://permalinkbnd.bnportugal.gov.pt/viewer/273439/?offset= - page=3&amp;viewer=picture&amp;o=info&amp;n=0&amp;q=" xr:uid="{8BB2F09A-951E-4E52-B3FC-0BF3E41626ED}"/>
    <hyperlink ref="R226" r:id="rId150" location="page=5&amp;viewer=picture&amp;o=info&amp;n=0&amp;q=" display="https://permalinkbnd.bnportugal.gov.pt/viewer/273527/?offset= - page=5&amp;viewer=picture&amp;o=info&amp;n=0&amp;q=" xr:uid="{45D4AB2C-D961-451B-9B2F-917DC4316D8E}"/>
    <hyperlink ref="R227" r:id="rId151" location="page=11&amp;viewer=picture&amp;o=info&amp;n=0&amp;q=" display="https://permalinkbnd.bnportugal.gov.pt/viewer/273731/?offset= - page=11&amp;viewer=picture&amp;o=info&amp;n=0&amp;q=" xr:uid="{3DBE71C1-1D6F-412F-B35D-F2F66B668E47}"/>
    <hyperlink ref="R228" r:id="rId152" location="page=3&amp;viewer=picture&amp;o=info&amp;n=0&amp;q=" display="https://permalinkbnd.bnportugal.gov.pt/viewer/272628/?offset= - page=3&amp;viewer=picture&amp;o=info&amp;n=0&amp;q=" xr:uid="{517561C8-28F9-436F-9738-1C965E517012}"/>
    <hyperlink ref="R229" r:id="rId153" location="page=1&amp;viewer=picture&amp;o=info&amp;n=0&amp;q=" display="https://permalinkbnd.bnportugal.gov.pt/viewer/281130/?offset= - page=1&amp;viewer=picture&amp;o=info&amp;n=0&amp;q=" xr:uid="{ED0D4B35-D8D3-40CE-8355-BE9BF4121B8D}"/>
    <hyperlink ref="R230" r:id="rId154" location="page=&amp;viewer=picture&amp;o=info&amp;n=0&amp;q=" display="https://permalinkbnd.bnportugal.gov.pt/viewer/273183/?offset= - page=&amp;viewer=picture&amp;o=info&amp;n=0&amp;q=" xr:uid="{09425986-351E-4A16-AA3C-EA5628104EB7}"/>
    <hyperlink ref="R231" r:id="rId155" location="page=1&amp;viewer=picture&amp;o=info&amp;n=0&amp;q=" display="https://permalinkbnd.bnportugal.gov.pt/viewer/272728/?offset= - page=1&amp;viewer=picture&amp;o=info&amp;n=0&amp;q=" xr:uid="{D09A3B46-D281-4EA6-B7F7-59FE74DF4F4D}"/>
    <hyperlink ref="R232" r:id="rId156" location="page=1&amp;viewer=picture&amp;o=info&amp;n=0&amp;q=" display="https://permalinkbnd.bnportugal.gov.pt/viewer/272733/?offset= - page=1&amp;viewer=picture&amp;o=info&amp;n=0&amp;q=" xr:uid="{D7C147DA-7F7A-4CF4-8348-05F3EC2A6160}"/>
    <hyperlink ref="R233" r:id="rId157" location="page=1&amp;viewer=picture&amp;o=info&amp;n=0&amp;q=" display="https://permalinkbnd.bnportugal.gov.pt/viewer/33718/?offset= - page=1&amp;viewer=picture&amp;o=info&amp;n=0&amp;q=" xr:uid="{11B6F73E-0192-4A4E-8818-256DA84FC1F1}"/>
    <hyperlink ref="R234" r:id="rId158" location="page=1&amp;viewer=picture&amp;o=info&amp;n=0&amp;q=" display="https://permalinkbnd.bnportugal.gov.pt/viewer/33721/?offset= - page=1&amp;viewer=picture&amp;o=info&amp;n=0&amp;q=" xr:uid="{362A440A-2B3C-4E20-A6AC-BD6B60D0C1A1}"/>
    <hyperlink ref="R235" r:id="rId159" location="page=1&amp;viewer=picture&amp;o=info&amp;n=0&amp;q=" display="https://permalinkbnd.bnportugal.gov.pt/viewer/36775/?offset= - page=1&amp;viewer=picture&amp;o=info&amp;n=0&amp;q=" xr:uid="{D2524698-A880-4A62-9DBC-F8EDE409BA40}"/>
    <hyperlink ref="R236" r:id="rId160" location="page=3&amp;viewer=picture&amp;o=info&amp;n=0&amp;q=" display="https://permalinkbnd.bnportugal.gov.pt/viewer/274123/?offset= - page=3&amp;viewer=picture&amp;o=info&amp;n=0&amp;q=" xr:uid="{49D21D8F-85B3-41AD-81DD-42847E9643EA}"/>
    <hyperlink ref="R237" r:id="rId161" location="page=1&amp;viewer=picture&amp;o=info&amp;n=0&amp;q=" display="https://permalinkbnd.bnportugal.gov.pt/viewer/272738/?offset= - page=1&amp;viewer=picture&amp;o=info&amp;n=0&amp;q=" xr:uid="{2CD3F13C-5B6C-49EA-8672-0D54E792FB56}"/>
    <hyperlink ref="R238" r:id="rId162" location="page=126&amp;viewer=picture&amp;o=info&amp;n=0&amp;q=" display="https://permalinkbnd.bnportugal.gov.pt/viewer/274092/?offset= - page=126&amp;viewer=picture&amp;o=info&amp;n=0&amp;q=" xr:uid="{842D5585-9604-43AF-A75C-3195AF8B8A27}"/>
    <hyperlink ref="R239" r:id="rId163" location="page=217&amp;viewer=picture&amp;o=info&amp;n=0&amp;q=" display="https://permalinkbnd.bnportugal.gov.pt/viewer/274092/?offset= - page=217&amp;viewer=picture&amp;o=info&amp;n=0&amp;q=" xr:uid="{266F92FE-96F6-41DC-9E86-653524448A50}"/>
    <hyperlink ref="R240" r:id="rId164" location="page=9&amp;viewer=picture&amp;o=info&amp;n=0&amp;q=" display="https://permalinkbnd.bnportugal.gov.pt/viewer/272390/?offset= - page=9&amp;viewer=picture&amp;o=info&amp;n=0&amp;q=" xr:uid="{7751D5F6-E8E9-46D6-A340-72AAC46FD936}"/>
    <hyperlink ref="R241" r:id="rId165" location="page=1&amp;viewer=picture&amp;o=info&amp;n=0&amp;q=" display="https://permalinkbnd.bnportugal.gov.pt/viewer/280467/?offset= - page=1&amp;viewer=picture&amp;o=info&amp;n=0&amp;q=" xr:uid="{5D884DA2-0488-4329-B970-81D0F7145B0F}"/>
    <hyperlink ref="R242" r:id="rId166" location="page=13&amp;viewer=picture&amp;o=info&amp;n=0&amp;q=" display="https://permalinkbnd.bnportugal.gov.pt/viewer/280467/?offset= - page=13&amp;viewer=picture&amp;o=info&amp;n=0&amp;q=" xr:uid="{1030780B-21F4-4AF3-BFDD-AB9D75E787DC}"/>
    <hyperlink ref="R243" r:id="rId167" location="page=35&amp;viewer=picture&amp;o=info&amp;n=0&amp;q=" display="https://permalinkbnd.bnportugal.gov.pt/viewer/280467/?offset= - page=35&amp;viewer=picture&amp;o=info&amp;n=0&amp;q=" xr:uid="{1D12D04D-8AD7-4A11-8040-A825560FF198}"/>
    <hyperlink ref="R244" r:id="rId168" location="page=1&amp;viewer=picture&amp;o=info&amp;n=0&amp;q=" display="https://permalinkbnd.bnportugal.gov.pt/viewer/36160/?offset= - page=1&amp;viewer=picture&amp;o=info&amp;n=0&amp;q=" xr:uid="{C9DE9D53-D226-4764-9503-96A9846BD0D1}"/>
    <hyperlink ref="R245" r:id="rId169" location="page=1&amp;viewer=picture&amp;o=info&amp;n=0&amp;q=" display="https://permalinkbnd.bnportugal.gov.pt/viewer/272788/?offset= - page=1&amp;viewer=picture&amp;o=info&amp;n=0&amp;q=" xr:uid="{6BD16E64-3796-4E78-8236-B8587FE3DC95}"/>
    <hyperlink ref="R246" r:id="rId170" location="page=1&amp;viewer=picture&amp;o=info&amp;n=0&amp;q=" display="https://permalinkbnd.bnportugal.gov.pt/viewer/88185/?offset= - page=1&amp;viewer=picture&amp;o=info&amp;n=0&amp;q=" xr:uid="{A3D725C4-DD04-4DAE-9ABE-FFEBB06062D9}"/>
    <hyperlink ref="R247" r:id="rId171" location="page=1&amp;viewer=picture&amp;o=info&amp;n=0&amp;q=" display="https://permalinkbnd.bnportugal.gov.pt/viewer/272785/?offset= - page=1&amp;viewer=picture&amp;o=info&amp;n=0&amp;q=" xr:uid="{92303B72-3452-49A5-A81C-55E715550424}"/>
    <hyperlink ref="R248" r:id="rId172" location="page=1&amp;viewer=picture&amp;o=info&amp;n=0&amp;q=" display="https://permalinkbnd.bnportugal.gov.pt/viewer/38463/?offset= - page=1&amp;viewer=picture&amp;o=info&amp;n=0&amp;q=" xr:uid="{898F030A-EDDE-40FC-A8CF-06EBF12ACE89}"/>
    <hyperlink ref="R249" r:id="rId173" location="page=1&amp;viewer=picture&amp;o=info&amp;n=0&amp;q=" display="https://permalinkbnd.bnportugal.gov.pt/viewer/38591/?offset= - page=1&amp;viewer=picture&amp;o=info&amp;n=0&amp;q=" xr:uid="{6361DFE0-4F46-44FC-A94B-9D233748D099}"/>
    <hyperlink ref="R250" r:id="rId174" location="page=1&amp;viewer=picture&amp;o=info&amp;n=0&amp;q=" display="https://permalinkbnd.bnportugal.gov.pt/viewer/1843/?offset= - page=1&amp;viewer=picture&amp;o=info&amp;n=0&amp;q=" xr:uid="{FF472020-C43A-4704-B05F-89029CD33981}"/>
    <hyperlink ref="R251" r:id="rId175" location="page=1&amp;viewer=picture&amp;o=info&amp;n=0&amp;q=" display="https://permalinkbnd.bnportugal.gov.pt/viewer/37955/?offset= - page=1&amp;viewer=picture&amp;o=info&amp;n=0&amp;q=" xr:uid="{002E9765-E7CE-4F15-AAD0-543130BC8C33}"/>
    <hyperlink ref="R252" r:id="rId176" location="page=1&amp;viewer=picture&amp;o=info&amp;n=0&amp;q=" display="https://permalinkbnd.bnportugal.gov.pt/viewer/38270/?offset= - page=1&amp;viewer=picture&amp;o=info&amp;n=0&amp;q=" xr:uid="{04E59EA0-4E4C-4F15-8718-B42C2198255E}"/>
    <hyperlink ref="R253" r:id="rId177" location="page=1&amp;viewer=picture&amp;o=info&amp;n=0&amp;q=" display="https://permalinkbnd.bnportugal.gov.pt/viewer/39315/?offset= - page=1&amp;viewer=picture&amp;o=info&amp;n=0&amp;q=" xr:uid="{DBB2B803-B1F6-4D9C-8023-EEDF21161611}"/>
    <hyperlink ref="R254" r:id="rId178" location="page=1&amp;viewer=picture&amp;o=info&amp;n=0&amp;q=" display="https://permalinkbnd.bnportugal.gov.pt/viewer/272735/?offset= - page=1&amp;viewer=picture&amp;o=info&amp;n=0&amp;q=" xr:uid="{E235133D-211C-4C00-AD41-8A8872E7627C}"/>
    <hyperlink ref="R255" r:id="rId179" location="page=1&amp;viewer=picture&amp;o=info&amp;n=0&amp;q=" display="https://permalinkbnd.bnportugal.gov.pt/viewer/272737/?offset= - page=1&amp;viewer=picture&amp;o=info&amp;n=0&amp;q=" xr:uid="{ABEDD371-D7F5-4A02-A16E-E6A063A2C894}"/>
    <hyperlink ref="R256" r:id="rId180" location="page=1&amp;viewer=picture&amp;o=info&amp;n=0&amp;q=" display="https://permalinkbnd.bnportugal.gov.pt/viewer/272727/?offset= - page=1&amp;viewer=picture&amp;o=info&amp;n=0&amp;q=" xr:uid="{806AA604-1110-499C-85E2-6ECDF15CC5F9}"/>
    <hyperlink ref="R257" r:id="rId181" location="page=1&amp;viewer=picture&amp;o=info&amp;n=0&amp;q=" display="https://permalinkbnd.bnportugal.gov.pt/viewer/272736/?offset= - page=1&amp;viewer=picture&amp;o=info&amp;n=0&amp;q=" xr:uid="{97564908-EFB2-4A85-A777-5A66B5E204EA}"/>
    <hyperlink ref="R258" r:id="rId182" location="page=1&amp;viewer=picture&amp;o=info&amp;n=0&amp;q=" display="https://permalinkbnd.bnportugal.gov.pt/viewer/16732/?offset= - page=1&amp;viewer=picture&amp;o=info&amp;n=0&amp;q=" xr:uid="{942F6A3A-6477-4451-937F-3D06352B6F53}"/>
    <hyperlink ref="R259" r:id="rId183" location="page=3&amp;viewer=picture&amp;o=info&amp;n=0&amp;q=" display="https://permalinkbnd.bnportugal.gov.pt/viewer/16732/?offset= - page=3&amp;viewer=picture&amp;o=info&amp;n=0&amp;q=" xr:uid="{8C1CE8A8-87E0-4E2F-8CB8-A1464ABE4716}"/>
    <hyperlink ref="R260" r:id="rId184" location="page=1&amp;viewer=picture&amp;o=info&amp;n=0&amp;q=" display="https://permalinkbnd.bnportugal.gov.pt/viewer/268841/?offset= - page=1&amp;viewer=picture&amp;o=info&amp;n=0&amp;q=" xr:uid="{B9C8C600-F5FC-431B-8AB8-BBEFD81F5365}"/>
    <hyperlink ref="R261" r:id="rId185" location="page=1&amp;viewer=picture&amp;o=info&amp;n=0&amp;q=" display="https://permalinkbnd.bnportugal.gov.pt/viewer/33216/?offset= - page=1&amp;viewer=picture&amp;o=info&amp;n=0&amp;q=" xr:uid="{A3471986-168E-42D8-8CB8-5E6CB758E469}"/>
    <hyperlink ref="R262" r:id="rId186" location="page=1&amp;viewer=picture&amp;o=info&amp;n=0&amp;q=" display="https://permalinkbnd.bnportugal.gov.pt/viewer/272731/?offset= - page=1&amp;viewer=picture&amp;o=info&amp;n=0&amp;q=" xr:uid="{823F8C30-8620-4940-978B-82C65813B358}"/>
    <hyperlink ref="R263" r:id="rId187" location="page=1&amp;viewer=picture&amp;o=info&amp;n=0&amp;q=" display="https://permalinkbnd.bnportugal.gov.pt/viewer/272732/?offset= - page=1&amp;viewer=picture&amp;o=info&amp;n=0&amp;q=" xr:uid="{2FD62E37-B524-4456-BAF3-FEDBECB8065B}"/>
    <hyperlink ref="R264" r:id="rId188" location="page=1&amp;viewer=picture&amp;o=info&amp;n=0&amp;q=" display="https://permalinkbnd.bnportugal.gov.pt/viewer/272729/?offset= - page=1&amp;viewer=picture&amp;o=info&amp;n=0&amp;q=" xr:uid="{EC1B0AE6-E47D-4C91-A131-E9482FA9069D}"/>
    <hyperlink ref="R265" r:id="rId189" location="page=1&amp;viewer=picture&amp;o=info&amp;n=0&amp;q=" display="https://permalinkbnd.bnportugal.gov.pt/viewer/272786/?offset= - page=1&amp;viewer=picture&amp;o=info&amp;n=0&amp;q=" xr:uid="{FBE6F1A7-5373-45D5-8E8C-88AB7ABD9B0D}"/>
    <hyperlink ref="R266" r:id="rId190" location="page=8&amp;viewer=picture&amp;o=info&amp;n=0&amp;q=" display="https://permalinkbnd.bnportugal.gov.pt/viewer/272786/?offset= - page=8&amp;viewer=picture&amp;o=info&amp;n=0&amp;q=" xr:uid="{02748669-8074-4526-ABD6-626387DCDB23}"/>
    <hyperlink ref="R267" r:id="rId191" location="page=10&amp;viewer=picture&amp;o=info&amp;n=0&amp;q=" display="https://permalinkbnd.bnportugal.gov.pt/viewer/272786/?offset= - page=10&amp;viewer=picture&amp;o=info&amp;n=0&amp;q=" xr:uid="{F93AFF74-2371-4B7A-B437-3F0ED7558B8B}"/>
    <hyperlink ref="R268" r:id="rId192" location="page=12&amp;viewer=picture&amp;o=info&amp;n=0&amp;q=" display="https://permalinkbnd.bnportugal.gov.pt/viewer/272786/?offset= - page=12&amp;viewer=picture&amp;o=info&amp;n=0&amp;q=" xr:uid="{8D55F7A1-B7F3-4F65-9E09-43C1AA9BB3C9}"/>
    <hyperlink ref="R269" r:id="rId193" location="page=52&amp;viewer=picture&amp;o=info&amp;n=0&amp;q=" display="https://permalinkbnd.bnportugal.gov.pt/viewer/272786/?offset= - page=52&amp;viewer=picture&amp;o=info&amp;n=0&amp;q=" xr:uid="{48C736CC-CB04-4845-8E94-5A8BEA806F6F}"/>
    <hyperlink ref="R270" r:id="rId194" location="page=53&amp;viewer=picture&amp;o=info&amp;n=0&amp;q=" display="https://permalinkbnd.bnportugal.gov.pt/viewer/272786/?offset= - page=53&amp;viewer=picture&amp;o=info&amp;n=0&amp;q=" xr:uid="{E036599D-020A-45CA-9DF0-442FDDB802C2}"/>
    <hyperlink ref="R271" r:id="rId195" location="page=86&amp;viewer=picture&amp;o=info&amp;n=0&amp;q=" display="https://permalinkbnd.bnportugal.gov.pt/viewer/272786/?offset= - page=86&amp;viewer=picture&amp;o=info&amp;n=0&amp;q=" xr:uid="{CD1E909B-30BE-48CD-8B40-8C8EB16DA729}"/>
    <hyperlink ref="R272" r:id="rId196" location="page=87&amp;viewer=picture&amp;o=info&amp;n=0&amp;q=" display="https://permalinkbnd.bnportugal.gov.pt/viewer/272786/?offset= - page=87&amp;viewer=picture&amp;o=info&amp;n=0&amp;q=" xr:uid="{11E80612-C924-4CB7-9617-6C57FCB62B50}"/>
    <hyperlink ref="R273" r:id="rId197" location="page=88&amp;viewer=picture&amp;o=info&amp;n=0&amp;q=" display="https://permalinkbnd.bnportugal.gov.pt/viewer/272786/?offset= - page=88&amp;viewer=picture&amp;o=info&amp;n=0&amp;q=" xr:uid="{C0D2DE2F-EC94-49EF-95CB-3145012E4342}"/>
    <hyperlink ref="R274" r:id="rId198" location="page=166&amp;viewer=picture&amp;o=info&amp;n=0&amp;q=" display="https://permalinkbnd.bnportugal.gov.pt/viewer/272786/?offset= - page=166&amp;viewer=picture&amp;o=info&amp;n=0&amp;q=" xr:uid="{2BC23F6D-0C4E-4319-99F0-BEE814D6A67C}"/>
    <hyperlink ref="R275" r:id="rId199" location="page=167&amp;viewer=picture&amp;o=info&amp;n=0&amp;q=" display="https://permalinkbnd.bnportugal.gov.pt/viewer/272786/?offset= - page=167&amp;viewer=picture&amp;o=info&amp;n=0&amp;q=" xr:uid="{5DEC40B5-09F4-4AD2-8C1D-21E668B2FB2F}"/>
    <hyperlink ref="R276" r:id="rId200" location="page=168&amp;viewer=picture&amp;o=info&amp;n=0&amp;q=" display="https://permalinkbnd.bnportugal.gov.pt/viewer/272786/?offset= - page=168&amp;viewer=picture&amp;o=info&amp;n=0&amp;q=" xr:uid="{949D9274-2C38-4B1E-9CCB-542D4AE17343}"/>
    <hyperlink ref="R277" r:id="rId201" location="page=241&amp;viewer=picture&amp;o=info&amp;n=0&amp;q=" display="https://permalinkbnd.bnportugal.gov.pt/viewer/272786/?offset= - page=241&amp;viewer=picture&amp;o=info&amp;n=0&amp;q=" xr:uid="{3292CC23-8F5C-47A3-9C49-8AEF08272718}"/>
    <hyperlink ref="R278" r:id="rId202" location="page=329&amp;viewer=picture&amp;o=info&amp;n=0&amp;q=" display="https://permalinkbnd.bnportugal.gov.pt/viewer/272786/?offset= - page=329&amp;viewer=picture&amp;o=info&amp;n=0&amp;q=" xr:uid="{A5C0F96F-B1B1-44BE-A09A-5930E7DEC18A}"/>
    <hyperlink ref="R279" r:id="rId203" location="page=330&amp;viewer=picture&amp;o=info&amp;n=0&amp;q=" display="https://permalinkbnd.bnportugal.gov.pt/viewer/272786/?offset= - page=330&amp;viewer=picture&amp;o=info&amp;n=0&amp;q=" xr:uid="{95C5A7C3-7C5D-4228-A1D4-BAC0690F19E2}"/>
    <hyperlink ref="R280" r:id="rId204" location="page=389&amp;viewer=picture&amp;o=info&amp;n=0&amp;q=" display="https://permalinkbnd.bnportugal.gov.pt/viewer/272786/?offset= - page=389&amp;viewer=picture&amp;o=info&amp;n=0&amp;q=" xr:uid="{B8EFC312-836C-49E7-BFC5-B2A68DF6BD17}"/>
    <hyperlink ref="R281" r:id="rId205" location="page=390&amp;viewer=picture&amp;o=info&amp;n=0&amp;q=" display="https://permalinkbnd.bnportugal.gov.pt/viewer/272786/?offset= - page=390&amp;viewer=picture&amp;o=info&amp;n=0&amp;q=" xr:uid="{FA5F042B-D335-4EE0-9486-FC0BF1810CA0}"/>
    <hyperlink ref="R282" r:id="rId206" location="page=449&amp;viewer=picture&amp;o=info&amp;n=0&amp;q=" display="https://permalinkbnd.bnportugal.gov.pt/viewer/272786/?offset= - page=449&amp;viewer=picture&amp;o=info&amp;n=0&amp;q=" xr:uid="{8A849B10-6C2A-44B7-8988-A6C18AAFB185}"/>
    <hyperlink ref="R283" r:id="rId207" location="page=450&amp;viewer=picture&amp;o=info&amp;n=0&amp;q=" display="https://permalinkbnd.bnportugal.gov.pt/viewer/272786/?offset= - page=450&amp;viewer=picture&amp;o=info&amp;n=0&amp;q=" xr:uid="{E268A06D-F9B8-4E7D-9761-50FB8FB60887}"/>
    <hyperlink ref="R284" r:id="rId208" location="page=505&amp;viewer=picture&amp;o=info&amp;n=0&amp;q=" display="https://permalinkbnd.bnportugal.gov.pt/viewer/272786/?offset= - page=505&amp;viewer=picture&amp;o=info&amp;n=0&amp;q=" xr:uid="{573288F1-7CF4-42D9-86FA-AD7B86A7F055}"/>
    <hyperlink ref="R285" r:id="rId209" location="page=506&amp;viewer=picture&amp;o=info&amp;n=0&amp;q=" display="https://permalinkbnd.bnportugal.gov.pt/viewer/272786/?offset= - page=506&amp;viewer=picture&amp;o=info&amp;n=0&amp;q=" xr:uid="{08947C0C-598B-4B2E-81C4-49873CEC990D}"/>
    <hyperlink ref="R286" r:id="rId210" location="page=559&amp;viewer=picture&amp;o=info&amp;n=0&amp;q=" display="https://permalinkbnd.bnportugal.gov.pt/viewer/272786/?offset= - page=559&amp;viewer=picture&amp;o=info&amp;n=0&amp;q=" xr:uid="{3CD701CC-196D-47EB-A0AA-7CF9E6E7F87E}"/>
    <hyperlink ref="R287" r:id="rId211" location="page=560&amp;viewer=picture&amp;o=info&amp;n=0&amp;q=" display="https://permalinkbnd.bnportugal.gov.pt/viewer/272786/?offset= - page=560&amp;viewer=picture&amp;o=info&amp;n=0&amp;q=" xr:uid="{ECFA09E1-EB5B-4A0C-881F-0AB9491C0CF0}"/>
    <hyperlink ref="R288" r:id="rId212" location="page=615&amp;viewer=picture&amp;o=info&amp;n=0&amp;q=" display="https://permalinkbnd.bnportugal.gov.pt/viewer/272786/?offset= - page=615&amp;viewer=picture&amp;o=info&amp;n=0&amp;q=" xr:uid="{D1E531EA-1425-4C03-A5E9-329C686F95F4}"/>
    <hyperlink ref="R289" r:id="rId213" location="page=616&amp;viewer=picture&amp;o=info&amp;n=0&amp;q=" display="https://permalinkbnd.bnportugal.gov.pt/viewer/272786/?offset= - page=616&amp;viewer=picture&amp;o=info&amp;n=0&amp;q=" xr:uid="{635C6899-526E-467D-9A36-0B0E4CC78515}"/>
    <hyperlink ref="R290" r:id="rId214" location="page=670&amp;viewer=picture&amp;o=info&amp;n=0&amp;q=" display="https://permalinkbnd.bnportugal.gov.pt/viewer/272786/?offset= - page=670&amp;viewer=picture&amp;o=info&amp;n=0&amp;q=" xr:uid="{7C7DF35A-38D3-4A2B-93C3-2F44189C96A2}"/>
    <hyperlink ref="R291" r:id="rId215" location="page=671&amp;viewer=picture&amp;o=info&amp;n=0&amp;q=" display="https://permalinkbnd.bnportugal.gov.pt/viewer/272786/?offset= - page=671&amp;viewer=picture&amp;o=info&amp;n=0&amp;q=" xr:uid="{D3408DDA-E85B-4E08-B514-C7F5D5096143}"/>
    <hyperlink ref="R292" r:id="rId216" location="page=672&amp;viewer=picture&amp;o=info&amp;n=0&amp;q=" display="https://permalinkbnd.bnportugal.gov.pt/viewer/272786/?offset= - page=672&amp;viewer=picture&amp;o=info&amp;n=0&amp;q=" xr:uid="{41ED95F3-8819-430F-A7A1-433A39477821}"/>
    <hyperlink ref="R293" r:id="rId217" location="page=792&amp;viewer=picture&amp;o=info&amp;n=0&amp;q=" display="https://permalinkbnd.bnportugal.gov.pt/viewer/272786/?offset= - page=792&amp;viewer=picture&amp;o=info&amp;n=0&amp;q=" xr:uid="{82DB86C5-B330-4328-B11B-FD56005E8CB0}"/>
    <hyperlink ref="R294" r:id="rId218" location="page=793&amp;viewer=picture&amp;o=info&amp;n=0&amp;q=" display="https://permalinkbnd.bnportugal.gov.pt/viewer/272786/?offset= - page=793&amp;viewer=picture&amp;o=info&amp;n=0&amp;q=" xr:uid="{92CFE083-CFE7-4D69-9403-EF8EE9C01152}"/>
    <hyperlink ref="R295" r:id="rId219" location="page=794&amp;viewer=picture&amp;o=info&amp;n=0&amp;q=" display="https://permalinkbnd.bnportugal.gov.pt/viewer/272786/?offset= - page=794&amp;viewer=picture&amp;o=info&amp;n=0&amp;q=" xr:uid="{CE0A4F38-B91A-42D3-A4BA-71EF7EAE4BA5}"/>
    <hyperlink ref="R296" r:id="rId220" location="page=795&amp;viewer=picture&amp;o=info&amp;n=0&amp;q=" display="https://permalinkbnd.bnportugal.gov.pt/viewer/272786/?offset= - page=795&amp;viewer=picture&amp;o=info&amp;n=0&amp;q=" xr:uid="{7CB068B7-19B1-4212-83D6-9F78FA4F5F35}"/>
    <hyperlink ref="R297" r:id="rId221" location="page=796&amp;viewer=picture&amp;o=info&amp;n=0&amp;q=" display="https://permalinkbnd.bnportugal.gov.pt/viewer/272786/?offset= - page=796&amp;viewer=picture&amp;o=info&amp;n=0&amp;q=" xr:uid="{8DD2F14D-FA0B-43D0-9600-BFFCEED385CD}"/>
    <hyperlink ref="R298" r:id="rId222" location="page=797&amp;viewer=picture&amp;o=info&amp;n=0&amp;q=" display="https://permalinkbnd.bnportugal.gov.pt/viewer/272786/?offset= - page=797&amp;viewer=picture&amp;o=info&amp;n=0&amp;q=" xr:uid="{A5B2FC5E-64EA-42E0-B1D4-E059FF9D62F7}"/>
    <hyperlink ref="R299" r:id="rId223" location="page=798&amp;viewer=picture&amp;o=info&amp;n=0&amp;q=" display="https://permalinkbnd.bnportugal.gov.pt/viewer/272786/?offset= - page=798&amp;viewer=picture&amp;o=info&amp;n=0&amp;q=" xr:uid="{894B0AEF-49D1-4415-9808-5F6E34F0B766}"/>
    <hyperlink ref="R300" r:id="rId224" location="page=799&amp;viewer=picture&amp;o=info&amp;n=0&amp;q=" display="https://permalinkbnd.bnportugal.gov.pt/viewer/272786/?offset= - page=799&amp;viewer=picture&amp;o=info&amp;n=0&amp;q=" xr:uid="{486D015F-3C07-45EC-8329-C3AF4DD122BB}"/>
    <hyperlink ref="R301" r:id="rId225" location="page=800&amp;viewer=picture&amp;o=info&amp;n=0&amp;q=" display="https://permalinkbnd.bnportugal.gov.pt/viewer/272786/?offset= - page=800&amp;viewer=picture&amp;o=info&amp;n=0&amp;q=" xr:uid="{F6FB8606-4B43-41C9-A792-D0386922BD01}"/>
    <hyperlink ref="R302" r:id="rId226" location="page=804&amp;viewer=picture&amp;o=info&amp;n=0&amp;q=" display="https://permalinkbnd.bnportugal.gov.pt/viewer/272786/?offset= - page=804&amp;viewer=picture&amp;o=info&amp;n=0&amp;q=" xr:uid="{6B6DC35C-6392-4F5E-9329-295668E50FF2}"/>
    <hyperlink ref="R303" r:id="rId227" location="page=1&amp;viewer=picture&amp;o=info&amp;n=0&amp;q=" display="https://permalinkbnd.bnportugal.gov.pt/viewer/272730/?offset= - page=1&amp;viewer=picture&amp;o=info&amp;n=0&amp;q=" xr:uid="{C3800D28-D197-4146-8124-CF574BDAC7AB}"/>
    <hyperlink ref="R304" r:id="rId228" location="page=3&amp;viewer=picture&amp;o=info&amp;n=0&amp;q=" display="https://permalinkbnd.bnportugal.gov.pt/viewer/67153/?offset= - page=3&amp;viewer=picture&amp;o=info&amp;n=0&amp;q=" xr:uid="{4EA9BAC1-5A0B-4CA5-A859-5F9A70655A01}"/>
    <hyperlink ref="R305" r:id="rId229" location="page=1&amp;viewer=picture&amp;o=info&amp;n=0&amp;q=" display="https://permalinkbnd.bnportugal.gov.pt/viewer/272792/?offset= - page=1&amp;viewer=picture&amp;o=info&amp;n=0&amp;q=" xr:uid="{3B24A2C6-67C8-4677-A2EA-78E1262C1CCA}"/>
    <hyperlink ref="R306" r:id="rId230" location="page=1&amp;viewer=picture&amp;o=info&amp;n=0&amp;q=" display="https://permalinkbnd.bnportugal.gov.pt/viewer/272811/?offset= - page=1&amp;viewer=picture&amp;o=info&amp;n=0&amp;q=" xr:uid="{FC28673D-95FB-48DF-985E-6E94D4ABD55D}"/>
    <hyperlink ref="R307" r:id="rId231" location="page=1&amp;viewer=picture&amp;o=info&amp;n=0&amp;q=" display="https://permalinkbnd.bnportugal.gov.pt/viewer/272812/?offset= - page=1&amp;viewer=picture&amp;o=info&amp;n=0&amp;q=" xr:uid="{83064831-3656-4D7C-A2FD-DC8C0C223A9E}"/>
    <hyperlink ref="R308" r:id="rId232" location="page=7&amp;viewer=picture&amp;o=info&amp;n=0&amp;q=" display="https://permalinkbnd.bnportugal.gov.pt/viewer/281142/?offset= - page=7&amp;viewer=picture&amp;o=info&amp;n=0&amp;q=" xr:uid="{6AA8FCC0-E8ED-491C-A83A-E13036A6EEBC}"/>
    <hyperlink ref="R309" r:id="rId233" location="page=9&amp;viewer=picture&amp;o=info&amp;n=0&amp;q=" display="https://permalinkbnd.bnportugal.gov.pt/viewer/281142/?offset= - page=9&amp;viewer=picture&amp;o=info&amp;n=0&amp;q=" xr:uid="{AC66B461-0E1F-4285-8E40-D114FA299C58}"/>
    <hyperlink ref="R310" r:id="rId234" location="page=1&amp;viewer=picture&amp;o=info&amp;n=0&amp;q=" display="https://permalinkbnd.bnportugal.gov.pt/viewer/276786/?offset= - page=1&amp;viewer=picture&amp;o=info&amp;n=0&amp;q=" xr:uid="{30E19722-37D5-439E-8655-A6B397487759}"/>
    <hyperlink ref="R311" r:id="rId235" location="page=1&amp;viewer=picture&amp;o=info&amp;n=0&amp;q=" display="https://permalinkbnd.bnportugal.gov.pt/viewer/274457/?offset= - page=1&amp;viewer=picture&amp;o=info&amp;n=0&amp;q=" xr:uid="{49AFE840-7A87-4F24-B91F-A3F300926F82}"/>
    <hyperlink ref="R312" r:id="rId236" location="page=7&amp;viewer=picture&amp;o=info&amp;n=0&amp;q=" display="https://permalinkbnd.bnportugal.gov.pt/viewer/274458/?offset= - page=7&amp;viewer=picture&amp;o=info&amp;n=0&amp;q=" xr:uid="{F209DD0A-F485-44D5-94C0-BB78EE9ED7EE}"/>
    <hyperlink ref="R313" r:id="rId237" location="page=3&amp;viewer=picture&amp;o=info&amp;n=0&amp;q=" display="https://permalinkbnd.bnportugal.gov.pt/viewer/274459/?offset= - page=3&amp;viewer=picture&amp;o=info&amp;n=0&amp;q=" xr:uid="{B63A7C60-5C34-4E63-9AD5-87B9F8D5F78A}"/>
    <hyperlink ref="R314" r:id="rId238" location="page=5&amp;viewer=picture&amp;o=info&amp;n=0&amp;q=" display="https://permalinkbnd.bnportugal.gov.pt/viewer/274957/?offset= - page=5&amp;viewer=picture&amp;o=info&amp;n=0&amp;q=" xr:uid="{D4944BDD-AF85-4973-89BE-7596731C89C9}"/>
    <hyperlink ref="R319" r:id="rId239" location="page=69&amp;viewer=picture&amp;o=info&amp;n=0&amp;q=" display="https://permalinkbnd.bnportugal.gov.pt/viewer/272626/?offset= - page=69&amp;viewer=picture&amp;o=info&amp;n=0&amp;q=" xr:uid="{DBC3EADA-8A8D-44DF-91B0-87D14E42AB67}"/>
    <hyperlink ref="R320" r:id="rId240" location="page=71&amp;viewer=picture&amp;o=info&amp;n=0&amp;q=" display="https://permalinkbnd.bnportugal.gov.pt/viewer/272626/?offset= - page=71&amp;viewer=picture&amp;o=info&amp;n=0&amp;q=" xr:uid="{7B0006D6-9ECE-414C-B0AD-A4BD7A2869BA}"/>
    <hyperlink ref="R321" r:id="rId241" location="page=73&amp;viewer=picture&amp;o=info&amp;n=0&amp;q=" display="https://permalinkbnd.bnportugal.gov.pt/viewer/272626/?offset= - page=73&amp;viewer=picture&amp;o=info&amp;n=0&amp;q=" xr:uid="{945F04F1-8D6B-4EE9-B125-B8DC8C83F67E}"/>
    <hyperlink ref="R324" r:id="rId242" location="page=102&amp;viewer=picture&amp;o=info&amp;n=0&amp;q=" display="https://permalinkbnd.bnportugal.gov.pt/viewer/272626/?offset= - page=102&amp;viewer=picture&amp;o=info&amp;n=0&amp;q=" xr:uid="{10FDA29E-09A4-4A32-B45B-5CE8E2ABE61A}"/>
    <hyperlink ref="R325" r:id="rId243" location="page=122&amp;viewer=picture&amp;o=info&amp;n=0&amp;q=" display="https://permalinkbnd.bnportugal.gov.pt/viewer/272626/?offset= - page=122&amp;viewer=picture&amp;o=info&amp;n=0&amp;q=" xr:uid="{4024E50A-D670-4957-B4D4-3695FFFA229C}"/>
    <hyperlink ref="R326" r:id="rId244" location="page=103&amp;viewer=picture&amp;o=info&amp;n=0&amp;q=" display="https://permalinkbnd.bnportugal.gov.pt/viewer/272626/?offset= - page=103&amp;viewer=picture&amp;o=info&amp;n=0&amp;q=" xr:uid="{8AEC35E5-4A18-4A73-8B13-240D38E15499}"/>
    <hyperlink ref="R328" r:id="rId245" location="page=135&amp;viewer=picture&amp;o=info&amp;n=0&amp;q=" display="https://permalinkbnd.bnportugal.gov.pt/viewer/272626/?offset= - page=135&amp;viewer=picture&amp;o=info&amp;n=0&amp;q=" xr:uid="{A40DBBA5-2E77-4DA7-8D67-71B4CE68B567}"/>
    <hyperlink ref="R329" r:id="rId246" location="page=175&amp;viewer=picture&amp;o=info&amp;n=0&amp;q=" display="https://permalinkbnd.bnportugal.gov.pt/viewer/272626/?offset= - page=175&amp;viewer=picture&amp;o=info&amp;n=0&amp;q=" xr:uid="{9C3A1CB7-BC64-4C99-B4FE-A904094E6E6F}"/>
    <hyperlink ref="R332" r:id="rId247" location="page=205&amp;viewer=picture&amp;o=info&amp;n=0&amp;q=" display="https://permalinkbnd.bnportugal.gov.pt/viewer/272626/?offset= - page=205&amp;viewer=picture&amp;o=info&amp;n=0&amp;q=" xr:uid="{FC39CF67-B4C1-4A9A-A5BA-D3198CB153AD}"/>
    <hyperlink ref="R334" r:id="rId248" location="page=233&amp;viewer=picture&amp;o=info&amp;n=0&amp;q=" display="https://permalinkbnd.bnportugal.gov.pt/viewer/272626/?offset= - page=233&amp;viewer=picture&amp;o=info&amp;n=0&amp;q=" xr:uid="{2ACC12EC-3008-4B0D-856E-444A91A243C7}"/>
    <hyperlink ref="R336" r:id="rId249" location="page=261&amp;viewer=picture&amp;o=info&amp;n=0&amp;q=" display="https://permalinkbnd.bnportugal.gov.pt/viewer/272626/?offset= - page=261&amp;viewer=picture&amp;o=info&amp;n=0&amp;q=" xr:uid="{AC552AD1-1D28-497B-9A0E-7013DA6A80C6}"/>
    <hyperlink ref="R337" r:id="rId250" location="page=287&amp;viewer=picture&amp;o=info&amp;n=0&amp;q=" display="https://permalinkbnd.bnportugal.gov.pt/viewer/272626/?offset= - page=287&amp;viewer=picture&amp;o=info&amp;n=0&amp;q=" xr:uid="{1788D7FE-A98E-4AD6-8462-72E558A0815D}"/>
    <hyperlink ref="R339" r:id="rId251" location="page=315&amp;viewer=picture&amp;o=info&amp;n=0&amp;q=" display="https://permalinkbnd.bnportugal.gov.pt/viewer/272626/?offset= - page=315&amp;viewer=picture&amp;o=info&amp;n=0&amp;q=" xr:uid="{DC463C9C-4F2E-46DB-9653-60C8F0EEF832}"/>
    <hyperlink ref="R341" r:id="rId252" location="page=343&amp;viewer=picture&amp;o=info&amp;n=0&amp;q=" display="https://permalinkbnd.bnportugal.gov.pt/viewer/272626/?offset= - page=343&amp;viewer=picture&amp;o=info&amp;n=0&amp;q=" xr:uid="{B05218D9-B9E7-43A6-9510-4D4A549374D9}"/>
    <hyperlink ref="R345" r:id="rId253" location="page=23&amp;viewer=picture&amp;o=info&amp;n=0&amp;q=" display="https://permalinkbnd.bnportugal.gov.pt/viewer/279168/?offset= - page=23&amp;viewer=picture&amp;o=info&amp;n=0&amp;q=" xr:uid="{43C0C161-1E2C-4711-866B-AB7FD66DFF52}"/>
    <hyperlink ref="R346" r:id="rId254" location="page=63&amp;viewer=picture&amp;o=info&amp;n=0&amp;q=" display="https://permalinkbnd.bnportugal.gov.pt/viewer/279168/?offset= - page=63&amp;viewer=picture&amp;o=info&amp;n=0&amp;q=" xr:uid="{CB314E36-5EB1-4CA9-86B7-0AE58DD99009}"/>
    <hyperlink ref="R347" r:id="rId255" location="page=105&amp;viewer=picture&amp;o=info&amp;n=0&amp;q=" display="https://permalinkbnd.bnportugal.gov.pt/viewer/279168/?offset= - page=105&amp;viewer=picture&amp;o=info&amp;n=0&amp;q=" xr:uid="{5830A184-E284-4DE8-926C-404795C5018B}"/>
    <hyperlink ref="R348" r:id="rId256" location="page=157&amp;viewer=picture&amp;o=info&amp;n=0&amp;q=" display="https://permalinkbnd.bnportugal.gov.pt/viewer/279168/?offset= - page=157&amp;viewer=picture&amp;o=info&amp;n=0&amp;q=" xr:uid="{46C78451-ABF8-4E16-83DF-0AA04FD911A4}"/>
    <hyperlink ref="R349" r:id="rId257" location="page=197&amp;viewer=picture&amp;o=info&amp;n=0&amp;q=" display="https://permalinkbnd.bnportugal.gov.pt/viewer/279168/?offset= - page=197&amp;viewer=picture&amp;o=info&amp;n=0&amp;q=" xr:uid="{FE856C9C-7957-4E18-AA65-AFCBAE6AB339}"/>
    <hyperlink ref="R350" r:id="rId258" location="page=268&amp;viewer=picture&amp;o=info&amp;n=0&amp;q=" display="https://permalinkbnd.bnportugal.gov.pt/viewer/279168/?offset= - page=268&amp;viewer=picture&amp;o=info&amp;n=0&amp;q=" xr:uid="{D88BFC56-26CE-4B89-A377-9A1AF2B42A80}"/>
    <hyperlink ref="R351" r:id="rId259" location="page=309&amp;viewer=picture&amp;o=info&amp;n=0&amp;q=" display="https://permalinkbnd.bnportugal.gov.pt/viewer/279168/?offset= - page=309&amp;viewer=picture&amp;o=info&amp;n=0&amp;q=" xr:uid="{29703E04-BD25-48A5-8236-1BFC383EA3CD}"/>
    <hyperlink ref="R352" r:id="rId260" location="page=375&amp;viewer=picture&amp;o=info&amp;n=0&amp;q=" display="https://permalinkbnd.bnportugal.gov.pt/viewer/279168/?offset= - page=375&amp;viewer=picture&amp;o=info&amp;n=0&amp;q=" xr:uid="{FFDB23BC-1F37-4D42-8E13-68BEC31C39A4}"/>
    <hyperlink ref="R353" r:id="rId261" location="page=10&amp;viewer=picture&amp;o=info&amp;n=0&amp;q=" display="https://permalinkbnd.bnportugal.gov.pt/viewer/273511/?offset= - page=10&amp;viewer=picture&amp;o=info&amp;n=0&amp;q=" xr:uid="{6DF003FA-C0E6-4931-B27B-5E4A716DEB36}"/>
    <hyperlink ref="R354" r:id="rId262" location="page=11&amp;viewer=picture&amp;o=info&amp;n=0&amp;q=" display="https://permalinkbnd.bnportugal.gov.pt/viewer/273511/?offset= - page=11&amp;viewer=picture&amp;o=info&amp;n=0&amp;q=" xr:uid="{1F21EBE2-25C8-4E03-9D0E-7A1BFC408326}"/>
    <hyperlink ref="R358" r:id="rId263" location="page=5&amp;viewer=picture&amp;o=info&amp;n=0&amp;q=" display="https://permalinkbnd.bnportugal.gov.pt/viewer/274951/?offset= - page=5&amp;viewer=picture&amp;o=info&amp;n=0&amp;q=" xr:uid="{C244B77C-3682-41BF-9AB4-BB82AEFB3864}"/>
    <hyperlink ref="R359" r:id="rId264" location="page=96&amp;viewer=picture&amp;o=info&amp;n=0&amp;q=" display="https://permalinkbnd.bnportugal.gov.pt/viewer/273524/?offset= - page=96&amp;viewer=picture&amp;o=info&amp;n=0&amp;q=" xr:uid="{968C8E20-A295-46F5-8880-904C4BD7D4A0}"/>
    <hyperlink ref="R360" r:id="rId265" location="page=97&amp;viewer=picture&amp;o=info&amp;n=0&amp;q=" display="https://permalinkbnd.bnportugal.gov.pt/viewer/273524/?offset= - page=97&amp;viewer=picture&amp;o=info&amp;n=0&amp;q=" xr:uid="{026FDBA4-1579-4F26-8AE1-5CF47A6A31CE}"/>
    <hyperlink ref="R361" r:id="rId266" location="page=100&amp;viewer=picture&amp;o=info&amp;n=0&amp;q=" display="https://permalinkbnd.bnportugal.gov.pt/viewer/273524/?offset= - page=100&amp;viewer=picture&amp;o=info&amp;n=0&amp;q=" xr:uid="{FE38BC45-94C7-48BF-8DED-B10E2D5612A8}"/>
    <hyperlink ref="R362" r:id="rId267" location="page=101&amp;viewer=picture&amp;o=info&amp;n=0&amp;q=" display="https://permalinkbnd.bnportugal.gov.pt/viewer/273524/?offset= - page=101&amp;viewer=picture&amp;o=info&amp;n=0&amp;q=" xr:uid="{E189D5B2-A2FA-4235-B78B-D8DE5F2B681A}"/>
    <hyperlink ref="R363" r:id="rId268" location="page=8&amp;viewer=picture&amp;o=info&amp;n=0&amp;q=" display="https://permalinkbnd.bnportugal.gov.pt/viewer/275168/?offset= - page=8&amp;viewer=picture&amp;o=info&amp;n=0&amp;q=" xr:uid="{4A36C226-13F8-4777-BB5C-3AC8CC125D42}"/>
    <hyperlink ref="R365" r:id="rId269" location="page=7&amp;viewer=picture&amp;o=info&amp;n=0&amp;q=" display="https://permalinkbnd.bnportugal.gov.pt/viewer/275163/?offset= - page=7&amp;viewer=picture&amp;o=info&amp;n=0&amp;q=" xr:uid="{43B31F5A-90BB-4822-9DF5-EBD33043F78C}"/>
    <hyperlink ref="R366" r:id="rId270" location="page=7&amp;viewer=picture&amp;o=info&amp;n=0&amp;q=" display="https://permalinkbnd.bnportugal.gov.pt/viewer/275167/?offset= - page=7&amp;viewer=picture&amp;o=info&amp;n=0&amp;q=" xr:uid="{9E0D626E-A316-41D2-BE6E-19BE0C000728}"/>
    <hyperlink ref="R377" r:id="rId271" location="page=100&amp;viewer=picture&amp;o=info&amp;n=0&amp;q=" display="https://permalinkbnd.bnportugal.gov.pt/viewer/280465/?offset= - page=100&amp;viewer=picture&amp;o=info&amp;n=0&amp;q=" xr:uid="{B7F82E9A-5741-4282-9A96-D0F20498F3DD}"/>
    <hyperlink ref="R378" r:id="rId272" location="page=121&amp;viewer=picture&amp;o=info&amp;n=0&amp;q=" display="https://permalinkbnd.bnportugal.gov.pt/viewer/280465/?offset= - page=121&amp;viewer=picture&amp;o=info&amp;n=0&amp;q=" xr:uid="{965FD51E-5DFB-47AE-A965-A4F552D0D5DF}"/>
    <hyperlink ref="R379" r:id="rId273" location="page=125&amp;viewer=picture&amp;o=info&amp;n=0&amp;q=" display="https://permalinkbnd.bnportugal.gov.pt/viewer/280465/?offset= - page=125&amp;viewer=picture&amp;o=info&amp;n=0&amp;q=" xr:uid="{AF3B57CC-3232-4B54-88BB-30F3E4502037}"/>
    <hyperlink ref="R380" r:id="rId274" location="page=129&amp;viewer=picture&amp;o=info&amp;n=0&amp;q=" display="https://permalinkbnd.bnportugal.gov.pt/viewer/280465/?offset= - page=129&amp;viewer=picture&amp;o=info&amp;n=0&amp;q=" xr:uid="{B853EB6E-1FDA-432C-AE31-9B272B34CD70}"/>
    <hyperlink ref="R381" r:id="rId275" location="page=137&amp;viewer=picture&amp;o=info&amp;n=0&amp;q=" display="https://permalinkbnd.bnportugal.gov.pt/viewer/280465/?offset= - page=137&amp;viewer=picture&amp;o=info&amp;n=0&amp;q=" xr:uid="{F323355C-CC88-4C89-8C48-3D0BE02FAF68}"/>
    <hyperlink ref="R382" r:id="rId276" location="page=151&amp;viewer=picture&amp;o=info&amp;n=0&amp;q=" display="https://permalinkbnd.bnportugal.gov.pt/viewer/280465/?offset= - page=151&amp;viewer=picture&amp;o=info&amp;n=0&amp;q=" xr:uid="{65B00217-C533-4491-A8B7-535171B12753}"/>
    <hyperlink ref="R383" r:id="rId277" location="page=157&amp;viewer=picture&amp;o=info&amp;n=0&amp;q=" display="https://permalinkbnd.bnportugal.gov.pt/viewer/280465/?offset= - page=157&amp;viewer=picture&amp;o=info&amp;n=0&amp;q=" xr:uid="{258C979E-EA6F-4876-B5CF-D80314A80C24}"/>
    <hyperlink ref="R384" r:id="rId278" location="page=159&amp;viewer=picture&amp;o=info&amp;n=0&amp;q=" display="https://permalinkbnd.bnportugal.gov.pt/viewer/280465/?offset= - page=159&amp;viewer=picture&amp;o=info&amp;n=0&amp;q=" xr:uid="{8D2289F2-2F3C-45C2-9A63-BE8A7CBFC4BD}"/>
    <hyperlink ref="R385" r:id="rId279" location="page=192&amp;viewer=picture&amp;o=info&amp;n=0&amp;q=" display="https://permalinkbnd.bnportugal.gov.pt/viewer/280465/?offset= - page=192&amp;viewer=picture&amp;o=info&amp;n=0&amp;q=" xr:uid="{17938FF4-36D0-4854-9E17-E81EF1A58E28}"/>
    <hyperlink ref="R386" r:id="rId280" location="page=193&amp;viewer=picture&amp;o=info&amp;n=0&amp;q=" display="https://permalinkbnd.bnportugal.gov.pt/viewer/280465/?offset= - page=193&amp;viewer=picture&amp;o=info&amp;n=0&amp;q=" xr:uid="{D7668A29-C5D0-4A59-BF7A-AD53FCE4CE2C}"/>
    <hyperlink ref="R387" r:id="rId281" location="page=226&amp;viewer=picture&amp;o=info&amp;n=0&amp;q=" display="https://permalinkbnd.bnportugal.gov.pt/viewer/280465/?offset= - page=226&amp;viewer=picture&amp;o=info&amp;n=0&amp;q=" xr:uid="{E35A128B-609B-49C4-B0A6-8EDF8E5016E1}"/>
    <hyperlink ref="R388" r:id="rId282" location="page=281&amp;viewer=picture&amp;o=info&amp;n=0&amp;q=" display="https://permalinkbnd.bnportugal.gov.pt/viewer/280465/?offset= - page=281&amp;viewer=picture&amp;o=info&amp;n=0&amp;q=" xr:uid="{1E556075-057A-469D-A4D5-B19A14A10CD3}"/>
    <hyperlink ref="R389" r:id="rId283" location="page=294&amp;viewer=picture&amp;o=info&amp;n=0&amp;q=" display="https://permalinkbnd.bnportugal.gov.pt/viewer/280465/?offset= - page=294&amp;viewer=picture&amp;o=info&amp;n=0&amp;q=" xr:uid="{6A14A4E5-417E-48F9-B674-237A3762F660}"/>
    <hyperlink ref="R390" r:id="rId284" location="page=325&amp;viewer=picture&amp;o=info&amp;n=0&amp;q=" display="https://permalinkbnd.bnportugal.gov.pt/viewer/280465/?offset= - page=325&amp;viewer=picture&amp;o=info&amp;n=0&amp;q=" xr:uid="{24053A29-81E8-4B7C-8906-C8A9E568E3BD}"/>
    <hyperlink ref="R391" r:id="rId285" location="page=468&amp;viewer=picture&amp;o=info&amp;n=0&amp;q=" display="https://permalinkbnd.bnportugal.gov.pt/viewer/280465/?offset= - page=468&amp;viewer=picture&amp;o=info&amp;n=0&amp;q=" xr:uid="{3B7BF596-650C-463F-AB96-E5C38D0C8604}"/>
    <hyperlink ref="R392" r:id="rId286" location="page=500&amp;viewer=picture&amp;o=info&amp;n=0&amp;q=" display="https://permalinkbnd.bnportugal.gov.pt/viewer/280465/?offset= - page=500&amp;viewer=picture&amp;o=info&amp;n=0&amp;q=" xr:uid="{CBFCD962-E4F1-40E6-B68A-C114689571DC}"/>
    <hyperlink ref="R393" r:id="rId287" location="page=5&amp;viewer=picture&amp;o=info&amp;n=0&amp;q=" display="https://permalinkbnd.bnportugal.gov.pt/viewer/275169/?offset= - page=5&amp;viewer=picture&amp;o=info&amp;n=0&amp;q=" xr:uid="{D0FC973A-F51E-4A02-BCB7-C02CD32D4945}"/>
    <hyperlink ref="R394" r:id="rId288" location="page=5&amp;viewer=picture&amp;o=info&amp;n=0&amp;q=" display="https://permalinkbnd.bnportugal.gov.pt/viewer/275164/?offset= - page=5&amp;viewer=picture&amp;o=info&amp;n=0&amp;q=" xr:uid="{81C619FA-200E-448B-A647-211CBE207D95}"/>
    <hyperlink ref="R395" r:id="rId289" location="page=4&amp;viewer=picture&amp;o=info&amp;n=0&amp;q=" display="https://permalinkbnd.bnportugal.gov.pt/viewer/275364/?offset= - page=4&amp;viewer=picture&amp;o=info&amp;n=0&amp;q=" xr:uid="{20F28F5B-4A28-4B61-90D0-6A901FDEA3E8}"/>
    <hyperlink ref="R396" r:id="rId290" location="page=6&amp;viewer=picture&amp;o=info&amp;n=0&amp;q=" display="https://permalinkbnd.bnportugal.gov.pt/viewer/279243/?offset= - page=6&amp;viewer=picture&amp;o=info&amp;n=0&amp;q=" xr:uid="{646D3CB8-A392-4C6C-A1B1-108BC998802F}"/>
    <hyperlink ref="R397" r:id="rId291" location="page=6&amp;viewer=picture&amp;o=info&amp;n=0&amp;q=" display="https://permalinkbnd.bnportugal.gov.pt/viewer/279232/?offset= - page=6&amp;viewer=picture&amp;o=info&amp;n=0&amp;q=" xr:uid="{D407C2CB-0BAD-467D-9A5D-3E851CA14DD2}"/>
    <hyperlink ref="R398" r:id="rId292" location="page=1&amp;viewer=picture&amp;o=info&amp;n=0&amp;q=" display="https://permalinkbnd.bnportugal.gov.pt/viewer/276120/?offset= - page=1&amp;viewer=picture&amp;o=info&amp;n=0&amp;q=" xr:uid="{FC2E2D9F-4389-44FC-A68E-819B0C72DFF1}"/>
    <hyperlink ref="R399" r:id="rId293" location="page=10&amp;viewer=picture&amp;o=info&amp;n=0&amp;q=" display="https://permalinkbnd.bnportugal.gov.pt/viewer/279340/?offset= - page=10&amp;viewer=picture&amp;o=info&amp;n=0&amp;q=" xr:uid="{542C1A19-345E-466A-A7D6-D26E5B546DEA}"/>
    <hyperlink ref="R400" r:id="rId294" location="page=8&amp;viewer=picture&amp;o=info&amp;n=0&amp;q=" display="https://permalinkbnd.bnportugal.gov.pt/viewer/276130/?offset= - page=8&amp;viewer=picture&amp;o=info&amp;n=0&amp;q=" xr:uid="{6101CB5E-1996-4290-BC19-F86FA80C36FB}"/>
    <hyperlink ref="R401" r:id="rId295" location="page=9&amp;viewer=picture&amp;o=info&amp;n=0&amp;q=" display="https://permalinkbnd.bnportugal.gov.pt/viewer/273100/?offset= - page=9&amp;viewer=picture&amp;o=info&amp;n=0&amp;q=" xr:uid="{8CA7D3A1-898F-435B-ADAC-8B96C6FC70DD}"/>
    <hyperlink ref="R402" r:id="rId296" location="page=16&amp;viewer=picture&amp;o=info&amp;n=0&amp;q=" display="https://permalinkbnd.bnportugal.gov.pt/viewer/273100/?offset= - page=16&amp;viewer=picture&amp;o=info&amp;n=0&amp;q=" xr:uid="{04A883F5-2C30-4ABC-9D89-73C3E00714A8}"/>
    <hyperlink ref="R404" r:id="rId297" location="page=7&amp;viewer=picture&amp;o=info&amp;n=0&amp;q=" display="https://permalinkbnd.bnportugal.gov.pt/viewer/273782/?offset= - page=7&amp;viewer=picture&amp;o=info&amp;n=0&amp;q=" xr:uid="{6CC5D9C7-5100-43A8-977E-B1C89D9441BF}"/>
    <hyperlink ref="R405" r:id="rId298" location="page=12&amp;viewer=picture&amp;o=info&amp;n=0&amp;q=" display="https://permalinkbnd.bnportugal.gov.pt/viewer/273782/?offset= - page=12&amp;viewer=picture&amp;o=info&amp;n=0&amp;q=" xr:uid="{AA05504C-63A2-4EE0-B0DD-BB5C2BDC0F0F}"/>
    <hyperlink ref="R406" r:id="rId299" location="page=25&amp;viewer=picture&amp;o=info&amp;n=0&amp;q=" display="https://permalinkbnd.bnportugal.gov.pt/viewer/273782/?offset= - page=25&amp;viewer=picture&amp;o=info&amp;n=0&amp;q=" xr:uid="{A634E451-E2EB-48B7-A352-D69680FADC8C}"/>
    <hyperlink ref="R408" r:id="rId300" location="page=48&amp;viewer=picture&amp;o=info&amp;n=0&amp;q=" display="https://permalinkbnd.bnportugal.gov.pt/viewer/273782/?offset= - page=48&amp;viewer=picture&amp;o=info&amp;n=0&amp;q=" xr:uid="{F5BB56FD-1B19-42ED-A019-BBD9AA2AB20F}"/>
    <hyperlink ref="R411" r:id="rId301" location="page=103&amp;viewer=picture&amp;o=info&amp;n=0&amp;q=" display="https://permalinkbnd.bnportugal.gov.pt/viewer/273782/?offset= - page=103&amp;viewer=picture&amp;o=info&amp;n=0&amp;q=" xr:uid="{DFB9601A-5E2A-4449-A7AD-A46161C9EF8B}"/>
    <hyperlink ref="R413" r:id="rId302" location="page=163&amp;viewer=picture&amp;o=info&amp;n=0&amp;q=" display="https://permalinkbnd.bnportugal.gov.pt/viewer/273782/?offset= - page=163&amp;viewer=picture&amp;o=info&amp;n=0&amp;q=" xr:uid="{5C6D0F01-8962-4774-896E-8815859F44B8}"/>
    <hyperlink ref="R415" r:id="rId303" location="page=237&amp;viewer=picture&amp;o=info&amp;n=0&amp;q=" display="https://permalinkbnd.bnportugal.gov.pt/viewer/273782/?offset= - page=237&amp;viewer=picture&amp;o=info&amp;n=0&amp;q=" xr:uid="{9A3C2BEB-07E9-4A16-97DF-24D51AC1586C}"/>
    <hyperlink ref="R416" r:id="rId304" location="page=239&amp;viewer=picture&amp;o=info&amp;n=0&amp;q=" display="https://permalinkbnd.bnportugal.gov.pt/viewer/273782/?offset= - page=239&amp;viewer=picture&amp;o=info&amp;n=0&amp;q=" xr:uid="{84FFB380-08F8-40A1-B5F8-28C4EC82B6A8}"/>
    <hyperlink ref="R418" r:id="rId305" location="page=293&amp;viewer=picture&amp;o=info&amp;n=0&amp;q=" display="https://permalinkbnd.bnportugal.gov.pt/viewer/273782/?offset= - page=293&amp;viewer=picture&amp;o=info&amp;n=0&amp;q=" xr:uid="{23C477ED-A994-4B03-ACA8-82181A0E57E1}"/>
    <hyperlink ref="R420" r:id="rId306" location="page=347&amp;viewer=picture&amp;o=info&amp;n=0&amp;q=" display="https://permalinkbnd.bnportugal.gov.pt/viewer/273782/?offset= - page=347&amp;viewer=picture&amp;o=info&amp;n=0&amp;q=" xr:uid="{65F5EC6B-28EC-4E70-AE16-5F0BCE0E1F7A}"/>
    <hyperlink ref="R421" r:id="rId307" location="page=349&amp;viewer=picture&amp;o=info&amp;n=0&amp;q=" display="https://permalinkbnd.bnportugal.gov.pt/viewer/273782/?offset= - page=349&amp;viewer=picture&amp;o=info&amp;n=0&amp;q=" xr:uid="{D779CB36-588F-4508-BC81-28A013BB0EF6}"/>
    <hyperlink ref="R422" r:id="rId308" location="page=399&amp;viewer=picture&amp;o=info&amp;n=0&amp;q=" display="https://permalinkbnd.bnportugal.gov.pt/viewer/273782/?offset= - page=399&amp;viewer=picture&amp;o=info&amp;n=0&amp;q=" xr:uid="{F716A016-C1AF-4560-A8AA-4901EAE47432}"/>
    <hyperlink ref="R423" r:id="rId309" location="page=401&amp;viewer=picture&amp;o=info&amp;n=0&amp;q=" display="https://permalinkbnd.bnportugal.gov.pt/viewer/273782/?offset= - page=401&amp;viewer=picture&amp;o=info&amp;n=0&amp;q=" xr:uid="{510A6372-7998-43D7-B1C9-CCF6A4B68AF2}"/>
    <hyperlink ref="R424" r:id="rId310" location="page=445&amp;viewer=picture&amp;o=info&amp;n=0&amp;q=" display="https://permalinkbnd.bnportugal.gov.pt/viewer/273782/?offset= - page=445&amp;viewer=picture&amp;o=info&amp;n=0&amp;q=" xr:uid="{8B2233FA-BA00-4377-8D0A-C108169FE836}"/>
    <hyperlink ref="R425" r:id="rId311" location="page=447&amp;viewer=picture&amp;o=info&amp;n=0&amp;q=" display="https://permalinkbnd.bnportugal.gov.pt/viewer/273782/?offset= - page=447&amp;viewer=picture&amp;o=info&amp;n=0&amp;q=" xr:uid="{EB91C675-7052-4610-94CB-DC22A1C0EEE4}"/>
    <hyperlink ref="R426" r:id="rId312" location="page=497&amp;viewer=picture&amp;o=info&amp;n=0&amp;q=" display="https://permalinkbnd.bnportugal.gov.pt/viewer/273782/?offset= - page=497&amp;viewer=picture&amp;o=info&amp;n=0&amp;q=" xr:uid="{9E8CAC7E-9E92-455C-85CE-930D575668E5}"/>
    <hyperlink ref="R427" r:id="rId313" location="page=499&amp;viewer=picture&amp;o=info&amp;n=0&amp;q=" display="https://permalinkbnd.bnportugal.gov.pt/viewer/273782/?offset= - page=499&amp;viewer=picture&amp;o=info&amp;n=0&amp;q=" xr:uid="{8219A12E-787A-44CA-80EB-A1361F2D058A}"/>
    <hyperlink ref="R428" r:id="rId314" location="page=547&amp;viewer=picture&amp;o=info&amp;n=0&amp;q=" display="https://permalinkbnd.bnportugal.gov.pt/viewer/273782/?offset= - page=547&amp;viewer=picture&amp;o=info&amp;n=0&amp;q=" xr:uid="{BC756AAB-42D7-46B2-B588-0EA246005D86}"/>
    <hyperlink ref="R429" r:id="rId315" location="page=549&amp;viewer=picture&amp;o=info&amp;n=0&amp;q=" display="https://permalinkbnd.bnportugal.gov.pt/viewer/273782/?offset= - page=549&amp;viewer=picture&amp;o=info&amp;n=0&amp;q=" xr:uid="{B6FBD4F3-9B53-4811-8EE8-870CB62B4599}"/>
    <hyperlink ref="R434" r:id="rId316" location="page=67&amp;viewer=picture&amp;o=info&amp;n=0&amp;q=" display="https://permalinkbnd.bnportugal.gov.pt/viewer/272627/?offset= - page=67&amp;viewer=picture&amp;o=info&amp;n=0&amp;q=" xr:uid="{C5C782AC-BEE0-44CD-AAE5-0092FC8F1B80}"/>
    <hyperlink ref="R436" r:id="rId317" location="page=71&amp;viewer=picture&amp;o=info&amp;n=0&amp;q=" display="https://permalinkbnd.bnportugal.gov.pt/viewer/272627/?offset= - page=71&amp;viewer=picture&amp;o=info&amp;n=0&amp;q=" xr:uid="{2F6FDA6D-BE9A-47F6-8A7C-85CA527D699B}"/>
    <hyperlink ref="R440" r:id="rId318" location="page=101&amp;viewer=picture&amp;o=info&amp;n=0&amp;q=" display="https://permalinkbnd.bnportugal.gov.pt/viewer/272627/?offset= - page=101&amp;viewer=picture&amp;o=info&amp;n=0&amp;q=" xr:uid="{6DED32C7-EC8D-46A8-8AC6-FA36EE085EBE}"/>
    <hyperlink ref="R441" r:id="rId319" location="page=133&amp;viewer=picture&amp;o=info&amp;n=0&amp;q=" display="https://permalinkbnd.bnportugal.gov.pt/viewer/272627/?offset= - page=133&amp;viewer=picture&amp;o=info&amp;n=0&amp;q=" xr:uid="{D741FC26-AA4D-407C-850B-5D0277C0E9C7}"/>
    <hyperlink ref="R442" r:id="rId320" location="page=173&amp;viewer=picture&amp;o=info&amp;n=0&amp;q=" display="https://permalinkbnd.bnportugal.gov.pt/viewer/272627/?offset= - page=173&amp;viewer=picture&amp;o=info&amp;n=0&amp;q=" xr:uid="{79E2E21C-1865-4DD5-957D-595299573D10}"/>
    <hyperlink ref="R443" r:id="rId321" location="page=203&amp;viewer=picture&amp;o=info&amp;n=0&amp;q=" display="https://permalinkbnd.bnportugal.gov.pt/viewer/272627/?offset= - page=203&amp;viewer=picture&amp;o=info&amp;n=0&amp;q=" xr:uid="{160C7F09-2AD1-4975-B9DB-F85DA093F6A6}"/>
    <hyperlink ref="R444" r:id="rId322" location="page=231&amp;viewer=picture&amp;o=info&amp;n=0&amp;q=" display="https://permalinkbnd.bnportugal.gov.pt/viewer/272627/?offset= - page=231&amp;viewer=picture&amp;o=info&amp;n=0&amp;q=" xr:uid="{A3A0DE21-FC2A-49F0-9CE8-A984A9150386}"/>
    <hyperlink ref="R445" r:id="rId323" location="page=259&amp;viewer=picture&amp;o=info&amp;n=0&amp;q=" display="https://permalinkbnd.bnportugal.gov.pt/viewer/272627/?offset= - page=259&amp;viewer=picture&amp;o=info&amp;n=0&amp;q=" xr:uid="{A54EB010-C39E-46DE-B33D-6717A0DA0CB6}"/>
    <hyperlink ref="R446" r:id="rId324" location="page=285&amp;viewer=picture&amp;o=info&amp;n=0&amp;q=" display="https://permalinkbnd.bnportugal.gov.pt/viewer/272627/?offset= - page=285&amp;viewer=picture&amp;o=info&amp;n=0&amp;q=" xr:uid="{522D0FD3-8B9F-441F-83D7-97678E9AADEA}"/>
    <hyperlink ref="R447" r:id="rId325" location="page=313&amp;viewer=picture&amp;o=info&amp;n=0&amp;q=" display="https://permalinkbnd.bnportugal.gov.pt/viewer/272627/?offset= - page=313&amp;viewer=picture&amp;o=info&amp;n=0&amp;q=" xr:uid="{80287921-3FB3-4EDC-AE60-89B81DEB1E88}"/>
    <hyperlink ref="R449" r:id="rId326" location="page=341&amp;viewer=picture&amp;o=info&amp;n=0&amp;q=" display="https://permalinkbnd.bnportugal.gov.pt/viewer/272627/?offset= - page=341&amp;viewer=picture&amp;o=info&amp;n=0&amp;q=" xr:uid="{CD4D3F77-AFA9-45B2-9DC1-706491D19199}"/>
    <hyperlink ref="R451" r:id="rId327" location="page=8&amp;viewer=picture&amp;o=info&amp;n=0&amp;q=" display="https://permalinkbnd.bnportugal.gov.pt/viewer/277151/?offset= - page=8&amp;viewer=picture&amp;o=info&amp;n=0&amp;q=" xr:uid="{6F6F63A4-901A-4DF3-BAE5-1AF3C156FB58}"/>
    <hyperlink ref="R453" r:id="rId328" location="page=63&amp;viewer=picture&amp;o=info&amp;n=0&amp;q=" display="https://permalinkbnd.bnportugal.gov.pt/viewer/277151/?offset= - page=63&amp;viewer=picture&amp;o=info&amp;n=0&amp;q=" xr:uid="{EBCC9F74-39B5-4315-831B-B6D485DE48E3}"/>
    <hyperlink ref="R454" r:id="rId329" location="page=101&amp;viewer=picture&amp;o=info&amp;n=0&amp;q=" display="https://permalinkbnd.bnportugal.gov.pt/viewer/277151/?offset= - page=101&amp;viewer=picture&amp;o=info&amp;n=0&amp;q=" xr:uid="{770D3430-B7ED-4525-A33B-A0F24B86FFD9}"/>
    <hyperlink ref="R455" r:id="rId330" location="page=143&amp;viewer=picture&amp;o=info&amp;n=0&amp;q=" display="https://permalinkbnd.bnportugal.gov.pt/viewer/277151/?offset= - page=143&amp;viewer=picture&amp;o=info&amp;n=0&amp;q=" xr:uid="{72ECC062-E11B-40E1-9BCC-A434CD4B3EE2}"/>
    <hyperlink ref="R456" r:id="rId331" location="page=195&amp;viewer=picture&amp;o=info&amp;n=0&amp;q=" display="https://permalinkbnd.bnportugal.gov.pt/viewer/277151/?offset= - page=195&amp;viewer=picture&amp;o=info&amp;n=0&amp;q=" xr:uid="{A65CC398-5B83-4369-A6B2-CDE80E4DBAFF}"/>
    <hyperlink ref="R457" r:id="rId332" location="page=233&amp;viewer=picture&amp;o=info&amp;n=0&amp;q=" display="https://permalinkbnd.bnportugal.gov.pt/viewer/277151/?offset= - page=233&amp;viewer=picture&amp;o=info&amp;n=0&amp;q=" xr:uid="{32328EEE-DBE0-4AE0-8021-3B5A110046B9}"/>
    <hyperlink ref="R458" r:id="rId333" location="page=269&amp;viewer=picture&amp;o=info&amp;n=0&amp;q=" display="https://permalinkbnd.bnportugal.gov.pt/viewer/277151/?offset= - page=269&amp;viewer=picture&amp;o=info&amp;n=0&amp;q=" xr:uid="{C6D57A72-CE92-449B-B717-1DE7FC62874C}"/>
    <hyperlink ref="R459" r:id="rId334" location="page=305&amp;viewer=picture&amp;o=info&amp;n=0&amp;q=" display="https://permalinkbnd.bnportugal.gov.pt/viewer/277151/?offset= - page=305&amp;viewer=picture&amp;o=info&amp;n=0&amp;q=" xr:uid="{7CE9DE63-FCD4-42E3-A7E2-848758BE72DC}"/>
    <hyperlink ref="R460" r:id="rId335" location="page=337&amp;viewer=picture&amp;o=info&amp;n=0&amp;q=" display="https://permalinkbnd.bnportugal.gov.pt/viewer/277151/?offset= - page=337&amp;viewer=picture&amp;o=info&amp;n=0&amp;q=" xr:uid="{2671A463-1EE1-4F64-9F22-A2D96F64A980}"/>
    <hyperlink ref="R461" r:id="rId336" location="page=373&amp;viewer=picture&amp;o=info&amp;n=0&amp;q=" display="https://permalinkbnd.bnportugal.gov.pt/viewer/277151/?offset= - page=373&amp;viewer=picture&amp;o=info&amp;n=0&amp;q=" xr:uid="{F838A3C1-8A0F-4535-BE99-D8FCCEDDBF00}"/>
    <hyperlink ref="R462" r:id="rId337" location="page=409&amp;viewer=picture&amp;o=info&amp;n=0&amp;q=" display="https://permalinkbnd.bnportugal.gov.pt/viewer/277151/?offset= - page=409&amp;viewer=picture&amp;o=info&amp;n=0&amp;q=" xr:uid="{9B87758B-FB26-4CBA-830C-037CA41D5A3B}"/>
    <hyperlink ref="R463" r:id="rId338" location="page=12&amp;viewer=picture&amp;o=info&amp;n=0&amp;q=" display="https://permalinkbnd.bnportugal.gov.pt/viewer/277145/?offset= - page=12&amp;viewer=picture&amp;o=info&amp;n=0&amp;q=" xr:uid="{AF311FB7-BAD3-48B7-A7CF-B8D3D45F73FB}"/>
    <hyperlink ref="R464" r:id="rId339" location="page=110&amp;viewer=picture&amp;o=info&amp;n=0&amp;q=" display="https://permalinkbnd.bnportugal.gov.pt/viewer/277145/?offset= - page=110&amp;viewer=picture&amp;o=info&amp;n=0&amp;q=" xr:uid="{FA0FA87E-FC50-4F07-A4BD-C3A7B8903EA6}"/>
    <hyperlink ref="R468" r:id="rId340" location="page=273&amp;viewer=picture&amp;o=info&amp;n=0&amp;q=" display="https://permalinkbnd.bnportugal.gov.pt/viewer/277145/?offset= - page=273&amp;viewer=picture&amp;o=info&amp;n=0&amp;q=" xr:uid="{B67F8C01-1F79-4BF6-AE7C-080C2A74B0B5}"/>
    <hyperlink ref="R473" r:id="rId341" location="page=23&amp;viewer=picture&amp;o=info&amp;n=0&amp;q=" display="https://permalinkbnd.bnportugal.gov.pt/viewer/273814/?offset= - page=23&amp;viewer=picture&amp;o=info&amp;n=0&amp;q=" xr:uid="{6D7044C1-451C-457C-A4BA-912791707F93}"/>
    <hyperlink ref="R474" r:id="rId342" location="page=102&amp;viewer=picture&amp;o=info&amp;n=0&amp;q=" display="https://permalinkbnd.bnportugal.gov.pt/viewer/273814/?offset= - page=102&amp;viewer=picture&amp;o=info&amp;n=0&amp;q=" xr:uid="{F18D6CF3-62BD-4DEE-8193-E33BC1F37C59}"/>
    <hyperlink ref="R480" r:id="rId343" location="page=198&amp;viewer=picture&amp;o=info&amp;n=0&amp;q=" display="https://permalinkbnd.bnportugal.gov.pt/viewer/273814/?offset= - page=198&amp;viewer=picture&amp;o=info&amp;n=0&amp;q=" xr:uid="{9BB1D130-A245-4AB8-B5B6-3812E9011439}"/>
    <hyperlink ref="R481" r:id="rId344" location="page=8&amp;viewer=picture&amp;o=info&amp;n=0&amp;q=" display="https://permalinkbnd.bnportugal.gov.pt/viewer/277150/?offset= - page=8&amp;viewer=picture&amp;o=info&amp;n=0&amp;q=" xr:uid="{393971C3-DA73-4355-981F-72B7983DC14E}"/>
    <hyperlink ref="R483" r:id="rId345" location="page=59&amp;viewer=picture&amp;o=info&amp;n=0&amp;q=" display="https://permalinkbnd.bnportugal.gov.pt/viewer/277150/?offset= - page=59&amp;viewer=picture&amp;o=info&amp;n=0&amp;q=" xr:uid="{42B0794B-1F0E-4910-B601-5ADACD0DFD1B}"/>
    <hyperlink ref="R484" r:id="rId346" location="page=97&amp;viewer=picture&amp;o=info&amp;n=0&amp;q=" display="https://permalinkbnd.bnportugal.gov.pt/viewer/277150/?offset= - page=97&amp;viewer=picture&amp;o=info&amp;n=0&amp;q=" xr:uid="{96DEC22C-508F-4FE0-A920-CA72B595B44E}"/>
    <hyperlink ref="R485" r:id="rId347" location="page=139&amp;viewer=picture&amp;o=info&amp;n=0&amp;q=" display="https://permalinkbnd.bnportugal.gov.pt/viewer/277150/?offset= - page=139&amp;viewer=picture&amp;o=info&amp;n=0&amp;q=" xr:uid="{8913DE08-96CC-4B68-8B50-DB1AAFF6E9CE}"/>
    <hyperlink ref="R486" r:id="rId348" location="page=191&amp;viewer=picture&amp;o=info&amp;n=0&amp;q=" display="https://permalinkbnd.bnportugal.gov.pt/viewer/277150/?offset= - page=191&amp;viewer=picture&amp;o=info&amp;n=0&amp;q=" xr:uid="{47C7BF80-6B59-48E0-9D04-670B02DB90CA}"/>
    <hyperlink ref="R487" r:id="rId349" location="page=229&amp;viewer=picture&amp;o=info&amp;n=0&amp;q=" display="https://permalinkbnd.bnportugal.gov.pt/viewer/277150/?offset= - page=229&amp;viewer=picture&amp;o=info&amp;n=0&amp;q=" xr:uid="{55488771-0B22-4B96-AE4B-47FB282FEF11}"/>
    <hyperlink ref="R488" r:id="rId350" location="page=265&amp;viewer=picture&amp;o=info&amp;n=0&amp;q=" display="https://permalinkbnd.bnportugal.gov.pt/viewer/277150/?offset= - page=265&amp;viewer=picture&amp;o=info&amp;n=0&amp;q=" xr:uid="{6C5428D4-34FB-4982-80F4-A9D21AD612B1}"/>
    <hyperlink ref="R489" r:id="rId351" location="page=301&amp;viewer=picture&amp;o=info&amp;n=0&amp;q=" display="https://permalinkbnd.bnportugal.gov.pt/viewer/277150/?offset= - page=301&amp;viewer=picture&amp;o=info&amp;n=0&amp;q=" xr:uid="{626546C7-A280-4959-988C-A1F6425DCD01}"/>
    <hyperlink ref="R490" r:id="rId352" location="page=333&amp;viewer=picture&amp;o=info&amp;n=0&amp;q=" display="https://permalinkbnd.bnportugal.gov.pt/viewer/277150/?offset= - page=333&amp;viewer=picture&amp;o=info&amp;n=0&amp;q=" xr:uid="{63245689-67B0-46B8-9AB6-6AE85DDE5A29}"/>
    <hyperlink ref="R491" r:id="rId353" location="page=369&amp;viewer=picture&amp;o=info&amp;n=0&amp;q=" display="https://permalinkbnd.bnportugal.gov.pt/viewer/277150/?offset= - page=369&amp;viewer=picture&amp;o=info&amp;n=0&amp;q=" xr:uid="{7778402F-AC4D-4404-B022-ADC44E5904FE}"/>
    <hyperlink ref="R492" r:id="rId354" location="page=405&amp;viewer=picture&amp;o=info&amp;n=0&amp;q=" display="https://permalinkbnd.bnportugal.gov.pt/viewer/277150/?offset= - page=405&amp;viewer=picture&amp;o=info&amp;n=0&amp;q=" xr:uid="{8BFCBE7E-F793-4001-84AF-A9C61206B908}"/>
    <hyperlink ref="R493" r:id="rId355" location="page=6&amp;viewer=picture&amp;o=info&amp;n=0&amp;q=" display="https://permalinkbnd.bnportugal.gov.pt/viewer/281138/?offset= - page=6&amp;viewer=picture&amp;o=info&amp;n=0&amp;q=" xr:uid="{ADFD42C9-94A6-41A3-B5E6-351A1728B25F}"/>
    <hyperlink ref="R494" r:id="rId356" location="page=11&amp;viewer=picture&amp;o=info&amp;n=0&amp;q=" display="https://permalinkbnd.bnportugal.gov.pt/viewer/1892/?offset= - page=11&amp;viewer=picture&amp;o=info&amp;n=0&amp;q=" xr:uid="{A4581C3B-CC4A-48DA-BFDD-FD05B21FC196}"/>
    <hyperlink ref="R495" r:id="rId357" location="page=6&amp;viewer=picture&amp;o=info&amp;n=0&amp;q=" display="https://permalinkbnd.bnportugal.gov.pt/viewer/277143/?offset= - page=6&amp;viewer=picture&amp;o=info&amp;n=0&amp;q=" xr:uid="{6A26D6EE-4EEA-45CE-A234-FDD7D690A338}"/>
    <hyperlink ref="R496" r:id="rId358" location="page=6&amp;viewer=picture&amp;o=info&amp;n=0&amp;q=" display="https://permalinkbnd.bnportugal.gov.pt/viewer/277149/?offset= - page=6&amp;viewer=picture&amp;o=info&amp;n=0&amp;q=" xr:uid="{4017045C-35EE-4333-8C95-90697C3BB512}"/>
    <hyperlink ref="R498" r:id="rId359" location="page=282&amp;viewer=picture&amp;o=info&amp;n=0&amp;q=" display="https://permalinkbnd.bnportugal.gov.pt/viewer/277149/?offset= - page=282&amp;viewer=picture&amp;o=info&amp;n=0&amp;q=" xr:uid="{055D430B-11EB-425C-B4F4-4D3A5B8DE7C6}"/>
    <hyperlink ref="R499" r:id="rId360" location="page=318&amp;viewer=picture&amp;o=info&amp;n=0&amp;q=" display="https://permalinkbnd.bnportugal.gov.pt/viewer/277149/?offset= - page=318&amp;viewer=picture&amp;o=info&amp;n=0&amp;q=" xr:uid="{938F244E-3339-4469-AB1B-4304929C2918}"/>
    <hyperlink ref="R501" r:id="rId361" location="page=101&amp;viewer=picture&amp;o=info&amp;n=0&amp;q=" display="https://permalinkbnd.bnportugal.gov.pt/viewer/272672/?offset= - page=101&amp;viewer=picture&amp;o=info&amp;n=0&amp;q=" xr:uid="{CB965040-0409-4558-9874-CFF778601A00}"/>
    <hyperlink ref="R502" r:id="rId362" location="page=159&amp;viewer=picture&amp;o=info&amp;n=0&amp;q=" display="https://permalinkbnd.bnportugal.gov.pt/viewer/272672/?offset= - page=159&amp;viewer=picture&amp;o=info&amp;n=0&amp;q=" xr:uid="{F20FEC2E-0E74-48B4-AB4A-35D1035C72E1}"/>
    <hyperlink ref="R503" r:id="rId363" location="page=201&amp;viewer=picture&amp;o=info&amp;n=0&amp;q=" display="https://permalinkbnd.bnportugal.gov.pt/viewer/272672/?offset= - page=201&amp;viewer=picture&amp;o=info&amp;n=0&amp;q=" xr:uid="{D03E6C9B-9D0F-49C2-B32C-3533330613DB}"/>
    <hyperlink ref="R504" r:id="rId364" location="page=307&amp;viewer=picture&amp;o=info&amp;n=0&amp;q=" display="https://permalinkbnd.bnportugal.gov.pt/viewer/272672/?offset= - page=307&amp;viewer=picture&amp;o=info&amp;n=0&amp;q=" xr:uid="{441C56B9-222D-47E2-9AB1-CB5FC80EB097}"/>
    <hyperlink ref="R505" r:id="rId365" location="page=5&amp;viewer=picture&amp;o=info&amp;n=0&amp;q=" display="https://permalinkbnd.bnportugal.gov.pt/viewer/272668/?offset= - page=5&amp;viewer=picture&amp;o=info&amp;n=0&amp;q=" xr:uid="{53577160-FD4E-42F4-84B4-5FC09EB9E0EB}"/>
    <hyperlink ref="R506" r:id="rId366" location="page=63&amp;viewer=picture&amp;o=info&amp;n=0&amp;q=" display="https://permalinkbnd.bnportugal.gov.pt/viewer/272668/?offset= - page=63&amp;viewer=picture&amp;o=info&amp;n=0&amp;q=" xr:uid="{47EA9155-7FEB-46DF-9309-04123B69AE70}"/>
    <hyperlink ref="R507" r:id="rId367" location="page=65&amp;viewer=picture&amp;o=info&amp;n=0&amp;q=" display="https://permalinkbnd.bnportugal.gov.pt/viewer/272668/?offset= - page=65&amp;viewer=picture&amp;o=info&amp;n=0&amp;q=" xr:uid="{0E54FA18-E47A-49C6-9080-2969668C4273}"/>
    <hyperlink ref="R508" r:id="rId368" location="page=203&amp;viewer=picture&amp;o=info&amp;n=0&amp;q=" display="https://permalinkbnd.bnportugal.gov.pt/viewer/272668/?offset= - page=203&amp;viewer=picture&amp;o=info&amp;n=0&amp;q=" xr:uid="{9C435CE1-5670-4833-95C3-B63EDB99552E}"/>
    <hyperlink ref="R509" r:id="rId369" location="page=291&amp;viewer=picture&amp;o=info&amp;n=0&amp;q=" display="https://permalinkbnd.bnportugal.gov.pt/viewer/272668/?offset= - page=291&amp;viewer=picture&amp;o=info&amp;n=0&amp;q=" xr:uid="{EA1C539A-3C84-4076-A75B-5400FDBD0CD6}"/>
    <hyperlink ref="R510" r:id="rId370" location="page=397&amp;viewer=picture&amp;o=info&amp;n=0&amp;q=" display="https://permalinkbnd.bnportugal.gov.pt/viewer/272668/?offset= - page=397&amp;viewer=picture&amp;o=info&amp;n=0&amp;q=" xr:uid="{0555BEF1-B79C-4700-BAEE-31411913DDCB}"/>
    <hyperlink ref="R511" r:id="rId371" location="page=10&amp;viewer=picture&amp;o=info&amp;n=0&amp;q=" display="https://permalinkbnd.bnportugal.gov.pt/viewer/277147/?offset= - page=10&amp;viewer=picture&amp;o=info&amp;n=0&amp;q=" xr:uid="{4AA83360-E724-4314-844E-223720C5B1C2}"/>
    <hyperlink ref="R514" r:id="rId372" location="page=11&amp;viewer=picture&amp;o=info&amp;n=0&amp;q=" display="https://permalinkbnd.bnportugal.gov.pt/viewer/276783/?offset= - page=11&amp;viewer=picture&amp;o=info&amp;n=0&amp;q=" xr:uid="{EC7ECC17-12E0-42B4-917C-CC6032690600}"/>
    <hyperlink ref="R515" r:id="rId373" location="page=180&amp;viewer=picture&amp;o=info&amp;n=0&amp;q=" display="https://permalinkbnd.bnportugal.gov.pt/viewer/276783/?offset= - page=180&amp;viewer=picture&amp;o=info&amp;n=0&amp;q=" xr:uid="{256A906C-D0E5-4677-8459-BD88A5495216}"/>
    <hyperlink ref="R516" r:id="rId374" location="page=5&amp;viewer=picture&amp;o=info&amp;n=0&amp;q=" display="https://permalinkbnd.bnportugal.gov.pt/viewer/276790/?offset= - page=5&amp;viewer=picture&amp;o=info&amp;n=0&amp;q=" xr:uid="{AA8D45D5-7EE1-4847-B954-AB219AF8DA79}"/>
    <hyperlink ref="R517" r:id="rId375" location="page=6&amp;viewer=picture&amp;o=info&amp;n=0&amp;q=" display="https://permalinkbnd.bnportugal.gov.pt/viewer/276790/?offset= - page=6&amp;viewer=picture&amp;o=info&amp;n=0&amp;q=" xr:uid="{C2DBEEE6-CC3B-4476-90F4-FD4AF451685C}"/>
    <hyperlink ref="R522" r:id="rId376" location="page=4&amp;viewer=picture&amp;o=info&amp;n=0&amp;q=" display="https://permalinkbnd.bnportugal.gov.pt/viewer/276785/?offset= - page=4&amp;viewer=picture&amp;o=info&amp;n=0&amp;q=" xr:uid="{950B7C67-0535-4596-AC7C-D3FE91B0C7B5}"/>
    <hyperlink ref="R523" r:id="rId377" location="page=162&amp;viewer=picture&amp;o=info&amp;n=0&amp;q=" display="https://permalinkbnd.bnportugal.gov.pt/viewer/276785/?offset= - page=162&amp;viewer=picture&amp;o=info&amp;n=0&amp;q=" xr:uid="{31431977-0207-4214-8B1F-702B6AF4DBF1}"/>
    <hyperlink ref="R524" r:id="rId378" location="page=6&amp;viewer=picture&amp;o=info&amp;n=0&amp;q=" display="https://permalinkbnd.bnportugal.gov.pt/viewer/276792/?offset= - page=6&amp;viewer=picture&amp;o=info&amp;n=0&amp;q=" xr:uid="{71179D2B-7226-4AEC-AE10-AAE1CADAD356}"/>
    <hyperlink ref="R525" r:id="rId379" location="page=10&amp;viewer=picture&amp;o=info&amp;n=0&amp;q=" display="https://permalinkbnd.bnportugal.gov.pt/viewer/279509/?offset= - page=10&amp;viewer=picture&amp;o=info&amp;n=0&amp;q=" xr:uid="{94A604B1-A852-4E2A-8860-7C0FE6132807}"/>
    <hyperlink ref="R526" r:id="rId380" location="page=10&amp;viewer=picture&amp;o=info&amp;n=0&amp;q=" display="https://permalinkbnd.bnportugal.gov.pt/viewer/279502/?offset= - page=10&amp;viewer=picture&amp;o=info&amp;n=0&amp;q=" xr:uid="{F3AB6959-3900-41C1-8A7D-99C5CAA617C2}"/>
    <hyperlink ref="R527" r:id="rId381" location="page=11&amp;viewer=picture&amp;o=info&amp;n=0&amp;q=" display="https://permalinkbnd.bnportugal.gov.pt/viewer/279513/?offset= - page=11&amp;viewer=picture&amp;o=info&amp;n=0&amp;q=" xr:uid="{F292E2D9-883F-4F16-802A-60888E15D67A}"/>
    <hyperlink ref="R528" r:id="rId382" location="page=21&amp;viewer=picture&amp;o=info&amp;n=0&amp;q=" display="https://permalinkbnd.bnportugal.gov.pt/viewer/279513/?offset= - page=21&amp;viewer=picture&amp;o=info&amp;n=0&amp;q=" xr:uid="{D58AF887-47DC-4E07-BBA7-18A2C6913EA4}"/>
    <hyperlink ref="R529" r:id="rId383" location="page=7&amp;viewer=picture&amp;o=info&amp;n=0&amp;q=" display="https://permalinkbnd.bnportugal.gov.pt/viewer/279512/?offset= - page=7&amp;viewer=picture&amp;o=info&amp;n=0&amp;q=" xr:uid="{1140AAF2-D3A2-4D60-A7C4-151FDF1A9865}"/>
    <hyperlink ref="R530" r:id="rId384" location="page=10&amp;viewer=picture&amp;o=info&amp;n=0&amp;q=" display="https://permalinkbnd.bnportugal.gov.pt/viewer/276787/?offset= - page=10&amp;viewer=picture&amp;o=info&amp;n=0&amp;q=" xr:uid="{157B1A6B-C63F-443A-A48A-19D81F1161D5}"/>
    <hyperlink ref="R531" r:id="rId385" location="page=1&amp;viewer=picture&amp;o=info&amp;n=0&amp;q=" display="https://permalinkbnd.bnportugal.gov.pt/viewer/275409/?offset= - page=1&amp;viewer=picture&amp;o=info&amp;n=0&amp;q=" xr:uid="{FBD85508-73D1-47B1-B10A-0AFE6B290558}"/>
    <hyperlink ref="R532" r:id="rId386" location="page=14&amp;viewer=picture&amp;o=info&amp;n=0&amp;q=" display="https://permalinkbnd.bnportugal.gov.pt/viewer/273746/?offset= - page=14&amp;viewer=picture&amp;o=info&amp;n=0&amp;q=" xr:uid="{3760BE66-960A-4120-A21A-43A125D29B97}"/>
    <hyperlink ref="R533" r:id="rId387" location="page=74&amp;viewer=picture&amp;o=info&amp;n=0&amp;q=" display="https://permalinkbnd.bnportugal.gov.pt/viewer/273746/?offset= - page=74&amp;viewer=picture&amp;o=info&amp;n=0&amp;q=" xr:uid="{B07CB89C-9C49-4D50-9C74-28CDEA2838CC}"/>
    <hyperlink ref="R534" r:id="rId388" location="page=89&amp;viewer=picture&amp;o=info&amp;n=0&amp;q=" display="https://permalinkbnd.bnportugal.gov.pt/viewer/273746/?offset= - page=89&amp;viewer=picture&amp;o=info&amp;n=0&amp;q=" xr:uid="{2DB46083-CFF7-45AC-B7B8-BE9D5989F379}"/>
    <hyperlink ref="R535" r:id="rId389" location="page=103&amp;viewer=picture&amp;o=info&amp;n=0&amp;q=" display="https://permalinkbnd.bnportugal.gov.pt/viewer/273746/?offset= - page=103&amp;viewer=picture&amp;o=info&amp;n=0&amp;q=" xr:uid="{AB812C41-3CBB-48A9-9A0E-40342475CC68}"/>
    <hyperlink ref="R541" r:id="rId390" location="page=10&amp;viewer=picture&amp;o=info&amp;n=0&amp;q=" display="https://permalinkbnd.bnportugal.gov.pt/viewer/275415/?offset= - page=10&amp;viewer=picture&amp;o=info&amp;n=0&amp;q=" xr:uid="{B7A60540-DA60-4D64-BE79-6D3F7CF630BC}"/>
    <hyperlink ref="R543" r:id="rId391" location="page=5&amp;viewer=picture&amp;o=info&amp;n=0&amp;q=" display="https://permalinkbnd.bnportugal.gov.pt/viewer/277335/?offset= - page=5&amp;viewer=picture&amp;o=info&amp;n=0&amp;q=" xr:uid="{2B3D8529-157A-4BA6-8002-5D9E0F264C1D}"/>
    <hyperlink ref="R544" r:id="rId392" location="page=8&amp;viewer=picture&amp;o=info&amp;n=0&amp;q=" display="https://permalinkbnd.bnportugal.gov.pt/viewer/273811/?offset= - page=8&amp;viewer=picture&amp;o=info&amp;n=0&amp;q=" xr:uid="{A45E83C1-FCBC-4D93-9B1A-444CCD9FB42A}"/>
    <hyperlink ref="R546" r:id="rId393" location="page=49&amp;viewer=picture&amp;o=info&amp;n=0&amp;q=" display="https://permalinkbnd.bnportugal.gov.pt/viewer/273796/?offset= - page=49&amp;viewer=picture&amp;o=info&amp;n=0&amp;q=" xr:uid="{FE680CF0-B331-44B2-BE4D-FAAF6E66D697}"/>
    <hyperlink ref="R547" r:id="rId394" location="page=51&amp;viewer=picture&amp;o=info&amp;n=0&amp;q=" display="https://permalinkbnd.bnportugal.gov.pt/viewer/273796/?offset= - page=51&amp;viewer=picture&amp;o=info&amp;n=0&amp;q=" xr:uid="{FB8C0534-A21F-44D8-9A42-777F76590298}"/>
    <hyperlink ref="R548" r:id="rId395" location="page=10&amp;viewer=picture&amp;o=info&amp;n=0&amp;q=" display="https://permalinkbnd.bnportugal.gov.pt/viewer/273101/?offset= - page=10&amp;viewer=picture&amp;o=info&amp;n=0&amp;q=" xr:uid="{9B2F1CB6-6462-4ECF-BDEF-C9C0DAE8A38C}"/>
    <hyperlink ref="R553" r:id="rId396" location="page=10&amp;viewer=picture&amp;o=info&amp;n=0&amp;q=" display="https://permalinkbnd.bnportugal.gov.pt/viewer/277366/?offset= - page=10&amp;viewer=picture&amp;o=info&amp;n=0&amp;q=" xr:uid="{E5B01BE2-BD0E-4BA2-B3AA-5FEB4D3283E0}"/>
    <hyperlink ref="R555" r:id="rId397" location="page=9&amp;viewer=picture&amp;o=info&amp;n=0&amp;q=" display="https://permalinkbnd.bnportugal.gov.pt/viewer/277369/?offset= - page=9&amp;viewer=picture&amp;o=info&amp;n=0&amp;q=" xr:uid="{C33B2DF6-AA99-4C9F-9738-DBF433F5207E}"/>
    <hyperlink ref="R557" r:id="rId398" location="page=15&amp;viewer=picture&amp;o=info&amp;n=0&amp;q=" display="https://permalinkbnd.bnportugal.gov.pt/viewer/277364/?offset= - page=15&amp;viewer=picture&amp;o=info&amp;n=0&amp;q=" xr:uid="{C0A0E188-FB72-4091-9FF7-87090247722C}"/>
    <hyperlink ref="R558" r:id="rId399" location="page=8&amp;viewer=picture&amp;o=info&amp;n=0&amp;q=" display="https://permalinkbnd.bnportugal.gov.pt/viewer/277455/?offset= - page=8&amp;viewer=picture&amp;o=info&amp;n=0&amp;q=" xr:uid="{01FD6141-3BC5-4A05-8FD7-DCE773A58075}"/>
    <hyperlink ref="R559" r:id="rId400" location="page=77&amp;viewer=picture&amp;o=info&amp;n=0&amp;q=" display="https://permalinkbnd.bnportugal.gov.pt/viewer/277455/?offset= - page=77&amp;viewer=picture&amp;o=info&amp;n=0&amp;q=" xr:uid="{2671D009-BAA4-4C1B-9E81-AD41871447CD}"/>
    <hyperlink ref="R563" r:id="rId401" location="page=23&amp;viewer=picture&amp;o=info&amp;n=0&amp;q=" display="https://permalinkbnd.bnportugal.gov.pt/viewer/273117/?offset= - page=23&amp;viewer=picture&amp;o=info&amp;n=0&amp;q=" xr:uid="{8B73C80E-18F2-481E-B60E-17A6BEF7C8EC}"/>
    <hyperlink ref="R564" r:id="rId402" location="page=79&amp;viewer=picture&amp;o=info&amp;n=0&amp;q=" display="https://permalinkbnd.bnportugal.gov.pt/viewer/273117/?offset= - page=79&amp;viewer=picture&amp;o=info&amp;n=0&amp;q=" xr:uid="{98E0A0A0-EAFE-4918-BCD6-80BEB3B8966D}"/>
    <hyperlink ref="R565" r:id="rId403" location="page=139&amp;viewer=picture&amp;o=info&amp;n=0&amp;q=" display="https://permalinkbnd.bnportugal.gov.pt/viewer/273117/?offset= - page=139&amp;viewer=picture&amp;o=info&amp;n=0&amp;q=" xr:uid="{90C07D23-8AF2-441D-8B74-29DC8C0057CE}"/>
    <hyperlink ref="R566" r:id="rId404" location="page=141&amp;viewer=picture&amp;o=info&amp;n=0&amp;q=" display="https://permalinkbnd.bnportugal.gov.pt/viewer/273117/?offset= - page=141&amp;viewer=picture&amp;o=info&amp;n=0&amp;q=" xr:uid="{9288E46B-60C5-4101-9AB3-576412DAE10E}"/>
    <hyperlink ref="R567" r:id="rId405" location="page=213&amp;viewer=picture&amp;o=info&amp;n=0&amp;q=" display="https://permalinkbnd.bnportugal.gov.pt/viewer/273117/?offset= - page=213&amp;viewer=picture&amp;o=info&amp;n=0&amp;q=" xr:uid="{E21D6165-8C00-4984-BB8F-BDA735B535D8}"/>
    <hyperlink ref="R568" r:id="rId406" location="page=215&amp;viewer=picture&amp;o=info&amp;n=0&amp;q=" display="https://permalinkbnd.bnportugal.gov.pt/viewer/273117/?offset= - page=215&amp;viewer=picture&amp;o=info&amp;n=0&amp;q=" xr:uid="{5003B270-1453-4D99-91C1-ABB66A41EFDC}"/>
    <hyperlink ref="R569" r:id="rId407" location="page=269&amp;viewer=picture&amp;o=info&amp;n=0&amp;q=" display="https://permalinkbnd.bnportugal.gov.pt/viewer/273117/?offset= - page=269&amp;viewer=picture&amp;o=info&amp;n=0&amp;q=" xr:uid="{DFC07604-333E-4A92-9F26-95C612305C93}"/>
    <hyperlink ref="R570" r:id="rId408" location="page=271&amp;viewer=picture&amp;o=info&amp;n=0&amp;q=" display="https://permalinkbnd.bnportugal.gov.pt/viewer/273117/?offset= - page=271&amp;viewer=picture&amp;o=info&amp;n=0&amp;q=" xr:uid="{CC98E619-F827-4A32-B4FF-CEE7ADA90F7D}"/>
    <hyperlink ref="R571" r:id="rId409" location="page=10&amp;viewer=picture&amp;o=info&amp;n=0&amp;q=" display="https://permalinkbnd.bnportugal.gov.pt/viewer/273120/?offset= - page=10&amp;viewer=picture&amp;o=info&amp;n=0&amp;q=" xr:uid="{DB09AB2E-FAA9-44EA-B190-8F188AC3742E}"/>
    <hyperlink ref="R574" r:id="rId410" location="page=7&amp;viewer=picture&amp;o=info&amp;n=0&amp;q=" display="https://permalinkbnd.bnportugal.gov.pt/viewer/277449/?offset= - page=7&amp;viewer=picture&amp;o=info&amp;n=0&amp;q=" xr:uid="{525C59FB-F8D4-4D9B-A9CE-A21C07EC68BC}"/>
    <hyperlink ref="R575" r:id="rId411" location="page=45&amp;viewer=picture&amp;o=info&amp;n=0&amp;q=" display="https://permalinkbnd.bnportugal.gov.pt/viewer/277452/?offset= - page=45&amp;viewer=picture&amp;o=info&amp;n=0&amp;q=" xr:uid="{7C83D827-7942-4AC7-B9EA-EDE2DF23F3D8}"/>
    <hyperlink ref="R576" r:id="rId412" location="page=47&amp;viewer=picture&amp;o=info&amp;n=0&amp;q=" display="https://permalinkbnd.bnportugal.gov.pt/viewer/277452/?offset= - page=47&amp;viewer=picture&amp;o=info&amp;n=0&amp;q=" xr:uid="{30B1E9C9-65F1-475F-951E-E4C9E2CE7E8F}"/>
    <hyperlink ref="R578" r:id="rId413" location="page=77&amp;viewer=picture&amp;o=info&amp;n=0&amp;q=" display="https://permalinkbnd.bnportugal.gov.pt/viewer/277452/?offset= - page=77&amp;viewer=picture&amp;o=info&amp;n=0&amp;q=" xr:uid="{5053C755-74EF-48A6-90C1-D2D3D141B7A3}"/>
    <hyperlink ref="R579" r:id="rId414" location="page=105&amp;viewer=picture&amp;o=info&amp;n=0&amp;q=" display="https://permalinkbnd.bnportugal.gov.pt/viewer/277452/?offset= - page=105&amp;viewer=picture&amp;o=info&amp;n=0&amp;q=" xr:uid="{D051E3AA-A7D3-4882-8B77-D1BE1138DC4B}"/>
    <hyperlink ref="R580" r:id="rId415" location="page=131&amp;viewer=picture&amp;o=info&amp;n=0&amp;q=" display="https://permalinkbnd.bnportugal.gov.pt/viewer/277452/?offset= - page=131&amp;viewer=picture&amp;o=info&amp;n=0&amp;q=" xr:uid="{B6B7ABB3-04B7-4A6B-855D-F34E8B0BCA4D}"/>
    <hyperlink ref="R581" r:id="rId416" location="page=227&amp;viewer=picture&amp;o=info&amp;n=0&amp;q=" display="https://permalinkbnd.bnportugal.gov.pt/viewer/277452/?offset= - page=227&amp;viewer=picture&amp;o=info&amp;n=0&amp;q=" xr:uid="{220E21B9-97A2-47C3-A79E-A53B3F9D62A6}"/>
    <hyperlink ref="R582" r:id="rId417" location="page=473&amp;viewer=picture&amp;o=info&amp;n=0&amp;q=" display="https://permalinkbnd.bnportugal.gov.pt/viewer/277452/?offset= - page=473&amp;viewer=picture&amp;o=info&amp;n=0&amp;q=" xr:uid="{1C91BA52-D8A9-4E26-92C4-CEFBEA32A059}"/>
    <hyperlink ref="R583" r:id="rId418" location="page=493&amp;viewer=picture&amp;o=info&amp;n=0&amp;q=" display="https://permalinkbnd.bnportugal.gov.pt/viewer/277452/?offset= - page=493&amp;viewer=picture&amp;o=info&amp;n=0&amp;q=" xr:uid="{524E4989-8A98-4067-8EB3-2051B0568E01}"/>
    <hyperlink ref="R584" r:id="rId419" location="page=10&amp;viewer=picture&amp;o=info&amp;n=0&amp;q=" display="https://permalinkbnd.bnportugal.gov.pt/viewer/277482/?offset= - page=10&amp;viewer=picture&amp;o=info&amp;n=0&amp;q=" xr:uid="{D301AC3C-E90D-4019-A9CB-E84A95C35481}"/>
    <hyperlink ref="R585" r:id="rId420" location="page=12&amp;viewer=picture&amp;o=info&amp;n=0&amp;q=" display="https://permalinkbnd.bnportugal.gov.pt/viewer/277488/?offset= - page=12&amp;viewer=picture&amp;o=info&amp;n=0&amp;q=" xr:uid="{C3EF8D24-4034-4B8F-9AA7-0EB7940FF364}"/>
    <hyperlink ref="R586" r:id="rId421" location="page=9&amp;viewer=picture&amp;o=info&amp;n=0&amp;q=" display="https://permalinkbnd.bnportugal.gov.pt/viewer/272638/?offset= - page=9&amp;viewer=picture&amp;o=info&amp;n=0&amp;q=" xr:uid="{1D8B4A55-60B2-4114-9236-16B6BD78419A}"/>
    <hyperlink ref="R587" r:id="rId422" location="page=27&amp;viewer=picture&amp;o=info&amp;n=0&amp;q=" display="https://permalinkbnd.bnportugal.gov.pt/viewer/272638/?offset= - page=27&amp;viewer=picture&amp;o=info&amp;n=0&amp;q=" xr:uid="{1BF2B5E7-23EF-4CD4-A21E-8FF0B551DD30}"/>
    <hyperlink ref="R588" r:id="rId423" location="page=404&amp;viewer=picture&amp;o=info&amp;n=0&amp;q=" display="https://permalinkbnd.bnportugal.gov.pt/viewer/272638/?offset= - page=404&amp;viewer=picture&amp;o=info&amp;n=0&amp;q=" xr:uid="{C577CD65-4488-425D-A970-FEF1F3E6525B}"/>
    <hyperlink ref="R589" r:id="rId424" location="page=1&amp;viewer=picture&amp;o=info&amp;n=0&amp;q=" display="https://permalinkbnd.bnportugal.gov.pt/viewer/273872/?offset= - page=1&amp;viewer=picture&amp;o=info&amp;n=0&amp;q=" xr:uid="{0468FC25-77EE-4BC6-91E1-A80985EF0592}"/>
    <hyperlink ref="R590" r:id="rId425" location="page=8&amp;viewer=picture&amp;o=info&amp;n=0&amp;q=" display="https://permalinkbnd.bnportugal.gov.pt/viewer/277739/?offset= - page=8&amp;viewer=picture&amp;o=info&amp;n=0&amp;q=" xr:uid="{816687BA-B7B4-41BC-B31C-35570774DD8A}"/>
    <hyperlink ref="R592" r:id="rId426" location="page=12&amp;viewer=picture&amp;o=info&amp;n=0&amp;q=" display="https://permalinkbnd.bnportugal.gov.pt/viewer/273879/?offset= - page=12&amp;viewer=picture&amp;o=info&amp;n=0&amp;q=" xr:uid="{313F63E5-B215-4186-9387-FB4F842A9C89}"/>
    <hyperlink ref="R593" r:id="rId427" location="page=31&amp;viewer=picture&amp;o=info&amp;n=0&amp;q=" display="https://permalinkbnd.bnportugal.gov.pt/viewer/273869/?offset= - page=31&amp;viewer=picture&amp;o=info&amp;n=0&amp;q=" xr:uid="{76297029-D529-47E7-B2B5-A047296796A0}"/>
    <hyperlink ref="R594" r:id="rId428" location="page=35&amp;viewer=picture&amp;o=info&amp;n=0&amp;q=" display="https://permalinkbnd.bnportugal.gov.pt/viewer/273869/?offset= - page=35&amp;viewer=picture&amp;o=info&amp;n=0&amp;q=" xr:uid="{9E423C81-84DD-4D7F-8B1E-3472F7255070}"/>
    <hyperlink ref="R595" r:id="rId429" location="page=39&amp;viewer=picture&amp;o=info&amp;n=0&amp;q=" display="https://permalinkbnd.bnportugal.gov.pt/viewer/273869/?offset= - page=39&amp;viewer=picture&amp;o=info&amp;n=0&amp;q=" xr:uid="{5A9CD454-16D0-41F9-A271-BE690CECE40A}"/>
    <hyperlink ref="R596" r:id="rId430" location="page=40&amp;viewer=picture&amp;o=info&amp;n=0&amp;q=" display="https://permalinkbnd.bnportugal.gov.pt/viewer/273869/?offset= - page=40&amp;viewer=picture&amp;o=info&amp;n=0&amp;q=" xr:uid="{7627894A-0EDE-43E1-A7DE-2E2BFDE82E92}"/>
    <hyperlink ref="R597" r:id="rId431" location="page=41&amp;viewer=picture&amp;o=info&amp;n=0&amp;q=" display="https://permalinkbnd.bnportugal.gov.pt/viewer/273869/?offset= - page=41&amp;viewer=picture&amp;o=info&amp;n=0&amp;q=" xr:uid="{D47099CB-A6BC-43D7-9F90-1A86BB9323FF}"/>
    <hyperlink ref="R598" r:id="rId432" location="page=52&amp;viewer=picture&amp;o=info&amp;n=0&amp;q=" display="https://permalinkbnd.bnportugal.gov.pt/viewer/273869/?offset= - page=52&amp;viewer=picture&amp;o=info&amp;n=0&amp;q=" xr:uid="{6CE78A70-3D39-4AC1-A56E-D530F31C215D}"/>
    <hyperlink ref="R599" r:id="rId433" location="page=58&amp;viewer=picture&amp;o=info&amp;n=0&amp;q=" display="https://permalinkbnd.bnportugal.gov.pt/viewer/273869/?offset= - page=58&amp;viewer=picture&amp;o=info&amp;n=0&amp;q=" xr:uid="{D2A9CCFE-6613-4037-B917-1F42368B68EE}"/>
    <hyperlink ref="R600" r:id="rId434" location="page=92&amp;viewer=picture&amp;o=info&amp;n=0&amp;q=" display="https://permalinkbnd.bnportugal.gov.pt/viewer/273869/?offset= - page=92&amp;viewer=picture&amp;o=info&amp;n=0&amp;q=" xr:uid="{5C6C50FE-A530-40F2-BD59-045526136FA9}"/>
    <hyperlink ref="R601" r:id="rId435" location="page=115&amp;viewer=picture&amp;o=info&amp;n=0&amp;q=" display="https://permalinkbnd.bnportugal.gov.pt/viewer/273869/?offset= - page=115&amp;viewer=picture&amp;o=info&amp;n=0&amp;q=" xr:uid="{4072AA12-82F7-4066-9971-02CC7D7CDFEC}"/>
    <hyperlink ref="R602" r:id="rId436" location="page=139&amp;viewer=picture&amp;o=info&amp;n=0&amp;q=" display="https://permalinkbnd.bnportugal.gov.pt/viewer/273869/?offset= - page=139&amp;viewer=picture&amp;o=info&amp;n=0&amp;q=" xr:uid="{94C9A78F-F1A1-4E0E-BC51-2D4AFB325385}"/>
    <hyperlink ref="R603" r:id="rId437" location="page=155&amp;viewer=picture&amp;o=info&amp;n=0&amp;q=" display="https://permalinkbnd.bnportugal.gov.pt/viewer/273869/?offset= - page=155&amp;viewer=picture&amp;o=info&amp;n=0&amp;q=" xr:uid="{7FF4A474-B439-4141-94FF-7410BF56C645}"/>
    <hyperlink ref="R604" r:id="rId438" location="page=7&amp;viewer=picture&amp;o=info&amp;n=0&amp;q=" display="https://permalinkbnd.bnportugal.gov.pt/viewer/277738/?offset= - page=7&amp;viewer=picture&amp;o=info&amp;n=0&amp;q=" xr:uid="{6DAD3184-0EC5-45AE-8D8B-CE5A586B1AEB}"/>
    <hyperlink ref="R605" r:id="rId439" location="page=10&amp;viewer=picture&amp;o=info&amp;n=0&amp;q=" display="https://permalinkbnd.bnportugal.gov.pt/viewer/273912/?offset= - page=10&amp;viewer=picture&amp;o=info&amp;n=0&amp;q=" xr:uid="{7B4EADA4-8694-4057-9FEE-C27B77E78A8E}"/>
    <hyperlink ref="R606" r:id="rId440" location="page=271&amp;viewer=picture&amp;o=info&amp;n=0&amp;q=" display="https://permalinkbnd.bnportugal.gov.pt/viewer/273912/?offset= - page=271&amp;viewer=picture&amp;o=info&amp;n=0&amp;q=" xr:uid="{454F4282-6A9F-4AF7-9A35-4EB97ECDBD51}"/>
    <hyperlink ref="R607" r:id="rId441" location="page=12&amp;viewer=picture&amp;o=info&amp;n=0&amp;q=" display="https://permalinkbnd.bnportugal.gov.pt/viewer/272639/?offset= - page=12&amp;viewer=picture&amp;o=info&amp;n=0&amp;q=" xr:uid="{6817E71A-BCA7-477E-9BBC-55397ADAB6C0}"/>
    <hyperlink ref="R609" r:id="rId442" location="page=173&amp;viewer=picture&amp;o=info&amp;n=0&amp;q=" display="https://permalinkbnd.bnportugal.gov.pt/viewer/272639/?offset= - page=173&amp;viewer=picture&amp;o=info&amp;n=0&amp;q=" xr:uid="{4181CBE9-E8E5-4E23-9372-FE8609E857C9}"/>
    <hyperlink ref="R610" r:id="rId443" location="page=363&amp;viewer=picture&amp;o=info&amp;n=0&amp;q=" display="https://permalinkbnd.bnportugal.gov.pt/viewer/272639/?offset= - page=363&amp;viewer=picture&amp;o=info&amp;n=0&amp;q=" xr:uid="{E0793556-4D83-4299-8AC9-DA85B3FA535B}"/>
    <hyperlink ref="R611" r:id="rId444" location="page=391&amp;viewer=picture&amp;o=info&amp;n=0&amp;q=" display="https://permalinkbnd.bnportugal.gov.pt/viewer/272639/?offset= - page=391&amp;viewer=picture&amp;o=info&amp;n=0&amp;q=" xr:uid="{CB83AB37-6639-46F6-8749-25C987A04248}"/>
    <hyperlink ref="R612" r:id="rId445" location="page=1&amp;viewer=picture&amp;o=info&amp;n=0&amp;q=" display="https://permalinkbnd.bnportugal.gov.pt/viewer/277836/?offset= - page=1&amp;viewer=picture&amp;o=info&amp;n=0&amp;q=" xr:uid="{98BA5E02-91AD-415B-952D-4F05A65AB4FA}"/>
    <hyperlink ref="R613" r:id="rId446" location="page=10&amp;viewer=picture&amp;o=info&amp;n=0&amp;q=" display="https://permalinkbnd.bnportugal.gov.pt/viewer/277820/?offset= - page=10&amp;viewer=picture&amp;o=info&amp;n=0&amp;q=" xr:uid="{47231103-1991-4FF5-82E7-1D21468EBB22}"/>
    <hyperlink ref="R614" r:id="rId447" location="page=8&amp;viewer=picture&amp;o=info&amp;n=0&amp;q=" display="https://permalinkbnd.bnportugal.gov.pt/viewer/277966/?offset= - page=8&amp;viewer=picture&amp;o=info&amp;n=0&amp;q=" xr:uid="{2D443098-1C5D-4722-BFF6-F78FBB9F23AF}"/>
    <hyperlink ref="R615" r:id="rId448" location="page=118&amp;viewer=picture&amp;o=info&amp;n=0&amp;q=" display="https://permalinkbnd.bnportugal.gov.pt/viewer/277966/?offset= - page=118&amp;viewer=picture&amp;o=info&amp;n=0&amp;q=" xr:uid="{355D5D40-6FBC-4003-913C-B626FDC3882A}"/>
    <hyperlink ref="R616" r:id="rId449" location="page=24&amp;viewer=picture&amp;o=info&amp;n=0&amp;q=" display="https://permalinkbnd.bnportugal.gov.pt/viewer/278039/?offset= - page=24&amp;viewer=picture&amp;o=info&amp;n=0&amp;q=" xr:uid="{14D052E5-6A55-4F40-9FE3-F43FB3DFC91C}"/>
    <hyperlink ref="R617" r:id="rId450" location="page=8&amp;viewer=picture&amp;o=info&amp;n=0&amp;q=" display="https://permalinkbnd.bnportugal.gov.pt/viewer/278038/?offset= - page=8&amp;viewer=picture&amp;o=info&amp;n=0&amp;q=" xr:uid="{4BA5FD4D-A49E-4149-AC05-E12548BA24F3}"/>
    <hyperlink ref="R618" r:id="rId451" location="page=303&amp;viewer=picture&amp;o=info&amp;n=0&amp;q=" display="https://permalinkbnd.bnportugal.gov.pt/viewer/278038/?offset= - page=303&amp;viewer=picture&amp;o=info&amp;n=0&amp;q=" xr:uid="{230302A6-84B2-4AE1-AD12-1D0596C263EB}"/>
    <hyperlink ref="R619" r:id="rId452" location="page=68&amp;viewer=picture&amp;o=info&amp;n=0&amp;q=" display="https://permalinkbnd.bnportugal.gov.pt/viewer/278031/?offset= - page=68&amp;viewer=picture&amp;o=info&amp;n=0&amp;q=" xr:uid="{0E26BCD9-0CC1-49E6-90E2-6E6CB3162B2F}"/>
    <hyperlink ref="R620" r:id="rId453" location="page=1&amp;viewer=picture&amp;o=info&amp;n=0&amp;q=" display="https://permalinkbnd.bnportugal.gov.pt/viewer/278032/?offset= - page=1&amp;viewer=picture&amp;o=info&amp;n=0&amp;q=" xr:uid="{D93D5E82-1C9A-4850-8483-8FFB4301208A}"/>
    <hyperlink ref="R621" r:id="rId454" location="page=136&amp;viewer=picture&amp;o=info&amp;n=0&amp;q=" display="https://permalinkbnd.bnportugal.gov.pt/viewer/278097/?offset= - page=136&amp;viewer=picture&amp;o=info&amp;n=0&amp;q=" xr:uid="{11BEB787-7398-4BBF-B9C5-9EE2ADC3F226}"/>
    <hyperlink ref="R622" r:id="rId455" location="page=138&amp;viewer=picture&amp;o=info&amp;n=0&amp;q=" display="https://permalinkbnd.bnportugal.gov.pt/viewer/278097/?offset= - page=138&amp;viewer=picture&amp;o=info&amp;n=0&amp;q=" xr:uid="{8D48B217-7FC5-42EA-9A1E-E033D1F5BE85}"/>
    <hyperlink ref="R623" r:id="rId456" location="page=140&amp;viewer=picture&amp;o=info&amp;n=0&amp;q=" display="https://permalinkbnd.bnportugal.gov.pt/viewer/278097/?offset= - page=140&amp;viewer=picture&amp;o=info&amp;n=0&amp;q=" xr:uid="{FAA06248-9054-4056-80F2-47761426409A}"/>
    <hyperlink ref="R624" r:id="rId457" location="page=142&amp;viewer=picture&amp;o=info&amp;n=0&amp;q=" display="https://permalinkbnd.bnportugal.gov.pt/viewer/278097/?offset= - page=142&amp;viewer=picture&amp;o=info&amp;n=0&amp;q=" xr:uid="{A312E73D-9A80-4829-81A5-CE124E4EEC7A}"/>
    <hyperlink ref="R625" r:id="rId458" location="page=144&amp;viewer=picture&amp;o=info&amp;n=0&amp;q=" display="https://permalinkbnd.bnportugal.gov.pt/viewer/278097/?offset= - page=144&amp;viewer=picture&amp;o=info&amp;n=0&amp;q=" xr:uid="{AA447438-E5D6-4BFB-BCF6-8880FC64030F}"/>
    <hyperlink ref="R626" r:id="rId459" location="page=8&amp;viewer=picture&amp;o=info&amp;n=0&amp;q=" display="https://permalinkbnd.bnportugal.gov.pt/viewer/278099/?offset= - page=8&amp;viewer=picture&amp;o=info&amp;n=0&amp;q=" xr:uid="{AB6F4289-696C-4845-910B-75B42176FFEC}"/>
    <hyperlink ref="R627" r:id="rId460" location="page=5&amp;viewer=picture&amp;o=info&amp;n=0&amp;q=" display="https://permalinkbnd.bnportugal.gov.pt/viewer/1897/?offset= - page=5&amp;viewer=picture&amp;o=info&amp;n=0&amp;q=" xr:uid="{C1051568-372F-4AD6-8303-3B080F348F25}"/>
    <hyperlink ref="R628" r:id="rId461" location="page=39&amp;viewer=picture&amp;o=info&amp;n=0&amp;q=" display="https://permalinkbnd.bnportugal.gov.pt/viewer/1897/?offset= - page=39&amp;viewer=picture&amp;o=info&amp;n=0&amp;q=" xr:uid="{24755D9D-74EF-447B-907F-2427A8DF1562}"/>
    <hyperlink ref="R629" r:id="rId462" location="page=71&amp;viewer=picture&amp;o=info&amp;n=0&amp;q=" display="https://permalinkbnd.bnportugal.gov.pt/viewer/1897/?offset= - page=71&amp;viewer=picture&amp;o=info&amp;n=0&amp;q=" xr:uid="{4ECDC384-8613-4E2E-86AF-36EF1735EF1A}"/>
    <hyperlink ref="R630" r:id="rId463" location="page=151&amp;viewer=picture&amp;o=info&amp;n=0&amp;q=" display="https://permalinkbnd.bnportugal.gov.pt/viewer/1897/?offset= - page=151&amp;viewer=picture&amp;o=info&amp;n=0&amp;q=" xr:uid="{34A66AB0-266B-47C2-80BE-569D5A227A1A}"/>
    <hyperlink ref="R631" r:id="rId464" location="page=9&amp;viewer=picture&amp;o=info&amp;n=0&amp;q=" display="https://permalinkbnd.bnportugal.gov.pt/viewer/278157/?offset= - page=9&amp;viewer=picture&amp;o=info&amp;n=0&amp;q=" xr:uid="{0A8638D0-B832-42C6-BEFD-E4302AD9CF5A}"/>
    <hyperlink ref="R633" r:id="rId465" location="page=11&amp;viewer=picture&amp;o=info&amp;n=0&amp;q=" display="https://permalinkbnd.bnportugal.gov.pt/viewer/278157/?offset= - page=11&amp;viewer=picture&amp;o=info&amp;n=0&amp;q=" xr:uid="{58468DDD-58FE-4CEB-B79C-6D0F6DC05353}"/>
    <hyperlink ref="R659" r:id="rId466" location="page=37&amp;viewer=picture&amp;o=info&amp;n=0&amp;q=" display="https://permalinkbnd.bnportugal.gov.pt/viewer/278157/?offset= - page=37&amp;viewer=picture&amp;o=info&amp;n=0&amp;q=" xr:uid="{59410ED4-18F2-45D0-9781-D8EA52AA5924}"/>
    <hyperlink ref="R660" r:id="rId467" location="page=13&amp;viewer=picture&amp;o=info&amp;n=0&amp;q=" display="https://permalinkbnd.bnportugal.gov.pt/viewer/278166/?offset= - page=13&amp;viewer=picture&amp;o=info&amp;n=0&amp;q=" xr:uid="{46E46415-6F07-42F1-B6D9-1841BE3D6D6D}"/>
    <hyperlink ref="R661" r:id="rId468" location="page=15&amp;viewer=picture&amp;o=info&amp;n=0&amp;q=" display="https://permalinkbnd.bnportugal.gov.pt/viewer/278166/?offset= - page=15&amp;viewer=picture&amp;o=info&amp;n=0&amp;q=" xr:uid="{859797E1-5630-4EFB-8A85-38DE64F6C579}"/>
    <hyperlink ref="R662" r:id="rId469" location="page=6&amp;viewer=picture&amp;o=info&amp;n=0&amp;q=" display="https://permalinkbnd.bnportugal.gov.pt/viewer/278323/?offset= - page=6&amp;viewer=picture&amp;o=info&amp;n=0&amp;q=" xr:uid="{AFAC4FE3-B8C1-4C68-BD06-78462695683E}"/>
    <hyperlink ref="R663" r:id="rId470" location="page=7&amp;viewer=picture&amp;o=info&amp;n=0&amp;q=" display="https://permalinkbnd.bnportugal.gov.pt/viewer/278325/?offset= - page=7&amp;viewer=picture&amp;o=info&amp;n=0&amp;q=" xr:uid="{CD294160-7541-46F5-B087-540818530635}"/>
    <hyperlink ref="R664" r:id="rId471" location="page=12&amp;viewer=picture&amp;o=info&amp;n=0&amp;q=" display="https://permalinkbnd.bnportugal.gov.pt/viewer/278334/?offset= - page=12&amp;viewer=picture&amp;o=info&amp;n=0&amp;q=" xr:uid="{02E5A5FC-6BE1-48A8-9C22-755C3402C66C}"/>
    <hyperlink ref="R665" r:id="rId472" location="page=12&amp;viewer=picture&amp;o=info&amp;n=0&amp;q=" display="https://permalinkbnd.bnportugal.gov.pt/viewer/273607/?offset= - page=12&amp;viewer=picture&amp;o=info&amp;n=0&amp;q=" xr:uid="{05979E5E-2F43-4516-BF00-3D5DA6F3D185}"/>
    <hyperlink ref="R666" r:id="rId473" location="page=7&amp;viewer=picture&amp;o=info&amp;n=0&amp;q=" display="https://permalinkbnd.bnportugal.gov.pt/viewer/273178/?offset= - page=7&amp;viewer=picture&amp;o=info&amp;n=0&amp;q=" xr:uid="{60695094-4FFC-4D46-97FE-6A29771837D6}"/>
    <hyperlink ref="R667" r:id="rId474" location="page=20&amp;viewer=picture&amp;o=info&amp;n=0&amp;q=" display="https://permalinkbnd.bnportugal.gov.pt/viewer/273178/?offset= - page=20&amp;viewer=picture&amp;o=info&amp;n=0&amp;q=" xr:uid="{A41CE663-7362-4374-864C-8561C41F8E30}"/>
    <hyperlink ref="R668" r:id="rId475" location="page=34&amp;viewer=picture&amp;o=info&amp;n=0&amp;q=" display="https://permalinkbnd.bnportugal.gov.pt/viewer/273178/?offset= - page=34&amp;viewer=picture&amp;o=info&amp;n=0&amp;q=" xr:uid="{5AABD330-F33E-42B4-AAF8-8C90FBAF3AED}"/>
    <hyperlink ref="R669" r:id="rId476" location="page=48&amp;viewer=picture&amp;o=info&amp;n=0&amp;q=" display="https://permalinkbnd.bnportugal.gov.pt/viewer/273178/?offset= - page=48&amp;viewer=picture&amp;o=info&amp;n=0&amp;q=" xr:uid="{1328850F-EFC3-4A66-A970-697C05569EF9}"/>
    <hyperlink ref="R670" r:id="rId477" location="page=85&amp;viewer=picture&amp;o=info&amp;n=0&amp;q=" display="https://permalinkbnd.bnportugal.gov.pt/viewer/273178/?offset= - page=85&amp;viewer=picture&amp;o=info&amp;n=0&amp;q=" xr:uid="{8A0092FD-0BB4-4B25-A090-1EAA9D6362AE}"/>
    <hyperlink ref="R671" r:id="rId478" location="page=90&amp;viewer=picture&amp;o=info&amp;n=0&amp;q=" display="https://permalinkbnd.bnportugal.gov.pt/viewer/273178/?offset= - page=90&amp;viewer=picture&amp;o=info&amp;n=0&amp;q=" xr:uid="{D3F6EB36-486E-484C-90B5-2404B268BBF4}"/>
    <hyperlink ref="R672" r:id="rId479" location="page=1&amp;viewer=picture&amp;o=info&amp;n=0&amp;q=" display="https://permalinkbnd.bnportugal.gov.pt/viewer/273317/?offset= - page=1&amp;viewer=picture&amp;o=info&amp;n=0&amp;q=" xr:uid="{47BCEB80-DB3E-4112-A360-C964B9593573}"/>
    <hyperlink ref="R679" r:id="rId480" location="page=35&amp;viewer=picture&amp;o=info&amp;n=0&amp;q=" display="https://permalinkbnd.bnportugal.gov.pt/viewer/1/?offset= - page=35&amp;viewer=picture&amp;o=info&amp;n=0&amp;q=" xr:uid="{5D5F1D63-5010-4336-8DD3-BE72DE98AE0A}"/>
    <hyperlink ref="R688" r:id="rId481" location="page=10&amp;viewer=picture&amp;o=info&amp;n=0&amp;q=" display="https://permalinkbnd.bnportugal.gov.pt/viewer/273944/?offset= - page=10&amp;viewer=picture&amp;o=info&amp;n=0&amp;q=" xr:uid="{38CE2AE3-A222-4502-B18C-29C125D66563}"/>
    <hyperlink ref="R690" r:id="rId482" location="page=103&amp;viewer=picture&amp;o=info&amp;n=0&amp;q=" display="https://permalinkbnd.bnportugal.gov.pt/viewer/273944/?offset= - page=103&amp;viewer=picture&amp;o=info&amp;n=0&amp;q=" xr:uid="{3423CBB7-94A5-4938-9D1F-105CCDA61664}"/>
    <hyperlink ref="R691" r:id="rId483" location="page=107&amp;viewer=picture&amp;o=info&amp;n=0&amp;q=" display="https://permalinkbnd.bnportugal.gov.pt/viewer/273944/?offset= - page=107&amp;viewer=picture&amp;o=info&amp;n=0&amp;q=" xr:uid="{CA7CCB93-823D-47D4-AFE9-3539820048B5}"/>
    <hyperlink ref="R693" r:id="rId484" location="page=145&amp;viewer=picture&amp;o=info&amp;n=0&amp;q=" display="https://permalinkbnd.bnportugal.gov.pt/viewer/273944/?offset= - page=145&amp;viewer=picture&amp;o=info&amp;n=0&amp;q=" xr:uid="{4E6429AA-D9FE-4514-873B-55EA3FA46960}"/>
    <hyperlink ref="R694" r:id="rId485" location="page=185&amp;viewer=picture&amp;o=info&amp;n=0&amp;q=" display="https://permalinkbnd.bnportugal.gov.pt/viewer/273944/?offset= - page=185&amp;viewer=picture&amp;o=info&amp;n=0&amp;q=" xr:uid="{02119B49-0E0E-4B23-ADB0-B18BCB6971CB}"/>
    <hyperlink ref="R695" r:id="rId486" location="page=235&amp;viewer=picture&amp;o=info&amp;n=0&amp;q=" display="https://permalinkbnd.bnportugal.gov.pt/viewer/273944/?offset= - page=235&amp;viewer=picture&amp;o=info&amp;n=0&amp;q=" xr:uid="{B27E9EEF-7A7A-46E7-9DFF-306F4448A39B}"/>
    <hyperlink ref="R696" r:id="rId487" location="page=270&amp;viewer=picture&amp;o=info&amp;n=0&amp;q=" display="https://permalinkbnd.bnportugal.gov.pt/viewer/273944/?offset= - page=270&amp;viewer=picture&amp;o=info&amp;n=0&amp;q=" xr:uid="{B461CC6F-2333-4917-A8BA-AE38466060F4}"/>
    <hyperlink ref="R697" r:id="rId488" location="page=273&amp;viewer=picture&amp;o=info&amp;n=0&amp;q=" display="https://permalinkbnd.bnportugal.gov.pt/viewer/273944/?offset= - page=273&amp;viewer=picture&amp;o=info&amp;n=0&amp;q=" xr:uid="{0E786A1E-FDBA-4AF4-BE2E-A166E339F85F}"/>
    <hyperlink ref="R698" r:id="rId489" location="page=306&amp;viewer=picture&amp;o=info&amp;n=0&amp;q=" display="https://permalinkbnd.bnportugal.gov.pt/viewer/273944/?offset= - page=306&amp;viewer=picture&amp;o=info&amp;n=0&amp;q=" xr:uid="{F73A0953-977C-433B-8524-F1E9A9808218}"/>
    <hyperlink ref="R699" r:id="rId490" location="page=309&amp;viewer=picture&amp;o=info&amp;n=0&amp;q=" display="https://permalinkbnd.bnportugal.gov.pt/viewer/273944/?offset= - page=309&amp;viewer=picture&amp;o=info&amp;n=0&amp;q=" xr:uid="{817F7BE7-C842-46FC-AD71-BA367671FFEA}"/>
    <hyperlink ref="R700" r:id="rId491" location="page=342&amp;viewer=picture&amp;o=info&amp;n=0&amp;q=" display="https://permalinkbnd.bnportugal.gov.pt/viewer/273944/?offset= - page=342&amp;viewer=picture&amp;o=info&amp;n=0&amp;q=" xr:uid="{E6C6F1CE-C0FE-43A7-A7F2-EAB0231E4FE8}"/>
    <hyperlink ref="R701" r:id="rId492" location="page=345&amp;viewer=picture&amp;o=info&amp;n=0&amp;q=" display="https://permalinkbnd.bnportugal.gov.pt/viewer/273944/?offset= - page=345&amp;viewer=picture&amp;o=info&amp;n=0&amp;q=" xr:uid="{EB6C7D6B-CB50-4269-B422-0CAAAF3A08DF}"/>
    <hyperlink ref="R702" r:id="rId493" location="page=374&amp;viewer=picture&amp;o=info&amp;n=0&amp;q=" display="https://permalinkbnd.bnportugal.gov.pt/viewer/273944/?offset= - page=374&amp;viewer=picture&amp;o=info&amp;n=0&amp;q=" xr:uid="{2084FAE7-E8D9-4297-B060-5057C7B1389F}"/>
    <hyperlink ref="R703" r:id="rId494" location="page=377&amp;viewer=picture&amp;o=info&amp;n=0&amp;q=" display="https://permalinkbnd.bnportugal.gov.pt/viewer/273944/?offset= - page=377&amp;viewer=picture&amp;o=info&amp;n=0&amp;q=" xr:uid="{6D5DE8F5-22E6-4510-99A2-B5BD25D3CB3C}"/>
    <hyperlink ref="R704" r:id="rId495" location="page=410&amp;viewer=picture&amp;o=info&amp;n=0&amp;q=" display="https://permalinkbnd.bnportugal.gov.pt/viewer/273944/?offset= - page=410&amp;viewer=picture&amp;o=info&amp;n=0&amp;q=" xr:uid="{913C3C1B-CDCE-4E59-8802-78330D648CB2}"/>
    <hyperlink ref="R705" r:id="rId496" location="page=413&amp;viewer=picture&amp;o=info&amp;n=0&amp;q=" display="https://permalinkbnd.bnportugal.gov.pt/viewer/273944/?offset= - page=413&amp;viewer=picture&amp;o=info&amp;n=0&amp;q=" xr:uid="{F77FA245-C4DB-40DF-9D8F-0220BAA99C81}"/>
    <hyperlink ref="R706" r:id="rId497" location="page=447&amp;viewer=picture&amp;o=info&amp;n=0&amp;q=" display="https://permalinkbnd.bnportugal.gov.pt/viewer/273944/?offset= - page=447&amp;viewer=picture&amp;o=info&amp;n=0&amp;q=" xr:uid="{E4AA8A02-0D56-4D47-B3DB-398F6342F053}"/>
    <hyperlink ref="R707" r:id="rId498" location="page=499&amp;viewer=picture&amp;o=info&amp;n=0&amp;q=" display="https://permalinkbnd.bnportugal.gov.pt/viewer/273944/?offset= - page=499&amp;viewer=picture&amp;o=info&amp;n=0&amp;q=" xr:uid="{54108CFE-D7DE-4DCC-AD83-1B1597175A86}"/>
    <hyperlink ref="R708" r:id="rId499" location="page=7&amp;viewer=picture&amp;o=info&amp;n=0&amp;q=" display="https://permalinkbnd.bnportugal.gov.pt/viewer/14663/?offset= - page=7&amp;viewer=picture&amp;o=info&amp;n=0&amp;q=" xr:uid="{A35ED039-A040-43FE-849A-2711C90115C5}"/>
    <hyperlink ref="R709" r:id="rId500" location="page=5&amp;viewer=picture&amp;o=info&amp;n=0&amp;q=" display="https://permalinkbnd.bnportugal.gov.pt/viewer/255848/?offset= - page=5&amp;viewer=picture&amp;o=info&amp;n=0&amp;q=" xr:uid="{67CFC49A-A162-45E7-A087-5F266BCE2A7A}"/>
    <hyperlink ref="R710" r:id="rId501" location="page=11&amp;viewer=picture&amp;o=info&amp;n=0&amp;q=" display="https://permalinkbnd.bnportugal.gov.pt/viewer/255848/?offset= - page=11&amp;viewer=picture&amp;o=info&amp;n=0&amp;q=" xr:uid="{77BE27BB-4B0B-4121-8D12-31C1B04493CE}"/>
    <hyperlink ref="R711" r:id="rId502" location="page=13&amp;viewer=picture&amp;o=info&amp;n=0&amp;q=" display="https://permalinkbnd.bnportugal.gov.pt/viewer/255848/?offset= - page=13&amp;viewer=picture&amp;o=info&amp;n=0&amp;q=" xr:uid="{2800A469-999D-4566-9FB4-9E0F3D9A82BC}"/>
    <hyperlink ref="R712" r:id="rId503" location="page=15&amp;viewer=picture&amp;o=info&amp;n=0&amp;q=" display="https://permalinkbnd.bnportugal.gov.pt/viewer/255848/?offset= - page=15&amp;viewer=picture&amp;o=info&amp;n=0&amp;q=" xr:uid="{DAF14E11-E5EA-4C3A-BA3C-2F2681D9A3BC}"/>
    <hyperlink ref="R713" r:id="rId504" location="page=17&amp;viewer=picture&amp;o=info&amp;n=0&amp;q=" display="https://permalinkbnd.bnportugal.gov.pt/viewer/255848/?offset= - page=17&amp;viewer=picture&amp;o=info&amp;n=0&amp;q=" xr:uid="{065853D9-A580-40CF-898E-A257EF047ADC}"/>
    <hyperlink ref="R714" r:id="rId505" location="page=19&amp;viewer=picture&amp;o=info&amp;n=0&amp;q=" display="https://permalinkbnd.bnportugal.gov.pt/viewer/255848/?offset= - page=19&amp;viewer=picture&amp;o=info&amp;n=0&amp;q=" xr:uid="{E8DD31C8-B0EC-470B-906B-EBA0F29E333D}"/>
    <hyperlink ref="R715" r:id="rId506" location="page=21&amp;viewer=picture&amp;o=info&amp;n=0&amp;q=" display="https://permalinkbnd.bnportugal.gov.pt/viewer/255848/?offset= - page=21&amp;viewer=picture&amp;o=info&amp;n=0&amp;q=" xr:uid="{4209904F-BE87-411C-8C8A-56B9332B71DB}"/>
    <hyperlink ref="R716" r:id="rId507" location="page=23&amp;viewer=picture&amp;o=info&amp;n=0&amp;q=" display="https://permalinkbnd.bnportugal.gov.pt/viewer/255848/?offset= - page=23&amp;viewer=picture&amp;o=info&amp;n=0&amp;q=" xr:uid="{329FCEA8-E5CD-4BB0-9076-1424C62BBF20}"/>
    <hyperlink ref="R717" r:id="rId508" location="page=25&amp;viewer=picture&amp;o=info&amp;n=0&amp;q=" display="https://permalinkbnd.bnportugal.gov.pt/viewer/255848/?offset= - page=25&amp;viewer=picture&amp;o=info&amp;n=0&amp;q=" xr:uid="{85BAC9D1-7F2C-4CFC-903F-E113334A3979}"/>
    <hyperlink ref="R718" r:id="rId509" location="page=27&amp;viewer=picture&amp;o=info&amp;n=0&amp;q=" display="https://permalinkbnd.bnportugal.gov.pt/viewer/255848/?offset= - page=27&amp;viewer=picture&amp;o=info&amp;n=0&amp;q=" xr:uid="{EFF46DB0-B920-43A7-ADE5-E6910AB4363F}"/>
    <hyperlink ref="R719" r:id="rId510" location="page=29&amp;viewer=picture&amp;o=info&amp;n=0&amp;q=" display="https://permalinkbnd.bnportugal.gov.pt/viewer/255848/?offset= - page=29&amp;viewer=picture&amp;o=info&amp;n=0&amp;q=" xr:uid="{6DFBAA8D-861D-4910-9402-4F0C2B188F6F}"/>
    <hyperlink ref="R720" r:id="rId511" location="page=31&amp;viewer=picture&amp;o=info&amp;n=0&amp;q=" display="https://permalinkbnd.bnportugal.gov.pt/viewer/255848/?offset= - page=31&amp;viewer=picture&amp;o=info&amp;n=0&amp;q=" xr:uid="{FB0DFE09-0AD0-46DF-8973-813DDF65CB2F}"/>
    <hyperlink ref="R721" r:id="rId512" location="page=33&amp;viewer=picture&amp;o=info&amp;n=0&amp;q=" display="https://permalinkbnd.bnportugal.gov.pt/viewer/255848/?offset= - page=33&amp;viewer=picture&amp;o=info&amp;n=0&amp;q=" xr:uid="{248B287B-4A3C-4D67-8839-3EA1E70EF331}"/>
    <hyperlink ref="R722" r:id="rId513" location="page=35&amp;viewer=picture&amp;o=info&amp;n=0&amp;q=" display="https://permalinkbnd.bnportugal.gov.pt/viewer/255848/?offset= - page=35&amp;viewer=picture&amp;o=info&amp;n=0&amp;q=" xr:uid="{7FAEEAE3-A1B7-42D9-B102-ECC86F629C58}"/>
    <hyperlink ref="R723" r:id="rId514" location="page=37&amp;viewer=picture&amp;o=info&amp;n=0&amp;q=" display="https://permalinkbnd.bnportugal.gov.pt/viewer/255848/?offset= - page=37&amp;viewer=picture&amp;o=info&amp;n=0&amp;q=" xr:uid="{536257C6-BD0E-480E-921E-610CF4BE382A}"/>
    <hyperlink ref="R724" r:id="rId515" location="page=39&amp;viewer=picture&amp;o=info&amp;n=0&amp;q=" display="https://permalinkbnd.bnportugal.gov.pt/viewer/255848/?offset= - page=39&amp;viewer=picture&amp;o=info&amp;n=0&amp;q=" xr:uid="{0F472264-34AF-44DB-BF7F-995223DDF874}"/>
    <hyperlink ref="R725" r:id="rId516" location="page=41&amp;viewer=picture&amp;o=info&amp;n=0&amp;q=" display="https://permalinkbnd.bnportugal.gov.pt/viewer/255848/?offset= - page=41&amp;viewer=picture&amp;o=info&amp;n=0&amp;q=" xr:uid="{9C0FD3C9-F096-466C-A44B-AB2969022D23}"/>
    <hyperlink ref="R726" r:id="rId517" location="page=43&amp;viewer=picture&amp;o=info&amp;n=0&amp;q=" display="https://permalinkbnd.bnportugal.gov.pt/viewer/255848/?offset= - page=43&amp;viewer=picture&amp;o=info&amp;n=0&amp;q=" xr:uid="{43536681-CA8A-43D5-A7E5-172BA7BA3C3B}"/>
    <hyperlink ref="R727" r:id="rId518" location="page=45&amp;viewer=picture&amp;o=info&amp;n=0&amp;q=" display="https://permalinkbnd.bnportugal.gov.pt/viewer/255848/?offset= - page=45&amp;viewer=picture&amp;o=info&amp;n=0&amp;q=" xr:uid="{FC586EFB-D301-41BE-8C4C-F88D15997E2E}"/>
    <hyperlink ref="R728" r:id="rId519" location="page=47&amp;viewer=picture&amp;o=info&amp;n=0&amp;q=" display="https://permalinkbnd.bnportugal.gov.pt/viewer/255848/?offset= - page=47&amp;viewer=picture&amp;o=info&amp;n=0&amp;q=" xr:uid="{61DC298F-9E1F-438A-B137-C5925CB050B5}"/>
    <hyperlink ref="R729" r:id="rId520" location="page=49&amp;viewer=picture&amp;o=info&amp;n=0&amp;q=" display="https://permalinkbnd.bnportugal.gov.pt/viewer/255848/?offset= - page=49&amp;viewer=picture&amp;o=info&amp;n=0&amp;q=" xr:uid="{B8569E75-2F9E-464F-A804-DEBD85AF70FC}"/>
    <hyperlink ref="R730" r:id="rId521" location="page=51&amp;viewer=picture&amp;o=info&amp;n=0&amp;q=" display="https://permalinkbnd.bnportugal.gov.pt/viewer/255848/?offset= - page=51&amp;viewer=picture&amp;o=info&amp;n=0&amp;q=" xr:uid="{4002D2B2-4B8F-4E08-B9DE-8EF5D7DAAB4E}"/>
    <hyperlink ref="R731" r:id="rId522" location="page=54&amp;viewer=picture&amp;o=info&amp;n=0&amp;q=" display="https://permalinkbnd.bnportugal.gov.pt/viewer/274463/?offset= - page=54&amp;viewer=picture&amp;o=info&amp;n=0&amp;q=" xr:uid="{BEBD3208-1FAF-4D13-BE00-B80C547ABDAE}"/>
    <hyperlink ref="R732" r:id="rId523" location="page=366&amp;viewer=picture&amp;o=info&amp;n=0&amp;q=" display="https://permalinkbnd.bnportugal.gov.pt/viewer/274463/?offset= - page=366&amp;viewer=picture&amp;o=info&amp;n=0&amp;q=" xr:uid="{1B7DCF07-8234-4A15-8CF6-7850579B699E}"/>
    <hyperlink ref="R733" r:id="rId524" location="page=7&amp;viewer=picture&amp;o=info&amp;n=0&amp;q=" display="https://permalinkbnd.bnportugal.gov.pt/viewer/14629/?offset= - page=7&amp;viewer=picture&amp;o=info&amp;n=0&amp;q=" xr:uid="{D82018E1-936D-47F9-96A0-29B6516034C1}"/>
    <hyperlink ref="R734" r:id="rId525" location="page=21&amp;viewer=picture&amp;o=info&amp;n=0&amp;q=" display="https://permalinkbnd.bnportugal.gov.pt/viewer/14629/?offset= - page=21&amp;viewer=picture&amp;o=info&amp;n=0&amp;q=" xr:uid="{AECD8A6B-9D85-4A50-BD9A-4A2B4EC84B18}"/>
    <hyperlink ref="R735" r:id="rId526" location="page=48&amp;viewer=picture&amp;o=info&amp;n=0&amp;q=" display="https://permalinkbnd.bnportugal.gov.pt/viewer/14629/?offset= - page=48&amp;viewer=picture&amp;o=info&amp;n=0&amp;q=" xr:uid="{D1EDB1DC-69DF-40E9-9C1B-E5BABE4BC345}"/>
    <hyperlink ref="R736" r:id="rId527" location="page=100&amp;viewer=picture&amp;o=info&amp;n=0&amp;q=" display="https://permalinkbnd.bnportugal.gov.pt/viewer/14629/?offset= - page=100&amp;viewer=picture&amp;o=info&amp;n=0&amp;q=" xr:uid="{08313187-8E77-42DA-9580-8E5CB5CCC3F5}"/>
    <hyperlink ref="R737" r:id="rId528" location="page=129&amp;viewer=picture&amp;o=info&amp;n=0&amp;q=" display="https://permalinkbnd.bnportugal.gov.pt/viewer/14629/?offset= - page=129&amp;viewer=picture&amp;o=info&amp;n=0&amp;q=" xr:uid="{A2A0B656-6352-43DD-8C43-6B970795BD8E}"/>
    <hyperlink ref="R738" r:id="rId529" location="page=152&amp;viewer=picture&amp;o=info&amp;n=0&amp;q=" display="https://permalinkbnd.bnportugal.gov.pt/viewer/14629/?offset= - page=152&amp;viewer=picture&amp;o=info&amp;n=0&amp;q=" xr:uid="{67403921-BA80-4991-BFB1-4E09E56910F5}"/>
    <hyperlink ref="R739" r:id="rId530" location="page=191&amp;viewer=picture&amp;o=info&amp;n=0&amp;q=" display="https://permalinkbnd.bnportugal.gov.pt/viewer/14629/?offset= - page=191&amp;viewer=picture&amp;o=info&amp;n=0&amp;q=" xr:uid="{F40AC5CE-8F89-4914-83CA-170120D8B261}"/>
    <hyperlink ref="R740" r:id="rId531" location="page=209&amp;viewer=picture&amp;o=info&amp;n=0&amp;q=" display="https://permalinkbnd.bnportugal.gov.pt/viewer/14629/?offset= - page=209&amp;viewer=picture&amp;o=info&amp;n=0&amp;q=" xr:uid="{06DE3701-2BFE-421D-BBDD-41645CF6284C}"/>
    <hyperlink ref="R741" r:id="rId532" location="page=264&amp;viewer=picture&amp;o=info&amp;n=0&amp;q=" display="https://permalinkbnd.bnportugal.gov.pt/viewer/14629/?offset= - page=264&amp;viewer=picture&amp;o=info&amp;n=0&amp;q=" xr:uid="{93E8553F-2A32-4C59-A408-63AD57C1F59B}"/>
    <hyperlink ref="R742" r:id="rId533" location="page=297&amp;viewer=picture&amp;o=info&amp;n=0&amp;q=" display="https://permalinkbnd.bnportugal.gov.pt/viewer/14629/?offset= - page=297&amp;viewer=picture&amp;o=info&amp;n=0&amp;q=" xr:uid="{8B1ECB82-08A4-4CF8-9DB9-00EA60EE97E1}"/>
    <hyperlink ref="R743" r:id="rId534" location="page=10&amp;viewer=picture&amp;o=info&amp;n=0&amp;q=" display="https://permalinkbnd.bnportugal.gov.pt/viewer/14639/?offset= - page=10&amp;viewer=picture&amp;o=info&amp;n=0&amp;q=" xr:uid="{DAD19736-BAC8-4EF8-8BB7-8A2BA7E6E665}"/>
    <hyperlink ref="R744" r:id="rId535" location="page=86&amp;viewer=picture&amp;o=info&amp;n=0&amp;q=" display="https://permalinkbnd.bnportugal.gov.pt/viewer/14639/?offset= - page=86&amp;viewer=picture&amp;o=info&amp;n=0&amp;q=" xr:uid="{1C335880-96E5-4EC4-BAE3-890B7E65A491}"/>
    <hyperlink ref="R745" r:id="rId536" location="page=168&amp;viewer=picture&amp;o=info&amp;n=0&amp;q=" display="https://permalinkbnd.bnportugal.gov.pt/viewer/14639/?offset= - page=168&amp;viewer=picture&amp;o=info&amp;n=0&amp;q=" xr:uid="{0BB0B904-F133-4FFF-9907-2DAD8BBE83FF}"/>
    <hyperlink ref="R746" r:id="rId537" location="page=266&amp;viewer=picture&amp;o=info&amp;n=0&amp;q=" display="https://permalinkbnd.bnportugal.gov.pt/viewer/14639/?offset= - page=266&amp;viewer=picture&amp;o=info&amp;n=0&amp;q=" xr:uid="{DDAFF58D-D7C0-4896-A937-366EF161380E}"/>
    <hyperlink ref="R747" r:id="rId538" location="page=12&amp;viewer=picture&amp;o=info&amp;n=0&amp;q=" display="https://permalinkbnd.bnportugal.gov.pt/viewer/14639/?offset= - page=12&amp;viewer=picture&amp;o=info&amp;n=0&amp;q=" xr:uid="{A597323F-984F-48E8-A4EE-ED11B7B8585C}"/>
    <hyperlink ref="R748" r:id="rId539" location="page=102&amp;viewer=picture&amp;o=info&amp;n=0&amp;q=" display="https://permalinkbnd.bnportugal.gov.pt/viewer/14639/?offset= - page=102&amp;viewer=picture&amp;o=info&amp;n=0&amp;q=" xr:uid="{AEDB6095-D8E8-41FA-BD99-60F2C4AD63A1}"/>
    <hyperlink ref="R749" r:id="rId540" location="page=202&amp;viewer=picture&amp;o=info&amp;n=0&amp;q=" display="https://permalinkbnd.bnportugal.gov.pt/viewer/14639/?offset= - page=202&amp;viewer=picture&amp;o=info&amp;n=0&amp;q=" xr:uid="{03C8F448-E3FF-4F34-9F5B-425BAD363AE7}"/>
    <hyperlink ref="R750" r:id="rId541" location="page=282&amp;viewer=picture&amp;o=info&amp;n=0&amp;q=" display="https://permalinkbnd.bnportugal.gov.pt/viewer/14639/?offset= - page=282&amp;viewer=picture&amp;o=info&amp;n=0&amp;q=" xr:uid="{9DFD0A67-1F39-4C75-A12E-E48A154751B5}"/>
    <hyperlink ref="R751" r:id="rId542" location="page=12&amp;viewer=picture&amp;o=info&amp;n=0&amp;q=" display="https://permalinkbnd.bnportugal.gov.pt/viewer/14639/?offset= - page=12&amp;viewer=picture&amp;o=info&amp;n=0&amp;q=" xr:uid="{8F25BC7E-B50F-4F71-B2E4-9412F44100FC}"/>
    <hyperlink ref="R752" r:id="rId543" location="page=98&amp;viewer=picture&amp;o=info&amp;n=0&amp;q=" display="https://permalinkbnd.bnportugal.gov.pt/viewer/14639/?offset= - page=98&amp;viewer=picture&amp;o=info&amp;n=0&amp;q=" xr:uid="{A675739C-31EA-4F13-B00C-2DA7B44D8933}"/>
    <hyperlink ref="R753" r:id="rId544" location="page=176&amp;viewer=picture&amp;o=info&amp;n=0&amp;q=" display="https://permalinkbnd.bnportugal.gov.pt/viewer/14639/?offset= - page=176&amp;viewer=picture&amp;o=info&amp;n=0&amp;q=" xr:uid="{CABD37E6-4203-4EFC-9202-CC9DE3DBAB87}"/>
    <hyperlink ref="R754" r:id="rId545" location="page=9&amp;viewer=picture&amp;o=info&amp;n=0&amp;q=" display="https://permalinkbnd.bnportugal.gov.pt/viewer/14621/?offset= - page=9&amp;viewer=picture&amp;o=info&amp;n=0&amp;q=" xr:uid="{D4CA1D8A-FD78-4499-8E50-C8D1A86A1F0E}"/>
    <hyperlink ref="R755" r:id="rId546" location="page=37&amp;viewer=picture&amp;o=info&amp;n=0&amp;q=" display="https://permalinkbnd.bnportugal.gov.pt/viewer/14621/?offset= - page=37&amp;viewer=picture&amp;o=info&amp;n=0&amp;q=" xr:uid="{2A4F3EB9-5F45-4780-B042-442560DCB9C3}"/>
    <hyperlink ref="R756" r:id="rId547" location="page=75&amp;viewer=picture&amp;o=info&amp;n=0&amp;q=" display="https://permalinkbnd.bnportugal.gov.pt/viewer/14621/?offset= - page=75&amp;viewer=picture&amp;o=info&amp;n=0&amp;q=" xr:uid="{1E4B99F2-3425-4014-9F59-4F7A4277F328}"/>
    <hyperlink ref="R757" r:id="rId548" location="page=115&amp;viewer=picture&amp;o=info&amp;n=0&amp;q=" display="https://permalinkbnd.bnportugal.gov.pt/viewer/14621/?offset= - page=115&amp;viewer=picture&amp;o=info&amp;n=0&amp;q=" xr:uid="{4FD8D068-0643-4AC2-A673-B27606096EF2}"/>
    <hyperlink ref="R758" r:id="rId549" location="page=171&amp;viewer=picture&amp;o=info&amp;n=0&amp;q=" display="https://permalinkbnd.bnportugal.gov.pt/viewer/14621/?offset= - page=171&amp;viewer=picture&amp;o=info&amp;n=0&amp;q=" xr:uid="{7D3C35FA-2CD9-4447-8DE5-3B50BDABFB7F}"/>
    <hyperlink ref="R759" r:id="rId550" location="page=211&amp;viewer=picture&amp;o=info&amp;n=0&amp;q=" display="https://permalinkbnd.bnportugal.gov.pt/viewer/14621/?offset= - page=211&amp;viewer=picture&amp;o=info&amp;n=0&amp;q=" xr:uid="{1A4984A3-AEF5-4765-AC25-B25C5D4646BB}"/>
    <hyperlink ref="R760" r:id="rId551" location="page=259&amp;viewer=picture&amp;o=info&amp;n=0&amp;q=" display="https://permalinkbnd.bnportugal.gov.pt/viewer/14621/?offset= - page=259&amp;viewer=picture&amp;o=info&amp;n=0&amp;q=" xr:uid="{62EB6877-2648-4CD4-8841-DE41A5CD99B4}"/>
    <hyperlink ref="R761" r:id="rId552" location="page=293&amp;viewer=picture&amp;o=info&amp;n=0&amp;q=" display="https://permalinkbnd.bnportugal.gov.pt/viewer/14621/?offset= - page=293&amp;viewer=picture&amp;o=info&amp;n=0&amp;q=" xr:uid="{E58410E9-AA81-49CB-B46B-7ADC5D0ABB60}"/>
    <hyperlink ref="R762" r:id="rId553" location="page=325&amp;viewer=picture&amp;o=info&amp;n=0&amp;q=" display="https://permalinkbnd.bnportugal.gov.pt/viewer/14621/?offset= - page=325&amp;viewer=picture&amp;o=info&amp;n=0&amp;q=" xr:uid="{D260CAEE-31B2-41BD-8E89-30526636B144}"/>
    <hyperlink ref="R763" r:id="rId554" location="page=365&amp;viewer=picture&amp;o=info&amp;n=0&amp;q=" display="https://permalinkbnd.bnportugal.gov.pt/viewer/14621/?offset= - page=365&amp;viewer=picture&amp;o=info&amp;n=0&amp;q=" xr:uid="{03AD7119-19F3-4E99-AE4A-6004588CD5D2}"/>
    <hyperlink ref="R764" r:id="rId555" location="page=401&amp;viewer=picture&amp;o=info&amp;n=0&amp;q=" display="https://permalinkbnd.bnportugal.gov.pt/viewer/14621/?offset= - page=401&amp;viewer=picture&amp;o=info&amp;n=0&amp;q=" xr:uid="{F2D4A76C-E0D0-4CB6-9298-CC8C5BD4EC12}"/>
    <hyperlink ref="R765" r:id="rId556" location="page=10&amp;viewer=picture&amp;o=info&amp;n=0&amp;q=" display="https://permalinkbnd.bnportugal.gov.pt/viewer/14573/?offset= - page=10&amp;viewer=picture&amp;o=info&amp;n=0&amp;q=" xr:uid="{AF96A6A4-D74D-440D-8C5E-65EA49EFEAC0}"/>
    <hyperlink ref="R766" r:id="rId557" location="page=19&amp;viewer=picture&amp;o=info&amp;n=0&amp;q=" display="https://permalinkbnd.bnportugal.gov.pt/viewer/14605/?offset= - page=19&amp;viewer=picture&amp;o=info&amp;n=0&amp;q=" xr:uid="{1095086A-AD6A-446F-90AC-682D84DF248A}"/>
    <hyperlink ref="R767" r:id="rId558" location="page=7&amp;viewer=picture&amp;o=info&amp;n=0&amp;q=" display="https://permalinkbnd.bnportugal.gov.pt/viewer/14632/?offset= - page=7&amp;viewer=picture&amp;o=info&amp;n=0&amp;q=" xr:uid="{88888216-130D-4A79-B629-26B89983B424}"/>
    <hyperlink ref="R768" r:id="rId559" location="page=23&amp;viewer=picture&amp;o=info&amp;n=0&amp;q=" display="https://permalinkbnd.bnportugal.gov.pt/viewer/14680/?offset= - page=23&amp;viewer=picture&amp;o=info&amp;n=0&amp;q=" xr:uid="{F1FDF34F-957D-4993-833E-8CEDB0687252}"/>
    <hyperlink ref="R769" r:id="rId560" location="page=45&amp;viewer=picture&amp;o=info&amp;n=0&amp;q=" display="https://permalinkbnd.bnportugal.gov.pt/viewer/14680/?offset= - page=45&amp;viewer=picture&amp;o=info&amp;n=0&amp;q=" xr:uid="{D78F0164-49D5-459E-AF50-2428D4765324}"/>
    <hyperlink ref="R770" r:id="rId561" location="page=9&amp;viewer=picture&amp;o=info&amp;n=0&amp;q=" display="https://permalinkbnd.bnportugal.gov.pt/viewer/14556/?offset= - page=9&amp;viewer=picture&amp;o=info&amp;n=0&amp;q=" xr:uid="{95661056-FE49-4218-AF28-9A26D286A413}"/>
    <hyperlink ref="R771" r:id="rId562" location="page=5&amp;viewer=picture&amp;o=info&amp;n=0&amp;q=" display="https://permalinkbnd.bnportugal.gov.pt/viewer/14578/?offset= - page=5&amp;viewer=picture&amp;o=info&amp;n=0&amp;q=" xr:uid="{22D2FF9F-CF01-4C1A-A96B-CFB5AF9FF33B}"/>
    <hyperlink ref="R772" r:id="rId563" location="page=9&amp;viewer=picture&amp;o=info&amp;n=0&amp;q=" display="https://permalinkbnd.bnportugal.gov.pt/viewer/14576/?offset= - page=9&amp;viewer=picture&amp;o=info&amp;n=0&amp;q=" xr:uid="{88B2C87C-C90E-4398-BDAC-14109694DB84}"/>
    <hyperlink ref="R773" r:id="rId564" location="page=3&amp;viewer=picture&amp;o=info&amp;n=0&amp;q=" display="https://permalinkbnd.bnportugal.gov.pt/viewer/14592/?offset= - page=3&amp;viewer=picture&amp;o=info&amp;n=0&amp;q=" xr:uid="{06F03BAE-9FC6-4552-A3AF-C73231A556DA}"/>
    <hyperlink ref="R774" r:id="rId565" location="page=8&amp;viewer=picture&amp;o=info&amp;n=0&amp;q=" display="https://permalinkbnd.bnportugal.gov.pt/viewer/14592/?offset= - page=8&amp;viewer=picture&amp;o=info&amp;n=0&amp;q=" xr:uid="{2E61C062-5141-4F9B-B596-7C690164BDA0}"/>
    <hyperlink ref="R775" r:id="rId566" location="page=12&amp;viewer=picture&amp;o=info&amp;n=0&amp;q=" display="https://permalinkbnd.bnportugal.gov.pt/viewer/14592/?offset= - page=12&amp;viewer=picture&amp;o=info&amp;n=0&amp;q=" xr:uid="{BB9C9500-4BEF-44EB-A507-84EBA994BCDF}"/>
    <hyperlink ref="R776" r:id="rId567" location="page=10&amp;viewer=picture&amp;o=info&amp;n=0&amp;q=" display="https://permalinkbnd.bnportugal.gov.pt/viewer/14566/?offset= - page=10&amp;viewer=picture&amp;o=info&amp;n=0&amp;q=" xr:uid="{D4BBB647-A2F4-4815-926D-ABF7539BD269}"/>
    <hyperlink ref="R777" r:id="rId568" location="page=11&amp;viewer=picture&amp;o=info&amp;n=0&amp;q=" display="https://permalinkbnd.bnportugal.gov.pt/viewer/14566/?offset= - page=11&amp;viewer=picture&amp;o=info&amp;n=0&amp;q=" xr:uid="{E6124565-7355-4373-A53A-D97BE58A2EDF}"/>
    <hyperlink ref="R778" r:id="rId569" location="page=6&amp;viewer=picture&amp;o=info&amp;n=0&amp;q=" display="https://permalinkbnd.bnportugal.gov.pt/viewer/274466/?offset= - page=6&amp;viewer=picture&amp;o=info&amp;n=0&amp;q=" xr:uid="{DC68B528-38A7-48EB-94FA-9DB98266AE52}"/>
    <hyperlink ref="R779" r:id="rId570" location="page=12&amp;viewer=picture&amp;o=info&amp;n=0&amp;q=" display="https://permalinkbnd.bnportugal.gov.pt/viewer/274466/?offset= - page=12&amp;viewer=picture&amp;o=info&amp;n=0&amp;q=" xr:uid="{7C4FE72A-D03F-4F10-9187-D911E3213FEB}"/>
    <hyperlink ref="R780" r:id="rId571" location="page=1&amp;viewer=picture&amp;o=info&amp;n=0&amp;q=" display="https://permalinkbnd.bnportugal.gov.pt/viewer/278408/?offset= - page=1&amp;viewer=picture&amp;o=info&amp;n=0&amp;q=" xr:uid="{8585BFE9-8C3F-4EDA-95C8-F137B5CA164D}"/>
    <hyperlink ref="R781" r:id="rId572" location="page=29&amp;viewer=picture&amp;o=info&amp;n=0&amp;q=" display="https://permalinkbnd.bnportugal.gov.pt/viewer/14624/?offset= - page=29&amp;viewer=picture&amp;o=info&amp;n=0&amp;q=" xr:uid="{45C4DEE1-3D8B-43E2-803E-4D7BE1433D28}"/>
    <hyperlink ref="R782" r:id="rId573" location="page=100&amp;viewer=picture&amp;o=info&amp;n=0&amp;q=" display="https://permalinkbnd.bnportugal.gov.pt/viewer/14624/?offset= - page=100&amp;viewer=picture&amp;o=info&amp;n=0&amp;q=" xr:uid="{56EE15B5-6E04-4129-A1AF-072E52C0FEE3}"/>
    <hyperlink ref="R783" r:id="rId574" location="page=216&amp;viewer=picture&amp;o=info&amp;n=0&amp;q=" display="https://permalinkbnd.bnportugal.gov.pt/viewer/14624/?offset= - page=216&amp;viewer=picture&amp;o=info&amp;n=0&amp;q=" xr:uid="{0AA4D3A2-126B-4DC1-88A3-D89D2A486E29}"/>
    <hyperlink ref="R784" r:id="rId575" location="page=297&amp;viewer=picture&amp;o=info&amp;n=0&amp;q=" display="https://permalinkbnd.bnportugal.gov.pt/viewer/14624/?offset= - page=297&amp;viewer=picture&amp;o=info&amp;n=0&amp;q=" xr:uid="{5716BD26-81AF-4BE0-AB92-9A297356812D}"/>
    <hyperlink ref="R785" r:id="rId576" location="page=308&amp;viewer=picture&amp;o=info&amp;n=0&amp;q=" display="https://permalinkbnd.bnportugal.gov.pt/viewer/14624/?offset= - page=308&amp;viewer=picture&amp;o=info&amp;n=0&amp;q=" xr:uid="{2BE10417-6EC0-4A05-B5AA-51E772DF830A}"/>
    <hyperlink ref="R789" r:id="rId577" location="page=424&amp;viewer=picture&amp;o=info&amp;n=0&amp;q=" display="https://permalinkbnd.bnportugal.gov.pt/viewer/14624/?offset= - page=424&amp;viewer=picture&amp;o=info&amp;n=0&amp;q=" xr:uid="{20E70709-ECF8-4021-8551-5B771D858EC2}"/>
    <hyperlink ref="R790" r:id="rId578" location="page=530&amp;viewer=picture&amp;o=info&amp;n=0&amp;q=" display="https://permalinkbnd.bnportugal.gov.pt/viewer/14624/?offset= - page=530&amp;viewer=picture&amp;o=info&amp;n=0&amp;q=" xr:uid="{AD593B75-60B6-4C5A-B644-CB4B9EFE3A88}"/>
    <hyperlink ref="R791" r:id="rId579" location="page=7&amp;viewer=picture&amp;o=info&amp;n=0&amp;q=" display="https://permalinkbnd.bnportugal.gov.pt/viewer/14624/?offset= - page=7&amp;viewer=picture&amp;o=info&amp;n=0&amp;q=" xr:uid="{DD8AAD2A-4F55-4AFD-A680-37F7EFB96252}"/>
    <hyperlink ref="R792" r:id="rId580" location="page=10&amp;viewer=picture&amp;o=info&amp;n=0&amp;q=" display="https://permalinkbnd.bnportugal.gov.pt/viewer/14624/?offset= - page=10&amp;viewer=picture&amp;o=info&amp;n=0&amp;q=" xr:uid="{E0B3B9F3-4AE1-4F46-9390-B477BFCDAA04}"/>
    <hyperlink ref="R793" r:id="rId581" location="page=76&amp;viewer=picture&amp;o=info&amp;n=0&amp;q=" display="https://permalinkbnd.bnportugal.gov.pt/viewer/14624/?offset= - page=76&amp;viewer=picture&amp;o=info&amp;n=0&amp;q=" xr:uid="{BE07DA2C-B3AC-49B8-8CAE-A8685C6BE81E}"/>
    <hyperlink ref="R794" r:id="rId582" location="page=114&amp;viewer=picture&amp;o=info&amp;n=0&amp;q=" display="https://permalinkbnd.bnportugal.gov.pt/viewer/14624/?offset= - page=114&amp;viewer=picture&amp;o=info&amp;n=0&amp;q=" xr:uid="{04E75CD1-4DF9-4705-ACE8-FF6DE003A070}"/>
    <hyperlink ref="R795" r:id="rId583" location="page=194&amp;viewer=picture&amp;o=info&amp;n=0&amp;q=" display="https://permalinkbnd.bnportugal.gov.pt/viewer/14624/?offset= - page=194&amp;viewer=picture&amp;o=info&amp;n=0&amp;q=" xr:uid="{F751DCAC-530A-4108-8F83-BB07E07F71C8}"/>
    <hyperlink ref="R796" r:id="rId584" location="page=274&amp;viewer=picture&amp;o=info&amp;n=0&amp;q=" display="https://permalinkbnd.bnportugal.gov.pt/viewer/14624/?offset= - page=274&amp;viewer=picture&amp;o=info&amp;n=0&amp;q=" xr:uid="{7A3563BD-FFDA-4014-A2E5-BA00F186A88F}"/>
    <hyperlink ref="R797" r:id="rId585" location="page=418&amp;viewer=picture&amp;o=info&amp;n=0&amp;q=" display="https://permalinkbnd.bnportugal.gov.pt/viewer/14624/?offset= - page=418&amp;viewer=picture&amp;o=info&amp;n=0&amp;q=" xr:uid="{0DD90601-FF2A-43EA-9BBF-5DCA28CC5C49}"/>
    <hyperlink ref="R798" r:id="rId586" location="page=454&amp;viewer=picture&amp;o=info&amp;n=0&amp;q=" display="https://permalinkbnd.bnportugal.gov.pt/viewer/14624/?offset= - page=454&amp;viewer=picture&amp;o=info&amp;n=0&amp;q=" xr:uid="{F0E40A18-8981-4A7D-A13B-5EFA049B48C5}"/>
    <hyperlink ref="R799" r:id="rId587" location="page=463&amp;viewer=picture&amp;o=info&amp;n=0&amp;q=" display="https://permalinkbnd.bnportugal.gov.pt/viewer/14624/?offset= - page=463&amp;viewer=picture&amp;o=info&amp;n=0&amp;q=" xr:uid="{00AE6BC7-6B7C-4DF0-8DEC-668986458A0A}"/>
    <hyperlink ref="R800" r:id="rId588" location="page=465&amp;viewer=picture&amp;o=info&amp;n=0&amp;q=" display="https://permalinkbnd.bnportugal.gov.pt/viewer/14624/?offset= - page=465&amp;viewer=picture&amp;o=info&amp;n=0&amp;q=" xr:uid="{A30E6BE8-A07D-4213-AB16-49B70D988BE8}"/>
    <hyperlink ref="R801" r:id="rId589" location="page=466&amp;viewer=picture&amp;o=info&amp;n=0&amp;q=" display="https://permalinkbnd.bnportugal.gov.pt/viewer/14624/?offset= - page=466&amp;viewer=picture&amp;o=info&amp;n=0&amp;q=" xr:uid="{F0089ECC-51BD-4265-837A-0684F270F6E7}"/>
    <hyperlink ref="R802" r:id="rId590" location="page=468&amp;viewer=picture&amp;o=info&amp;n=0&amp;q=" display="https://permalinkbnd.bnportugal.gov.pt/viewer/14624/?offset= - page=468&amp;viewer=picture&amp;o=info&amp;n=0&amp;q=" xr:uid="{263D3F9E-6F4E-4D6A-AAB0-288FE37D02D2}"/>
    <hyperlink ref="R803" r:id="rId591" location="page=472&amp;viewer=picture&amp;o=info&amp;n=0&amp;q=" display="https://permalinkbnd.bnportugal.gov.pt/viewer/14624/?offset= - page=472&amp;viewer=picture&amp;o=info&amp;n=0&amp;q=" xr:uid="{3BAB72E2-B9F4-4BDE-B3EC-BD704C92F975}"/>
    <hyperlink ref="R804" r:id="rId592" location="page=473&amp;viewer=picture&amp;o=info&amp;n=0&amp;q=" display="https://permalinkbnd.bnportugal.gov.pt/viewer/14624/?offset= - page=473&amp;viewer=picture&amp;o=info&amp;n=0&amp;q=" xr:uid="{66C52A74-AC16-4CC1-B7AB-1CE03CC076B3}"/>
    <hyperlink ref="R805" r:id="rId593" location="page=474&amp;viewer=picture&amp;o=info&amp;n=0&amp;q=" display="https://permalinkbnd.bnportugal.gov.pt/viewer/14624/?offset= - page=474&amp;viewer=picture&amp;o=info&amp;n=0&amp;q=" xr:uid="{462BE709-3FFA-4896-9CFB-1D5BED7D7AA1}"/>
    <hyperlink ref="R806" r:id="rId594" location="page=476&amp;viewer=picture&amp;o=info&amp;n=0&amp;q=" display="https://permalinkbnd.bnportugal.gov.pt/viewer/14624/?offset= - page=476&amp;viewer=picture&amp;o=info&amp;n=0&amp;q=" xr:uid="{F11F7296-11F6-48D4-88D4-90CCC6CC87FC}"/>
    <hyperlink ref="R807" r:id="rId595" location="page=480&amp;viewer=picture&amp;o=info&amp;n=0&amp;q=" display="https://permalinkbnd.bnportugal.gov.pt/viewer/14624/?offset= - page=480&amp;viewer=picture&amp;o=info&amp;n=0&amp;q=" xr:uid="{1B6619F2-492E-4B01-902A-5FA75FDDF876}"/>
    <hyperlink ref="R808" r:id="rId596" location="page=514&amp;viewer=picture&amp;o=info&amp;n=0&amp;q=" display="https://permalinkbnd.bnportugal.gov.pt/viewer/14624/?offset= - page=514&amp;viewer=picture&amp;o=info&amp;n=0&amp;q=" xr:uid="{D00B901A-B34F-4228-83CC-B045AC6E4F24}"/>
    <hyperlink ref="R809" r:id="rId597" location="page=520&amp;viewer=picture&amp;o=info&amp;n=0&amp;q=" display="https://permalinkbnd.bnportugal.gov.pt/viewer/14624/?offset= - page=520&amp;viewer=picture&amp;o=info&amp;n=0&amp;q=" xr:uid="{12311087-2B20-430B-8647-CE41318CA177}"/>
    <hyperlink ref="R810" r:id="rId598" location="page=521&amp;viewer=picture&amp;o=info&amp;n=0&amp;q=" display="https://permalinkbnd.bnportugal.gov.pt/viewer/14624/?offset= - page=521&amp;viewer=picture&amp;o=info&amp;n=0&amp;q=" xr:uid="{7948E60E-1E50-4827-983B-1FD3BA19C7F7}"/>
    <hyperlink ref="R811" r:id="rId599" location="page=9&amp;viewer=picture&amp;o=info&amp;n=0&amp;q=" display="https://permalinkbnd.bnportugal.gov.pt/viewer/14587/?offset= - page=9&amp;viewer=picture&amp;o=info&amp;n=0&amp;q=" xr:uid="{23E7B82C-2DB9-43AE-8D8F-433662E08556}"/>
    <hyperlink ref="R812" r:id="rId600" location="page=23&amp;viewer=picture&amp;o=info&amp;n=0&amp;q=" display="https://permalinkbnd.bnportugal.gov.pt/viewer/14587/?offset= - page=23&amp;viewer=picture&amp;o=info&amp;n=0&amp;q=" xr:uid="{7392EA8A-B52C-429B-A00C-1F8AC6C30D2F}"/>
    <hyperlink ref="R813" r:id="rId601" location="page=33&amp;viewer=picture&amp;o=info&amp;n=0&amp;q=" display="https://permalinkbnd.bnportugal.gov.pt/viewer/14587/?offset= - page=33&amp;viewer=picture&amp;o=info&amp;n=0&amp;q=" xr:uid="{A81FBFAD-8CC6-4297-B869-7F9A29336832}"/>
    <hyperlink ref="R814" r:id="rId602" location="page=57&amp;viewer=picture&amp;o=info&amp;n=0&amp;q=" display="https://permalinkbnd.bnportugal.gov.pt/viewer/14587/?offset= - page=57&amp;viewer=picture&amp;o=info&amp;n=0&amp;q=" xr:uid="{8034EE55-BDE3-4E0E-9ED5-9065AF598D28}"/>
    <hyperlink ref="R815" r:id="rId603" location="page=77&amp;viewer=picture&amp;o=info&amp;n=0&amp;q=" display="https://permalinkbnd.bnportugal.gov.pt/viewer/14587/?offset= - page=77&amp;viewer=picture&amp;o=info&amp;n=0&amp;q=" xr:uid="{9C662B9D-0612-4139-9CFC-928E92964889}"/>
    <hyperlink ref="R816" r:id="rId604" location="page=99&amp;viewer=picture&amp;o=info&amp;n=0&amp;q=" display="https://permalinkbnd.bnportugal.gov.pt/viewer/14587/?offset= - page=99&amp;viewer=picture&amp;o=info&amp;n=0&amp;q=" xr:uid="{03506C52-4983-4768-A34F-44E7BB9E5C0A}"/>
    <hyperlink ref="R817" r:id="rId605" location="page=125&amp;viewer=picture&amp;o=info&amp;n=0&amp;q=" display="https://permalinkbnd.bnportugal.gov.pt/viewer/14587/?offset= - page=125&amp;viewer=picture&amp;o=info&amp;n=0&amp;q=" xr:uid="{0F25EC1C-7751-45CA-AF9C-2DE4AEDDE757}"/>
    <hyperlink ref="R818" r:id="rId606" location="page=147&amp;viewer=picture&amp;o=info&amp;n=0&amp;q=" display="https://permalinkbnd.bnportugal.gov.pt/viewer/14587/?offset= - page=147&amp;viewer=picture&amp;o=info&amp;n=0&amp;q=" xr:uid="{BCF62446-B01D-4B9C-B396-1E1BDF55882F}"/>
    <hyperlink ref="R819" r:id="rId607" location="page=157&amp;viewer=picture&amp;o=info&amp;n=0&amp;q=" display="https://permalinkbnd.bnportugal.gov.pt/viewer/14587/?offset= - page=157&amp;viewer=picture&amp;o=info&amp;n=0&amp;q=" xr:uid="{D15CB2A4-6E3A-4BE9-9F4D-5AB556589F79}"/>
    <hyperlink ref="R820" r:id="rId608" location="page=173&amp;viewer=picture&amp;o=info&amp;n=0&amp;q=" display="https://permalinkbnd.bnportugal.gov.pt/viewer/14587/?offset= - page=173&amp;viewer=picture&amp;o=info&amp;n=0&amp;q=" xr:uid="{F83BFA64-DD38-4069-85BD-792C8BBE877E}"/>
    <hyperlink ref="R821" r:id="rId609" location="page=185&amp;viewer=picture&amp;o=info&amp;n=0&amp;q=" display="https://permalinkbnd.bnportugal.gov.pt/viewer/14587/?offset= - page=185&amp;viewer=picture&amp;o=info&amp;n=0&amp;q=" xr:uid="{056E0CEE-FC21-4D0F-97B7-ECCC273206A8}"/>
    <hyperlink ref="R822" r:id="rId610" location="page=223&amp;viewer=picture&amp;o=info&amp;n=0&amp;q=" display="https://permalinkbnd.bnportugal.gov.pt/viewer/14587/?offset= - page=223&amp;viewer=picture&amp;o=info&amp;n=0&amp;q=" xr:uid="{74366FA9-73AA-4DFA-8900-018A5192FF7B}"/>
    <hyperlink ref="R823" r:id="rId611" location="page=231&amp;viewer=picture&amp;o=info&amp;n=0&amp;q=" display="https://permalinkbnd.bnportugal.gov.pt/viewer/14587/?offset= - page=231&amp;viewer=picture&amp;o=info&amp;n=0&amp;q=" xr:uid="{D037FE88-62C4-4D86-ADCB-45110AC8E14F}"/>
    <hyperlink ref="R824" r:id="rId612" location="page=255&amp;viewer=picture&amp;o=info&amp;n=0&amp;q=" display="https://permalinkbnd.bnportugal.gov.pt/viewer/14587/?offset= - page=255&amp;viewer=picture&amp;o=info&amp;n=0&amp;q=" xr:uid="{8A759D14-397F-4288-B2B0-C9B9B8799F1A}"/>
    <hyperlink ref="R825" r:id="rId613" location="page=265&amp;viewer=picture&amp;o=info&amp;n=0&amp;q=" display="https://permalinkbnd.bnportugal.gov.pt/viewer/14587/?offset= - page=265&amp;viewer=picture&amp;o=info&amp;n=0&amp;q=" xr:uid="{BD2120A1-D590-46BA-A917-7A72BAC76B07}"/>
    <hyperlink ref="R826" r:id="rId614" location="page=289&amp;viewer=picture&amp;o=info&amp;n=0&amp;q=" display="https://permalinkbnd.bnportugal.gov.pt/viewer/14587/?offset= - page=289&amp;viewer=picture&amp;o=info&amp;n=0&amp;q=" xr:uid="{E1BB87A6-488B-4794-8129-B6F4C394C0B4}"/>
    <hyperlink ref="R827" r:id="rId615" location="page=295&amp;viewer=picture&amp;o=info&amp;n=0&amp;q=" display="https://permalinkbnd.bnportugal.gov.pt/viewer/14587/?offset= - page=295&amp;viewer=picture&amp;o=info&amp;n=0&amp;q=" xr:uid="{2E4490AD-9819-4DC9-96BD-D8F1788DFF49}"/>
    <hyperlink ref="R828" r:id="rId616" location="page=323&amp;viewer=picture&amp;o=info&amp;n=0&amp;q=" display="https://permalinkbnd.bnportugal.gov.pt/viewer/14587/?offset= - page=323&amp;viewer=picture&amp;o=info&amp;n=0&amp;q=" xr:uid="{8C2D8985-2821-462D-8630-A46F49A8FF83}"/>
    <hyperlink ref="R829" r:id="rId617" location="page=331&amp;viewer=picture&amp;o=info&amp;n=0&amp;q=" display="https://permalinkbnd.bnportugal.gov.pt/viewer/14587/?offset= - page=331&amp;viewer=picture&amp;o=info&amp;n=0&amp;q=" xr:uid="{01DAC427-C98B-4C5B-9749-14FA4E2445AB}"/>
    <hyperlink ref="R831" r:id="rId618" location="page=365&amp;viewer=picture&amp;o=info&amp;n=0&amp;q=" display="https://permalinkbnd.bnportugal.gov.pt/viewer/14587/?offset= - page=365&amp;viewer=picture&amp;o=info&amp;n=0&amp;q=" xr:uid="{508615C2-CEEF-46A0-B361-507148F4E49B}"/>
    <hyperlink ref="R832" r:id="rId619" location="page=385&amp;viewer=picture&amp;o=info&amp;n=0&amp;q=" display="https://permalinkbnd.bnportugal.gov.pt/viewer/14587/?offset= - page=385&amp;viewer=picture&amp;o=info&amp;n=0&amp;q=" xr:uid="{16B59B23-B917-4EA7-9F0B-2BD85CE18522}"/>
    <hyperlink ref="R833" r:id="rId620" location="page=8&amp;viewer=picture&amp;o=info&amp;n=0&amp;q=" display="https://permalinkbnd.bnportugal.gov.pt/viewer/14650/?offset= - page=8&amp;viewer=picture&amp;o=info&amp;n=0&amp;q=" xr:uid="{1F2D0AE7-E911-4CE1-ACB1-33F27D42F23C}"/>
    <hyperlink ref="R834" r:id="rId621" location="page=30&amp;viewer=picture&amp;o=info&amp;n=0&amp;q=" display="https://permalinkbnd.bnportugal.gov.pt/viewer/14650/?offset= - page=30&amp;viewer=picture&amp;o=info&amp;n=0&amp;q=" xr:uid="{2FA61CF0-8341-4A78-8F85-FDAD753F4E66}"/>
    <hyperlink ref="R835" r:id="rId622" location="page=31&amp;viewer=picture&amp;o=info&amp;n=0&amp;q=" display="https://permalinkbnd.bnportugal.gov.pt/viewer/14650/?offset= - page=31&amp;viewer=picture&amp;o=info&amp;n=0&amp;q=" xr:uid="{AACED186-CD7E-4234-AECA-59161FECE0D5}"/>
    <hyperlink ref="R836" r:id="rId623" location="page=6&amp;viewer=picture&amp;o=info&amp;n=0&amp;q=" display="https://permalinkbnd.bnportugal.gov.pt/viewer/14604/?offset= - page=6&amp;viewer=picture&amp;o=info&amp;n=0&amp;q=" xr:uid="{873E8D09-15AC-4CEF-AC13-38C9D13F89CB}"/>
    <hyperlink ref="R837" r:id="rId624" location="page=35&amp;viewer=picture&amp;o=info&amp;n=0&amp;q=" display="https://permalinkbnd.bnportugal.gov.pt/viewer/14604/?offset= - page=35&amp;viewer=picture&amp;o=info&amp;n=0&amp;q=" xr:uid="{491BE398-7EEB-49BD-9F1B-3E034F2CCE80}"/>
    <hyperlink ref="R838" r:id="rId625" location="page=13&amp;viewer=picture&amp;o=info&amp;n=0&amp;q=" display="https://permalinkbnd.bnportugal.gov.pt/viewer/278482/?offset= - page=13&amp;viewer=picture&amp;o=info&amp;n=0&amp;q=" xr:uid="{B8B4C0C9-21BE-4A69-A0C3-8A901E22FE97}"/>
    <hyperlink ref="R839" r:id="rId626" location="page=12&amp;viewer=picture&amp;o=info&amp;n=0&amp;q=" display="https://permalinkbnd.bnportugal.gov.pt/viewer/14622/?offset= - page=12&amp;viewer=picture&amp;o=info&amp;n=0&amp;q=" xr:uid="{48BC6A4C-42E4-4DE9-8369-DE0D87FAC9D0}"/>
    <hyperlink ref="R840" r:id="rId627" location="page=21&amp;viewer=picture&amp;o=info&amp;n=0&amp;q=" display="https://permalinkbnd.bnportugal.gov.pt/viewer/14622/?offset= - page=21&amp;viewer=picture&amp;o=info&amp;n=0&amp;q=" xr:uid="{14DA3D74-E055-499B-9D47-D1C25782C830}"/>
    <hyperlink ref="R841" r:id="rId628" location="page=108&amp;viewer=picture&amp;o=info&amp;n=0&amp;q=" display="https://permalinkbnd.bnportugal.gov.pt/viewer/14622/?offset= - page=108&amp;viewer=picture&amp;o=info&amp;n=0&amp;q=" xr:uid="{89B208DB-9918-43BB-92EF-5AC7814EDF51}"/>
    <hyperlink ref="R842" r:id="rId629" location="page=125&amp;viewer=picture&amp;o=info&amp;n=0&amp;q=" display="https://permalinkbnd.bnportugal.gov.pt/viewer/14622/?offset= - page=125&amp;viewer=picture&amp;o=info&amp;n=0&amp;q=" xr:uid="{8D8C27DF-75D6-4090-972D-B877E0B061A4}"/>
    <hyperlink ref="R843" r:id="rId630" location="page=6&amp;viewer=picture&amp;o=info&amp;n=0&amp;q=" display="https://permalinkbnd.bnportugal.gov.pt/viewer/86723/?offset= - page=6&amp;viewer=picture&amp;o=info&amp;n=0&amp;q=" xr:uid="{B2768244-C4ED-4547-A46B-044FA58CC8D5}"/>
    <hyperlink ref="R844" r:id="rId631" location="page=11&amp;viewer=picture&amp;o=info&amp;n=0&amp;q=" display="https://permalinkbnd.bnportugal.gov.pt/viewer/86723/?offset= - page=11&amp;viewer=picture&amp;o=info&amp;n=0&amp;q=" xr:uid="{11C6D72E-7B37-4E6B-BCFB-B18C608081E5}"/>
    <hyperlink ref="R845" r:id="rId632" location="page=17&amp;viewer=picture&amp;o=info&amp;n=0&amp;q=" display="https://permalinkbnd.bnportugal.gov.pt/viewer/278583/?offset= - page=17&amp;viewer=picture&amp;o=info&amp;n=0&amp;q=" xr:uid="{3EBEBBD6-0B2B-4B29-8192-7D078FD15AE9}"/>
    <hyperlink ref="R846" r:id="rId633" location="page=8&amp;viewer=picture&amp;o=info&amp;n=0&amp;q=" display="https://permalinkbnd.bnportugal.gov.pt/viewer/274032/?offset= - page=8&amp;viewer=picture&amp;o=info&amp;n=0&amp;q=" xr:uid="{337DF4F5-FD54-4B74-963E-D8F24E5DA8A6}"/>
    <hyperlink ref="R847" r:id="rId634" location="page=55&amp;viewer=picture&amp;o=info&amp;n=0&amp;q=" display="https://permalinkbnd.bnportugal.gov.pt/viewer/274032/?offset= - page=55&amp;viewer=picture&amp;o=info&amp;n=0&amp;q=" xr:uid="{B91C258D-DBC8-4966-BB6A-94C6FD492941}"/>
    <hyperlink ref="R848" r:id="rId635" location="page=81&amp;viewer=picture&amp;o=info&amp;n=0&amp;q=" display="https://permalinkbnd.bnportugal.gov.pt/viewer/274032/?offset= - page=81&amp;viewer=picture&amp;o=info&amp;n=0&amp;q=" xr:uid="{4B56CA83-9301-46E3-AB9B-65CCF9FE23BA}"/>
    <hyperlink ref="R849" r:id="rId636" location="page=198&amp;viewer=picture&amp;o=info&amp;n=0&amp;q=" display="https://permalinkbnd.bnportugal.gov.pt/viewer/274032/?offset= - page=198&amp;viewer=picture&amp;o=info&amp;n=0&amp;q=" xr:uid="{B75829E9-3B19-4116-96CA-831D6934CC76}"/>
    <hyperlink ref="R850" r:id="rId637" location="page=307&amp;viewer=picture&amp;o=info&amp;n=0&amp;q=" display="https://permalinkbnd.bnportugal.gov.pt/viewer/274032/?offset= - page=307&amp;viewer=picture&amp;o=info&amp;n=0&amp;q=" xr:uid="{384419B1-42DF-4732-A22E-CDE610D3A947}"/>
    <hyperlink ref="R851" r:id="rId638" location="page=369&amp;viewer=picture&amp;o=info&amp;n=0&amp;q=" display="https://permalinkbnd.bnportugal.gov.pt/viewer/274032/?offset= - page=369&amp;viewer=picture&amp;o=info&amp;n=0&amp;q=" xr:uid="{FF2FD37E-9E89-4B37-BC90-9A530565F4B4}"/>
    <hyperlink ref="R852" r:id="rId639" location="page=1&amp;viewer=picture&amp;o=info&amp;n=0&amp;q=" display="https://permalinkbnd.bnportugal.gov.pt/viewer/6839/?offset= - page=1&amp;viewer=picture&amp;o=info&amp;n=0&amp;q=" xr:uid="{C16215C1-B984-47F1-A82B-623DBAB19632}"/>
    <hyperlink ref="R855" r:id="rId640" location="page=10&amp;viewer=picture&amp;o=info&amp;n=0&amp;q=" display="https://permalinkbnd.bnportugal.gov.pt/viewer/6839/?offset= - page=10&amp;viewer=picture&amp;o=info&amp;n=0&amp;q=" xr:uid="{F8A38D22-B237-42A1-9114-D61171780691}"/>
    <hyperlink ref="R856" r:id="rId641" location="page=11&amp;viewer=picture&amp;o=info&amp;n=0&amp;q=" display="https://permalinkbnd.bnportugal.gov.pt/viewer/6839/?offset= - page=11&amp;viewer=picture&amp;o=info&amp;n=0&amp;q=" xr:uid="{C483ABE3-0A1B-474A-B27B-F38954010F96}"/>
    <hyperlink ref="R857" r:id="rId642" location="page=14&amp;viewer=picture&amp;o=info&amp;n=0&amp;q=" display="https://permalinkbnd.bnportugal.gov.pt/viewer/6839/?offset= - page=14&amp;viewer=picture&amp;o=info&amp;n=0&amp;q=" xr:uid="{F2F98561-86BA-420A-AE45-E868C8DEF00E}"/>
    <hyperlink ref="R858" r:id="rId643" location="page=16&amp;viewer=picture&amp;o=info&amp;n=0&amp;q=" display="https://permalinkbnd.bnportugal.gov.pt/viewer/6839/?offset= - page=16&amp;viewer=picture&amp;o=info&amp;n=0&amp;q=" xr:uid="{65C36F81-26F4-4B25-9001-41E233176643}"/>
    <hyperlink ref="R859" r:id="rId644" location="page=20&amp;viewer=picture&amp;o=info&amp;n=0&amp;q=" display="https://permalinkbnd.bnportugal.gov.pt/viewer/6839/?offset= - page=20&amp;viewer=picture&amp;o=info&amp;n=0&amp;q=" xr:uid="{4F952E1A-1548-4C9F-B679-F4549FFD65DC}"/>
    <hyperlink ref="R860" r:id="rId645" location="page=1&amp;viewer=picture&amp;o=info&amp;n=0&amp;q=" display="https://permalinkbnd.bnportugal.gov.pt/viewer/36391/?offset= - page=1&amp;viewer=picture&amp;o=info&amp;n=0&amp;q=" xr:uid="{75D1B461-75B3-4726-AAA5-5F8D080C94B9}"/>
    <hyperlink ref="R861" r:id="rId646" location="page=1&amp;viewer=picture&amp;o=info&amp;n=0&amp;q=" display="https://permalinkbnd.bnportugal.gov.pt/viewer/14630/?offset= - page=1&amp;viewer=picture&amp;o=info&amp;n=0&amp;q=" xr:uid="{EF04F25E-8E8E-4EE5-834C-EAFE93C08899}"/>
    <hyperlink ref="R862" r:id="rId647" location="page=10&amp;viewer=picture&amp;o=info&amp;n=0&amp;q=" display="https://permalinkbnd.bnportugal.gov.pt/viewer/278664/?offset= - page=10&amp;viewer=picture&amp;o=info&amp;n=0&amp;q=" xr:uid="{25E50A30-3D1B-40A5-AB8B-978D63990FBE}"/>
    <hyperlink ref="R863" r:id="rId648" location="page=8&amp;viewer=picture&amp;o=info&amp;n=0&amp;q=" display="https://permalinkbnd.bnportugal.gov.pt/viewer/278660/?offset= - page=8&amp;viewer=picture&amp;o=info&amp;n=0&amp;q=" xr:uid="{6BF241BA-9F78-42A9-8057-77F6CD6B0C3C}"/>
    <hyperlink ref="R864" r:id="rId649" location="page=6&amp;viewer=picture&amp;o=info&amp;n=0&amp;q=" display="https://permalinkbnd.bnportugal.gov.pt/viewer/278669/?offset= - page=6&amp;viewer=picture&amp;o=info&amp;n=0&amp;q=" xr:uid="{FE802C35-2C06-455C-90D6-FAD1DDA1ACD6}"/>
    <hyperlink ref="R865" r:id="rId650" location="page=6&amp;viewer=picture&amp;o=info&amp;n=0&amp;q=" display="https://permalinkbnd.bnportugal.gov.pt/viewer/278783/?offset= - page=6&amp;viewer=picture&amp;o=info&amp;n=0&amp;q=" xr:uid="{4AA543C6-EE13-4352-A129-1364DBEA48D9}"/>
    <hyperlink ref="R866" r:id="rId651" location="page=10&amp;viewer=picture&amp;o=info&amp;n=0&amp;q=" display="https://permalinkbnd.bnportugal.gov.pt/viewer/278786/?offset= - page=10&amp;viewer=picture&amp;o=info&amp;n=0&amp;q=" xr:uid="{52DB721A-9C7D-4571-BDC6-D83977296E3A}"/>
    <hyperlink ref="R867" r:id="rId652" location="page=8&amp;viewer=picture&amp;o=info&amp;n=0&amp;q=" display="https://permalinkbnd.bnportugal.gov.pt/viewer/278784/?offset= - page=8&amp;viewer=picture&amp;o=info&amp;n=0&amp;q=" xr:uid="{22389B9F-0E3D-4827-99EF-BB6AD2D28C3C}"/>
    <hyperlink ref="R868" r:id="rId653" location="page=6&amp;viewer=picture&amp;o=info&amp;n=0&amp;q=" display="https://permalinkbnd.bnportugal.gov.pt/viewer/278793/?offset= - page=6&amp;viewer=picture&amp;o=info&amp;n=0&amp;q=" xr:uid="{1385A963-383C-4B51-8FD2-0854F3082661}"/>
    <hyperlink ref="R869" r:id="rId654" location="page=6&amp;viewer=picture&amp;o=info&amp;n=0&amp;q=" display="https://permalinkbnd.bnportugal.gov.pt/viewer/278782/?offset= - page=6&amp;viewer=picture&amp;o=info&amp;n=0&amp;q=" xr:uid="{75A15720-B8DF-450F-8E4F-458838090820}"/>
    <hyperlink ref="R871" r:id="rId655" location="page=1&amp;viewer=picture&amp;o=info&amp;n=0&amp;q=" display="https://permalinkbnd.bnportugal.gov.pt/viewer/272640/?offset= - page=1&amp;viewer=picture&amp;o=info&amp;n=0&amp;q=" xr:uid="{52E04D22-64AD-4856-914B-330547CFBA50}"/>
    <hyperlink ref="R872" r:id="rId656" location="page=8&amp;viewer=picture&amp;o=info&amp;n=0&amp;q=" display="https://permalinkbnd.bnportugal.gov.pt/viewer/272640/?offset= - page=8&amp;viewer=picture&amp;o=info&amp;n=0&amp;q=" xr:uid="{170D9A72-7A27-4BDD-A87F-E997230C5BD8}"/>
    <hyperlink ref="R873" r:id="rId657" location="page=9&amp;viewer=picture&amp;o=info&amp;n=0&amp;q=" display="https://permalinkbnd.bnportugal.gov.pt/viewer/272640/?offset= - page=9&amp;viewer=picture&amp;o=info&amp;n=0&amp;q=" xr:uid="{71A01731-AF2E-4FC2-9E72-C1EC5F115280}"/>
    <hyperlink ref="R875" r:id="rId658" location="page=25&amp;viewer=picture&amp;o=info&amp;n=0&amp;q=" display="https://permalinkbnd.bnportugal.gov.pt/viewer/272640/?offset= - page=25&amp;viewer=picture&amp;o=info&amp;n=0&amp;q=" xr:uid="{10BBE36A-025F-46F5-8473-505F02481035}"/>
    <hyperlink ref="R876" r:id="rId659" location="page=27&amp;viewer=picture&amp;o=info&amp;n=0&amp;q=" display="https://permalinkbnd.bnportugal.gov.pt/viewer/272640/?offset= - page=27&amp;viewer=picture&amp;o=info&amp;n=0&amp;q=" xr:uid="{7C528CE8-3E9D-4FB3-942D-AB20BCD119D8}"/>
    <hyperlink ref="R877" r:id="rId660" location="page=29&amp;viewer=picture&amp;o=info&amp;n=0&amp;q=" display="https://permalinkbnd.bnportugal.gov.pt/viewer/272640/?offset= - page=29&amp;viewer=picture&amp;o=info&amp;n=0&amp;q=" xr:uid="{29E7CA53-DA2B-4165-8340-82AE824EE81F}"/>
    <hyperlink ref="R878" r:id="rId661" location="page=31&amp;viewer=picture&amp;o=info&amp;n=0&amp;q=" display="https://permalinkbnd.bnportugal.gov.pt/viewer/272640/?offset= - page=31&amp;viewer=picture&amp;o=info&amp;n=0&amp;q=" xr:uid="{584D33FE-B258-4B66-AC34-DEE180F7C79F}"/>
    <hyperlink ref="R880" r:id="rId662" location="page=59&amp;viewer=picture&amp;o=info&amp;n=0&amp;q=" display="https://permalinkbnd.bnportugal.gov.pt/viewer/272640/?offset= - page=59&amp;viewer=picture&amp;o=info&amp;n=0&amp;q=" xr:uid="{CFA8D669-A05D-42AA-B0CC-DF0BB8F36CD8}"/>
    <hyperlink ref="R882" r:id="rId663" location="page=71&amp;viewer=picture&amp;o=info&amp;n=0&amp;q=" display="https://permalinkbnd.bnportugal.gov.pt/viewer/272640/?offset= - page=71&amp;viewer=picture&amp;o=info&amp;n=0&amp;q=" xr:uid="{DF7F70EA-024A-478D-8DE5-BBEF274B19DC}"/>
    <hyperlink ref="R883" r:id="rId664" location="page=89&amp;viewer=picture&amp;o=info&amp;n=0&amp;q=" display="https://permalinkbnd.bnportugal.gov.pt/viewer/272640/?offset= - page=89&amp;viewer=picture&amp;o=info&amp;n=0&amp;q=" xr:uid="{685141AD-5733-48EA-8D97-D026107A4472}"/>
    <hyperlink ref="R884" r:id="rId665" location="page=95&amp;viewer=picture&amp;o=info&amp;n=0&amp;q=" display="https://permalinkbnd.bnportugal.gov.pt/viewer/272640/?offset= - page=95&amp;viewer=picture&amp;o=info&amp;n=0&amp;q=" xr:uid="{3E954E42-A921-4BC4-A894-C3D40ABEAC45}"/>
    <hyperlink ref="R886" r:id="rId666" location="page=127&amp;viewer=picture&amp;o=info&amp;n=0&amp;q=" display="https://permalinkbnd.bnportugal.gov.pt/viewer/272640/?offset= - page=127&amp;viewer=picture&amp;o=info&amp;n=0&amp;q=" xr:uid="{2188E8FE-4F4B-4362-9A3B-B4FFF085AC77}"/>
    <hyperlink ref="R887" r:id="rId667" location="page=135&amp;viewer=picture&amp;o=info&amp;n=0&amp;q=" display="https://permalinkbnd.bnportugal.gov.pt/viewer/272640/?offset= - page=135&amp;viewer=picture&amp;o=info&amp;n=0&amp;q=" xr:uid="{C014126C-96DD-4417-88C2-C5A1E506082D}"/>
    <hyperlink ref="R889" r:id="rId668" location="page=161&amp;viewer=picture&amp;o=info&amp;n=0&amp;q=" display="https://permalinkbnd.bnportugal.gov.pt/viewer/272640/?offset= - page=161&amp;viewer=picture&amp;o=info&amp;n=0&amp;q=" xr:uid="{BE42325E-1B36-4522-8FF9-7A485FDB6CBF}"/>
    <hyperlink ref="R890" r:id="rId669" location="page=167&amp;viewer=picture&amp;o=info&amp;n=0&amp;q=" display="https://permalinkbnd.bnportugal.gov.pt/viewer/272640/?offset= - page=167&amp;viewer=picture&amp;o=info&amp;n=0&amp;q=" xr:uid="{077EEE7C-26E1-46D8-A5D2-688194F7B723}"/>
    <hyperlink ref="R892" r:id="rId670" location="page=181&amp;viewer=picture&amp;o=info&amp;n=0&amp;q=" display="https://permalinkbnd.bnportugal.gov.pt/viewer/272640/?offset= - page=181&amp;viewer=picture&amp;o=info&amp;n=0&amp;q=" xr:uid="{1ED8BED0-FE9E-4891-A030-105E0A8DF036}"/>
    <hyperlink ref="R893" r:id="rId671" location="page=197&amp;viewer=picture&amp;o=info&amp;n=0&amp;q=" display="https://permalinkbnd.bnportugal.gov.pt/viewer/272640/?offset= - page=197&amp;viewer=picture&amp;o=info&amp;n=0&amp;q=" xr:uid="{D77D3B25-5D86-4AF9-B645-B5905CB419AC}"/>
    <hyperlink ref="R895" r:id="rId672" location="page=207&amp;viewer=picture&amp;o=info&amp;n=0&amp;q=" display="https://permalinkbnd.bnportugal.gov.pt/viewer/272640/?offset= - page=207&amp;viewer=picture&amp;o=info&amp;n=0&amp;q=" xr:uid="{23021C56-967D-4AB6-B90C-22CFD29ED3FE}"/>
    <hyperlink ref="R896" r:id="rId673" location="page=227&amp;viewer=picture&amp;o=info&amp;n=0&amp;q=" display="https://permalinkbnd.bnportugal.gov.pt/viewer/272640/?offset= - page=227&amp;viewer=picture&amp;o=info&amp;n=0&amp;q=" xr:uid="{C91C1363-5D0B-42D2-A649-F64DB1653599}"/>
    <hyperlink ref="R898" r:id="rId674" location="page=241&amp;viewer=picture&amp;o=info&amp;n=0&amp;q=" display="https://permalinkbnd.bnportugal.gov.pt/viewer/272640/?offset= - page=241&amp;viewer=picture&amp;o=info&amp;n=0&amp;q=" xr:uid="{1ECA1B8D-169A-45C0-AAB8-226CC60CE4AD}"/>
    <hyperlink ref="R899" r:id="rId675" location="page=253&amp;viewer=picture&amp;o=info&amp;n=0&amp;q=" display="https://permalinkbnd.bnportugal.gov.pt/viewer/272640/?offset= - page=253&amp;viewer=picture&amp;o=info&amp;n=0&amp;q=" xr:uid="{C36C204B-84C9-4688-9D03-6B09A7A52E61}"/>
    <hyperlink ref="R901" r:id="rId676" location="page=271&amp;viewer=picture&amp;o=info&amp;n=0&amp;q=" display="https://permalinkbnd.bnportugal.gov.pt/viewer/272640/?offset= - page=271&amp;viewer=picture&amp;o=info&amp;n=0&amp;q=" xr:uid="{67CE0B29-8574-4428-83A5-0894A7932466}"/>
    <hyperlink ref="R902" r:id="rId677" location="page=283&amp;viewer=picture&amp;o=info&amp;n=0&amp;q=" display="https://permalinkbnd.bnportugal.gov.pt/viewer/272640/?offset= - page=283&amp;viewer=picture&amp;o=info&amp;n=0&amp;q=" xr:uid="{13CF785E-F004-4631-BE9F-6BC8E898845B}"/>
    <hyperlink ref="R904" r:id="rId678" location="page=307&amp;viewer=picture&amp;o=info&amp;n=0&amp;q=" display="https://permalinkbnd.bnportugal.gov.pt/viewer/272640/?offset= - page=307&amp;viewer=picture&amp;o=info&amp;n=0&amp;q=" xr:uid="{23E2B0B1-6D6A-4CEF-AF7E-95FFF79111FA}"/>
    <hyperlink ref="R905" r:id="rId679" location="page=311&amp;viewer=picture&amp;o=info&amp;n=0&amp;q=" display="https://permalinkbnd.bnportugal.gov.pt/viewer/272640/?offset= - page=311&amp;viewer=picture&amp;o=info&amp;n=0&amp;q=" xr:uid="{F8EEC8E8-2163-4F89-8D3A-69CF82A273B9}"/>
    <hyperlink ref="R907" r:id="rId680" location="page=349&amp;viewer=picture&amp;o=info&amp;n=0&amp;q=" display="https://permalinkbnd.bnportugal.gov.pt/viewer/272640/?offset= - page=349&amp;viewer=picture&amp;o=info&amp;n=0&amp;q=" xr:uid="{CEFB8F6E-02AD-43DF-AD0C-4955B58F90A6}"/>
    <hyperlink ref="R908" r:id="rId681" location="page=5&amp;viewer=picture&amp;o=info&amp;n=0&amp;q=" display="https://permalinkbnd.bnportugal.gov.pt/viewer/279630/?offset= - page=5&amp;viewer=picture&amp;o=info&amp;n=0&amp;q=" xr:uid="{82A07399-3370-4C35-A5D0-B16669617574}"/>
    <hyperlink ref="R909" r:id="rId682" location="page=7&amp;viewer=picture&amp;o=info&amp;n=0&amp;q=" display="https://permalinkbnd.bnportugal.gov.pt/viewer/279630/?offset= - page=7&amp;viewer=picture&amp;o=info&amp;n=0&amp;q=" xr:uid="{576DB80B-3E5C-456C-B424-F68D345261E0}"/>
    <hyperlink ref="R910" r:id="rId683" location="page=4&amp;viewer=picture&amp;o=info&amp;n=0&amp;q=" display="https://permalinkbnd.bnportugal.gov.pt/viewer/279634/?offset= - page=4&amp;viewer=picture&amp;o=info&amp;n=0&amp;q=" xr:uid="{012F2FDE-52D2-48E4-82BE-D740F2582E07}"/>
    <hyperlink ref="R912" r:id="rId684" location="page=1&amp;viewer=picture&amp;o=info&amp;n=0&amp;q=" display="https://permalinkbnd.bnportugal.gov.pt/viewer/279104/?offset= - page=1&amp;viewer=picture&amp;o=info&amp;n=0&amp;q=" xr:uid="{2E779781-D510-4F67-A445-E4F9CFE0CB39}"/>
    <hyperlink ref="R914" r:id="rId685" location="page=1&amp;viewer=picture&amp;o=info&amp;n=0&amp;q=" display="https://permalinkbnd.bnportugal.gov.pt/viewer/20471/?offset= - page=1&amp;viewer=picture&amp;o=info&amp;n=0&amp;q=" xr:uid="{353FDA3D-7180-4727-8085-E4660D9AEFD9}"/>
    <hyperlink ref="R915" r:id="rId686" location="page=1&amp;viewer=picture&amp;o=info&amp;n=0&amp;q=" display="https://permalinkbnd.bnportugal.gov.pt/viewer/17516/?offset= - page=1&amp;viewer=picture&amp;o=info&amp;n=0&amp;q=" xr:uid="{0D29B4B9-7B3C-47C8-923A-D37410598FAD}"/>
    <hyperlink ref="R919" r:id="rId687" location="page=13&amp;viewer=picture&amp;o=info&amp;n=0&amp;q=" display="https://permalinkbnd.bnportugal.gov.pt/viewer/14594/?offset= - page=13&amp;viewer=picture&amp;o=info&amp;n=0&amp;q=" xr:uid="{C38AE580-172E-4F1B-8C9E-64D4EDA040A5}"/>
    <hyperlink ref="R920" r:id="rId688" location="page=30&amp;viewer=picture&amp;o=info&amp;n=0&amp;q=" display="https://permalinkbnd.bnportugal.gov.pt/viewer/14594/?offset= - page=30&amp;viewer=picture&amp;o=info&amp;n=0&amp;q=" xr:uid="{93B2E4F8-A1DA-4AC6-A937-B19DF9D4E535}"/>
    <hyperlink ref="R921" r:id="rId689" location="page=32&amp;viewer=picture&amp;o=info&amp;n=0&amp;q=" display="https://permalinkbnd.bnportugal.gov.pt/viewer/14594/?offset= - page=32&amp;viewer=picture&amp;o=info&amp;n=0&amp;q=" xr:uid="{B792A328-D88F-47A4-8CE2-A52FEA9FD20F}"/>
    <hyperlink ref="R922" r:id="rId690" location="page=54&amp;viewer=picture&amp;o=info&amp;n=0&amp;q=" display="https://permalinkbnd.bnportugal.gov.pt/viewer/14594/?offset= - page=54&amp;viewer=picture&amp;o=info&amp;n=0&amp;q=" xr:uid="{542C8FC4-C11D-4AB4-8CD7-586C4691A496}"/>
    <hyperlink ref="R925" r:id="rId691" location="page=78&amp;viewer=picture&amp;o=info&amp;n=0&amp;q=" display="https://permalinkbnd.bnportugal.gov.pt/viewer/14594/?offset= - page=78&amp;viewer=picture&amp;o=info&amp;n=0&amp;q=" xr:uid="{F54FA456-E217-48E7-A6C5-B7001F7DE185}"/>
    <hyperlink ref="R926" r:id="rId692" location="page=106&amp;viewer=picture&amp;o=info&amp;n=0&amp;q=" display="https://permalinkbnd.bnportugal.gov.pt/viewer/14594/?offset= - page=106&amp;viewer=picture&amp;o=info&amp;n=0&amp;q=" xr:uid="{E29FD848-0B42-4135-B280-BF32B57CCF6C}"/>
    <hyperlink ref="R928" r:id="rId693" location="page=128&amp;viewer=picture&amp;o=info&amp;n=0&amp;q=" display="https://permalinkbnd.bnportugal.gov.pt/viewer/14594/?offset= - page=128&amp;viewer=picture&amp;o=info&amp;n=0&amp;q=" xr:uid="{26E6FB50-0F1A-4B60-B130-6698EE74A585}"/>
    <hyperlink ref="R929" r:id="rId694" location="page=129&amp;viewer=picture&amp;o=info&amp;n=0&amp;q=" display="https://permalinkbnd.bnportugal.gov.pt/viewer/14594/?offset= - page=129&amp;viewer=picture&amp;o=info&amp;n=0&amp;q=" xr:uid="{5BA66D39-55DF-44CF-837F-5A1540EE050C}"/>
    <hyperlink ref="R931" r:id="rId695" location="page=150&amp;viewer=picture&amp;o=info&amp;n=0&amp;q=" display="https://permalinkbnd.bnportugal.gov.pt/viewer/14594/?offset= - page=150&amp;viewer=picture&amp;o=info&amp;n=0&amp;q=" xr:uid="{73D9D816-0657-49D0-AF22-356F40F49673}"/>
    <hyperlink ref="R932" r:id="rId696" location="page=151&amp;viewer=picture&amp;o=info&amp;n=0&amp;q=" display="https://permalinkbnd.bnportugal.gov.pt/viewer/14594/?offset= - page=151&amp;viewer=picture&amp;o=info&amp;n=0&amp;q=" xr:uid="{5F801721-4D21-4DE5-9102-BD97154F8ED4}"/>
    <hyperlink ref="R933" r:id="rId697" location="page=170&amp;viewer=picture&amp;o=info&amp;n=0&amp;q=" display="https://permalinkbnd.bnportugal.gov.pt/viewer/14594/?offset= - page=170&amp;viewer=picture&amp;o=info&amp;n=0&amp;q=" xr:uid="{1725CB1D-06D8-4466-8BA8-F498AADDCBF4}"/>
    <hyperlink ref="R934" r:id="rId698" location="page=171&amp;viewer=picture&amp;o=info&amp;n=0&amp;q=" display="https://permalinkbnd.bnportugal.gov.pt/viewer/14594/?offset= - page=171&amp;viewer=picture&amp;o=info&amp;n=0&amp;q=" xr:uid="{81DAB5C4-AC47-4B31-BA7B-AB6F72A8026C}"/>
    <hyperlink ref="R935" r:id="rId699" location="page=188&amp;viewer=picture&amp;o=info&amp;n=0&amp;q=" display="https://permalinkbnd.bnportugal.gov.pt/viewer/14594/?offset= - page=188&amp;viewer=picture&amp;o=info&amp;n=0&amp;q=" xr:uid="{25226ACB-C746-46DF-B708-25AEF9023CA2}"/>
    <hyperlink ref="R936" r:id="rId700" location="page=189&amp;viewer=picture&amp;o=info&amp;n=0&amp;q=" display="https://permalinkbnd.bnportugal.gov.pt/viewer/14594/?offset= - page=189&amp;viewer=picture&amp;o=info&amp;n=0&amp;q=" xr:uid="{903669CC-21A3-43FB-A7B6-E341FBD8C1F7}"/>
    <hyperlink ref="R937" r:id="rId701" location="page=208&amp;viewer=picture&amp;o=info&amp;n=0&amp;q=" display="https://permalinkbnd.bnportugal.gov.pt/viewer/14594/?offset= - page=208&amp;viewer=picture&amp;o=info&amp;n=0&amp;q=" xr:uid="{E63E448E-32F4-499C-80CC-4225EC7ED0B4}"/>
    <hyperlink ref="R938" r:id="rId702" location="page=209&amp;viewer=picture&amp;o=info&amp;n=0&amp;q=" display="https://permalinkbnd.bnportugal.gov.pt/viewer/14594/?offset= - page=209&amp;viewer=picture&amp;o=info&amp;n=0&amp;q=" xr:uid="{AC66F75F-28FA-45E7-851D-30B6DFA4EA98}"/>
    <hyperlink ref="R939" r:id="rId703" location="page=228&amp;viewer=picture&amp;o=info&amp;n=0&amp;q=" display="https://permalinkbnd.bnportugal.gov.pt/viewer/14594/?offset= - page=228&amp;viewer=picture&amp;o=info&amp;n=0&amp;q=" xr:uid="{814521CC-FE56-4A75-A94A-0DBDBFB2AF7D}"/>
    <hyperlink ref="R940" r:id="rId704" location="page=229&amp;viewer=picture&amp;o=info&amp;n=0&amp;q=" display="https://permalinkbnd.bnportugal.gov.pt/viewer/14594/?offset= - page=229&amp;viewer=picture&amp;o=info&amp;n=0&amp;q=" xr:uid="{C4447B9B-6351-4501-9C34-9B78530F3AEA}"/>
    <hyperlink ref="R943" r:id="rId705" location="page=1&amp;viewer=picture&amp;o=info&amp;n=0&amp;q=" display="https://permalinkbnd.bnportugal.gov.pt/viewer/89062/?offset= - page=1&amp;viewer=picture&amp;o=info&amp;n=0&amp;q=" xr:uid="{C89F1663-6AFF-4344-98EF-DDB9346F8E7D}"/>
    <hyperlink ref="R944" r:id="rId706" location="page=4&amp;viewer=picture&amp;o=info&amp;n=0&amp;q=" display="https://permalinkbnd.bnportugal.gov.pt/viewer/272813/?offset= - page=4&amp;viewer=picture&amp;o=info&amp;n=0&amp;q=" xr:uid="{0F02CA07-F163-465C-9448-4865AFCF71AF}"/>
    <hyperlink ref="R945" r:id="rId707" location="page=13&amp;viewer=picture&amp;o=info&amp;n=0&amp;q=" display="https://permalinkbnd.bnportugal.gov.pt/viewer/279095/?offset= - page=13&amp;viewer=picture&amp;o=info&amp;n=0&amp;q=" xr:uid="{AD3D32FE-F68A-4FD0-90AD-B9AA6D7EF0FD}"/>
    <hyperlink ref="R946" r:id="rId708" location="page=15&amp;viewer=picture&amp;o=info&amp;n=0&amp;q=" display="https://permalinkbnd.bnportugal.gov.pt/viewer/278400/?offset= - page=15&amp;viewer=picture&amp;o=info&amp;n=0&amp;q=" xr:uid="{FDC61F9C-B35C-4A9E-848D-B9581596E8A3}"/>
    <hyperlink ref="R947" r:id="rId709" location="page=117 vs. 109&amp;viewer=picture&amp;o=info&amp;n=0&amp;q=" display="https://permalinkbnd.bnportugal.gov.pt/viewer/278400/?offset= - page=117 vs. 109&amp;viewer=picture&amp;o=info&amp;n=0&amp;q=" xr:uid="{CB4EAD9F-3DAA-42B0-A924-7C6A7EE9D418}"/>
    <hyperlink ref="R948" r:id="rId710" location="page=121&amp;viewer=picture&amp;o=info&amp;n=0&amp;q=" display="https://permalinkbnd.bnportugal.gov.pt/viewer/278400/?offset= - page=121&amp;viewer=picture&amp;o=info&amp;n=0&amp;q=" xr:uid="{CD7D586E-0700-4BDB-A761-008309954E04}"/>
    <hyperlink ref="R949" r:id="rId711" location="page=153 vs. 135&amp;viewer=picture&amp;o=info&amp;n=0&amp;q=" display="https://permalinkbnd.bnportugal.gov.pt/viewer/278400/?offset= - page=153 vs. 135&amp;viewer=picture&amp;o=info&amp;n=0&amp;q=" xr:uid="{792F797E-2C6B-4F7A-B649-A723C106A43E}"/>
    <hyperlink ref="R950" r:id="rId712" location="page=145&amp;viewer=picture&amp;o=info&amp;n=0&amp;q=" display="https://permalinkbnd.bnportugal.gov.pt/viewer/278400/?offset= - page=145&amp;viewer=picture&amp;o=info&amp;n=0&amp;q=" xr:uid="{6B631EE8-CC0F-44B2-A99D-8E631C059169}"/>
    <hyperlink ref="R951" r:id="rId713" location="page=165&amp;viewer=picture&amp;o=info&amp;n=0&amp;q=" display="https://permalinkbnd.bnportugal.gov.pt/viewer/278400/?offset= - page=165&amp;viewer=picture&amp;o=info&amp;n=0&amp;q=" xr:uid="{2ECC30BE-4B89-4D49-A3BF-FB1E0CF04BFB}"/>
    <hyperlink ref="R952" r:id="rId714" location="page=5&amp;viewer=picture&amp;o=info&amp;n=0&amp;q=" display="https://permalinkbnd.bnportugal.gov.pt/viewer/278662/?offset= - page=5&amp;viewer=picture&amp;o=info&amp;n=0&amp;q=" xr:uid="{DB09DC44-9C7B-458A-AC07-A185D5F9E846}"/>
    <hyperlink ref="R953" r:id="rId715" location="page=8&amp;viewer=picture&amp;o=info&amp;n=0&amp;q=" display="https://permalinkbnd.bnportugal.gov.pt/viewer/278662/?offset= - page=8&amp;viewer=picture&amp;o=info&amp;n=0&amp;q=" xr:uid="{8CA3D7DA-C5E0-4E8B-8BEA-C525A332B5C5}"/>
    <hyperlink ref="R954" r:id="rId716" location="page=5&amp;viewer=picture&amp;o=info&amp;n=0&amp;q=" display="https://permalinkbnd.bnportugal.gov.pt/viewer/278491/?offset= - page=5&amp;viewer=picture&amp;o=info&amp;n=0&amp;q=" xr:uid="{0C68C63A-E02D-413F-ABEB-D5A5F0E3B43E}"/>
    <hyperlink ref="R955" r:id="rId717" location="page=4&amp;viewer=picture&amp;o=info&amp;n=0&amp;q=" display="https://permalinkbnd.bnportugal.gov.pt/viewer/278670/?offset= - page=4&amp;viewer=picture&amp;o=info&amp;n=0&amp;q=" xr:uid="{DDDA9411-79CF-4431-BE80-AFC12FBF46F4}"/>
    <hyperlink ref="R956" r:id="rId718" location="page=3&amp;viewer=picture&amp;o=info&amp;n=0&amp;q=" display="https://permalinkbnd.bnportugal.gov.pt/viewer/279637/?offset= - page=3&amp;viewer=picture&amp;o=info&amp;n=0&amp;q=" xr:uid="{273A5355-5C19-4278-83DB-FC36050D5916}"/>
    <hyperlink ref="R957" r:id="rId719" location="page=5&amp;viewer=picture&amp;o=info&amp;n=0&amp;q=" display="https://permalinkbnd.bnportugal.gov.pt/viewer/279637/?offset= - page=5&amp;viewer=picture&amp;o=info&amp;n=0&amp;q=" xr:uid="{3A445DBE-0EDF-4B3D-9734-1E2D47C31A11}"/>
    <hyperlink ref="R958" r:id="rId720" location="page=8&amp;viewer=picture&amp;o=info&amp;n=0&amp;q=" display="https://permalinkbnd.bnportugal.gov.pt/viewer/279637/?offset= - page=8&amp;viewer=picture&amp;o=info&amp;n=0&amp;q=" xr:uid="{3135A001-6EE3-4872-BF96-4F6053EAC7FB}"/>
    <hyperlink ref="R959" r:id="rId721" location="page=10&amp;viewer=picture&amp;o=info&amp;n=0&amp;q=" display="https://permalinkbnd.bnportugal.gov.pt/viewer/279637/?offset= - page=10&amp;viewer=picture&amp;o=info&amp;n=0&amp;q=" xr:uid="{533BDC5C-6DCF-4EAC-AB3C-AEAD6234826A}"/>
    <hyperlink ref="R960" r:id="rId722" location="page=12&amp;viewer=picture&amp;o=info&amp;n=0&amp;q=" display="https://permalinkbnd.bnportugal.gov.pt/viewer/1880/?offset= - page=12&amp;viewer=picture&amp;o=info&amp;n=0&amp;q=" xr:uid="{2FAFB19A-D9EC-4E05-B05C-69F9AEE951A9}"/>
    <hyperlink ref="R961" r:id="rId723" location="page=10&amp;viewer=picture&amp;o=info&amp;n=0&amp;q=" display="https://permalinkbnd.bnportugal.gov.pt/viewer/278595/?offset= - page=10&amp;viewer=picture&amp;o=info&amp;n=0&amp;q=" xr:uid="{3555451D-177A-4314-A8F1-5D3A806B2563}"/>
    <hyperlink ref="R962" r:id="rId724" location="page=8&amp;viewer=picture&amp;o=info&amp;n=0&amp;q=" display="https://permalinkbnd.bnportugal.gov.pt/viewer/278597/?offset= - page=8&amp;viewer=picture&amp;o=info&amp;n=0&amp;q=" xr:uid="{9BFF30F3-7E74-4C80-91FD-11813B44BF85}"/>
    <hyperlink ref="R963" r:id="rId725" location="page=1&amp;viewer=picture&amp;o=info&amp;n=0&amp;q=" display="https://permalinkbnd.bnportugal.gov.pt/viewer/278668/?offset= - page=1&amp;viewer=picture&amp;o=info&amp;n=0&amp;q=" xr:uid="{044336F9-C9C6-44ED-B671-48ADB6126606}"/>
    <hyperlink ref="R964" r:id="rId726" location="page=5&amp;viewer=picture&amp;o=info&amp;n=0&amp;q=" display="https://permalinkbnd.bnportugal.gov.pt/viewer/278663/?offset= - page=5&amp;viewer=picture&amp;o=info&amp;n=0&amp;q=" xr:uid="{54ABA8CF-1526-4E06-84A7-6F3BAFF44024}"/>
    <hyperlink ref="R966" r:id="rId727" location="page=8&amp;viewer=picture&amp;o=info&amp;n=0&amp;q=" display="https://permalinkbnd.bnportugal.gov.pt/viewer/278795/?offset= - page=8&amp;viewer=picture&amp;o=info&amp;n=0&amp;q=" xr:uid="{7124A1F5-9005-4847-BC4A-01EFC21D17D6}"/>
    <hyperlink ref="R967" r:id="rId728" location="page=59&amp;viewer=picture&amp;o=info&amp;n=0&amp;q=" display="https://permalinkbnd.bnportugal.gov.pt/viewer/278795/?offset= - page=59&amp;viewer=picture&amp;o=info&amp;n=0&amp;q=" xr:uid="{48BF29BB-E3D3-4FD3-B1D3-116B7DC8B111}"/>
    <hyperlink ref="R968" r:id="rId729" location="page=97&amp;viewer=picture&amp;o=info&amp;n=0&amp;q=" display="https://permalinkbnd.bnportugal.gov.pt/viewer/278795/?offset= - page=97&amp;viewer=picture&amp;o=info&amp;n=0&amp;q=" xr:uid="{066B5FAF-7FF3-4D4F-863C-962D3D368354}"/>
    <hyperlink ref="R969" r:id="rId730" location="page=139&amp;viewer=picture&amp;o=info&amp;n=0&amp;q=" display="https://permalinkbnd.bnportugal.gov.pt/viewer/278795/?offset= - page=139&amp;viewer=picture&amp;o=info&amp;n=0&amp;q=" xr:uid="{C27F6095-F5CF-4739-A480-2F8B5C0B627D}"/>
    <hyperlink ref="R970" r:id="rId731" location="page=191&amp;viewer=picture&amp;o=info&amp;n=0&amp;q=" display="https://permalinkbnd.bnportugal.gov.pt/viewer/278795/?offset= - page=191&amp;viewer=picture&amp;o=info&amp;n=0&amp;q=" xr:uid="{099E41D2-C831-4849-A194-156FABC33354}"/>
    <hyperlink ref="R971" r:id="rId732" location="page=229&amp;viewer=picture&amp;o=info&amp;n=0&amp;q=" display="https://permalinkbnd.bnportugal.gov.pt/viewer/278795/?offset= - page=229&amp;viewer=picture&amp;o=info&amp;n=0&amp;q=" xr:uid="{F6B93C56-4EE0-4421-8607-73E8AFB03C1B}"/>
    <hyperlink ref="R972" r:id="rId733" location="page=265&amp;viewer=picture&amp;o=info&amp;n=0&amp;q=" display="https://permalinkbnd.bnportugal.gov.pt/viewer/278795/?offset= - page=265&amp;viewer=picture&amp;o=info&amp;n=0&amp;q=" xr:uid="{541D8C5F-DFEF-4C66-B539-ABAAB783966B}"/>
    <hyperlink ref="R973" r:id="rId734" location="page=301&amp;viewer=picture&amp;o=info&amp;n=0&amp;q=" display="https://permalinkbnd.bnportugal.gov.pt/viewer/278795/?offset= - page=301&amp;viewer=picture&amp;o=info&amp;n=0&amp;q=" xr:uid="{5B58200B-73F5-48D2-A8C7-C97AF11B6D82}"/>
    <hyperlink ref="R974" r:id="rId735" location="page=333&amp;viewer=picture&amp;o=info&amp;n=0&amp;q=" display="https://permalinkbnd.bnportugal.gov.pt/viewer/278795/?offset= - page=333&amp;viewer=picture&amp;o=info&amp;n=0&amp;q=" xr:uid="{B6288DDB-3F6B-415D-8700-838200D84F11}"/>
    <hyperlink ref="R975" r:id="rId736" location="page=369&amp;viewer=picture&amp;o=info&amp;n=0&amp;q=" display="https://permalinkbnd.bnportugal.gov.pt/viewer/278795/?offset= - page=369&amp;viewer=picture&amp;o=info&amp;n=0&amp;q=" xr:uid="{0B887B08-C711-4883-BECB-F5F19EDA290C}"/>
    <hyperlink ref="R976" r:id="rId737" location="page=405&amp;viewer=picture&amp;o=info&amp;n=0&amp;q=" display="https://permalinkbnd.bnportugal.gov.pt/viewer/278795/?offset= - page=405&amp;viewer=picture&amp;o=info&amp;n=0&amp;q=" xr:uid="{81011375-84C8-4B58-B47B-477403CF54D9}"/>
    <hyperlink ref="R977" r:id="rId738" location="page=22&amp;viewer=picture&amp;o=info&amp;n=0&amp;q=" display="https://permalinkbnd.bnportugal.gov.pt/viewer/279624/?offset= - page=22&amp;viewer=picture&amp;o=info&amp;n=0&amp;q=" xr:uid="{94495573-1415-4291-A0EE-BD9F69B3B2AB}"/>
    <hyperlink ref="R978" r:id="rId739" location="page=24&amp;viewer=picture&amp;o=info&amp;n=0&amp;q=" display="https://permalinkbnd.bnportugal.gov.pt/viewer/279624/?offset= - page=24&amp;viewer=picture&amp;o=info&amp;n=0&amp;q=" xr:uid="{599E0359-D6FE-4936-9531-63D883321108}"/>
    <hyperlink ref="R979" r:id="rId740" location="page=5&amp;viewer=picture&amp;o=info&amp;n=0&amp;q=" display="https://permalinkbnd.bnportugal.gov.pt/viewer/279100/?offset= - page=5&amp;viewer=picture&amp;o=info&amp;n=0&amp;q=" xr:uid="{4457E749-B7DF-4EC0-924D-F2AFC8901F0A}"/>
    <hyperlink ref="R980" r:id="rId741" location="page=7&amp;viewer=picture&amp;o=info&amp;n=0&amp;q=" display="https://permalinkbnd.bnportugal.gov.pt/viewer/279100/?offset= - page=7&amp;viewer=picture&amp;o=info&amp;n=0&amp;q=" xr:uid="{B39BC9F9-229D-44F8-ACD1-00A43CEEB056}"/>
    <hyperlink ref="R981" r:id="rId742" location="page=9&amp;viewer=picture&amp;o=info&amp;n=0&amp;q=" display="https://permalinkbnd.bnportugal.gov.pt/viewer/278495/?offset= - page=9&amp;viewer=picture&amp;o=info&amp;n=0&amp;q=" xr:uid="{8D0FA46D-0F38-41F3-9A0A-19960D589E9F}"/>
    <hyperlink ref="R983" r:id="rId743" location="page=7&amp;viewer=picture&amp;o=info&amp;n=0&amp;q=" display="https://permalinkbnd.bnportugal.gov.pt/viewer/14663/?offset= - page=7&amp;viewer=picture&amp;o=info&amp;n=0&amp;q=" xr:uid="{9985EDF7-557E-4A98-AF2D-BEA536F4A349}"/>
    <hyperlink ref="R984" r:id="rId744" location="page=1&amp;viewer=picture&amp;o=info&amp;n=0&amp;q=" display="https://permalinkbnd.bnportugal.gov.pt/viewer/256552/?offset= - page=1&amp;viewer=picture&amp;o=info&amp;n=0&amp;q=" xr:uid="{AEDD67E1-28BC-42F6-9BF0-DDF1A8EF20F9}"/>
    <hyperlink ref="R985" r:id="rId745" location="page=9&amp;viewer=picture&amp;o=info&amp;n=0&amp;q=" display="https://permalinkbnd.bnportugal.gov.pt/viewer/256552/?offset= - page=9&amp;viewer=picture&amp;o=info&amp;n=0&amp;q=" xr:uid="{0605B42E-0896-4D9C-BF9C-205D900CB497}"/>
    <hyperlink ref="R986" r:id="rId746" location="page=14&amp;viewer=picture&amp;o=info&amp;n=0&amp;q=" display="https://permalinkbnd.bnportugal.gov.pt/viewer/256552/?offset= - page=14&amp;viewer=picture&amp;o=info&amp;n=0&amp;q=" xr:uid="{756E9BDD-B11C-49EA-B2A7-053F7EE7726B}"/>
    <hyperlink ref="R987" r:id="rId747" location="page=19&amp;viewer=picture&amp;o=info&amp;n=0&amp;q=" display="https://permalinkbnd.bnportugal.gov.pt/viewer/256552/?offset= - page=19&amp;viewer=picture&amp;o=info&amp;n=0&amp;q=" xr:uid="{525C0FD7-BECA-4151-B063-E2D511B3CC0E}"/>
    <hyperlink ref="R988" r:id="rId748" location="page=20&amp;viewer=picture&amp;o=info&amp;n=0&amp;q=" display="https://permalinkbnd.bnportugal.gov.pt/viewer/256552/?offset= - page=20&amp;viewer=picture&amp;o=info&amp;n=0&amp;q=" xr:uid="{8B31294C-7727-45D3-B751-71B832CFD051}"/>
    <hyperlink ref="R989" r:id="rId749" location="page=39&amp;viewer=picture&amp;o=info&amp;n=0&amp;q=" display="https://permalinkbnd.bnportugal.gov.pt/viewer/256552/?offset= - page=39&amp;viewer=picture&amp;o=info&amp;n=0&amp;q=" xr:uid="{542554A6-A6AC-4B9B-97F6-86596D30A9A7}"/>
    <hyperlink ref="R990" r:id="rId750" location="page=42&amp;viewer=picture&amp;o=info&amp;n=0&amp;q=" display="https://permalinkbnd.bnportugal.gov.pt/viewer/256552/?offset= - page=42&amp;viewer=picture&amp;o=info&amp;n=0&amp;q=" xr:uid="{21EAB3E0-F217-4375-AADB-16263439A49E}"/>
    <hyperlink ref="R991" r:id="rId751" location="page=45&amp;viewer=picture&amp;o=info&amp;n=0&amp;q=" display="https://permalinkbnd.bnportugal.gov.pt/viewer/256552/?offset= - page=45&amp;viewer=picture&amp;o=info&amp;n=0&amp;q=" xr:uid="{54299DAF-C180-4110-9C36-B517387CEA04}"/>
    <hyperlink ref="R992" r:id="rId752" location="page=48&amp;viewer=picture&amp;o=info&amp;n=0&amp;q=" display="https://permalinkbnd.bnportugal.gov.pt/viewer/256552/?offset= - page=48&amp;viewer=picture&amp;o=info&amp;n=0&amp;q=" xr:uid="{E6B003C6-6C0F-4C15-983C-DDE11D98A21C}"/>
    <hyperlink ref="R993" r:id="rId753" location="page=59&amp;viewer=picture&amp;o=info&amp;n=0&amp;q=" display="https://permalinkbnd.bnportugal.gov.pt/viewer/256552/?offset= - page=59&amp;viewer=picture&amp;o=info&amp;n=0&amp;q=" xr:uid="{1F353340-6B80-474F-B1BF-03A76867A904}"/>
    <hyperlink ref="R994" r:id="rId754" location="page=66&amp;viewer=picture&amp;o=info&amp;n=0&amp;q=" display="https://permalinkbnd.bnportugal.gov.pt/viewer/256552/?offset= - page=66&amp;viewer=picture&amp;o=info&amp;n=0&amp;q=" xr:uid="{B001C564-9540-49FF-B257-E3CC807D1CC5}"/>
    <hyperlink ref="R995" r:id="rId755" location="page=9&amp;viewer=picture&amp;o=info&amp;n=0&amp;q=" display="https://permalinkbnd.bnportugal.gov.pt/viewer/14657/?offset= - page=9&amp;viewer=picture&amp;o=info&amp;n=0&amp;q=" xr:uid="{76823025-9039-48DF-8CFD-DE179B9F1721}"/>
    <hyperlink ref="R996" r:id="rId756" location="page=2&amp;viewer=picture&amp;o=info&amp;n=0&amp;q=" display="https://permalinkbnd.bnportugal.gov.pt/viewer/3/?offset= - page=2&amp;viewer=picture&amp;o=info&amp;n=0&amp;q=" xr:uid="{31F37959-FC27-496F-B3B8-66C9182462FC}"/>
    <hyperlink ref="R997" r:id="rId757" location="page=3&amp;viewer=picture&amp;o=info&amp;n=0&amp;q=" display="https://permalinkbnd.bnportugal.gov.pt/viewer/3/?offset= - page=3&amp;viewer=picture&amp;o=info&amp;n=0&amp;q=" xr:uid="{202835E0-0483-49BE-8760-22B461AFF21A}"/>
    <hyperlink ref="R998" r:id="rId758" location="page=4&amp;viewer=picture&amp;o=info&amp;n=0&amp;q=" display="https://permalinkbnd.bnportugal.gov.pt/viewer/3/?offset= - page=4&amp;viewer=picture&amp;o=info&amp;n=0&amp;q=" xr:uid="{2934CCBE-D8D1-462B-A83A-0730E0FA377D}"/>
    <hyperlink ref="R999" r:id="rId759" location="page=1&amp;viewer=picture&amp;o=info&amp;n=0&amp;q=" display="https://permalinkbnd.bnportugal.gov.pt/viewer/85826/?offset= - page=1&amp;viewer=picture&amp;o=info&amp;n=0&amp;q=" xr:uid="{A84B71A9-0313-491E-B6C1-9BB709422AF3}"/>
    <hyperlink ref="R1000" r:id="rId760" location="page=10&amp;viewer=picture&amp;o=info&amp;n=0&amp;q=" display="https://permalinkbnd.bnportugal.gov.pt/viewer/14597/?offset= - page=10&amp;viewer=picture&amp;o=info&amp;n=0&amp;q=" xr:uid="{DF22E33E-5CC3-4027-A9BE-76E131034959}"/>
    <hyperlink ref="R1001" r:id="rId761" location="page=75&amp;viewer=picture&amp;o=info&amp;n=0&amp;q=" display="https://permalinkbnd.bnportugal.gov.pt/viewer/255741/?offset= - page=75&amp;viewer=picture&amp;o=info&amp;n=0&amp;q=" xr:uid="{97A810E5-8ED1-408B-9524-65EF3B193AC1}"/>
    <hyperlink ref="R1002" r:id="rId762" location="page=76&amp;viewer=picture&amp;o=info&amp;n=0&amp;q=" display="https://permalinkbnd.bnportugal.gov.pt/viewer/255741/?offset= - page=76&amp;viewer=picture&amp;o=info&amp;n=0&amp;q=" xr:uid="{150C8250-9277-4BD5-B757-5B1DED692133}"/>
    <hyperlink ref="R1003" r:id="rId763" location="page=77&amp;viewer=picture&amp;o=info&amp;n=0&amp;q=" display="https://permalinkbnd.bnportugal.gov.pt/viewer/255741/?offset= - page=77&amp;viewer=picture&amp;o=info&amp;n=0&amp;q=" xr:uid="{A7AC2248-0F66-442F-BA46-AC4C9BF67DD9}"/>
    <hyperlink ref="R1004" r:id="rId764" location="page=78&amp;viewer=picture&amp;o=info&amp;n=0&amp;q=" display="https://permalinkbnd.bnportugal.gov.pt/viewer/255741/?offset= - page=78&amp;viewer=picture&amp;o=info&amp;n=0&amp;q=" xr:uid="{B4400D3F-EC10-4955-A4FE-78478DD5703E}"/>
    <hyperlink ref="R1005" r:id="rId765" location="page=133&amp;viewer=picture&amp;o=info&amp;n=0&amp;q=" display="https://permalinkbnd.bnportugal.gov.pt/viewer/14651/?offset= - page=133&amp;viewer=picture&amp;o=info&amp;n=0&amp;q=" xr:uid="{1C8ACAF6-324A-4E60-89A7-2B59FB7F60F4}"/>
    <hyperlink ref="R1006" r:id="rId766" location="page=257&amp;viewer=picture&amp;o=info&amp;n=0&amp;q=" display="https://permalinkbnd.bnportugal.gov.pt/viewer/14651/?offset= - page=257&amp;viewer=picture&amp;o=info&amp;n=0&amp;q=" xr:uid="{38E76E46-9A0F-4164-A1B5-BC583AD5BC9E}"/>
    <hyperlink ref="R1007" r:id="rId767" location="page=136&amp;viewer=picture&amp;o=info&amp;n=0&amp;q=" display="https://permalinkbnd.bnportugal.gov.pt/viewer/14666/?offset= - page=136&amp;viewer=picture&amp;o=info&amp;n=0&amp;q=" xr:uid="{DF18654A-8C89-4F8F-A555-90CA84B7B7E5}"/>
    <hyperlink ref="R1008" r:id="rId768" location="page=1&amp;viewer=picture&amp;o=info&amp;n=0&amp;q=" display="https://permalinkbnd.bnportugal.gov.pt/viewer/86824/?offset= - page=1&amp;viewer=picture&amp;o=info&amp;n=0&amp;q=" xr:uid="{B93A7D1B-4BF6-4603-A224-04CADD5762FD}"/>
    <hyperlink ref="R1009" r:id="rId769" location="page=21&amp;viewer=picture&amp;o=info&amp;n=0&amp;q=" display="https://permalinkbnd.bnportugal.gov.pt/viewer/86824/?offset= - page=21&amp;viewer=picture&amp;o=info&amp;n=0&amp;q=" xr:uid="{067AED0A-6B4B-4162-BBC7-C1F6BB36C6AE}"/>
    <hyperlink ref="R1010" r:id="rId770" location="page=39&amp;viewer=picture&amp;o=info&amp;n=0&amp;q=" display="https://permalinkbnd.bnportugal.gov.pt/viewer/86824/?offset= - page=39&amp;viewer=picture&amp;o=info&amp;n=0&amp;q=" xr:uid="{972AF2A5-73FB-4B83-8DE3-CC5985DB0280}"/>
    <hyperlink ref="R1011" r:id="rId771" location="page=57&amp;viewer=picture&amp;o=info&amp;n=0&amp;q=" display="https://permalinkbnd.bnportugal.gov.pt/viewer/86824/?offset= - page=57&amp;viewer=picture&amp;o=info&amp;n=0&amp;q=" xr:uid="{BBA4FF02-7ED1-4711-B370-FC8D45697F2F}"/>
    <hyperlink ref="R1012" r:id="rId772" location="page=7&amp;viewer=picture&amp;o=info&amp;n=0&amp;q=" display="https://permalinkbnd.bnportugal.gov.pt/viewer/14628/?offset= - page=7&amp;viewer=picture&amp;o=info&amp;n=0&amp;q=" xr:uid="{4C1C2DD2-FC90-4BBD-8EC4-9FF64C04090C}"/>
    <hyperlink ref="R1013" r:id="rId773" location="page=10&amp;viewer=picture&amp;o=info&amp;n=0&amp;q=" display="https://permalinkbnd.bnportugal.gov.pt/viewer/14628/?offset= - page=10&amp;viewer=picture&amp;o=info&amp;n=0&amp;q=" xr:uid="{26C0F1DC-C355-4150-AE11-84ECED481F1B}"/>
    <hyperlink ref="R1014" r:id="rId774" location="page=19&amp;viewer=picture&amp;o=info&amp;n=0&amp;q=" display="https://permalinkbnd.bnportugal.gov.pt/viewer/14628/?offset= - page=19&amp;viewer=picture&amp;o=info&amp;n=0&amp;q=" xr:uid="{C4A73171-14E8-406D-8CDE-92312160EF54}"/>
    <hyperlink ref="R1017" r:id="rId775" location="page=75&amp;viewer=picture&amp;o=info&amp;n=0&amp;q=" display="https://permalinkbnd.bnportugal.gov.pt/viewer/14628/?offset= - page=75&amp;viewer=picture&amp;o=info&amp;n=0&amp;q=" xr:uid="{748D7DB9-B239-43E4-BCB2-A1405BEABA18}"/>
    <hyperlink ref="R1018" r:id="rId776" location="page=79&amp;viewer=picture&amp;o=info&amp;n=0&amp;q=" display="https://permalinkbnd.bnportugal.gov.pt/viewer/14628/?offset= - page=79&amp;viewer=picture&amp;o=info&amp;n=0&amp;q=" xr:uid="{F4D70F04-0FFD-4A5C-A3D6-2A534A6C5F64}"/>
    <hyperlink ref="R1019" r:id="rId777" location="page=90&amp;viewer=picture&amp;o=info&amp;n=0&amp;q=" display="https://permalinkbnd.bnportugal.gov.pt/viewer/14628/?offset= - page=90&amp;viewer=picture&amp;o=info&amp;n=0&amp;q=" xr:uid="{B56A4B3A-5822-42A9-B72F-41E18A195843}"/>
    <hyperlink ref="R1020" r:id="rId778" location="page=110&amp;viewer=picture&amp;o=info&amp;n=0&amp;q=" display="https://permalinkbnd.bnportugal.gov.pt/viewer/14628/?offset= - page=110&amp;viewer=picture&amp;o=info&amp;n=0&amp;q=" xr:uid="{199E9812-C00B-4CC9-8A6D-A922DC1DDEF5}"/>
    <hyperlink ref="R1022" r:id="rId779" location="page=118&amp;viewer=picture&amp;o=info&amp;n=0&amp;q=" display="https://permalinkbnd.bnportugal.gov.pt/viewer/14628/?offset= - page=118&amp;viewer=picture&amp;o=info&amp;n=0&amp;q=" xr:uid="{23C6F658-4D09-4555-93C4-37E9650AE5D6}"/>
    <hyperlink ref="R1023" r:id="rId780" location="page=120&amp;viewer=picture&amp;o=info&amp;n=0&amp;q=" display="https://permalinkbnd.bnportugal.gov.pt/viewer/14628/?offset= - page=120&amp;viewer=picture&amp;o=info&amp;n=0&amp;q=" xr:uid="{BA45967E-EDF2-4227-A320-43341911D812}"/>
    <hyperlink ref="R1024" r:id="rId781" location="page=134&amp;viewer=picture&amp;o=info&amp;n=0&amp;q=" display="https://permalinkbnd.bnportugal.gov.pt/viewer/14628/?offset= - page=134&amp;viewer=picture&amp;o=info&amp;n=0&amp;q=" xr:uid="{A45A6A3E-9C56-4A79-8DCB-6067C0EF72D1}"/>
    <hyperlink ref="R1025" r:id="rId782" location="page=156&amp;viewer=picture&amp;o=info&amp;n=0&amp;q=" display="https://permalinkbnd.bnportugal.gov.pt/viewer/14628/?offset= - page=156&amp;viewer=picture&amp;o=info&amp;n=0&amp;q=" xr:uid="{1EFCD0A0-5202-4506-BEDB-7AB156206735}"/>
    <hyperlink ref="R1026" r:id="rId783" location="page=162&amp;viewer=picture&amp;o=info&amp;n=0&amp;q=" display="https://permalinkbnd.bnportugal.gov.pt/viewer/14628/?offset= - page=162&amp;viewer=picture&amp;o=info&amp;n=0&amp;q=" xr:uid="{F0D2AEF3-6F61-4E49-AA65-AD80190DF073}"/>
    <hyperlink ref="R1027" r:id="rId784" location="page=164&amp;viewer=picture&amp;o=info&amp;n=0&amp;q=" display="https://permalinkbnd.bnportugal.gov.pt/viewer/14628/?offset= - page=164&amp;viewer=picture&amp;o=info&amp;n=0&amp;q=" xr:uid="{ADFAB75B-5F0B-4A51-8174-AA46058A5A04}"/>
    <hyperlink ref="R1028" r:id="rId785" location="page=205&amp;viewer=picture&amp;o=info&amp;n=0&amp;q=" display="https://permalinkbnd.bnportugal.gov.pt/viewer/14628/?offset= - page=205&amp;viewer=picture&amp;o=info&amp;n=0&amp;q=" xr:uid="{D8AA4ABD-AA63-4B60-899F-92D8EDEF584B}"/>
    <hyperlink ref="R1029" r:id="rId786" location="page=215&amp;viewer=picture&amp;o=info&amp;n=0&amp;q=" display="https://permalinkbnd.bnportugal.gov.pt/viewer/14628/?offset= - page=215&amp;viewer=picture&amp;o=info&amp;n=0&amp;q=" xr:uid="{DC80D4BF-2C68-47E7-A869-8BB6F8EE5EE2}"/>
    <hyperlink ref="R1030" r:id="rId787" location="page=217&amp;viewer=picture&amp;o=info&amp;n=0&amp;q=" display="https://permalinkbnd.bnportugal.gov.pt/viewer/14628/?offset= - page=217&amp;viewer=picture&amp;o=info&amp;n=0&amp;q=" xr:uid="{9A85A920-C367-4DF8-807C-EABE5B7B1C6C}"/>
    <hyperlink ref="R1031" r:id="rId788" location="page=242&amp;viewer=picture&amp;o=info&amp;n=0&amp;q=" display="https://permalinkbnd.bnportugal.gov.pt/viewer/14628/?offset= - page=242&amp;viewer=picture&amp;o=info&amp;n=0&amp;q=" xr:uid="{18BA9402-E561-4A32-AFD7-8B3BC0AE3F8B}"/>
    <hyperlink ref="R1032" r:id="rId789" location="page=252&amp;viewer=picture&amp;o=info&amp;n=0&amp;q=" display="https://permalinkbnd.bnportugal.gov.pt/viewer/14628/?offset= - page=252&amp;viewer=picture&amp;o=info&amp;n=0&amp;q=" xr:uid="{D8310227-6569-4EAE-A85B-DED4C4305F58}"/>
    <hyperlink ref="R1034" r:id="rId790" location="page=258&amp;viewer=picture&amp;o=info&amp;n=0&amp;q=" display="https://permalinkbnd.bnportugal.gov.pt/viewer/14628/?offset= - page=258&amp;viewer=picture&amp;o=info&amp;n=0&amp;q=" xr:uid="{2B1BEBFC-0748-4C8C-94F5-8B4DC6CC762F}"/>
    <hyperlink ref="R1035" r:id="rId791" location="page=260&amp;viewer=picture&amp;o=info&amp;n=0&amp;q=" display="https://permalinkbnd.bnportugal.gov.pt/viewer/14628/?offset= - page=260&amp;viewer=picture&amp;o=info&amp;n=0&amp;q=" xr:uid="{9F8F820B-DFD9-4422-9EE9-4F952EDC7814}"/>
    <hyperlink ref="R1036" r:id="rId792" location="page=277&amp;viewer=picture&amp;o=info&amp;n=0&amp;q=" display="https://permalinkbnd.bnportugal.gov.pt/viewer/14628/?offset= - page=277&amp;viewer=picture&amp;o=info&amp;n=0&amp;q=" xr:uid="{5B53CC58-3A6E-463F-86B1-1ACD690711D0}"/>
    <hyperlink ref="R1037" r:id="rId793" location="page=291&amp;viewer=picture&amp;o=info&amp;n=0&amp;q=" display="https://permalinkbnd.bnportugal.gov.pt/viewer/14628/?offset= - page=291&amp;viewer=picture&amp;o=info&amp;n=0&amp;q=" xr:uid="{9F68FEA0-1867-4DFE-9BFD-1F51B987006B}"/>
    <hyperlink ref="R1038" r:id="rId794" location="page=299&amp;viewer=picture&amp;o=info&amp;n=0&amp;q=" display="https://permalinkbnd.bnportugal.gov.pt/viewer/14628/?offset= - page=299&amp;viewer=picture&amp;o=info&amp;n=0&amp;q=" xr:uid="{CB1EACA7-8E3A-4796-8C58-C920FEB08F0A}"/>
    <hyperlink ref="R1039" r:id="rId795" location="page=301&amp;viewer=picture&amp;o=info&amp;n=0&amp;q=" display="https://permalinkbnd.bnportugal.gov.pt/viewer/14628/?offset= - page=301&amp;viewer=picture&amp;o=info&amp;n=0&amp;q=" xr:uid="{40542B72-CF89-47E3-BCD9-CF70B53F4020}"/>
    <hyperlink ref="R1040" r:id="rId796" location="page=311&amp;viewer=picture&amp;o=info&amp;n=0&amp;q=" display="https://permalinkbnd.bnportugal.gov.pt/viewer/14628/?offset= - page=311&amp;viewer=picture&amp;o=info&amp;n=0&amp;q=" xr:uid="{7218980B-9B72-43E3-827D-9168C8FC6F1D}"/>
    <hyperlink ref="R1041" r:id="rId797" location="page=334&amp;viewer=picture&amp;o=info&amp;n=0&amp;q=" display="https://permalinkbnd.bnportugal.gov.pt/viewer/14628/?offset= - page=334&amp;viewer=picture&amp;o=info&amp;n=0&amp;q=" xr:uid="{238352D6-4852-457F-9670-5937DB8C69D9}"/>
    <hyperlink ref="R1043" r:id="rId798" location="page=340&amp;viewer=picture&amp;o=info&amp;n=0&amp;q=" display="https://permalinkbnd.bnportugal.gov.pt/viewer/14628/?offset= - page=340&amp;viewer=picture&amp;o=info&amp;n=0&amp;q=" xr:uid="{CE5770A4-45CF-4F16-963C-A782AD55ECFF}"/>
    <hyperlink ref="R1044" r:id="rId799" location="page=342&amp;viewer=picture&amp;o=info&amp;n=0&amp;q=" display="https://permalinkbnd.bnportugal.gov.pt/viewer/14628/?offset= - page=342&amp;viewer=picture&amp;o=info&amp;n=0&amp;q=" xr:uid="{45971635-666B-482D-9D7D-95A772043E86}"/>
    <hyperlink ref="R1045" r:id="rId800" location="page=357&amp;viewer=picture&amp;o=info&amp;n=0&amp;q=" display="https://permalinkbnd.bnportugal.gov.pt/viewer/14628/?offset= - page=357&amp;viewer=picture&amp;o=info&amp;n=0&amp;q=" xr:uid="{17DE03E7-306C-4EA2-8514-9E9DD7446562}"/>
    <hyperlink ref="R1046" r:id="rId801" location="page=371&amp;viewer=picture&amp;o=info&amp;n=0&amp;q=" display="https://permalinkbnd.bnportugal.gov.pt/viewer/14628/?offset= - page=371&amp;viewer=picture&amp;o=info&amp;n=0&amp;q=" xr:uid="{72D71E45-DEB5-42AA-B732-032004A01AE3}"/>
    <hyperlink ref="R1048" r:id="rId802" location="page=377&amp;viewer=picture&amp;o=info&amp;n=0&amp;q=" display="https://permalinkbnd.bnportugal.gov.pt/viewer/14628/?offset= - page=377&amp;viewer=picture&amp;o=info&amp;n=0&amp;q=" xr:uid="{9D82349D-C7C7-4AF8-B064-7F4A0B87C8A3}"/>
    <hyperlink ref="R1049" r:id="rId803" location="page=379&amp;viewer=picture&amp;o=info&amp;n=0&amp;q=" display="https://permalinkbnd.bnportugal.gov.pt/viewer/14628/?offset= - page=379&amp;viewer=picture&amp;o=info&amp;n=0&amp;q=" xr:uid="{264907AD-6B7D-4A7A-AD51-E9F7092BBCDD}"/>
    <hyperlink ref="R1050" r:id="rId804" location="page=381&amp;viewer=picture&amp;o=info&amp;n=0&amp;q=" display="https://permalinkbnd.bnportugal.gov.pt/viewer/14628/?offset= - page=381&amp;viewer=picture&amp;o=info&amp;n=0&amp;q=" xr:uid="{27B13314-D4FE-4A3C-816F-621F79909058}"/>
    <hyperlink ref="R1051" r:id="rId805" location="page=402&amp;viewer=picture&amp;o=info&amp;n=0&amp;q=" display="https://permalinkbnd.bnportugal.gov.pt/viewer/14628/?offset= - page=402&amp;viewer=picture&amp;o=info&amp;n=0&amp;q=" xr:uid="{87292AA9-CB71-412F-B146-2652B4288EB6}"/>
    <hyperlink ref="R1053" r:id="rId806" location="page=418&amp;viewer=picture&amp;o=info&amp;n=0&amp;q=" display="https://permalinkbnd.bnportugal.gov.pt/viewer/14628/?offset= - page=418&amp;viewer=picture&amp;o=info&amp;n=0&amp;q=" xr:uid="{47E1A69E-9AC1-4923-A86D-A02D8B33149B}"/>
    <hyperlink ref="R1054" r:id="rId807" location="page=420&amp;viewer=picture&amp;o=info&amp;n=0&amp;q=" display="https://permalinkbnd.bnportugal.gov.pt/viewer/14628/?offset= - page=420&amp;viewer=picture&amp;o=info&amp;n=0&amp;q=" xr:uid="{B6D2D10C-9C5C-42E8-978B-A31449B61B37}"/>
    <hyperlink ref="R1055" r:id="rId808" location="page=436&amp;viewer=picture&amp;o=info&amp;n=0&amp;q=" display="https://permalinkbnd.bnportugal.gov.pt/viewer/14628/?offset= - page=436&amp;viewer=picture&amp;o=info&amp;n=0&amp;q=" xr:uid="{AF99181F-D801-40EB-A15C-A893DEE15CF8}"/>
    <hyperlink ref="R1056" r:id="rId809" location="page=444&amp;viewer=picture&amp;o=info&amp;n=0&amp;q=" display="https://permalinkbnd.bnportugal.gov.pt/viewer/14628/?offset= - page=444&amp;viewer=picture&amp;o=info&amp;n=0&amp;q=" xr:uid="{CA711EAE-4BF0-453C-8325-7146B76EBED2}"/>
    <hyperlink ref="R1057" r:id="rId810" location="page=453&amp;viewer=picture&amp;o=info&amp;n=0&amp;q=" display="https://permalinkbnd.bnportugal.gov.pt/viewer/14628/?offset= - page=453&amp;viewer=picture&amp;o=info&amp;n=0&amp;q=" xr:uid="{8C1FDA12-2F43-44EC-9E6E-8EAA03C7A60F}"/>
    <hyperlink ref="R1058" r:id="rId811" location="page=459&amp;viewer=picture&amp;o=info&amp;n=0&amp;q=" display="https://permalinkbnd.bnportugal.gov.pt/viewer/14628/?offset= - page=459&amp;viewer=picture&amp;o=info&amp;n=0&amp;q=" xr:uid="{8707A442-01B6-4DCB-BC13-4DCFC454D49A}"/>
    <hyperlink ref="R1059" r:id="rId812" location="page=461&amp;viewer=picture&amp;o=info&amp;n=0&amp;q=" display="https://permalinkbnd.bnportugal.gov.pt/viewer/14628/?offset= - page=461&amp;viewer=picture&amp;o=info&amp;n=0&amp;q=" xr:uid="{1AF6C0D9-C635-4297-8690-3E744C267C69}"/>
    <hyperlink ref="R1060" r:id="rId813" location="page=463&amp;viewer=picture&amp;o=info&amp;n=0&amp;q=" display="https://permalinkbnd.bnportugal.gov.pt/viewer/14628/?offset= - page=463&amp;viewer=picture&amp;o=info&amp;n=0&amp;q=" xr:uid="{FABF6F70-4F89-412B-8007-29968A320ECD}"/>
    <hyperlink ref="R1061" r:id="rId814" location="page=512&amp;viewer=picture&amp;o=info&amp;n=0&amp;q=" display="https://permalinkbnd.bnportugal.gov.pt/viewer/14628/?offset= - page=512&amp;viewer=picture&amp;o=info&amp;n=0&amp;q=" xr:uid="{AA473D61-0C3A-46EC-8A3C-1A0AF35986D8}"/>
    <hyperlink ref="R1063" r:id="rId815" location="page=10&amp;viewer=picture&amp;o=info&amp;n=0&amp;q=" display="https://permalinkbnd.bnportugal.gov.pt/viewer/14598/?offset= - page=10&amp;viewer=picture&amp;o=info&amp;n=0&amp;q=" xr:uid="{D2FFB017-710B-4F78-AF11-6B402CA852CE}"/>
    <hyperlink ref="R1064" r:id="rId816" location="page=69&amp;viewer=picture&amp;o=info&amp;n=0&amp;q=" display="https://permalinkbnd.bnportugal.gov.pt/viewer/14598/?offset= - page=69&amp;viewer=picture&amp;o=info&amp;n=0&amp;q=" xr:uid="{F361A7D0-8E82-4714-9C71-883F32CBF21E}"/>
    <hyperlink ref="R1065" r:id="rId817" location="page=156&amp;viewer=picture&amp;o=info&amp;n=0&amp;q=" display="https://permalinkbnd.bnportugal.gov.pt/viewer/14598/?offset= - page=156&amp;viewer=picture&amp;o=info&amp;n=0&amp;q=" xr:uid="{9534B736-5B0D-4908-B4EB-072DC1DC035A}"/>
    <hyperlink ref="R1066" r:id="rId818" location="page=196&amp;viewer=picture&amp;o=info&amp;n=0&amp;q=" display="https://permalinkbnd.bnportugal.gov.pt/viewer/14598/?offset= - page=196&amp;viewer=picture&amp;o=info&amp;n=0&amp;q=" xr:uid="{4A522DDA-F5C9-491C-9200-1895DE8977DC}"/>
    <hyperlink ref="R1067" r:id="rId819" location="page=238&amp;viewer=picture&amp;o=info&amp;n=0&amp;q=" display="https://permalinkbnd.bnportugal.gov.pt/viewer/14598/?offset= - page=238&amp;viewer=picture&amp;o=info&amp;n=0&amp;q=" xr:uid="{E39869DA-439F-4E72-AF91-0CD5B51ED42C}"/>
    <hyperlink ref="R1068" r:id="rId820" location="page=290&amp;viewer=picture&amp;o=info&amp;n=0&amp;q=" display="https://permalinkbnd.bnportugal.gov.pt/viewer/14598/?offset= - page=290&amp;viewer=picture&amp;o=info&amp;n=0&amp;q=" xr:uid="{F8E5152C-C2A8-49CF-91AB-007215914D12}"/>
    <hyperlink ref="R1069" r:id="rId821" location="page=330&amp;viewer=picture&amp;o=info&amp;n=0&amp;q=" display="https://permalinkbnd.bnportugal.gov.pt/viewer/14598/?offset= - page=330&amp;viewer=picture&amp;o=info&amp;n=0&amp;q=" xr:uid="{BE387F5F-850A-4954-A4AB-DE4459900E47}"/>
    <hyperlink ref="R1070" r:id="rId822" location="page=368&amp;viewer=picture&amp;o=info&amp;n=0&amp;q=" display="https://permalinkbnd.bnportugal.gov.pt/viewer/14598/?offset= - page=368&amp;viewer=picture&amp;o=info&amp;n=0&amp;q=" xr:uid="{3CDFA792-0134-4D55-B0FF-5A39E2B3D9DD}"/>
    <hyperlink ref="R1071" r:id="rId823" location="page=406&amp;viewer=picture&amp;o=info&amp;n=0&amp;q=" display="https://permalinkbnd.bnportugal.gov.pt/viewer/14598/?offset= - page=406&amp;viewer=picture&amp;o=info&amp;n=0&amp;q=" xr:uid="{FC39FCA9-762F-4628-9069-6FCDE9BDE2D0}"/>
    <hyperlink ref="R1072" r:id="rId824" location="page=440&amp;viewer=picture&amp;o=info&amp;n=0&amp;q=" display="https://permalinkbnd.bnportugal.gov.pt/viewer/14598/?offset= - page=440&amp;viewer=picture&amp;o=info&amp;n=0&amp;q=" xr:uid="{8A57BA73-AC94-466F-BC11-56D7A4BAA557}"/>
    <hyperlink ref="R1073" r:id="rId825" location="page=478&amp;viewer=picture&amp;o=info&amp;n=0&amp;q=" display="https://permalinkbnd.bnportugal.gov.pt/viewer/14598/?offset= - page=478&amp;viewer=picture&amp;o=info&amp;n=0&amp;q=" xr:uid="{A8B99247-1A20-43CE-893F-C9412BD7F254}"/>
    <hyperlink ref="R1074" r:id="rId826" location="page=514&amp;viewer=picture&amp;o=info&amp;n=0&amp;q=" display="https://permalinkbnd.bnportugal.gov.pt/viewer/14598/?offset= - page=514&amp;viewer=picture&amp;o=info&amp;n=0&amp;q=" xr:uid="{C1FB8ED2-88D9-4954-B687-8540CA7A1343}"/>
    <hyperlink ref="R1075" r:id="rId827" location="page=10&amp;viewer=picture&amp;o=info&amp;n=0&amp;q=" display="https://permalinkbnd.bnportugal.gov.pt/viewer/14581/?offset= - page=10&amp;viewer=picture&amp;o=info&amp;n=0&amp;q=" xr:uid="{8A60B392-08F9-48D7-AEC0-D219039B2070}"/>
    <hyperlink ref="R1076" r:id="rId828" location="page=49&amp;viewer=picture&amp;o=info&amp;n=0&amp;q=" display="https://permalinkbnd.bnportugal.gov.pt/viewer/14581/?offset= - page=49&amp;viewer=picture&amp;o=info&amp;n=0&amp;q=" xr:uid="{A2DBF7F4-B835-4677-96F3-C1E80E889637}"/>
    <hyperlink ref="R1077" r:id="rId829" location="page=83&amp;viewer=picture&amp;o=info&amp;n=0&amp;q=" display="https://permalinkbnd.bnportugal.gov.pt/viewer/14581/?offset= - page=83&amp;viewer=picture&amp;o=info&amp;n=0&amp;q=" xr:uid="{76CC10D5-B94A-41ED-AB07-108535004B46}"/>
    <hyperlink ref="R1078" r:id="rId830" location="page=119&amp;viewer=picture&amp;o=info&amp;n=0&amp;q=" display="https://permalinkbnd.bnportugal.gov.pt/viewer/14581/?offset= - page=119&amp;viewer=picture&amp;o=info&amp;n=0&amp;q=" xr:uid="{AA034EB8-DCDE-4A71-9299-A4D2CD0F578F}"/>
    <hyperlink ref="R1079" r:id="rId831" location="page=161&amp;viewer=picture&amp;o=info&amp;n=0&amp;q=" display="https://permalinkbnd.bnportugal.gov.pt/viewer/14581/?offset= - page=161&amp;viewer=picture&amp;o=info&amp;n=0&amp;q=" xr:uid="{59C66B6C-63CF-4B86-8E19-458804485341}"/>
    <hyperlink ref="R1080" r:id="rId832" location="page=195&amp;viewer=picture&amp;o=info&amp;n=0&amp;q=" display="https://permalinkbnd.bnportugal.gov.pt/viewer/14581/?offset= - page=195&amp;viewer=picture&amp;o=info&amp;n=0&amp;q=" xr:uid="{194BE970-2499-4744-B677-3FEE4CA15BC4}"/>
    <hyperlink ref="R1081" r:id="rId833" location="page=227&amp;viewer=picture&amp;o=info&amp;n=0&amp;q=" display="https://permalinkbnd.bnportugal.gov.pt/viewer/14581/?offset= - page=227&amp;viewer=picture&amp;o=info&amp;n=0&amp;q=" xr:uid="{77C2CA18-0AD2-49A2-AE3D-6964A35E2ACB}"/>
    <hyperlink ref="R1082" r:id="rId834" location="page=259&amp;viewer=picture&amp;o=info&amp;n=0&amp;q=" display="https://permalinkbnd.bnportugal.gov.pt/viewer/14581/?offset= - page=259&amp;viewer=picture&amp;o=info&amp;n=0&amp;q=" xr:uid="{664BF76D-0AC6-4856-B2C3-50D782276984}"/>
    <hyperlink ref="R1083" r:id="rId835" location="page=287&amp;viewer=picture&amp;o=info&amp;n=0&amp;q=" display="https://permalinkbnd.bnportugal.gov.pt/viewer/14581/?offset= - page=287&amp;viewer=picture&amp;o=info&amp;n=0&amp;q=" xr:uid="{B62ACF43-E528-4050-BF45-82322D5E353B}"/>
    <hyperlink ref="R1084" r:id="rId836" location="page=319&amp;viewer=picture&amp;o=info&amp;n=0&amp;q=" display="https://permalinkbnd.bnportugal.gov.pt/viewer/14581/?offset= - page=319&amp;viewer=picture&amp;o=info&amp;n=0&amp;q=" xr:uid="{49AE928E-DE6E-459A-8BCF-C7B99183CCF7}"/>
    <hyperlink ref="R1085" r:id="rId837" location="page=349&amp;viewer=picture&amp;o=info&amp;n=0&amp;q=" display="https://permalinkbnd.bnportugal.gov.pt/viewer/14581/?offset= - page=349&amp;viewer=picture&amp;o=info&amp;n=0&amp;q=" xr:uid="{4CE7C3E4-2CBC-4744-83E5-A51AEEA10045}"/>
    <hyperlink ref="R1086" r:id="rId838" location="page=1&amp;viewer=picture&amp;o=info&amp;n=0&amp;q=" display="https://permalinkbnd.bnportugal.gov.pt/viewer/86181/?offset= - page=1&amp;viewer=picture&amp;o=info&amp;n=0&amp;q=" xr:uid="{D6607689-7805-4C54-A48A-DED0F34649B8}"/>
    <hyperlink ref="R1087" r:id="rId839" location="page=3&amp;viewer=picture&amp;o=info&amp;n=0&amp;q=" display="https://permalinkbnd.bnportugal.gov.pt/viewer/86181/?offset= - page=3&amp;viewer=picture&amp;o=info&amp;n=0&amp;q=" xr:uid="{7B4ADE37-B6F1-4953-AE65-CA017DF054F9}"/>
    <hyperlink ref="R1088" r:id="rId840" location="page=7&amp;viewer=picture&amp;o=info&amp;n=0&amp;q=" display="https://permalinkbnd.bnportugal.gov.pt/viewer/86181/?offset= - page=7&amp;viewer=picture&amp;o=info&amp;n=0&amp;q=" xr:uid="{4740E673-8DE4-4A92-81D1-68F3980887DA}"/>
    <hyperlink ref="R1089" r:id="rId841" location="page=13&amp;viewer=picture&amp;o=info&amp;n=0&amp;q=" display="https://permalinkbnd.bnportugal.gov.pt/viewer/14678/?offset= - page=13&amp;viewer=picture&amp;o=info&amp;n=0&amp;q=" xr:uid="{CCCB545D-448D-4F5A-AA74-4B0A84B75446}"/>
    <hyperlink ref="R1090" r:id="rId842" location="page=1&amp;viewer=picture&amp;o=info&amp;n=0&amp;q=" display="https://permalinkbnd.bnportugal.gov.pt/viewer/86483/?offset= - page=1&amp;viewer=picture&amp;o=info&amp;n=0&amp;q=" xr:uid="{CA4AC403-7208-4813-9205-7EF267B4B2DA}"/>
    <hyperlink ref="R1091" r:id="rId843" location="page=1&amp;viewer=picture&amp;o=info&amp;n=0&amp;q=" display="https://permalinkbnd.bnportugal.gov.pt/viewer/35163/?offset= - page=1&amp;viewer=picture&amp;o=info&amp;n=0&amp;q=" xr:uid="{7B3F0006-B571-4F22-9AC0-58E52304AE20}"/>
    <hyperlink ref="R1092" r:id="rId844" location="page=5&amp;viewer=picture&amp;o=info&amp;n=0&amp;q=" display="https://permalinkbnd.bnportugal.gov.pt/viewer/14644/?offset= - page=5&amp;viewer=picture&amp;o=info&amp;n=0&amp;q=" xr:uid="{9554B27B-7482-4BA3-AFDC-7B6E304AD2FF}"/>
    <hyperlink ref="R1093" r:id="rId845" location="page=2&amp;viewer=picture&amp;o=info&amp;n=0&amp;q=" display="https://permalinkbnd.bnportugal.gov.pt/viewer/14644/?offset= - page=2&amp;viewer=picture&amp;o=info&amp;n=0&amp;q=" xr:uid="{D7CF3DF9-8683-428E-AEAB-81CD1C7ACCBC}"/>
    <hyperlink ref="R1095" r:id="rId846" location="page=8&amp;viewer=picture&amp;o=info&amp;n=0&amp;q=" display="https://permalinkbnd.bnportugal.gov.pt/viewer/14613/?offset= - page=8&amp;viewer=picture&amp;o=info&amp;n=0&amp;q=" xr:uid="{B889D474-3C4C-4551-BC52-E9CFD89A1887}"/>
    <hyperlink ref="R1096" r:id="rId847" location="page=9&amp;viewer=picture&amp;o=info&amp;n=0&amp;q=" display="https://permalinkbnd.bnportugal.gov.pt/viewer/14613/?offset= - page=9&amp;viewer=picture&amp;o=info&amp;n=0&amp;q=" xr:uid="{B1EB8A5B-E6C3-44F5-BD6B-03E5B6B00B3B}"/>
    <hyperlink ref="R1097" r:id="rId848" location="page=39&amp;viewer=picture&amp;o=info&amp;n=0&amp;q=" display="https://permalinkbnd.bnportugal.gov.pt/viewer/14613/?offset= - page=39&amp;viewer=picture&amp;o=info&amp;n=0&amp;q=" xr:uid="{4084FCAF-DD0A-46C6-A370-B744CE64E28B}"/>
    <hyperlink ref="R1098" r:id="rId849" location="page=120&amp;viewer=picture&amp;o=info&amp;n=0&amp;q=" display="https://permalinkbnd.bnportugal.gov.pt/viewer/7634/?offset= - page=120&amp;viewer=picture&amp;o=info&amp;n=0&amp;q=" xr:uid="{AFF8FBDF-10C1-4321-8723-752358DDF5D5}"/>
    <hyperlink ref="R1100" r:id="rId850" location="page=1&amp;viewer=picture&amp;o=info&amp;n=0&amp;q=" display="https://permalinkbnd.bnportugal.gov.pt/viewer/1880/?offset= - page=1&amp;viewer=picture&amp;o=info&amp;n=0&amp;q=" xr:uid="{4D078BC1-3D08-4BEC-8128-225006D8F18F}"/>
    <hyperlink ref="R1101" r:id="rId851" location="page=2&amp;viewer=picture&amp;o=info&amp;n=0&amp;q=" display="https://permalinkbnd.bnportugal.gov.pt/viewer/1880/?offset= - page=2&amp;viewer=picture&amp;o=info&amp;n=0&amp;q=" xr:uid="{324F4D46-4678-4822-A89C-3EC89FBFB92F}"/>
    <hyperlink ref="R1102" r:id="rId852" location="page=3&amp;viewer=picture&amp;o=info&amp;n=0&amp;q=" display="https://permalinkbnd.bnportugal.gov.pt/viewer/1880/?offset= - page=3&amp;viewer=picture&amp;o=info&amp;n=0&amp;q=" xr:uid="{DD386D58-0460-4085-9135-F901EC1AD8B8}"/>
    <hyperlink ref="R1103" r:id="rId853" location="page=1&amp;viewer=picture&amp;o=info&amp;n=0&amp;q=" display="https://permalinkbnd.bnportugal.gov.pt/viewer/275033/?offset= - page=1&amp;viewer=picture&amp;o=info&amp;n=0&amp;q=" xr:uid="{89C75B7F-D0DF-47AB-8973-356A70911238}"/>
    <hyperlink ref="R1104" r:id="rId854" location="page=1&amp;viewer=picture&amp;o=info&amp;n=0&amp;q=" display="https://permalinkbnd.bnportugal.gov.pt/viewer/275038/?offset= - page=1&amp;viewer=picture&amp;o=info&amp;n=0&amp;q=" xr:uid="{6F57C4D2-03D5-4BD5-85CE-F57C36F9DD5C}"/>
    <hyperlink ref="R1105" r:id="rId855" location="page=1&amp;viewer=picture&amp;o=info&amp;n=0&amp;q=" display="https://permalinkbnd.bnportugal.gov.pt/viewer/273677/?offset= - page=1&amp;viewer=picture&amp;o=info&amp;n=0&amp;q=" xr:uid="{6FA5057A-D405-43AE-94E4-16772155F718}"/>
    <hyperlink ref="R1106" r:id="rId856" location="page=9&amp;viewer=picture&amp;o=info&amp;n=0&amp;q=" display="https://permalinkbnd.bnportugal.gov.pt/viewer/1880/?offset= - page=9&amp;viewer=picture&amp;o=info&amp;n=0&amp;q=" xr:uid="{C3B8EDCD-7595-4B4E-920A-BBAB50879615}"/>
    <hyperlink ref="R1107" r:id="rId857" location="page=1&amp;viewer=picture&amp;o=info&amp;n=0&amp;q=" display="https://permalinkbnd.bnportugal.gov.pt/viewer/273687/?offset= - page=1&amp;viewer=picture&amp;o=info&amp;n=0&amp;q=" xr:uid="{ED34957D-FF79-4DE0-AB90-4029B6F5A63D}"/>
    <hyperlink ref="R1108" r:id="rId858" location="page=1&amp;viewer=picture&amp;o=info&amp;n=0&amp;q=" display="https://permalinkbnd.bnportugal.gov.pt/viewer/273688/?offset= - page=1&amp;viewer=picture&amp;o=info&amp;n=0&amp;q=" xr:uid="{E584782E-017D-4EE4-A186-8627AE890655}"/>
    <hyperlink ref="R1109" r:id="rId859" location="page=5&amp;viewer=picture&amp;o=info&amp;n=0&amp;q=" display="https://permalinkbnd.bnportugal.gov.pt/viewer/277330/?offset= - page=5&amp;viewer=picture&amp;o=info&amp;n=0&amp;q=" xr:uid="{11A79E47-A99B-495A-A3DF-ADE564DC5164}"/>
    <hyperlink ref="R1110" r:id="rId860" location="page=7&amp;viewer=picture&amp;o=info&amp;n=0&amp;q=" display="https://permalinkbnd.bnportugal.gov.pt/viewer/277330/?offset= - page=7&amp;viewer=picture&amp;o=info&amp;n=0&amp;q=" xr:uid="{FAC6E790-5D06-4277-A26E-D4164E6274EF}"/>
    <hyperlink ref="R1111" r:id="rId861" location="page=8&amp;viewer=picture&amp;o=info&amp;n=0&amp;q=" display="https://permalinkbnd.bnportugal.gov.pt/viewer/277330/?offset= - page=8&amp;viewer=picture&amp;o=info&amp;n=0&amp;q=" xr:uid="{36A5129A-4D74-4E76-B82C-1A90D3BC9566}"/>
    <hyperlink ref="R1112" r:id="rId862" location="page=9&amp;viewer=picture&amp;o=info&amp;n=0&amp;q=" display="https://permalinkbnd.bnportugal.gov.pt/viewer/277330/?offset= - page=9&amp;viewer=picture&amp;o=info&amp;n=0&amp;q=" xr:uid="{E01C1EE5-3038-49BD-BD8C-572935CCF221}"/>
    <hyperlink ref="R1113" r:id="rId863" location="page=10&amp;viewer=picture&amp;o=info&amp;n=0&amp;q=" display="https://permalinkbnd.bnportugal.gov.pt/viewer/277330/?offset= - page=10&amp;viewer=picture&amp;o=info&amp;n=0&amp;q=" xr:uid="{64D1FE55-EBC9-41EB-82DF-8BC9570BDF20}"/>
    <hyperlink ref="R1114" r:id="rId864" location="page=11&amp;viewer=picture&amp;o=info&amp;n=0&amp;q=" display="https://permalinkbnd.bnportugal.gov.pt/viewer/277330/?offset= - page=11&amp;viewer=picture&amp;o=info&amp;n=0&amp;q=" xr:uid="{0B50A632-B817-4C9E-B192-1EB4014628CC}"/>
    <hyperlink ref="R1115" r:id="rId865" location="page=5&amp;viewer=picture&amp;o=info&amp;n=0&amp;q=" display="https://permalinkbnd.bnportugal.gov.pt/viewer/277332/?offset= - page=5&amp;viewer=picture&amp;o=info&amp;n=0&amp;q=" xr:uid="{776F055A-3697-4BD7-9F36-D6EEDE896B9B}"/>
    <hyperlink ref="R1116" r:id="rId866" location="page=11&amp;viewer=picture&amp;o=info&amp;n=0&amp;q=" display="https://permalinkbnd.bnportugal.gov.pt/viewer/277834/?offset= - page=11&amp;viewer=picture&amp;o=info&amp;n=0&amp;q=" xr:uid="{80F5E4A5-8280-4808-989E-7A1BF7627C2B}"/>
    <hyperlink ref="D679" r:id="rId867" xr:uid="{699F3C8A-719B-4183-AB87-9C7163B12F78}"/>
    <hyperlink ref="D673" r:id="rId868" xr:uid="{6FD54963-AA48-4806-86B3-C874533FEC7A}"/>
    <hyperlink ref="D674" r:id="rId869" xr:uid="{3C3CC0F2-1C48-4366-A859-667AFD851F40}"/>
    <hyperlink ref="D675" r:id="rId870" xr:uid="{8F314424-EEC4-4637-AC93-BDA9B71B5A27}"/>
    <hyperlink ref="D676" r:id="rId871" xr:uid="{3643A7BB-A4F8-42B2-9BCE-6C1D94A193B6}"/>
    <hyperlink ref="D677" r:id="rId872" xr:uid="{29D54B64-DB7E-4844-8B7A-E1BA54F79F14}"/>
    <hyperlink ref="D678" r:id="rId873" xr:uid="{3D93C069-BE9E-4E70-8D93-002DEF63CBA4}"/>
    <hyperlink ref="D680" r:id="rId874" xr:uid="{74EAB42A-A362-47A7-97D2-99C9012F9791}"/>
    <hyperlink ref="D681" r:id="rId875" xr:uid="{98AFB2EB-15CA-45AB-8F5A-52D61B85AE74}"/>
    <hyperlink ref="D682" r:id="rId876" xr:uid="{F5A4E382-4076-40D3-BB78-90669FD78D16}"/>
    <hyperlink ref="D683" r:id="rId877" xr:uid="{68F6F082-089B-4AE7-9392-438B4C450AD7}"/>
    <hyperlink ref="D684" r:id="rId878" xr:uid="{74F28227-63F3-4D0A-9DBB-19301C4ED037}"/>
    <hyperlink ref="D687" r:id="rId879" xr:uid="{D9C4A1D7-F636-45EE-84F1-415B5B6E74D3}"/>
    <hyperlink ref="D685" r:id="rId880" xr:uid="{277AF11F-2366-4ACA-833A-EE3675CD1365}"/>
    <hyperlink ref="D686" r:id="rId881" xr:uid="{C4A8C11C-98BC-475A-9CD4-9D2A321A2633}"/>
    <hyperlink ref="D367" r:id="rId882" xr:uid="{39A96486-4E82-4256-AADE-04412F68AE23}"/>
    <hyperlink ref="D811" r:id="rId883" xr:uid="{BC0BBDB1-8120-49F9-B171-C198AECD72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E53AB-1ACA-4340-A154-249E63CFE3A1}">
  <dimension ref="A1:X1116"/>
  <sheetViews>
    <sheetView workbookViewId="0"/>
  </sheetViews>
  <sheetFormatPr defaultRowHeight="15"/>
  <cols>
    <col min="1" max="1" width="8" bestFit="1" customWidth="1"/>
    <col min="2" max="2" width="7.85546875" bestFit="1" customWidth="1"/>
    <col min="3" max="3" width="10.28515625" bestFit="1" customWidth="1"/>
    <col min="4" max="4" width="19.28515625" bestFit="1" customWidth="1"/>
    <col min="5" max="10" width="0" hidden="1" customWidth="1"/>
    <col min="11" max="12" width="81.42578125" customWidth="1"/>
    <col min="13" max="13" width="40.42578125" customWidth="1"/>
    <col min="14" max="15" width="0" hidden="1" customWidth="1"/>
    <col min="16" max="17" width="27" customWidth="1"/>
    <col min="18" max="18" width="64.42578125" style="7" customWidth="1"/>
    <col min="19" max="19" width="64.42578125" customWidth="1"/>
    <col min="20" max="20" width="83.42578125" customWidth="1"/>
    <col min="21" max="145" width="40.7109375" customWidth="1"/>
  </cols>
  <sheetData>
    <row r="1" spans="1:23" ht="15.75">
      <c r="A1" s="8" t="s">
        <v>0</v>
      </c>
      <c r="B1" s="8" t="s">
        <v>1</v>
      </c>
      <c r="C1" s="8" t="s">
        <v>2</v>
      </c>
      <c r="D1" s="8" t="s">
        <v>3</v>
      </c>
      <c r="E1" s="8" t="s">
        <v>1502</v>
      </c>
      <c r="F1" s="8" t="s">
        <v>1503</v>
      </c>
      <c r="G1" s="8" t="s">
        <v>1504</v>
      </c>
      <c r="H1" s="8" t="s">
        <v>1505</v>
      </c>
      <c r="I1" s="8" t="s">
        <v>1506</v>
      </c>
      <c r="J1" s="8" t="s">
        <v>1507</v>
      </c>
      <c r="K1" s="8" t="s">
        <v>4</v>
      </c>
      <c r="L1" s="8" t="s">
        <v>3129</v>
      </c>
      <c r="M1" s="8" t="s">
        <v>1498</v>
      </c>
      <c r="N1" s="8" t="s">
        <v>1508</v>
      </c>
      <c r="O1" s="8" t="s">
        <v>1509</v>
      </c>
      <c r="P1" s="8" t="s">
        <v>1499</v>
      </c>
      <c r="Q1" s="8" t="s">
        <v>1510</v>
      </c>
      <c r="R1" s="9" t="s">
        <v>7</v>
      </c>
      <c r="S1" s="10" t="s">
        <v>1511</v>
      </c>
      <c r="T1" s="8" t="s">
        <v>5</v>
      </c>
      <c r="U1" s="10" t="s">
        <v>6</v>
      </c>
      <c r="V1" s="10" t="s">
        <v>1501</v>
      </c>
      <c r="W1" s="8" t="s">
        <v>1500</v>
      </c>
    </row>
    <row r="2" spans="1:23" ht="225">
      <c r="A2" s="1">
        <v>367428</v>
      </c>
      <c r="B2" s="1">
        <v>1</v>
      </c>
      <c r="C2" s="1">
        <v>1</v>
      </c>
      <c r="D2" s="2" t="s">
        <v>8</v>
      </c>
      <c r="E2" s="11" t="s">
        <v>8</v>
      </c>
      <c r="F2" s="11">
        <v>272369</v>
      </c>
      <c r="G2" s="2" t="s">
        <v>1494</v>
      </c>
      <c r="H2" s="2" t="s">
        <v>1495</v>
      </c>
      <c r="I2" s="2" t="s">
        <v>1496</v>
      </c>
      <c r="J2" s="2" t="str">
        <f>CONCATENATE(G2,F2,H2,C2,I2)</f>
        <v>https://permalinkbnd.bnportugal.gov.pt/viewer/272369/?offset=#page=1&amp;viewer=picture&amp;o=info&amp;n=0&amp;q=</v>
      </c>
      <c r="K2" s="1">
        <v>1</v>
      </c>
      <c r="L2" s="1" t="str">
        <f>VLOOKUP(A2,Folha2!$A$2:$B$2019,2,FALSE)</f>
        <v>I Lusiadi. Antonio Nervi, 1882. Trad. Paratextos vida. Trad. Paratextos notas (de rodapé em cada Canto). Trad. Paratextos argumentos.</v>
      </c>
      <c r="M2" s="12" t="str">
        <f>HYPERLINK(J2)</f>
        <v>https://permalinkbnd.bnportugal.gov.pt/viewer/272369/?offset=#page=1&amp;viewer=picture&amp;o=info&amp;n=0&amp;q=</v>
      </c>
      <c r="N2" s="12" t="s">
        <v>1497</v>
      </c>
      <c r="O2" s="12" t="str">
        <f>CONCATENATE(N2,A2,"\",B2,"\",C2,".jpg")</f>
        <v>C:\Users\mbaptista\OneDrive - Biblioteca Nacional de Portugal\Documentos\python\camoniana\imagens\capas\367428\1\1.jpg</v>
      </c>
      <c r="P2" s="12" t="str">
        <f>HYPERLINK(O2)</f>
        <v>C:\Users\mbaptista\OneDrive - Biblioteca Nacional de Portugal\Documentos\python\camoniana\imagens\capas\367428\1\1.jpg</v>
      </c>
      <c r="Q2" s="12"/>
      <c r="R2" s="6" t="s">
        <v>9</v>
      </c>
      <c r="S2" s="12"/>
      <c r="T2" s="1">
        <v>1</v>
      </c>
      <c r="U2" s="3"/>
      <c r="V2" s="3"/>
      <c r="W2" s="5" t="s">
        <v>1491</v>
      </c>
    </row>
    <row r="3" spans="1:23" ht="225">
      <c r="A3" s="1">
        <v>381074</v>
      </c>
      <c r="B3" s="1">
        <v>1</v>
      </c>
      <c r="C3" s="1">
        <v>10</v>
      </c>
      <c r="D3" s="2" t="s">
        <v>10</v>
      </c>
      <c r="E3" s="5" t="s">
        <v>10</v>
      </c>
      <c r="F3" s="5">
        <v>274089</v>
      </c>
      <c r="G3" s="2" t="s">
        <v>1494</v>
      </c>
      <c r="H3" s="2" t="s">
        <v>1495</v>
      </c>
      <c r="I3" s="2" t="s">
        <v>1496</v>
      </c>
      <c r="J3" s="2" t="str">
        <f>CONCATENATE(G3,F3,H3,C3,I3)</f>
        <v>https://permalinkbnd.bnportugal.gov.pt/viewer/274089/?offset=#page=10&amp;viewer=picture&amp;o=info&amp;n=0&amp;q=</v>
      </c>
      <c r="K3" s="1" t="s">
        <v>11</v>
      </c>
      <c r="L3" s="1" t="str">
        <f>VLOOKUP(A3,Folha2!$A$2:$B$2019,2,FALSE)</f>
        <v>Os Lusíadas, Rio de Janeiro, 1880, sem argumentos.</v>
      </c>
      <c r="M3" s="12" t="str">
        <f>HYPERLINK(J3)</f>
        <v>https://permalinkbnd.bnportugal.gov.pt/viewer/274089/?offset=#page=10&amp;viewer=picture&amp;o=info&amp;n=0&amp;q=</v>
      </c>
      <c r="N3" s="12" t="s">
        <v>1497</v>
      </c>
      <c r="O3" s="12" t="str">
        <f>CONCATENATE(N3,A3,"\",B3,"\",C3,".jpg")</f>
        <v>C:\Users\mbaptista\OneDrive - Biblioteca Nacional de Portugal\Documentos\python\camoniana\imagens\capas\381074\1\10.jpg</v>
      </c>
      <c r="P3" s="12" t="str">
        <f>HYPERLINK(O3)</f>
        <v>C:\Users\mbaptista\OneDrive - Biblioteca Nacional de Portugal\Documentos\python\camoniana\imagens\capas\381074\1\10.jpg</v>
      </c>
      <c r="Q3" s="12"/>
      <c r="R3" s="6"/>
      <c r="S3" s="12"/>
      <c r="T3" s="1" t="s">
        <v>12</v>
      </c>
      <c r="U3" s="3"/>
      <c r="V3" s="3"/>
      <c r="W3" s="5"/>
    </row>
    <row r="4" spans="1:23" ht="225">
      <c r="A4" s="1">
        <v>381074</v>
      </c>
      <c r="B4" s="1">
        <v>1</v>
      </c>
      <c r="C4" s="1">
        <v>11</v>
      </c>
      <c r="D4" s="2" t="s">
        <v>10</v>
      </c>
      <c r="E4" s="11" t="s">
        <v>10</v>
      </c>
      <c r="F4" s="11">
        <v>274089</v>
      </c>
      <c r="G4" s="2" t="s">
        <v>1494</v>
      </c>
      <c r="H4" s="2" t="s">
        <v>1495</v>
      </c>
      <c r="I4" s="2" t="s">
        <v>1496</v>
      </c>
      <c r="J4" s="2" t="str">
        <f>CONCATENATE(G4,F4,H4,C4,I4)</f>
        <v>https://permalinkbnd.bnportugal.gov.pt/viewer/274089/?offset=#page=11&amp;viewer=picture&amp;o=info&amp;n=0&amp;q=</v>
      </c>
      <c r="K4" s="1" t="s">
        <v>11</v>
      </c>
      <c r="L4" s="1" t="str">
        <f>VLOOKUP(A4,Folha2!$A$2:$B$2019,2,FALSE)</f>
        <v>Os Lusíadas, Rio de Janeiro, 1880, sem argumentos.</v>
      </c>
      <c r="M4" s="12" t="str">
        <f>HYPERLINK(J4)</f>
        <v>https://permalinkbnd.bnportugal.gov.pt/viewer/274089/?offset=#page=11&amp;viewer=picture&amp;o=info&amp;n=0&amp;q=</v>
      </c>
      <c r="N4" s="12" t="s">
        <v>1497</v>
      </c>
      <c r="O4" s="12" t="str">
        <f>CONCATENATE(N4,A4,"\",B4,"\",C4,".jpg")</f>
        <v>C:\Users\mbaptista\OneDrive - Biblioteca Nacional de Portugal\Documentos\python\camoniana\imagens\capas\381074\1\11.jpg</v>
      </c>
      <c r="P4" s="12" t="str">
        <f>HYPERLINK(O4)</f>
        <v>C:\Users\mbaptista\OneDrive - Biblioteca Nacional de Portugal\Documentos\python\camoniana\imagens\capas\381074\1\11.jpg</v>
      </c>
      <c r="Q4" s="12"/>
      <c r="R4" s="6"/>
      <c r="S4" s="12"/>
      <c r="T4" s="1" t="s">
        <v>12</v>
      </c>
      <c r="U4" s="3"/>
      <c r="V4" s="3"/>
      <c r="W4" s="5"/>
    </row>
    <row r="5" spans="1:23" ht="225">
      <c r="A5" s="1">
        <v>381074</v>
      </c>
      <c r="B5" s="1">
        <v>1</v>
      </c>
      <c r="C5" s="1">
        <v>103</v>
      </c>
      <c r="D5" s="2" t="s">
        <v>10</v>
      </c>
      <c r="E5" s="5" t="s">
        <v>10</v>
      </c>
      <c r="F5" s="5">
        <v>274089</v>
      </c>
      <c r="G5" s="2" t="s">
        <v>1494</v>
      </c>
      <c r="H5" s="2" t="s">
        <v>1495</v>
      </c>
      <c r="I5" s="2" t="s">
        <v>1496</v>
      </c>
      <c r="J5" s="2" t="str">
        <f>CONCATENATE(G5,F5,H5,C5,I5)</f>
        <v>https://permalinkbnd.bnportugal.gov.pt/viewer/274089/?offset=#page=103&amp;viewer=picture&amp;o=info&amp;n=0&amp;q=</v>
      </c>
      <c r="K5" s="1" t="s">
        <v>11</v>
      </c>
      <c r="L5" s="1" t="str">
        <f>VLOOKUP(A5,Folha2!$A$2:$B$2019,2,FALSE)</f>
        <v>Os Lusíadas, Rio de Janeiro, 1880, sem argumentos.</v>
      </c>
      <c r="M5" s="12" t="str">
        <f>HYPERLINK(J5)</f>
        <v>https://permalinkbnd.bnportugal.gov.pt/viewer/274089/?offset=#page=103&amp;viewer=picture&amp;o=info&amp;n=0&amp;q=</v>
      </c>
      <c r="N5" s="12" t="s">
        <v>1497</v>
      </c>
      <c r="O5" s="12" t="str">
        <f>CONCATENATE(N5,A5,"\",B5,"\",C5,".jpg")</f>
        <v>C:\Users\mbaptista\OneDrive - Biblioteca Nacional de Portugal\Documentos\python\camoniana\imagens\capas\381074\1\103.jpg</v>
      </c>
      <c r="P5" s="12" t="str">
        <f>HYPERLINK(O5)</f>
        <v>C:\Users\mbaptista\OneDrive - Biblioteca Nacional de Portugal\Documentos\python\camoniana\imagens\capas\381074\1\103.jpg</v>
      </c>
      <c r="Q5" s="12"/>
      <c r="R5" s="6"/>
      <c r="S5" s="12"/>
      <c r="T5" s="1" t="s">
        <v>12</v>
      </c>
      <c r="U5" s="3"/>
      <c r="V5" s="3"/>
      <c r="W5" s="5"/>
    </row>
    <row r="6" spans="1:23" ht="225">
      <c r="A6" s="1">
        <v>381074</v>
      </c>
      <c r="B6" s="1">
        <v>1</v>
      </c>
      <c r="C6" s="1">
        <v>107</v>
      </c>
      <c r="D6" s="2" t="s">
        <v>10</v>
      </c>
      <c r="E6" s="11" t="s">
        <v>10</v>
      </c>
      <c r="F6" s="11">
        <v>274089</v>
      </c>
      <c r="G6" s="2" t="s">
        <v>1494</v>
      </c>
      <c r="H6" s="2" t="s">
        <v>1495</v>
      </c>
      <c r="I6" s="2" t="s">
        <v>1496</v>
      </c>
      <c r="J6" s="2" t="str">
        <f>CONCATENATE(G6,F6,H6,C6,I6)</f>
        <v>https://permalinkbnd.bnportugal.gov.pt/viewer/274089/?offset=#page=107&amp;viewer=picture&amp;o=info&amp;n=0&amp;q=</v>
      </c>
      <c r="K6" s="1" t="s">
        <v>11</v>
      </c>
      <c r="L6" s="1" t="str">
        <f>VLOOKUP(A6,Folha2!$A$2:$B$2019,2,FALSE)</f>
        <v>Os Lusíadas, Rio de Janeiro, 1880, sem argumentos.</v>
      </c>
      <c r="M6" s="12" t="str">
        <f>HYPERLINK(J6)</f>
        <v>https://permalinkbnd.bnportugal.gov.pt/viewer/274089/?offset=#page=107&amp;viewer=picture&amp;o=info&amp;n=0&amp;q=</v>
      </c>
      <c r="N6" s="12" t="s">
        <v>1497</v>
      </c>
      <c r="O6" s="12" t="str">
        <f>CONCATENATE(N6,A6,"\",B6,"\",C6,".jpg")</f>
        <v>C:\Users\mbaptista\OneDrive - Biblioteca Nacional de Portugal\Documentos\python\camoniana\imagens\capas\381074\1\107.jpg</v>
      </c>
      <c r="P6" s="12" t="str">
        <f>HYPERLINK(O6)</f>
        <v>C:\Users\mbaptista\OneDrive - Biblioteca Nacional de Portugal\Documentos\python\camoniana\imagens\capas\381074\1\107.jpg</v>
      </c>
      <c r="Q6" s="12"/>
      <c r="R6" s="6"/>
      <c r="S6" s="12"/>
      <c r="T6" s="1" t="s">
        <v>12</v>
      </c>
      <c r="U6" s="3"/>
      <c r="V6" s="3"/>
      <c r="W6" s="5"/>
    </row>
    <row r="7" spans="1:23" ht="225">
      <c r="A7" s="1">
        <v>381074</v>
      </c>
      <c r="B7" s="1">
        <v>1</v>
      </c>
      <c r="C7" s="1">
        <v>142</v>
      </c>
      <c r="D7" s="2" t="s">
        <v>10</v>
      </c>
      <c r="E7" s="5" t="s">
        <v>10</v>
      </c>
      <c r="F7" s="5">
        <v>274089</v>
      </c>
      <c r="G7" s="2" t="s">
        <v>1494</v>
      </c>
      <c r="H7" s="2" t="s">
        <v>1495</v>
      </c>
      <c r="I7" s="2" t="s">
        <v>1496</v>
      </c>
      <c r="J7" s="2" t="str">
        <f>CONCATENATE(G7,F7,H7,C7,I7)</f>
        <v>https://permalinkbnd.bnportugal.gov.pt/viewer/274089/?offset=#page=142&amp;viewer=picture&amp;o=info&amp;n=0&amp;q=</v>
      </c>
      <c r="K7" s="1" t="s">
        <v>11</v>
      </c>
      <c r="L7" s="1" t="str">
        <f>VLOOKUP(A7,Folha2!$A$2:$B$2019,2,FALSE)</f>
        <v>Os Lusíadas, Rio de Janeiro, 1880, sem argumentos.</v>
      </c>
      <c r="M7" s="12" t="str">
        <f>HYPERLINK(J7)</f>
        <v>https://permalinkbnd.bnportugal.gov.pt/viewer/274089/?offset=#page=142&amp;viewer=picture&amp;o=info&amp;n=0&amp;q=</v>
      </c>
      <c r="N7" s="12" t="s">
        <v>1497</v>
      </c>
      <c r="O7" s="12" t="str">
        <f>CONCATENATE(N7,A7,"\",B7,"\",C7,".jpg")</f>
        <v>C:\Users\mbaptista\OneDrive - Biblioteca Nacional de Portugal\Documentos\python\camoniana\imagens\capas\381074\1\142.jpg</v>
      </c>
      <c r="P7" s="12" t="str">
        <f>HYPERLINK(O7)</f>
        <v>C:\Users\mbaptista\OneDrive - Biblioteca Nacional de Portugal\Documentos\python\camoniana\imagens\capas\381074\1\142.jpg</v>
      </c>
      <c r="Q7" s="12"/>
      <c r="R7" s="6"/>
      <c r="S7" s="12"/>
      <c r="T7" s="1" t="s">
        <v>12</v>
      </c>
      <c r="U7" s="3"/>
      <c r="V7" s="3"/>
      <c r="W7" s="5"/>
    </row>
    <row r="8" spans="1:23" ht="225">
      <c r="A8" s="1">
        <v>381074</v>
      </c>
      <c r="B8" s="1">
        <v>1</v>
      </c>
      <c r="C8" s="1">
        <v>107</v>
      </c>
      <c r="D8" s="2" t="s">
        <v>10</v>
      </c>
      <c r="E8" s="11" t="s">
        <v>10</v>
      </c>
      <c r="F8" s="11">
        <v>274089</v>
      </c>
      <c r="G8" s="2" t="s">
        <v>1494</v>
      </c>
      <c r="H8" s="2" t="s">
        <v>1495</v>
      </c>
      <c r="I8" s="2" t="s">
        <v>1496</v>
      </c>
      <c r="J8" s="2" t="str">
        <f>CONCATENATE(G8,F8,H8,C8,I8)</f>
        <v>https://permalinkbnd.bnportugal.gov.pt/viewer/274089/?offset=#page=107&amp;viewer=picture&amp;o=info&amp;n=0&amp;q=</v>
      </c>
      <c r="K8" s="1" t="s">
        <v>11</v>
      </c>
      <c r="L8" s="1" t="str">
        <f>VLOOKUP(A8,Folha2!$A$2:$B$2019,2,FALSE)</f>
        <v>Os Lusíadas, Rio de Janeiro, 1880, sem argumentos.</v>
      </c>
      <c r="M8" s="12" t="str">
        <f>HYPERLINK(J8)</f>
        <v>https://permalinkbnd.bnportugal.gov.pt/viewer/274089/?offset=#page=107&amp;viewer=picture&amp;o=info&amp;n=0&amp;q=</v>
      </c>
      <c r="N8" s="12" t="s">
        <v>1497</v>
      </c>
      <c r="O8" s="12" t="str">
        <f>CONCATENATE(N8,A8,"\",B8,"\",C8,".jpg")</f>
        <v>C:\Users\mbaptista\OneDrive - Biblioteca Nacional de Portugal\Documentos\python\camoniana\imagens\capas\381074\1\107.jpg</v>
      </c>
      <c r="P8" s="12" t="str">
        <f>HYPERLINK(O8)</f>
        <v>C:\Users\mbaptista\OneDrive - Biblioteca Nacional de Portugal\Documentos\python\camoniana\imagens\capas\381074\1\107.jpg</v>
      </c>
      <c r="Q8" s="12"/>
      <c r="R8" s="6"/>
      <c r="S8" s="12"/>
      <c r="T8" s="1" t="s">
        <v>12</v>
      </c>
      <c r="U8" s="3"/>
      <c r="V8" s="3"/>
      <c r="W8" s="5"/>
    </row>
    <row r="9" spans="1:23" ht="225">
      <c r="A9" s="1">
        <v>381074</v>
      </c>
      <c r="B9" s="1">
        <v>1</v>
      </c>
      <c r="C9" s="1">
        <v>142</v>
      </c>
      <c r="D9" s="2" t="s">
        <v>10</v>
      </c>
      <c r="E9" s="5" t="s">
        <v>10</v>
      </c>
      <c r="F9" s="5">
        <v>274089</v>
      </c>
      <c r="G9" s="2" t="s">
        <v>1494</v>
      </c>
      <c r="H9" s="2" t="s">
        <v>1495</v>
      </c>
      <c r="I9" s="2" t="s">
        <v>1496</v>
      </c>
      <c r="J9" s="2" t="str">
        <f>CONCATENATE(G9,F9,H9,C9,I9)</f>
        <v>https://permalinkbnd.bnportugal.gov.pt/viewer/274089/?offset=#page=142&amp;viewer=picture&amp;o=info&amp;n=0&amp;q=</v>
      </c>
      <c r="K9" s="1" t="s">
        <v>11</v>
      </c>
      <c r="L9" s="1" t="str">
        <f>VLOOKUP(A9,Folha2!$A$2:$B$2019,2,FALSE)</f>
        <v>Os Lusíadas, Rio de Janeiro, 1880, sem argumentos.</v>
      </c>
      <c r="M9" s="12" t="str">
        <f>HYPERLINK(J9)</f>
        <v>https://permalinkbnd.bnportugal.gov.pt/viewer/274089/?offset=#page=142&amp;viewer=picture&amp;o=info&amp;n=0&amp;q=</v>
      </c>
      <c r="N9" s="12" t="s">
        <v>1497</v>
      </c>
      <c r="O9" s="12" t="str">
        <f>CONCATENATE(N9,A9,"\",B9,"\",C9,".jpg")</f>
        <v>C:\Users\mbaptista\OneDrive - Biblioteca Nacional de Portugal\Documentos\python\camoniana\imagens\capas\381074\1\142.jpg</v>
      </c>
      <c r="P9" s="12" t="str">
        <f>HYPERLINK(O9)</f>
        <v>C:\Users\mbaptista\OneDrive - Biblioteca Nacional de Portugal\Documentos\python\camoniana\imagens\capas\381074\1\142.jpg</v>
      </c>
      <c r="Q9" s="12"/>
      <c r="R9" s="6"/>
      <c r="S9" s="12"/>
      <c r="T9" s="1" t="s">
        <v>12</v>
      </c>
      <c r="U9" s="3"/>
      <c r="V9" s="3"/>
      <c r="W9" s="5"/>
    </row>
    <row r="10" spans="1:23" ht="225">
      <c r="A10" s="1">
        <v>381074</v>
      </c>
      <c r="B10" s="1">
        <v>1</v>
      </c>
      <c r="C10" s="1">
        <v>145</v>
      </c>
      <c r="D10" s="2" t="s">
        <v>10</v>
      </c>
      <c r="E10" s="11" t="s">
        <v>10</v>
      </c>
      <c r="F10" s="11">
        <v>274089</v>
      </c>
      <c r="G10" s="2" t="s">
        <v>1494</v>
      </c>
      <c r="H10" s="2" t="s">
        <v>1495</v>
      </c>
      <c r="I10" s="2" t="s">
        <v>1496</v>
      </c>
      <c r="J10" s="2" t="str">
        <f>CONCATENATE(G10,F10,H10,C10,I10)</f>
        <v>https://permalinkbnd.bnportugal.gov.pt/viewer/274089/?offset=#page=145&amp;viewer=picture&amp;o=info&amp;n=0&amp;q=</v>
      </c>
      <c r="K10" s="1" t="s">
        <v>11</v>
      </c>
      <c r="L10" s="1" t="str">
        <f>VLOOKUP(A10,Folha2!$A$2:$B$2019,2,FALSE)</f>
        <v>Os Lusíadas, Rio de Janeiro, 1880, sem argumentos.</v>
      </c>
      <c r="M10" s="12" t="str">
        <f>HYPERLINK(J10)</f>
        <v>https://permalinkbnd.bnportugal.gov.pt/viewer/274089/?offset=#page=145&amp;viewer=picture&amp;o=info&amp;n=0&amp;q=</v>
      </c>
      <c r="N10" s="12" t="s">
        <v>1497</v>
      </c>
      <c r="O10" s="12" t="str">
        <f>CONCATENATE(N10,A10,"\",B10,"\",C10,".jpg")</f>
        <v>C:\Users\mbaptista\OneDrive - Biblioteca Nacional de Portugal\Documentos\python\camoniana\imagens\capas\381074\1\145.jpg</v>
      </c>
      <c r="P10" s="12" t="str">
        <f>HYPERLINK(O10)</f>
        <v>C:\Users\mbaptista\OneDrive - Biblioteca Nacional de Portugal\Documentos\python\camoniana\imagens\capas\381074\1\145.jpg</v>
      </c>
      <c r="Q10" s="12"/>
      <c r="R10" s="6"/>
      <c r="S10" s="12"/>
      <c r="T10" s="1" t="s">
        <v>12</v>
      </c>
      <c r="U10" s="3"/>
      <c r="V10" s="3"/>
      <c r="W10" s="5"/>
    </row>
    <row r="11" spans="1:23" ht="225">
      <c r="A11" s="1">
        <v>381074</v>
      </c>
      <c r="B11" s="1">
        <v>1</v>
      </c>
      <c r="C11" s="1">
        <v>185</v>
      </c>
      <c r="D11" s="2" t="s">
        <v>10</v>
      </c>
      <c r="E11" s="5" t="s">
        <v>10</v>
      </c>
      <c r="F11" s="5">
        <v>274089</v>
      </c>
      <c r="G11" s="2" t="s">
        <v>1494</v>
      </c>
      <c r="H11" s="2" t="s">
        <v>1495</v>
      </c>
      <c r="I11" s="2" t="s">
        <v>1496</v>
      </c>
      <c r="J11" s="2" t="str">
        <f>CONCATENATE(G11,F11,H11,C11,I11)</f>
        <v>https://permalinkbnd.bnportugal.gov.pt/viewer/274089/?offset=#page=185&amp;viewer=picture&amp;o=info&amp;n=0&amp;q=</v>
      </c>
      <c r="K11" s="1" t="s">
        <v>11</v>
      </c>
      <c r="L11" s="1" t="str">
        <f>VLOOKUP(A11,Folha2!$A$2:$B$2019,2,FALSE)</f>
        <v>Os Lusíadas, Rio de Janeiro, 1880, sem argumentos.</v>
      </c>
      <c r="M11" s="12" t="str">
        <f>HYPERLINK(J11)</f>
        <v>https://permalinkbnd.bnportugal.gov.pt/viewer/274089/?offset=#page=185&amp;viewer=picture&amp;o=info&amp;n=0&amp;q=</v>
      </c>
      <c r="N11" s="12" t="s">
        <v>1497</v>
      </c>
      <c r="O11" s="12" t="str">
        <f>CONCATENATE(N11,A11,"\",B11,"\",C11,".jpg")</f>
        <v>C:\Users\mbaptista\OneDrive - Biblioteca Nacional de Portugal\Documentos\python\camoniana\imagens\capas\381074\1\185.jpg</v>
      </c>
      <c r="P11" s="12" t="str">
        <f>HYPERLINK(O11)</f>
        <v>C:\Users\mbaptista\OneDrive - Biblioteca Nacional de Portugal\Documentos\python\camoniana\imagens\capas\381074\1\185.jpg</v>
      </c>
      <c r="Q11" s="12"/>
      <c r="R11" s="6"/>
      <c r="S11" s="12"/>
      <c r="T11" s="1" t="s">
        <v>12</v>
      </c>
      <c r="U11" s="3"/>
      <c r="V11" s="3"/>
      <c r="W11" s="5"/>
    </row>
    <row r="12" spans="1:23" ht="225">
      <c r="A12" s="1">
        <v>381074</v>
      </c>
      <c r="B12" s="1">
        <v>1</v>
      </c>
      <c r="C12" s="1">
        <v>235</v>
      </c>
      <c r="D12" s="2" t="s">
        <v>10</v>
      </c>
      <c r="E12" s="11" t="s">
        <v>10</v>
      </c>
      <c r="F12" s="11">
        <v>274089</v>
      </c>
      <c r="G12" s="2" t="s">
        <v>1494</v>
      </c>
      <c r="H12" s="2" t="s">
        <v>1495</v>
      </c>
      <c r="I12" s="2" t="s">
        <v>1496</v>
      </c>
      <c r="J12" s="2" t="str">
        <f>CONCATENATE(G12,F12,H12,C12,I12)</f>
        <v>https://permalinkbnd.bnportugal.gov.pt/viewer/274089/?offset=#page=235&amp;viewer=picture&amp;o=info&amp;n=0&amp;q=</v>
      </c>
      <c r="K12" s="1" t="s">
        <v>11</v>
      </c>
      <c r="L12" s="1" t="str">
        <f>VLOOKUP(A12,Folha2!$A$2:$B$2019,2,FALSE)</f>
        <v>Os Lusíadas, Rio de Janeiro, 1880, sem argumentos.</v>
      </c>
      <c r="M12" s="12" t="str">
        <f>HYPERLINK(J12)</f>
        <v>https://permalinkbnd.bnportugal.gov.pt/viewer/274089/?offset=#page=235&amp;viewer=picture&amp;o=info&amp;n=0&amp;q=</v>
      </c>
      <c r="N12" s="12" t="s">
        <v>1497</v>
      </c>
      <c r="O12" s="12" t="str">
        <f>CONCATENATE(N12,A12,"\",B12,"\",C12,".jpg")</f>
        <v>C:\Users\mbaptista\OneDrive - Biblioteca Nacional de Portugal\Documentos\python\camoniana\imagens\capas\381074\1\235.jpg</v>
      </c>
      <c r="P12" s="12" t="str">
        <f>HYPERLINK(O12)</f>
        <v>C:\Users\mbaptista\OneDrive - Biblioteca Nacional de Portugal\Documentos\python\camoniana\imagens\capas\381074\1\235.jpg</v>
      </c>
      <c r="Q12" s="12"/>
      <c r="R12" s="6"/>
      <c r="S12" s="12"/>
      <c r="T12" s="1" t="s">
        <v>12</v>
      </c>
      <c r="U12" s="3"/>
      <c r="V12" s="3"/>
      <c r="W12" s="5"/>
    </row>
    <row r="13" spans="1:23" ht="225">
      <c r="A13" s="1">
        <v>381074</v>
      </c>
      <c r="B13" s="1">
        <v>1</v>
      </c>
      <c r="C13" s="1">
        <v>270</v>
      </c>
      <c r="D13" s="2" t="s">
        <v>10</v>
      </c>
      <c r="E13" s="5" t="s">
        <v>10</v>
      </c>
      <c r="F13" s="5">
        <v>274089</v>
      </c>
      <c r="G13" s="2" t="s">
        <v>1494</v>
      </c>
      <c r="H13" s="2" t="s">
        <v>1495</v>
      </c>
      <c r="I13" s="2" t="s">
        <v>1496</v>
      </c>
      <c r="J13" s="2" t="str">
        <f>CONCATENATE(G13,F13,H13,C13,I13)</f>
        <v>https://permalinkbnd.bnportugal.gov.pt/viewer/274089/?offset=#page=270&amp;viewer=picture&amp;o=info&amp;n=0&amp;q=</v>
      </c>
      <c r="K13" s="1" t="s">
        <v>11</v>
      </c>
      <c r="L13" s="1" t="str">
        <f>VLOOKUP(A13,Folha2!$A$2:$B$2019,2,FALSE)</f>
        <v>Os Lusíadas, Rio de Janeiro, 1880, sem argumentos.</v>
      </c>
      <c r="M13" s="12" t="str">
        <f>HYPERLINK(J13)</f>
        <v>https://permalinkbnd.bnportugal.gov.pt/viewer/274089/?offset=#page=270&amp;viewer=picture&amp;o=info&amp;n=0&amp;q=</v>
      </c>
      <c r="N13" s="12" t="s">
        <v>1497</v>
      </c>
      <c r="O13" s="12" t="str">
        <f>CONCATENATE(N13,A13,"\",B13,"\",C13,".jpg")</f>
        <v>C:\Users\mbaptista\OneDrive - Biblioteca Nacional de Portugal\Documentos\python\camoniana\imagens\capas\381074\1\270.jpg</v>
      </c>
      <c r="P13" s="12" t="str">
        <f>HYPERLINK(O13)</f>
        <v>C:\Users\mbaptista\OneDrive - Biblioteca Nacional de Portugal\Documentos\python\camoniana\imagens\capas\381074\1\270.jpg</v>
      </c>
      <c r="Q13" s="12"/>
      <c r="R13" s="6"/>
      <c r="S13" s="12"/>
      <c r="T13" s="1" t="s">
        <v>12</v>
      </c>
      <c r="U13" s="3"/>
      <c r="V13" s="3"/>
      <c r="W13" s="5"/>
    </row>
    <row r="14" spans="1:23" ht="225">
      <c r="A14" s="1">
        <v>381074</v>
      </c>
      <c r="B14" s="1">
        <v>1</v>
      </c>
      <c r="C14" s="1">
        <v>273</v>
      </c>
      <c r="D14" s="2" t="s">
        <v>10</v>
      </c>
      <c r="E14" s="11" t="s">
        <v>10</v>
      </c>
      <c r="F14" s="11">
        <v>274089</v>
      </c>
      <c r="G14" s="2" t="s">
        <v>1494</v>
      </c>
      <c r="H14" s="2" t="s">
        <v>1495</v>
      </c>
      <c r="I14" s="2" t="s">
        <v>1496</v>
      </c>
      <c r="J14" s="2" t="str">
        <f>CONCATENATE(G14,F14,H14,C14,I14)</f>
        <v>https://permalinkbnd.bnportugal.gov.pt/viewer/274089/?offset=#page=273&amp;viewer=picture&amp;o=info&amp;n=0&amp;q=</v>
      </c>
      <c r="K14" s="1" t="s">
        <v>11</v>
      </c>
      <c r="L14" s="1" t="str">
        <f>VLOOKUP(A14,Folha2!$A$2:$B$2019,2,FALSE)</f>
        <v>Os Lusíadas, Rio de Janeiro, 1880, sem argumentos.</v>
      </c>
      <c r="M14" s="12" t="str">
        <f>HYPERLINK(J14)</f>
        <v>https://permalinkbnd.bnportugal.gov.pt/viewer/274089/?offset=#page=273&amp;viewer=picture&amp;o=info&amp;n=0&amp;q=</v>
      </c>
      <c r="N14" s="12" t="s">
        <v>1497</v>
      </c>
      <c r="O14" s="12" t="str">
        <f>CONCATENATE(N14,A14,"\",B14,"\",C14,".jpg")</f>
        <v>C:\Users\mbaptista\OneDrive - Biblioteca Nacional de Portugal\Documentos\python\camoniana\imagens\capas\381074\1\273.jpg</v>
      </c>
      <c r="P14" s="12" t="str">
        <f>HYPERLINK(O14)</f>
        <v>C:\Users\mbaptista\OneDrive - Biblioteca Nacional de Portugal\Documentos\python\camoniana\imagens\capas\381074\1\273.jpg</v>
      </c>
      <c r="Q14" s="12"/>
      <c r="R14" s="6"/>
      <c r="S14" s="12"/>
      <c r="T14" s="1" t="s">
        <v>12</v>
      </c>
      <c r="U14" s="3"/>
      <c r="V14" s="3"/>
      <c r="W14" s="5"/>
    </row>
    <row r="15" spans="1:23" ht="225">
      <c r="A15" s="1">
        <v>381074</v>
      </c>
      <c r="B15" s="1">
        <v>1</v>
      </c>
      <c r="C15" s="1">
        <v>306</v>
      </c>
      <c r="D15" s="2" t="s">
        <v>10</v>
      </c>
      <c r="E15" s="5" t="s">
        <v>10</v>
      </c>
      <c r="F15" s="5">
        <v>274089</v>
      </c>
      <c r="G15" s="2" t="s">
        <v>1494</v>
      </c>
      <c r="H15" s="2" t="s">
        <v>1495</v>
      </c>
      <c r="I15" s="2" t="s">
        <v>1496</v>
      </c>
      <c r="J15" s="2" t="str">
        <f>CONCATENATE(G15,F15,H15,C15,I15)</f>
        <v>https://permalinkbnd.bnportugal.gov.pt/viewer/274089/?offset=#page=306&amp;viewer=picture&amp;o=info&amp;n=0&amp;q=</v>
      </c>
      <c r="K15" s="1" t="s">
        <v>11</v>
      </c>
      <c r="L15" s="1" t="str">
        <f>VLOOKUP(A15,Folha2!$A$2:$B$2019,2,FALSE)</f>
        <v>Os Lusíadas, Rio de Janeiro, 1880, sem argumentos.</v>
      </c>
      <c r="M15" s="12" t="str">
        <f>HYPERLINK(J15)</f>
        <v>https://permalinkbnd.bnportugal.gov.pt/viewer/274089/?offset=#page=306&amp;viewer=picture&amp;o=info&amp;n=0&amp;q=</v>
      </c>
      <c r="N15" s="12" t="s">
        <v>1497</v>
      </c>
      <c r="O15" s="12" t="str">
        <f>CONCATENATE(N15,A15,"\",B15,"\",C15,".jpg")</f>
        <v>C:\Users\mbaptista\OneDrive - Biblioteca Nacional de Portugal\Documentos\python\camoniana\imagens\capas\381074\1\306.jpg</v>
      </c>
      <c r="P15" s="12" t="str">
        <f>HYPERLINK(O15)</f>
        <v>C:\Users\mbaptista\OneDrive - Biblioteca Nacional de Portugal\Documentos\python\camoniana\imagens\capas\381074\1\306.jpg</v>
      </c>
      <c r="Q15" s="12"/>
      <c r="R15" s="6"/>
      <c r="S15" s="12"/>
      <c r="T15" s="1" t="s">
        <v>12</v>
      </c>
      <c r="U15" s="3"/>
      <c r="V15" s="3"/>
      <c r="W15" s="5"/>
    </row>
    <row r="16" spans="1:23" ht="225">
      <c r="A16" s="1">
        <v>381074</v>
      </c>
      <c r="B16" s="1">
        <v>1</v>
      </c>
      <c r="C16" s="1">
        <v>309</v>
      </c>
      <c r="D16" s="2" t="s">
        <v>10</v>
      </c>
      <c r="E16" s="11" t="s">
        <v>10</v>
      </c>
      <c r="F16" s="11">
        <v>274089</v>
      </c>
      <c r="G16" s="2" t="s">
        <v>1494</v>
      </c>
      <c r="H16" s="2" t="s">
        <v>1495</v>
      </c>
      <c r="I16" s="2" t="s">
        <v>1496</v>
      </c>
      <c r="J16" s="2" t="str">
        <f>CONCATENATE(G16,F16,H16,C16,I16)</f>
        <v>https://permalinkbnd.bnportugal.gov.pt/viewer/274089/?offset=#page=309&amp;viewer=picture&amp;o=info&amp;n=0&amp;q=</v>
      </c>
      <c r="K16" s="1" t="s">
        <v>11</v>
      </c>
      <c r="L16" s="1" t="str">
        <f>VLOOKUP(A16,Folha2!$A$2:$B$2019,2,FALSE)</f>
        <v>Os Lusíadas, Rio de Janeiro, 1880, sem argumentos.</v>
      </c>
      <c r="M16" s="12" t="str">
        <f>HYPERLINK(J16)</f>
        <v>https://permalinkbnd.bnportugal.gov.pt/viewer/274089/?offset=#page=309&amp;viewer=picture&amp;o=info&amp;n=0&amp;q=</v>
      </c>
      <c r="N16" s="12" t="s">
        <v>1497</v>
      </c>
      <c r="O16" s="12" t="str">
        <f>CONCATENATE(N16,A16,"\",B16,"\",C16,".jpg")</f>
        <v>C:\Users\mbaptista\OneDrive - Biblioteca Nacional de Portugal\Documentos\python\camoniana\imagens\capas\381074\1\309.jpg</v>
      </c>
      <c r="P16" s="12" t="str">
        <f>HYPERLINK(O16)</f>
        <v>C:\Users\mbaptista\OneDrive - Biblioteca Nacional de Portugal\Documentos\python\camoniana\imagens\capas\381074\1\309.jpg</v>
      </c>
      <c r="Q16" s="12"/>
      <c r="R16" s="6"/>
      <c r="S16" s="12"/>
      <c r="T16" s="1" t="s">
        <v>12</v>
      </c>
      <c r="U16" s="3"/>
      <c r="V16" s="3"/>
      <c r="W16" s="5"/>
    </row>
    <row r="17" spans="1:23" ht="225">
      <c r="A17" s="1">
        <v>381074</v>
      </c>
      <c r="B17" s="1">
        <v>1</v>
      </c>
      <c r="C17" s="1">
        <v>342</v>
      </c>
      <c r="D17" s="2" t="s">
        <v>10</v>
      </c>
      <c r="E17" s="5" t="s">
        <v>10</v>
      </c>
      <c r="F17" s="5">
        <v>274089</v>
      </c>
      <c r="G17" s="2" t="s">
        <v>1494</v>
      </c>
      <c r="H17" s="2" t="s">
        <v>1495</v>
      </c>
      <c r="I17" s="2" t="s">
        <v>1496</v>
      </c>
      <c r="J17" s="2" t="str">
        <f>CONCATENATE(G17,F17,H17,C17,I17)</f>
        <v>https://permalinkbnd.bnportugal.gov.pt/viewer/274089/?offset=#page=342&amp;viewer=picture&amp;o=info&amp;n=0&amp;q=</v>
      </c>
      <c r="K17" s="1" t="s">
        <v>11</v>
      </c>
      <c r="L17" s="1" t="str">
        <f>VLOOKUP(A17,Folha2!$A$2:$B$2019,2,FALSE)</f>
        <v>Os Lusíadas, Rio de Janeiro, 1880, sem argumentos.</v>
      </c>
      <c r="M17" s="12" t="str">
        <f>HYPERLINK(J17)</f>
        <v>https://permalinkbnd.bnportugal.gov.pt/viewer/274089/?offset=#page=342&amp;viewer=picture&amp;o=info&amp;n=0&amp;q=</v>
      </c>
      <c r="N17" s="12" t="s">
        <v>1497</v>
      </c>
      <c r="O17" s="12" t="str">
        <f>CONCATENATE(N17,A17,"\",B17,"\",C17,".jpg")</f>
        <v>C:\Users\mbaptista\OneDrive - Biblioteca Nacional de Portugal\Documentos\python\camoniana\imagens\capas\381074\1\342.jpg</v>
      </c>
      <c r="P17" s="12" t="str">
        <f>HYPERLINK(O17)</f>
        <v>C:\Users\mbaptista\OneDrive - Biblioteca Nacional de Portugal\Documentos\python\camoniana\imagens\capas\381074\1\342.jpg</v>
      </c>
      <c r="Q17" s="12"/>
      <c r="R17" s="6"/>
      <c r="S17" s="12"/>
      <c r="T17" s="1" t="s">
        <v>12</v>
      </c>
      <c r="U17" s="3"/>
      <c r="V17" s="3"/>
      <c r="W17" s="5"/>
    </row>
    <row r="18" spans="1:23" ht="225">
      <c r="A18" s="1">
        <v>381074</v>
      </c>
      <c r="B18" s="1">
        <v>1</v>
      </c>
      <c r="C18" s="1">
        <v>345</v>
      </c>
      <c r="D18" s="2" t="s">
        <v>10</v>
      </c>
      <c r="E18" s="11" t="s">
        <v>10</v>
      </c>
      <c r="F18" s="11">
        <v>274089</v>
      </c>
      <c r="G18" s="2" t="s">
        <v>1494</v>
      </c>
      <c r="H18" s="2" t="s">
        <v>1495</v>
      </c>
      <c r="I18" s="2" t="s">
        <v>1496</v>
      </c>
      <c r="J18" s="2" t="str">
        <f>CONCATENATE(G18,F18,H18,C18,I18)</f>
        <v>https://permalinkbnd.bnportugal.gov.pt/viewer/274089/?offset=#page=345&amp;viewer=picture&amp;o=info&amp;n=0&amp;q=</v>
      </c>
      <c r="K18" s="1" t="s">
        <v>11</v>
      </c>
      <c r="L18" s="1" t="str">
        <f>VLOOKUP(A18,Folha2!$A$2:$B$2019,2,FALSE)</f>
        <v>Os Lusíadas, Rio de Janeiro, 1880, sem argumentos.</v>
      </c>
      <c r="M18" s="12" t="str">
        <f>HYPERLINK(J18)</f>
        <v>https://permalinkbnd.bnportugal.gov.pt/viewer/274089/?offset=#page=345&amp;viewer=picture&amp;o=info&amp;n=0&amp;q=</v>
      </c>
      <c r="N18" s="12" t="s">
        <v>1497</v>
      </c>
      <c r="O18" s="12" t="str">
        <f>CONCATENATE(N18,A18,"\",B18,"\",C18,".jpg")</f>
        <v>C:\Users\mbaptista\OneDrive - Biblioteca Nacional de Portugal\Documentos\python\camoniana\imagens\capas\381074\1\345.jpg</v>
      </c>
      <c r="P18" s="12" t="str">
        <f>HYPERLINK(O18)</f>
        <v>C:\Users\mbaptista\OneDrive - Biblioteca Nacional de Portugal\Documentos\python\camoniana\imagens\capas\381074\1\345.jpg</v>
      </c>
      <c r="Q18" s="12"/>
      <c r="R18" s="6"/>
      <c r="S18" s="12"/>
      <c r="T18" s="1" t="s">
        <v>12</v>
      </c>
      <c r="U18" s="3"/>
      <c r="V18" s="3"/>
      <c r="W18" s="5"/>
    </row>
    <row r="19" spans="1:23" ht="225">
      <c r="A19" s="1">
        <v>381074</v>
      </c>
      <c r="B19" s="1">
        <v>1</v>
      </c>
      <c r="C19" s="1">
        <v>347</v>
      </c>
      <c r="D19" s="2" t="s">
        <v>10</v>
      </c>
      <c r="E19" s="5" t="s">
        <v>10</v>
      </c>
      <c r="F19" s="5">
        <v>274089</v>
      </c>
      <c r="G19" s="2" t="s">
        <v>1494</v>
      </c>
      <c r="H19" s="2" t="s">
        <v>1495</v>
      </c>
      <c r="I19" s="2" t="s">
        <v>1496</v>
      </c>
      <c r="J19" s="2" t="str">
        <f>CONCATENATE(G19,F19,H19,C19,I19)</f>
        <v>https://permalinkbnd.bnportugal.gov.pt/viewer/274089/?offset=#page=347&amp;viewer=picture&amp;o=info&amp;n=0&amp;q=</v>
      </c>
      <c r="K19" s="1" t="s">
        <v>11</v>
      </c>
      <c r="L19" s="1" t="str">
        <f>VLOOKUP(A19,Folha2!$A$2:$B$2019,2,FALSE)</f>
        <v>Os Lusíadas, Rio de Janeiro, 1880, sem argumentos.</v>
      </c>
      <c r="M19" s="12" t="str">
        <f>HYPERLINK(J19)</f>
        <v>https://permalinkbnd.bnportugal.gov.pt/viewer/274089/?offset=#page=347&amp;viewer=picture&amp;o=info&amp;n=0&amp;q=</v>
      </c>
      <c r="N19" s="12" t="s">
        <v>1497</v>
      </c>
      <c r="O19" s="12" t="str">
        <f>CONCATENATE(N19,A19,"\",B19,"\",C19,".jpg")</f>
        <v>C:\Users\mbaptista\OneDrive - Biblioteca Nacional de Portugal\Documentos\python\camoniana\imagens\capas\381074\1\347.jpg</v>
      </c>
      <c r="P19" s="12" t="str">
        <f>HYPERLINK(O19)</f>
        <v>C:\Users\mbaptista\OneDrive - Biblioteca Nacional de Portugal\Documentos\python\camoniana\imagens\capas\381074\1\347.jpg</v>
      </c>
      <c r="Q19" s="12"/>
      <c r="R19" s="6"/>
      <c r="S19" s="12"/>
      <c r="T19" s="1" t="s">
        <v>12</v>
      </c>
      <c r="U19" s="3"/>
      <c r="V19" s="3"/>
      <c r="W19" s="5"/>
    </row>
    <row r="20" spans="1:23" ht="225">
      <c r="A20" s="1">
        <v>381074</v>
      </c>
      <c r="B20" s="1">
        <v>1</v>
      </c>
      <c r="C20" s="1">
        <v>377</v>
      </c>
      <c r="D20" s="2" t="s">
        <v>10</v>
      </c>
      <c r="E20" s="11" t="s">
        <v>10</v>
      </c>
      <c r="F20" s="11">
        <v>274089</v>
      </c>
      <c r="G20" s="2" t="s">
        <v>1494</v>
      </c>
      <c r="H20" s="2" t="s">
        <v>1495</v>
      </c>
      <c r="I20" s="2" t="s">
        <v>1496</v>
      </c>
      <c r="J20" s="2" t="str">
        <f>CONCATENATE(G20,F20,H20,C20,I20)</f>
        <v>https://permalinkbnd.bnportugal.gov.pt/viewer/274089/?offset=#page=377&amp;viewer=picture&amp;o=info&amp;n=0&amp;q=</v>
      </c>
      <c r="K20" s="1" t="s">
        <v>11</v>
      </c>
      <c r="L20" s="1" t="str">
        <f>VLOOKUP(A20,Folha2!$A$2:$B$2019,2,FALSE)</f>
        <v>Os Lusíadas, Rio de Janeiro, 1880, sem argumentos.</v>
      </c>
      <c r="M20" s="12" t="str">
        <f>HYPERLINK(J20)</f>
        <v>https://permalinkbnd.bnportugal.gov.pt/viewer/274089/?offset=#page=377&amp;viewer=picture&amp;o=info&amp;n=0&amp;q=</v>
      </c>
      <c r="N20" s="12" t="s">
        <v>1497</v>
      </c>
      <c r="O20" s="12" t="str">
        <f>CONCATENATE(N20,A20,"\",B20,"\",C20,".jpg")</f>
        <v>C:\Users\mbaptista\OneDrive - Biblioteca Nacional de Portugal\Documentos\python\camoniana\imagens\capas\381074\1\377.jpg</v>
      </c>
      <c r="P20" s="12" t="str">
        <f>HYPERLINK(O20)</f>
        <v>C:\Users\mbaptista\OneDrive - Biblioteca Nacional de Portugal\Documentos\python\camoniana\imagens\capas\381074\1\377.jpg</v>
      </c>
      <c r="Q20" s="12"/>
      <c r="R20" s="6"/>
      <c r="S20" s="12"/>
      <c r="T20" s="1" t="s">
        <v>12</v>
      </c>
      <c r="U20" s="3"/>
      <c r="V20" s="3"/>
      <c r="W20" s="5"/>
    </row>
    <row r="21" spans="1:23" ht="225">
      <c r="A21" s="1">
        <v>381074</v>
      </c>
      <c r="B21" s="1">
        <v>1</v>
      </c>
      <c r="C21" s="1">
        <v>410</v>
      </c>
      <c r="D21" s="2" t="s">
        <v>10</v>
      </c>
      <c r="E21" s="5" t="s">
        <v>10</v>
      </c>
      <c r="F21" s="5">
        <v>274089</v>
      </c>
      <c r="G21" s="2" t="s">
        <v>1494</v>
      </c>
      <c r="H21" s="2" t="s">
        <v>1495</v>
      </c>
      <c r="I21" s="2" t="s">
        <v>1496</v>
      </c>
      <c r="J21" s="2" t="str">
        <f>CONCATENATE(G21,F21,H21,C21,I21)</f>
        <v>https://permalinkbnd.bnportugal.gov.pt/viewer/274089/?offset=#page=410&amp;viewer=picture&amp;o=info&amp;n=0&amp;q=</v>
      </c>
      <c r="K21" s="1" t="s">
        <v>11</v>
      </c>
      <c r="L21" s="1" t="str">
        <f>VLOOKUP(A21,Folha2!$A$2:$B$2019,2,FALSE)</f>
        <v>Os Lusíadas, Rio de Janeiro, 1880, sem argumentos.</v>
      </c>
      <c r="M21" s="12" t="str">
        <f>HYPERLINK(J21)</f>
        <v>https://permalinkbnd.bnportugal.gov.pt/viewer/274089/?offset=#page=410&amp;viewer=picture&amp;o=info&amp;n=0&amp;q=</v>
      </c>
      <c r="N21" s="12" t="s">
        <v>1497</v>
      </c>
      <c r="O21" s="12" t="str">
        <f>CONCATENATE(N21,A21,"\",B21,"\",C21,".jpg")</f>
        <v>C:\Users\mbaptista\OneDrive - Biblioteca Nacional de Portugal\Documentos\python\camoniana\imagens\capas\381074\1\410.jpg</v>
      </c>
      <c r="P21" s="12" t="str">
        <f>HYPERLINK(O21)</f>
        <v>C:\Users\mbaptista\OneDrive - Biblioteca Nacional de Portugal\Documentos\python\camoniana\imagens\capas\381074\1\410.jpg</v>
      </c>
      <c r="Q21" s="12"/>
      <c r="R21" s="6"/>
      <c r="S21" s="12"/>
      <c r="T21" s="1" t="s">
        <v>12</v>
      </c>
      <c r="U21" s="3"/>
      <c r="V21" s="3"/>
      <c r="W21" s="5"/>
    </row>
    <row r="22" spans="1:23" ht="225">
      <c r="A22" s="1">
        <v>381074</v>
      </c>
      <c r="B22" s="1">
        <v>1</v>
      </c>
      <c r="C22" s="1">
        <v>413</v>
      </c>
      <c r="D22" s="2" t="s">
        <v>10</v>
      </c>
      <c r="E22" s="11" t="s">
        <v>10</v>
      </c>
      <c r="F22" s="11">
        <v>274089</v>
      </c>
      <c r="G22" s="2" t="s">
        <v>1494</v>
      </c>
      <c r="H22" s="2" t="s">
        <v>1495</v>
      </c>
      <c r="I22" s="2" t="s">
        <v>1496</v>
      </c>
      <c r="J22" s="2" t="str">
        <f>CONCATENATE(G22,F22,H22,C22,I22)</f>
        <v>https://permalinkbnd.bnportugal.gov.pt/viewer/274089/?offset=#page=413&amp;viewer=picture&amp;o=info&amp;n=0&amp;q=</v>
      </c>
      <c r="K22" s="1" t="s">
        <v>11</v>
      </c>
      <c r="L22" s="1" t="str">
        <f>VLOOKUP(A22,Folha2!$A$2:$B$2019,2,FALSE)</f>
        <v>Os Lusíadas, Rio de Janeiro, 1880, sem argumentos.</v>
      </c>
      <c r="M22" s="12" t="str">
        <f>HYPERLINK(J22)</f>
        <v>https://permalinkbnd.bnportugal.gov.pt/viewer/274089/?offset=#page=413&amp;viewer=picture&amp;o=info&amp;n=0&amp;q=</v>
      </c>
      <c r="N22" s="12" t="s">
        <v>1497</v>
      </c>
      <c r="O22" s="12" t="str">
        <f>CONCATENATE(N22,A22,"\",B22,"\",C22,".jpg")</f>
        <v>C:\Users\mbaptista\OneDrive - Biblioteca Nacional de Portugal\Documentos\python\camoniana\imagens\capas\381074\1\413.jpg</v>
      </c>
      <c r="P22" s="12" t="str">
        <f>HYPERLINK(O22)</f>
        <v>C:\Users\mbaptista\OneDrive - Biblioteca Nacional de Portugal\Documentos\python\camoniana\imagens\capas\381074\1\413.jpg</v>
      </c>
      <c r="Q22" s="12"/>
      <c r="R22" s="6"/>
      <c r="S22" s="12"/>
      <c r="T22" s="1" t="s">
        <v>12</v>
      </c>
      <c r="U22" s="3"/>
      <c r="V22" s="3"/>
      <c r="W22" s="5"/>
    </row>
    <row r="23" spans="1:23" ht="225">
      <c r="A23" s="1">
        <v>381074</v>
      </c>
      <c r="B23" s="1">
        <v>1</v>
      </c>
      <c r="C23" s="1">
        <v>447</v>
      </c>
      <c r="D23" s="2" t="s">
        <v>10</v>
      </c>
      <c r="E23" s="5" t="s">
        <v>10</v>
      </c>
      <c r="F23" s="5">
        <v>274089</v>
      </c>
      <c r="G23" s="2" t="s">
        <v>1494</v>
      </c>
      <c r="H23" s="2" t="s">
        <v>1495</v>
      </c>
      <c r="I23" s="2" t="s">
        <v>1496</v>
      </c>
      <c r="J23" s="2" t="str">
        <f>CONCATENATE(G23,F23,H23,C23,I23)</f>
        <v>https://permalinkbnd.bnportugal.gov.pt/viewer/274089/?offset=#page=447&amp;viewer=picture&amp;o=info&amp;n=0&amp;q=</v>
      </c>
      <c r="K23" s="1" t="s">
        <v>11</v>
      </c>
      <c r="L23" s="1" t="str">
        <f>VLOOKUP(A23,Folha2!$A$2:$B$2019,2,FALSE)</f>
        <v>Os Lusíadas, Rio de Janeiro, 1880, sem argumentos.</v>
      </c>
      <c r="M23" s="12" t="str">
        <f>HYPERLINK(J23)</f>
        <v>https://permalinkbnd.bnportugal.gov.pt/viewer/274089/?offset=#page=447&amp;viewer=picture&amp;o=info&amp;n=0&amp;q=</v>
      </c>
      <c r="N23" s="12" t="s">
        <v>1497</v>
      </c>
      <c r="O23" s="12" t="str">
        <f>CONCATENATE(N23,A23,"\",B23,"\",C23,".jpg")</f>
        <v>C:\Users\mbaptista\OneDrive - Biblioteca Nacional de Portugal\Documentos\python\camoniana\imagens\capas\381074\1\447.jpg</v>
      </c>
      <c r="P23" s="12" t="str">
        <f>HYPERLINK(O23)</f>
        <v>C:\Users\mbaptista\OneDrive - Biblioteca Nacional de Portugal\Documentos\python\camoniana\imagens\capas\381074\1\447.jpg</v>
      </c>
      <c r="Q23" s="12"/>
      <c r="R23" s="6"/>
      <c r="S23" s="12"/>
      <c r="T23" s="1" t="s">
        <v>12</v>
      </c>
      <c r="U23" s="3"/>
      <c r="V23" s="3"/>
      <c r="W23" s="5"/>
    </row>
    <row r="24" spans="1:23" ht="225">
      <c r="A24" s="1">
        <v>381074</v>
      </c>
      <c r="B24" s="1">
        <v>1</v>
      </c>
      <c r="C24" s="1">
        <v>499</v>
      </c>
      <c r="D24" s="2" t="s">
        <v>10</v>
      </c>
      <c r="E24" s="11" t="s">
        <v>10</v>
      </c>
      <c r="F24" s="11">
        <v>274089</v>
      </c>
      <c r="G24" s="2" t="s">
        <v>1494</v>
      </c>
      <c r="H24" s="2" t="s">
        <v>1495</v>
      </c>
      <c r="I24" s="2" t="s">
        <v>1496</v>
      </c>
      <c r="J24" s="2" t="str">
        <f>CONCATENATE(G24,F24,H24,C24,I24)</f>
        <v>https://permalinkbnd.bnportugal.gov.pt/viewer/274089/?offset=#page=499&amp;viewer=picture&amp;o=info&amp;n=0&amp;q=</v>
      </c>
      <c r="K24" s="1" t="s">
        <v>11</v>
      </c>
      <c r="L24" s="1" t="str">
        <f>VLOOKUP(A24,Folha2!$A$2:$B$2019,2,FALSE)</f>
        <v>Os Lusíadas, Rio de Janeiro, 1880, sem argumentos.</v>
      </c>
      <c r="M24" s="12" t="str">
        <f>HYPERLINK(J24)</f>
        <v>https://permalinkbnd.bnportugal.gov.pt/viewer/274089/?offset=#page=499&amp;viewer=picture&amp;o=info&amp;n=0&amp;q=</v>
      </c>
      <c r="N24" s="12" t="s">
        <v>1497</v>
      </c>
      <c r="O24" s="12" t="str">
        <f>CONCATENATE(N24,A24,"\",B24,"\",C24,".jpg")</f>
        <v>C:\Users\mbaptista\OneDrive - Biblioteca Nacional de Portugal\Documentos\python\camoniana\imagens\capas\381074\1\499.jpg</v>
      </c>
      <c r="P24" s="12" t="str">
        <f>HYPERLINK(O24)</f>
        <v>C:\Users\mbaptista\OneDrive - Biblioteca Nacional de Portugal\Documentos\python\camoniana\imagens\capas\381074\1\499.jpg</v>
      </c>
      <c r="Q24" s="12"/>
      <c r="R24" s="6" t="s">
        <v>13</v>
      </c>
      <c r="S24" s="12"/>
      <c r="T24" s="1" t="s">
        <v>12</v>
      </c>
      <c r="U24" s="3"/>
      <c r="V24" s="3"/>
      <c r="W24" s="5" t="s">
        <v>1491</v>
      </c>
    </row>
    <row r="25" spans="1:23" ht="225">
      <c r="A25" s="1">
        <v>381074</v>
      </c>
      <c r="B25" s="1">
        <v>1</v>
      </c>
      <c r="C25" s="1">
        <v>526</v>
      </c>
      <c r="D25" s="2" t="s">
        <v>10</v>
      </c>
      <c r="E25" s="5" t="s">
        <v>10</v>
      </c>
      <c r="F25" s="5">
        <v>274089</v>
      </c>
      <c r="G25" s="2" t="s">
        <v>1494</v>
      </c>
      <c r="H25" s="2" t="s">
        <v>1495</v>
      </c>
      <c r="I25" s="2" t="s">
        <v>1496</v>
      </c>
      <c r="J25" s="2" t="str">
        <f>CONCATENATE(G25,F25,H25,C25,I25)</f>
        <v>https://permalinkbnd.bnportugal.gov.pt/viewer/274089/?offset=#page=526&amp;viewer=picture&amp;o=info&amp;n=0&amp;q=</v>
      </c>
      <c r="K25" s="1" t="s">
        <v>11</v>
      </c>
      <c r="L25" s="1" t="str">
        <f>VLOOKUP(A25,Folha2!$A$2:$B$2019,2,FALSE)</f>
        <v>Os Lusíadas, Rio de Janeiro, 1880, sem argumentos.</v>
      </c>
      <c r="M25" s="12" t="str">
        <f>HYPERLINK(J25)</f>
        <v>https://permalinkbnd.bnportugal.gov.pt/viewer/274089/?offset=#page=526&amp;viewer=picture&amp;o=info&amp;n=0&amp;q=</v>
      </c>
      <c r="N25" s="12" t="s">
        <v>1497</v>
      </c>
      <c r="O25" s="12" t="str">
        <f>CONCATENATE(N25,A25,"\",B25,"\",C25,".jpg")</f>
        <v>C:\Users\mbaptista\OneDrive - Biblioteca Nacional de Portugal\Documentos\python\camoniana\imagens\capas\381074\1\526.jpg</v>
      </c>
      <c r="P25" s="12" t="str">
        <f>HYPERLINK(O25)</f>
        <v>C:\Users\mbaptista\OneDrive - Biblioteca Nacional de Portugal\Documentos\python\camoniana\imagens\capas\381074\1\526.jpg</v>
      </c>
      <c r="Q25" s="12"/>
      <c r="R25" s="6"/>
      <c r="S25" s="12"/>
      <c r="T25" s="1" t="s">
        <v>12</v>
      </c>
      <c r="U25" s="3"/>
      <c r="V25" s="3"/>
      <c r="W25" s="5"/>
    </row>
    <row r="26" spans="1:23" ht="225">
      <c r="A26" s="1">
        <v>381465</v>
      </c>
      <c r="B26" s="1"/>
      <c r="C26" s="1">
        <v>5</v>
      </c>
      <c r="D26" s="2" t="s">
        <v>14</v>
      </c>
      <c r="E26" s="11" t="s">
        <v>14</v>
      </c>
      <c r="F26" s="11">
        <v>271573</v>
      </c>
      <c r="G26" s="2" t="s">
        <v>1494</v>
      </c>
      <c r="H26" s="2" t="s">
        <v>1495</v>
      </c>
      <c r="I26" s="2" t="s">
        <v>1496</v>
      </c>
      <c r="J26" s="2" t="str">
        <f>CONCATENATE(G26,F26,H26,C26,I26)</f>
        <v>https://permalinkbnd.bnportugal.gov.pt/viewer/271573/?offset=#page=5&amp;viewer=picture&amp;o=info&amp;n=0&amp;q=</v>
      </c>
      <c r="K26" s="1" t="s">
        <v>15</v>
      </c>
      <c r="L26" s="1" t="str">
        <f>VLOOKUP(A26,Folha2!$A$2:$B$2019,2,FALSE)</f>
        <v>Os Lusíadas, 1898, obra dedicada à Comissão do Centenário e nos paratextos é referida a Celebração: Celebrações (1880); Paratextos argumentos e Iconografia figuras históricas.</v>
      </c>
      <c r="M26" s="12" t="str">
        <f>HYPERLINK(J26)</f>
        <v>https://permalinkbnd.bnportugal.gov.pt/viewer/271573/?offset=#page=5&amp;viewer=picture&amp;o=info&amp;n=0&amp;q=</v>
      </c>
      <c r="N26" s="12" t="s">
        <v>1497</v>
      </c>
      <c r="O26" s="12" t="str">
        <f>CONCATENATE(N26,A26,"\",B26,"\",C26,".jpg")</f>
        <v>C:\Users\mbaptista\OneDrive - Biblioteca Nacional de Portugal\Documentos\python\camoniana\imagens\capas\381465\\5.jpg</v>
      </c>
      <c r="P26" s="12" t="str">
        <f>HYPERLINK(O26)</f>
        <v>C:\Users\mbaptista\OneDrive - Biblioteca Nacional de Portugal\Documentos\python\camoniana\imagens\capas\381465\\5.jpg</v>
      </c>
      <c r="Q26" s="12"/>
      <c r="R26" s="6"/>
      <c r="S26" s="12"/>
      <c r="T26" s="1" t="s">
        <v>16</v>
      </c>
      <c r="U26" s="3"/>
      <c r="V26" s="3"/>
      <c r="W26" s="5"/>
    </row>
    <row r="27" spans="1:23" ht="225">
      <c r="A27" s="1">
        <v>381465</v>
      </c>
      <c r="B27" s="1"/>
      <c r="C27" s="1">
        <v>10</v>
      </c>
      <c r="D27" s="2" t="s">
        <v>14</v>
      </c>
      <c r="E27" s="5" t="s">
        <v>14</v>
      </c>
      <c r="F27" s="5">
        <v>271573</v>
      </c>
      <c r="G27" s="2" t="s">
        <v>1494</v>
      </c>
      <c r="H27" s="2" t="s">
        <v>1495</v>
      </c>
      <c r="I27" s="2" t="s">
        <v>1496</v>
      </c>
      <c r="J27" s="2" t="str">
        <f>CONCATENATE(G27,F27,H27,C27,I27)</f>
        <v>https://permalinkbnd.bnportugal.gov.pt/viewer/271573/?offset=#page=10&amp;viewer=picture&amp;o=info&amp;n=0&amp;q=</v>
      </c>
      <c r="K27" s="1" t="s">
        <v>15</v>
      </c>
      <c r="L27" s="1" t="str">
        <f>VLOOKUP(A27,Folha2!$A$2:$B$2019,2,FALSE)</f>
        <v>Os Lusíadas, 1898, obra dedicada à Comissão do Centenário e nos paratextos é referida a Celebração: Celebrações (1880); Paratextos argumentos e Iconografia figuras históricas.</v>
      </c>
      <c r="M27" s="12" t="str">
        <f>HYPERLINK(J27)</f>
        <v>https://permalinkbnd.bnportugal.gov.pt/viewer/271573/?offset=#page=10&amp;viewer=picture&amp;o=info&amp;n=0&amp;q=</v>
      </c>
      <c r="N27" s="12" t="s">
        <v>1497</v>
      </c>
      <c r="O27" s="12" t="str">
        <f>CONCATENATE(N27,A27,"\",B27,"\",C27,".jpg")</f>
        <v>C:\Users\mbaptista\OneDrive - Biblioteca Nacional de Portugal\Documentos\python\camoniana\imagens\capas\381465\\10.jpg</v>
      </c>
      <c r="P27" s="12" t="str">
        <f>HYPERLINK(O27)</f>
        <v>C:\Users\mbaptista\OneDrive - Biblioteca Nacional de Portugal\Documentos\python\camoniana\imagens\capas\381465\\10.jpg</v>
      </c>
      <c r="Q27" s="12"/>
      <c r="R27" s="6"/>
      <c r="S27" s="12"/>
      <c r="T27" s="1" t="s">
        <v>16</v>
      </c>
      <c r="U27" s="3"/>
      <c r="V27" s="3"/>
      <c r="W27" s="5"/>
    </row>
    <row r="28" spans="1:23" ht="225">
      <c r="A28" s="1">
        <v>381465</v>
      </c>
      <c r="B28" s="1"/>
      <c r="C28" s="1">
        <v>43</v>
      </c>
      <c r="D28" s="2" t="s">
        <v>14</v>
      </c>
      <c r="E28" s="11" t="s">
        <v>14</v>
      </c>
      <c r="F28" s="11">
        <v>271573</v>
      </c>
      <c r="G28" s="2" t="s">
        <v>1494</v>
      </c>
      <c r="H28" s="2" t="s">
        <v>1495</v>
      </c>
      <c r="I28" s="2" t="s">
        <v>1496</v>
      </c>
      <c r="J28" s="2" t="str">
        <f>CONCATENATE(G28,F28,H28,C28,I28)</f>
        <v>https://permalinkbnd.bnportugal.gov.pt/viewer/271573/?offset=#page=43&amp;viewer=picture&amp;o=info&amp;n=0&amp;q=</v>
      </c>
      <c r="K28" s="1" t="s">
        <v>15</v>
      </c>
      <c r="L28" s="1" t="str">
        <f>VLOOKUP(A28,Folha2!$A$2:$B$2019,2,FALSE)</f>
        <v>Os Lusíadas, 1898, obra dedicada à Comissão do Centenário e nos paratextos é referida a Celebração: Celebrações (1880); Paratextos argumentos e Iconografia figuras históricas.</v>
      </c>
      <c r="M28" s="12" t="str">
        <f>HYPERLINK(J28)</f>
        <v>https://permalinkbnd.bnportugal.gov.pt/viewer/271573/?offset=#page=43&amp;viewer=picture&amp;o=info&amp;n=0&amp;q=</v>
      </c>
      <c r="N28" s="12" t="s">
        <v>1497</v>
      </c>
      <c r="O28" s="12" t="str">
        <f>CONCATENATE(N28,A28,"\",B28,"\",C28,".jpg")</f>
        <v>C:\Users\mbaptista\OneDrive - Biblioteca Nacional de Portugal\Documentos\python\camoniana\imagens\capas\381465\\43.jpg</v>
      </c>
      <c r="P28" s="12" t="str">
        <f>HYPERLINK(O28)</f>
        <v>C:\Users\mbaptista\OneDrive - Biblioteca Nacional de Portugal\Documentos\python\camoniana\imagens\capas\381465\\43.jpg</v>
      </c>
      <c r="Q28" s="12"/>
      <c r="R28" s="6"/>
      <c r="S28" s="12"/>
      <c r="T28" s="1" t="s">
        <v>16</v>
      </c>
      <c r="U28" s="3"/>
      <c r="V28" s="3"/>
      <c r="W28" s="5"/>
    </row>
    <row r="29" spans="1:23" ht="225">
      <c r="A29" s="1">
        <v>381465</v>
      </c>
      <c r="B29" s="1"/>
      <c r="C29" s="1">
        <v>46</v>
      </c>
      <c r="D29" s="2" t="s">
        <v>14</v>
      </c>
      <c r="E29" s="5" t="s">
        <v>14</v>
      </c>
      <c r="F29" s="5">
        <v>271573</v>
      </c>
      <c r="G29" s="2" t="s">
        <v>1494</v>
      </c>
      <c r="H29" s="2" t="s">
        <v>1495</v>
      </c>
      <c r="I29" s="2" t="s">
        <v>1496</v>
      </c>
      <c r="J29" s="2" t="str">
        <f>CONCATENATE(G29,F29,H29,C29,I29)</f>
        <v>https://permalinkbnd.bnportugal.gov.pt/viewer/271573/?offset=#page=46&amp;viewer=picture&amp;o=info&amp;n=0&amp;q=</v>
      </c>
      <c r="K29" s="1" t="s">
        <v>15</v>
      </c>
      <c r="L29" s="1" t="str">
        <f>VLOOKUP(A29,Folha2!$A$2:$B$2019,2,FALSE)</f>
        <v>Os Lusíadas, 1898, obra dedicada à Comissão do Centenário e nos paratextos é referida a Celebração: Celebrações (1880); Paratextos argumentos e Iconografia figuras históricas.</v>
      </c>
      <c r="M29" s="12" t="str">
        <f>HYPERLINK(J29)</f>
        <v>https://permalinkbnd.bnportugal.gov.pt/viewer/271573/?offset=#page=46&amp;viewer=picture&amp;o=info&amp;n=0&amp;q=</v>
      </c>
      <c r="N29" s="12" t="s">
        <v>1497</v>
      </c>
      <c r="O29" s="12" t="str">
        <f>CONCATENATE(N29,A29,"\",B29,"\",C29,".jpg")</f>
        <v>C:\Users\mbaptista\OneDrive - Biblioteca Nacional de Portugal\Documentos\python\camoniana\imagens\capas\381465\\46.jpg</v>
      </c>
      <c r="P29" s="12" t="str">
        <f>HYPERLINK(O29)</f>
        <v>C:\Users\mbaptista\OneDrive - Biblioteca Nacional de Portugal\Documentos\python\camoniana\imagens\capas\381465\\46.jpg</v>
      </c>
      <c r="Q29" s="12"/>
      <c r="R29" s="6"/>
      <c r="S29" s="12"/>
      <c r="T29" s="1" t="s">
        <v>16</v>
      </c>
      <c r="U29" s="3"/>
      <c r="V29" s="3"/>
      <c r="W29" s="5"/>
    </row>
    <row r="30" spans="1:23" ht="225">
      <c r="A30" s="1">
        <v>381465</v>
      </c>
      <c r="B30" s="1"/>
      <c r="C30" s="1">
        <v>47</v>
      </c>
      <c r="D30" s="2" t="s">
        <v>14</v>
      </c>
      <c r="E30" s="11" t="s">
        <v>14</v>
      </c>
      <c r="F30" s="11">
        <v>271573</v>
      </c>
      <c r="G30" s="2" t="s">
        <v>1494</v>
      </c>
      <c r="H30" s="2" t="s">
        <v>1495</v>
      </c>
      <c r="I30" s="2" t="s">
        <v>1496</v>
      </c>
      <c r="J30" s="2" t="str">
        <f>CONCATENATE(G30,F30,H30,C30,I30)</f>
        <v>https://permalinkbnd.bnportugal.gov.pt/viewer/271573/?offset=#page=47&amp;viewer=picture&amp;o=info&amp;n=0&amp;q=</v>
      </c>
      <c r="K30" s="1" t="s">
        <v>15</v>
      </c>
      <c r="L30" s="1" t="str">
        <f>VLOOKUP(A30,Folha2!$A$2:$B$2019,2,FALSE)</f>
        <v>Os Lusíadas, 1898, obra dedicada à Comissão do Centenário e nos paratextos é referida a Celebração: Celebrações (1880); Paratextos argumentos e Iconografia figuras históricas.</v>
      </c>
      <c r="M30" s="12" t="str">
        <f>HYPERLINK(J30)</f>
        <v>https://permalinkbnd.bnportugal.gov.pt/viewer/271573/?offset=#page=47&amp;viewer=picture&amp;o=info&amp;n=0&amp;q=</v>
      </c>
      <c r="N30" s="12" t="s">
        <v>1497</v>
      </c>
      <c r="O30" s="12" t="str">
        <f>CONCATENATE(N30,A30,"\",B30,"\",C30,".jpg")</f>
        <v>C:\Users\mbaptista\OneDrive - Biblioteca Nacional de Portugal\Documentos\python\camoniana\imagens\capas\381465\\47.jpg</v>
      </c>
      <c r="P30" s="12" t="str">
        <f>HYPERLINK(O30)</f>
        <v>C:\Users\mbaptista\OneDrive - Biblioteca Nacional de Portugal\Documentos\python\camoniana\imagens\capas\381465\\47.jpg</v>
      </c>
      <c r="Q30" s="12"/>
      <c r="R30" s="6"/>
      <c r="S30" s="12"/>
      <c r="T30" s="1" t="s">
        <v>16</v>
      </c>
      <c r="U30" s="3"/>
      <c r="V30" s="3"/>
      <c r="W30" s="5"/>
    </row>
    <row r="31" spans="1:23" ht="225">
      <c r="A31" s="1">
        <v>381465</v>
      </c>
      <c r="B31" s="1"/>
      <c r="C31" s="1">
        <v>100</v>
      </c>
      <c r="D31" s="2" t="s">
        <v>14</v>
      </c>
      <c r="E31" s="5" t="s">
        <v>14</v>
      </c>
      <c r="F31" s="5">
        <v>271573</v>
      </c>
      <c r="G31" s="2" t="s">
        <v>1494</v>
      </c>
      <c r="H31" s="2" t="s">
        <v>1495</v>
      </c>
      <c r="I31" s="2" t="s">
        <v>1496</v>
      </c>
      <c r="J31" s="2" t="str">
        <f>CONCATENATE(G31,F31,H31,C31,I31)</f>
        <v>https://permalinkbnd.bnportugal.gov.pt/viewer/271573/?offset=#page=100&amp;viewer=picture&amp;o=info&amp;n=0&amp;q=</v>
      </c>
      <c r="K31" s="1" t="s">
        <v>15</v>
      </c>
      <c r="L31" s="1" t="str">
        <f>VLOOKUP(A31,Folha2!$A$2:$B$2019,2,FALSE)</f>
        <v>Os Lusíadas, 1898, obra dedicada à Comissão do Centenário e nos paratextos é referida a Celebração: Celebrações (1880); Paratextos argumentos e Iconografia figuras históricas.</v>
      </c>
      <c r="M31" s="12" t="str">
        <f>HYPERLINK(J31)</f>
        <v>https://permalinkbnd.bnportugal.gov.pt/viewer/271573/?offset=#page=100&amp;viewer=picture&amp;o=info&amp;n=0&amp;q=</v>
      </c>
      <c r="N31" s="12" t="s">
        <v>1497</v>
      </c>
      <c r="O31" s="12" t="str">
        <f>CONCATENATE(N31,A31,"\",B31,"\",C31,".jpg")</f>
        <v>C:\Users\mbaptista\OneDrive - Biblioteca Nacional de Portugal\Documentos\python\camoniana\imagens\capas\381465\\100.jpg</v>
      </c>
      <c r="P31" s="12" t="str">
        <f>HYPERLINK(O31)</f>
        <v>C:\Users\mbaptista\OneDrive - Biblioteca Nacional de Portugal\Documentos\python\camoniana\imagens\capas\381465\\100.jpg</v>
      </c>
      <c r="Q31" s="12"/>
      <c r="R31" s="6"/>
      <c r="S31" s="12"/>
      <c r="T31" s="1" t="s">
        <v>16</v>
      </c>
      <c r="U31" s="3"/>
      <c r="V31" s="3"/>
      <c r="W31" s="5"/>
    </row>
    <row r="32" spans="1:23" ht="225">
      <c r="A32" s="1">
        <v>381465</v>
      </c>
      <c r="B32" s="1"/>
      <c r="C32" s="1">
        <v>101</v>
      </c>
      <c r="D32" s="2" t="s">
        <v>14</v>
      </c>
      <c r="E32" s="11" t="s">
        <v>14</v>
      </c>
      <c r="F32" s="11">
        <v>271573</v>
      </c>
      <c r="G32" s="2" t="s">
        <v>1494</v>
      </c>
      <c r="H32" s="2" t="s">
        <v>1495</v>
      </c>
      <c r="I32" s="2" t="s">
        <v>1496</v>
      </c>
      <c r="J32" s="2" t="str">
        <f>CONCATENATE(G32,F32,H32,C32,I32)</f>
        <v>https://permalinkbnd.bnportugal.gov.pt/viewer/271573/?offset=#page=101&amp;viewer=picture&amp;o=info&amp;n=0&amp;q=</v>
      </c>
      <c r="K32" s="1" t="s">
        <v>15</v>
      </c>
      <c r="L32" s="1" t="str">
        <f>VLOOKUP(A32,Folha2!$A$2:$B$2019,2,FALSE)</f>
        <v>Os Lusíadas, 1898, obra dedicada à Comissão do Centenário e nos paratextos é referida a Celebração: Celebrações (1880); Paratextos argumentos e Iconografia figuras históricas.</v>
      </c>
      <c r="M32" s="12" t="str">
        <f>HYPERLINK(J32)</f>
        <v>https://permalinkbnd.bnportugal.gov.pt/viewer/271573/?offset=#page=101&amp;viewer=picture&amp;o=info&amp;n=0&amp;q=</v>
      </c>
      <c r="N32" s="12" t="s">
        <v>1497</v>
      </c>
      <c r="O32" s="12" t="str">
        <f>CONCATENATE(N32,A32,"\",B32,"\",C32,".jpg")</f>
        <v>C:\Users\mbaptista\OneDrive - Biblioteca Nacional de Portugal\Documentos\python\camoniana\imagens\capas\381465\\101.jpg</v>
      </c>
      <c r="P32" s="12" t="str">
        <f>HYPERLINK(O32)</f>
        <v>C:\Users\mbaptista\OneDrive - Biblioteca Nacional de Portugal\Documentos\python\camoniana\imagens\capas\381465\\101.jpg</v>
      </c>
      <c r="Q32" s="12"/>
      <c r="R32" s="6"/>
      <c r="S32" s="12"/>
      <c r="T32" s="1" t="s">
        <v>16</v>
      </c>
      <c r="U32" s="3"/>
      <c r="V32" s="3"/>
      <c r="W32" s="5"/>
    </row>
    <row r="33" spans="1:23" ht="225">
      <c r="A33" s="1">
        <v>381465</v>
      </c>
      <c r="B33" s="1"/>
      <c r="C33" s="1">
        <v>160</v>
      </c>
      <c r="D33" s="2" t="s">
        <v>14</v>
      </c>
      <c r="E33" s="5" t="s">
        <v>14</v>
      </c>
      <c r="F33" s="5">
        <v>271573</v>
      </c>
      <c r="G33" s="2" t="s">
        <v>1494</v>
      </c>
      <c r="H33" s="2" t="s">
        <v>1495</v>
      </c>
      <c r="I33" s="2" t="s">
        <v>1496</v>
      </c>
      <c r="J33" s="2" t="str">
        <f>CONCATENATE(G33,F33,H33,C33,I33)</f>
        <v>https://permalinkbnd.bnportugal.gov.pt/viewer/271573/?offset=#page=160&amp;viewer=picture&amp;o=info&amp;n=0&amp;q=</v>
      </c>
      <c r="K33" s="1" t="s">
        <v>15</v>
      </c>
      <c r="L33" s="1" t="str">
        <f>VLOOKUP(A33,Folha2!$A$2:$B$2019,2,FALSE)</f>
        <v>Os Lusíadas, 1898, obra dedicada à Comissão do Centenário e nos paratextos é referida a Celebração: Celebrações (1880); Paratextos argumentos e Iconografia figuras históricas.</v>
      </c>
      <c r="M33" s="12" t="str">
        <f>HYPERLINK(J33)</f>
        <v>https://permalinkbnd.bnportugal.gov.pt/viewer/271573/?offset=#page=160&amp;viewer=picture&amp;o=info&amp;n=0&amp;q=</v>
      </c>
      <c r="N33" s="12" t="s">
        <v>1497</v>
      </c>
      <c r="O33" s="12" t="str">
        <f>CONCATENATE(N33,A33,"\",B33,"\",C33,".jpg")</f>
        <v>C:\Users\mbaptista\OneDrive - Biblioteca Nacional de Portugal\Documentos\python\camoniana\imagens\capas\381465\\160.jpg</v>
      </c>
      <c r="P33" s="12" t="str">
        <f>HYPERLINK(O33)</f>
        <v>C:\Users\mbaptista\OneDrive - Biblioteca Nacional de Portugal\Documentos\python\camoniana\imagens\capas\381465\\160.jpg</v>
      </c>
      <c r="Q33" s="12"/>
      <c r="R33" s="6"/>
      <c r="S33" s="12"/>
      <c r="T33" s="1" t="s">
        <v>16</v>
      </c>
      <c r="U33" s="3"/>
      <c r="V33" s="3"/>
      <c r="W33" s="5"/>
    </row>
    <row r="34" spans="1:23" ht="225">
      <c r="A34" s="1">
        <v>381465</v>
      </c>
      <c r="B34" s="1"/>
      <c r="C34" s="1">
        <v>161</v>
      </c>
      <c r="D34" s="2" t="s">
        <v>14</v>
      </c>
      <c r="E34" s="11" t="s">
        <v>14</v>
      </c>
      <c r="F34" s="11">
        <v>271573</v>
      </c>
      <c r="G34" s="2" t="s">
        <v>1494</v>
      </c>
      <c r="H34" s="2" t="s">
        <v>1495</v>
      </c>
      <c r="I34" s="2" t="s">
        <v>1496</v>
      </c>
      <c r="J34" s="2" t="str">
        <f>CONCATENATE(G34,F34,H34,C34,I34)</f>
        <v>https://permalinkbnd.bnportugal.gov.pt/viewer/271573/?offset=#page=161&amp;viewer=picture&amp;o=info&amp;n=0&amp;q=</v>
      </c>
      <c r="K34" s="1" t="s">
        <v>15</v>
      </c>
      <c r="L34" s="1" t="str">
        <f>VLOOKUP(A34,Folha2!$A$2:$B$2019,2,FALSE)</f>
        <v>Os Lusíadas, 1898, obra dedicada à Comissão do Centenário e nos paratextos é referida a Celebração: Celebrações (1880); Paratextos argumentos e Iconografia figuras históricas.</v>
      </c>
      <c r="M34" s="12" t="str">
        <f>HYPERLINK(J34)</f>
        <v>https://permalinkbnd.bnportugal.gov.pt/viewer/271573/?offset=#page=161&amp;viewer=picture&amp;o=info&amp;n=0&amp;q=</v>
      </c>
      <c r="N34" s="12" t="s">
        <v>1497</v>
      </c>
      <c r="O34" s="12" t="str">
        <f>CONCATENATE(N34,A34,"\",B34,"\",C34,".jpg")</f>
        <v>C:\Users\mbaptista\OneDrive - Biblioteca Nacional de Portugal\Documentos\python\camoniana\imagens\capas\381465\\161.jpg</v>
      </c>
      <c r="P34" s="12" t="str">
        <f>HYPERLINK(O34)</f>
        <v>C:\Users\mbaptista\OneDrive - Biblioteca Nacional de Portugal\Documentos\python\camoniana\imagens\capas\381465\\161.jpg</v>
      </c>
      <c r="Q34" s="12"/>
      <c r="R34" s="6"/>
      <c r="S34" s="12"/>
      <c r="T34" s="1" t="s">
        <v>16</v>
      </c>
      <c r="U34" s="3"/>
      <c r="V34" s="3"/>
      <c r="W34" s="5"/>
    </row>
    <row r="35" spans="1:23" ht="225">
      <c r="A35" s="1">
        <v>381465</v>
      </c>
      <c r="B35" s="1"/>
      <c r="C35" s="1">
        <v>163</v>
      </c>
      <c r="D35" s="2" t="s">
        <v>14</v>
      </c>
      <c r="E35" s="5" t="s">
        <v>14</v>
      </c>
      <c r="F35" s="5">
        <v>271573</v>
      </c>
      <c r="G35" s="2" t="s">
        <v>1494</v>
      </c>
      <c r="H35" s="2" t="s">
        <v>1495</v>
      </c>
      <c r="I35" s="2" t="s">
        <v>1496</v>
      </c>
      <c r="J35" s="2" t="str">
        <f>CONCATENATE(G35,F35,H35,C35,I35)</f>
        <v>https://permalinkbnd.bnportugal.gov.pt/viewer/271573/?offset=#page=163&amp;viewer=picture&amp;o=info&amp;n=0&amp;q=</v>
      </c>
      <c r="K35" s="1" t="s">
        <v>15</v>
      </c>
      <c r="L35" s="1" t="str">
        <f>VLOOKUP(A35,Folha2!$A$2:$B$2019,2,FALSE)</f>
        <v>Os Lusíadas, 1898, obra dedicada à Comissão do Centenário e nos paratextos é referida a Celebração: Celebrações (1880); Paratextos argumentos e Iconografia figuras históricas.</v>
      </c>
      <c r="M35" s="12" t="str">
        <f>HYPERLINK(J35)</f>
        <v>https://permalinkbnd.bnportugal.gov.pt/viewer/271573/?offset=#page=163&amp;viewer=picture&amp;o=info&amp;n=0&amp;q=</v>
      </c>
      <c r="N35" s="12" t="s">
        <v>1497</v>
      </c>
      <c r="O35" s="12" t="str">
        <f>CONCATENATE(N35,A35,"\",B35,"\",C35,".jpg")</f>
        <v>C:\Users\mbaptista\OneDrive - Biblioteca Nacional de Portugal\Documentos\python\camoniana\imagens\capas\381465\\163.jpg</v>
      </c>
      <c r="P35" s="12" t="str">
        <f>HYPERLINK(O35)</f>
        <v>C:\Users\mbaptista\OneDrive - Biblioteca Nacional de Portugal\Documentos\python\camoniana\imagens\capas\381465\\163.jpg</v>
      </c>
      <c r="Q35" s="12"/>
      <c r="R35" s="6"/>
      <c r="S35" s="12"/>
      <c r="T35" s="1" t="s">
        <v>16</v>
      </c>
      <c r="U35" s="3"/>
      <c r="V35" s="3"/>
      <c r="W35" s="5"/>
    </row>
    <row r="36" spans="1:23" ht="225">
      <c r="A36" s="1">
        <v>381465</v>
      </c>
      <c r="B36" s="1"/>
      <c r="C36" s="1">
        <v>235</v>
      </c>
      <c r="D36" s="2" t="s">
        <v>14</v>
      </c>
      <c r="E36" s="11" t="s">
        <v>14</v>
      </c>
      <c r="F36" s="11">
        <v>271573</v>
      </c>
      <c r="G36" s="2" t="s">
        <v>1494</v>
      </c>
      <c r="H36" s="2" t="s">
        <v>1495</v>
      </c>
      <c r="I36" s="2" t="s">
        <v>1496</v>
      </c>
      <c r="J36" s="2" t="str">
        <f>CONCATENATE(G36,F36,H36,C36,I36)</f>
        <v>https://permalinkbnd.bnportugal.gov.pt/viewer/271573/?offset=#page=235&amp;viewer=picture&amp;o=info&amp;n=0&amp;q=</v>
      </c>
      <c r="K36" s="1" t="s">
        <v>15</v>
      </c>
      <c r="L36" s="1" t="str">
        <f>VLOOKUP(A36,Folha2!$A$2:$B$2019,2,FALSE)</f>
        <v>Os Lusíadas, 1898, obra dedicada à Comissão do Centenário e nos paratextos é referida a Celebração: Celebrações (1880); Paratextos argumentos e Iconografia figuras históricas.</v>
      </c>
      <c r="M36" s="12" t="str">
        <f>HYPERLINK(J36)</f>
        <v>https://permalinkbnd.bnportugal.gov.pt/viewer/271573/?offset=#page=235&amp;viewer=picture&amp;o=info&amp;n=0&amp;q=</v>
      </c>
      <c r="N36" s="12" t="s">
        <v>1497</v>
      </c>
      <c r="O36" s="12" t="str">
        <f>CONCATENATE(N36,A36,"\",B36,"\",C36,".jpg")</f>
        <v>C:\Users\mbaptista\OneDrive - Biblioteca Nacional de Portugal\Documentos\python\camoniana\imagens\capas\381465\\235.jpg</v>
      </c>
      <c r="P36" s="12" t="str">
        <f>HYPERLINK(O36)</f>
        <v>C:\Users\mbaptista\OneDrive - Biblioteca Nacional de Portugal\Documentos\python\camoniana\imagens\capas\381465\\235.jpg</v>
      </c>
      <c r="Q36" s="12"/>
      <c r="R36" s="6"/>
      <c r="S36" s="12"/>
      <c r="T36" s="1" t="s">
        <v>16</v>
      </c>
      <c r="U36" s="3"/>
      <c r="V36" s="3"/>
      <c r="W36" s="5"/>
    </row>
    <row r="37" spans="1:23" ht="225">
      <c r="A37" s="1">
        <v>381465</v>
      </c>
      <c r="B37" s="1"/>
      <c r="C37" s="1">
        <v>237</v>
      </c>
      <c r="D37" s="2" t="s">
        <v>14</v>
      </c>
      <c r="E37" s="5" t="s">
        <v>14</v>
      </c>
      <c r="F37" s="5">
        <v>271573</v>
      </c>
      <c r="G37" s="2" t="s">
        <v>1494</v>
      </c>
      <c r="H37" s="2" t="s">
        <v>1495</v>
      </c>
      <c r="I37" s="2" t="s">
        <v>1496</v>
      </c>
      <c r="J37" s="2" t="str">
        <f>CONCATENATE(G37,F37,H37,C37,I37)</f>
        <v>https://permalinkbnd.bnportugal.gov.pt/viewer/271573/?offset=#page=237&amp;viewer=picture&amp;o=info&amp;n=0&amp;q=</v>
      </c>
      <c r="K37" s="1" t="s">
        <v>15</v>
      </c>
      <c r="L37" s="1" t="str">
        <f>VLOOKUP(A37,Folha2!$A$2:$B$2019,2,FALSE)</f>
        <v>Os Lusíadas, 1898, obra dedicada à Comissão do Centenário e nos paratextos é referida a Celebração: Celebrações (1880); Paratextos argumentos e Iconografia figuras históricas.</v>
      </c>
      <c r="M37" s="12" t="str">
        <f>HYPERLINK(J37)</f>
        <v>https://permalinkbnd.bnportugal.gov.pt/viewer/271573/?offset=#page=237&amp;viewer=picture&amp;o=info&amp;n=0&amp;q=</v>
      </c>
      <c r="N37" s="12" t="s">
        <v>1497</v>
      </c>
      <c r="O37" s="12" t="str">
        <f>CONCATENATE(N37,A37,"\",B37,"\",C37,".jpg")</f>
        <v>C:\Users\mbaptista\OneDrive - Biblioteca Nacional de Portugal\Documentos\python\camoniana\imagens\capas\381465\\237.jpg</v>
      </c>
      <c r="P37" s="12" t="str">
        <f>HYPERLINK(O37)</f>
        <v>C:\Users\mbaptista\OneDrive - Biblioteca Nacional de Portugal\Documentos\python\camoniana\imagens\capas\381465\\237.jpg</v>
      </c>
      <c r="Q37" s="12"/>
      <c r="R37" s="6"/>
      <c r="S37" s="12"/>
      <c r="T37" s="1" t="s">
        <v>16</v>
      </c>
      <c r="U37" s="3"/>
      <c r="V37" s="3"/>
      <c r="W37" s="5"/>
    </row>
    <row r="38" spans="1:23" ht="225">
      <c r="A38" s="1">
        <v>381465</v>
      </c>
      <c r="B38" s="1"/>
      <c r="C38" s="1">
        <v>289</v>
      </c>
      <c r="D38" s="2" t="s">
        <v>14</v>
      </c>
      <c r="E38" s="11" t="s">
        <v>14</v>
      </c>
      <c r="F38" s="11">
        <v>271573</v>
      </c>
      <c r="G38" s="2" t="s">
        <v>1494</v>
      </c>
      <c r="H38" s="2" t="s">
        <v>1495</v>
      </c>
      <c r="I38" s="2" t="s">
        <v>1496</v>
      </c>
      <c r="J38" s="2" t="str">
        <f>CONCATENATE(G38,F38,H38,C38,I38)</f>
        <v>https://permalinkbnd.bnportugal.gov.pt/viewer/271573/?offset=#page=289&amp;viewer=picture&amp;o=info&amp;n=0&amp;q=</v>
      </c>
      <c r="K38" s="1" t="s">
        <v>15</v>
      </c>
      <c r="L38" s="1" t="str">
        <f>VLOOKUP(A38,Folha2!$A$2:$B$2019,2,FALSE)</f>
        <v>Os Lusíadas, 1898, obra dedicada à Comissão do Centenário e nos paratextos é referida a Celebração: Celebrações (1880); Paratextos argumentos e Iconografia figuras históricas.</v>
      </c>
      <c r="M38" s="12" t="str">
        <f>HYPERLINK(J38)</f>
        <v>https://permalinkbnd.bnportugal.gov.pt/viewer/271573/?offset=#page=289&amp;viewer=picture&amp;o=info&amp;n=0&amp;q=</v>
      </c>
      <c r="N38" s="12" t="s">
        <v>1497</v>
      </c>
      <c r="O38" s="12" t="str">
        <f>CONCATENATE(N38,A38,"\",B38,"\",C38,".jpg")</f>
        <v>C:\Users\mbaptista\OneDrive - Biblioteca Nacional de Portugal\Documentos\python\camoniana\imagens\capas\381465\\289.jpg</v>
      </c>
      <c r="P38" s="12" t="str">
        <f>HYPERLINK(O38)</f>
        <v>C:\Users\mbaptista\OneDrive - Biblioteca Nacional de Portugal\Documentos\python\camoniana\imagens\capas\381465\\289.jpg</v>
      </c>
      <c r="Q38" s="12"/>
      <c r="R38" s="6"/>
      <c r="S38" s="12"/>
      <c r="T38" s="1" t="s">
        <v>16</v>
      </c>
      <c r="U38" s="3"/>
      <c r="V38" s="3"/>
      <c r="W38" s="5"/>
    </row>
    <row r="39" spans="1:23" ht="225">
      <c r="A39" s="1">
        <v>381465</v>
      </c>
      <c r="B39" s="1"/>
      <c r="C39" s="1">
        <v>291</v>
      </c>
      <c r="D39" s="2" t="s">
        <v>14</v>
      </c>
      <c r="E39" s="5" t="s">
        <v>14</v>
      </c>
      <c r="F39" s="5">
        <v>271573</v>
      </c>
      <c r="G39" s="2" t="s">
        <v>1494</v>
      </c>
      <c r="H39" s="2" t="s">
        <v>1495</v>
      </c>
      <c r="I39" s="2" t="s">
        <v>1496</v>
      </c>
      <c r="J39" s="2" t="str">
        <f>CONCATENATE(G39,F39,H39,C39,I39)</f>
        <v>https://permalinkbnd.bnportugal.gov.pt/viewer/271573/?offset=#page=291&amp;viewer=picture&amp;o=info&amp;n=0&amp;q=</v>
      </c>
      <c r="K39" s="1" t="s">
        <v>15</v>
      </c>
      <c r="L39" s="1" t="str">
        <f>VLOOKUP(A39,Folha2!$A$2:$B$2019,2,FALSE)</f>
        <v>Os Lusíadas, 1898, obra dedicada à Comissão do Centenário e nos paratextos é referida a Celebração: Celebrações (1880); Paratextos argumentos e Iconografia figuras históricas.</v>
      </c>
      <c r="M39" s="12" t="str">
        <f>HYPERLINK(J39)</f>
        <v>https://permalinkbnd.bnportugal.gov.pt/viewer/271573/?offset=#page=291&amp;viewer=picture&amp;o=info&amp;n=0&amp;q=</v>
      </c>
      <c r="N39" s="12" t="s">
        <v>1497</v>
      </c>
      <c r="O39" s="12" t="str">
        <f>CONCATENATE(N39,A39,"\",B39,"\",C39,".jpg")</f>
        <v>C:\Users\mbaptista\OneDrive - Biblioteca Nacional de Portugal\Documentos\python\camoniana\imagens\capas\381465\\291.jpg</v>
      </c>
      <c r="P39" s="12" t="str">
        <f>HYPERLINK(O39)</f>
        <v>C:\Users\mbaptista\OneDrive - Biblioteca Nacional de Portugal\Documentos\python\camoniana\imagens\capas\381465\\291.jpg</v>
      </c>
      <c r="Q39" s="12"/>
      <c r="R39" s="6"/>
      <c r="S39" s="12"/>
      <c r="T39" s="1" t="s">
        <v>16</v>
      </c>
      <c r="U39" s="3"/>
      <c r="V39" s="3"/>
      <c r="W39" s="5"/>
    </row>
    <row r="40" spans="1:23" ht="225">
      <c r="A40" s="1">
        <v>381465</v>
      </c>
      <c r="B40" s="1"/>
      <c r="C40" s="1">
        <v>293</v>
      </c>
      <c r="D40" s="2" t="s">
        <v>14</v>
      </c>
      <c r="E40" s="11" t="s">
        <v>14</v>
      </c>
      <c r="F40" s="11">
        <v>271573</v>
      </c>
      <c r="G40" s="2" t="s">
        <v>1494</v>
      </c>
      <c r="H40" s="2" t="s">
        <v>1495</v>
      </c>
      <c r="I40" s="2" t="s">
        <v>1496</v>
      </c>
      <c r="J40" s="2" t="str">
        <f>CONCATENATE(G40,F40,H40,C40,I40)</f>
        <v>https://permalinkbnd.bnportugal.gov.pt/viewer/271573/?offset=#page=293&amp;viewer=picture&amp;o=info&amp;n=0&amp;q=</v>
      </c>
      <c r="K40" s="1" t="s">
        <v>15</v>
      </c>
      <c r="L40" s="1" t="str">
        <f>VLOOKUP(A40,Folha2!$A$2:$B$2019,2,FALSE)</f>
        <v>Os Lusíadas, 1898, obra dedicada à Comissão do Centenário e nos paratextos é referida a Celebração: Celebrações (1880); Paratextos argumentos e Iconografia figuras históricas.</v>
      </c>
      <c r="M40" s="12" t="str">
        <f>HYPERLINK(J40)</f>
        <v>https://permalinkbnd.bnportugal.gov.pt/viewer/271573/?offset=#page=293&amp;viewer=picture&amp;o=info&amp;n=0&amp;q=</v>
      </c>
      <c r="N40" s="12" t="s">
        <v>1497</v>
      </c>
      <c r="O40" s="12" t="str">
        <f>CONCATENATE(N40,A40,"\",B40,"\",C40,".jpg")</f>
        <v>C:\Users\mbaptista\OneDrive - Biblioteca Nacional de Portugal\Documentos\python\camoniana\imagens\capas\381465\\293.jpg</v>
      </c>
      <c r="P40" s="12" t="str">
        <f>HYPERLINK(O40)</f>
        <v>C:\Users\mbaptista\OneDrive - Biblioteca Nacional de Portugal\Documentos\python\camoniana\imagens\capas\381465\\293.jpg</v>
      </c>
      <c r="Q40" s="12"/>
      <c r="R40" s="6"/>
      <c r="S40" s="12"/>
      <c r="T40" s="1" t="s">
        <v>16</v>
      </c>
      <c r="U40" s="3"/>
      <c r="V40" s="3"/>
      <c r="W40" s="5"/>
    </row>
    <row r="41" spans="1:23" ht="225">
      <c r="A41" s="1">
        <v>381465</v>
      </c>
      <c r="B41" s="1"/>
      <c r="C41" s="1">
        <v>343</v>
      </c>
      <c r="D41" s="2" t="s">
        <v>14</v>
      </c>
      <c r="E41" s="5" t="s">
        <v>14</v>
      </c>
      <c r="F41" s="5">
        <v>271573</v>
      </c>
      <c r="G41" s="2" t="s">
        <v>1494</v>
      </c>
      <c r="H41" s="2" t="s">
        <v>1495</v>
      </c>
      <c r="I41" s="2" t="s">
        <v>1496</v>
      </c>
      <c r="J41" s="2" t="str">
        <f>CONCATENATE(G41,F41,H41,C41,I41)</f>
        <v>https://permalinkbnd.bnportugal.gov.pt/viewer/271573/?offset=#page=343&amp;viewer=picture&amp;o=info&amp;n=0&amp;q=</v>
      </c>
      <c r="K41" s="1" t="s">
        <v>15</v>
      </c>
      <c r="L41" s="1" t="str">
        <f>VLOOKUP(A41,Folha2!$A$2:$B$2019,2,FALSE)</f>
        <v>Os Lusíadas, 1898, obra dedicada à Comissão do Centenário e nos paratextos é referida a Celebração: Celebrações (1880); Paratextos argumentos e Iconografia figuras históricas.</v>
      </c>
      <c r="M41" s="12" t="str">
        <f>HYPERLINK(J41)</f>
        <v>https://permalinkbnd.bnportugal.gov.pt/viewer/271573/?offset=#page=343&amp;viewer=picture&amp;o=info&amp;n=0&amp;q=</v>
      </c>
      <c r="N41" s="12" t="s">
        <v>1497</v>
      </c>
      <c r="O41" s="12" t="str">
        <f>CONCATENATE(N41,A41,"\",B41,"\",C41,".jpg")</f>
        <v>C:\Users\mbaptista\OneDrive - Biblioteca Nacional de Portugal\Documentos\python\camoniana\imagens\capas\381465\\343.jpg</v>
      </c>
      <c r="P41" s="12" t="str">
        <f>HYPERLINK(O41)</f>
        <v>C:\Users\mbaptista\OneDrive - Biblioteca Nacional de Portugal\Documentos\python\camoniana\imagens\capas\381465\\343.jpg</v>
      </c>
      <c r="Q41" s="12"/>
      <c r="R41" s="6"/>
      <c r="S41" s="12"/>
      <c r="T41" s="1" t="s">
        <v>16</v>
      </c>
      <c r="U41" s="3"/>
      <c r="V41" s="3"/>
      <c r="W41" s="5"/>
    </row>
    <row r="42" spans="1:23" ht="225">
      <c r="A42" s="1">
        <v>381465</v>
      </c>
      <c r="B42" s="1"/>
      <c r="C42" s="1">
        <v>345</v>
      </c>
      <c r="D42" s="2" t="s">
        <v>14</v>
      </c>
      <c r="E42" s="11" t="s">
        <v>14</v>
      </c>
      <c r="F42" s="11">
        <v>271573</v>
      </c>
      <c r="G42" s="2" t="s">
        <v>1494</v>
      </c>
      <c r="H42" s="2" t="s">
        <v>1495</v>
      </c>
      <c r="I42" s="2" t="s">
        <v>1496</v>
      </c>
      <c r="J42" s="2" t="str">
        <f>CONCATENATE(G42,F42,H42,C42,I42)</f>
        <v>https://permalinkbnd.bnportugal.gov.pt/viewer/271573/?offset=#page=345&amp;viewer=picture&amp;o=info&amp;n=0&amp;q=</v>
      </c>
      <c r="K42" s="1" t="s">
        <v>15</v>
      </c>
      <c r="L42" s="1" t="str">
        <f>VLOOKUP(A42,Folha2!$A$2:$B$2019,2,FALSE)</f>
        <v>Os Lusíadas, 1898, obra dedicada à Comissão do Centenário e nos paratextos é referida a Celebração: Celebrações (1880); Paratextos argumentos e Iconografia figuras históricas.</v>
      </c>
      <c r="M42" s="12" t="str">
        <f>HYPERLINK(J42)</f>
        <v>https://permalinkbnd.bnportugal.gov.pt/viewer/271573/?offset=#page=345&amp;viewer=picture&amp;o=info&amp;n=0&amp;q=</v>
      </c>
      <c r="N42" s="12" t="s">
        <v>1497</v>
      </c>
      <c r="O42" s="12" t="str">
        <f>CONCATENATE(N42,A42,"\",B42,"\",C42,".jpg")</f>
        <v>C:\Users\mbaptista\OneDrive - Biblioteca Nacional de Portugal\Documentos\python\camoniana\imagens\capas\381465\\345.jpg</v>
      </c>
      <c r="P42" s="12" t="str">
        <f>HYPERLINK(O42)</f>
        <v>C:\Users\mbaptista\OneDrive - Biblioteca Nacional de Portugal\Documentos\python\camoniana\imagens\capas\381465\\345.jpg</v>
      </c>
      <c r="Q42" s="12"/>
      <c r="R42" s="6"/>
      <c r="S42" s="12"/>
      <c r="T42" s="1" t="s">
        <v>16</v>
      </c>
      <c r="U42" s="3"/>
      <c r="V42" s="3"/>
      <c r="W42" s="5"/>
    </row>
    <row r="43" spans="1:23" ht="225">
      <c r="A43" s="1">
        <v>381465</v>
      </c>
      <c r="B43" s="1"/>
      <c r="C43" s="1">
        <v>347</v>
      </c>
      <c r="D43" s="2" t="s">
        <v>14</v>
      </c>
      <c r="E43" s="5" t="s">
        <v>14</v>
      </c>
      <c r="F43" s="5">
        <v>271573</v>
      </c>
      <c r="G43" s="2" t="s">
        <v>1494</v>
      </c>
      <c r="H43" s="2" t="s">
        <v>1495</v>
      </c>
      <c r="I43" s="2" t="s">
        <v>1496</v>
      </c>
      <c r="J43" s="2" t="str">
        <f>CONCATENATE(G43,F43,H43,C43,I43)</f>
        <v>https://permalinkbnd.bnportugal.gov.pt/viewer/271573/?offset=#page=347&amp;viewer=picture&amp;o=info&amp;n=0&amp;q=</v>
      </c>
      <c r="K43" s="1" t="s">
        <v>15</v>
      </c>
      <c r="L43" s="1" t="str">
        <f>VLOOKUP(A43,Folha2!$A$2:$B$2019,2,FALSE)</f>
        <v>Os Lusíadas, 1898, obra dedicada à Comissão do Centenário e nos paratextos é referida a Celebração: Celebrações (1880); Paratextos argumentos e Iconografia figuras históricas.</v>
      </c>
      <c r="M43" s="12" t="str">
        <f>HYPERLINK(J43)</f>
        <v>https://permalinkbnd.bnportugal.gov.pt/viewer/271573/?offset=#page=347&amp;viewer=picture&amp;o=info&amp;n=0&amp;q=</v>
      </c>
      <c r="N43" s="12" t="s">
        <v>1497</v>
      </c>
      <c r="O43" s="12" t="str">
        <f>CONCATENATE(N43,A43,"\",B43,"\",C43,".jpg")</f>
        <v>C:\Users\mbaptista\OneDrive - Biblioteca Nacional de Portugal\Documentos\python\camoniana\imagens\capas\381465\\347.jpg</v>
      </c>
      <c r="P43" s="12" t="str">
        <f>HYPERLINK(O43)</f>
        <v>C:\Users\mbaptista\OneDrive - Biblioteca Nacional de Portugal\Documentos\python\camoniana\imagens\capas\381465\\347.jpg</v>
      </c>
      <c r="Q43" s="12"/>
      <c r="R43" s="6"/>
      <c r="S43" s="12"/>
      <c r="T43" s="1" t="s">
        <v>16</v>
      </c>
      <c r="U43" s="3"/>
      <c r="V43" s="3"/>
      <c r="W43" s="5"/>
    </row>
    <row r="44" spans="1:23" ht="225">
      <c r="A44" s="1">
        <v>381465</v>
      </c>
      <c r="B44" s="1"/>
      <c r="C44" s="1">
        <v>397</v>
      </c>
      <c r="D44" s="2" t="s">
        <v>14</v>
      </c>
      <c r="E44" s="11" t="s">
        <v>14</v>
      </c>
      <c r="F44" s="11">
        <v>271573</v>
      </c>
      <c r="G44" s="2" t="s">
        <v>1494</v>
      </c>
      <c r="H44" s="2" t="s">
        <v>1495</v>
      </c>
      <c r="I44" s="2" t="s">
        <v>1496</v>
      </c>
      <c r="J44" s="2" t="str">
        <f>CONCATENATE(G44,F44,H44,C44,I44)</f>
        <v>https://permalinkbnd.bnportugal.gov.pt/viewer/271573/?offset=#page=397&amp;viewer=picture&amp;o=info&amp;n=0&amp;q=</v>
      </c>
      <c r="K44" s="1" t="s">
        <v>15</v>
      </c>
      <c r="L44" s="1" t="str">
        <f>VLOOKUP(A44,Folha2!$A$2:$B$2019,2,FALSE)</f>
        <v>Os Lusíadas, 1898, obra dedicada à Comissão do Centenário e nos paratextos é referida a Celebração: Celebrações (1880); Paratextos argumentos e Iconografia figuras históricas.</v>
      </c>
      <c r="M44" s="12" t="str">
        <f>HYPERLINK(J44)</f>
        <v>https://permalinkbnd.bnportugal.gov.pt/viewer/271573/?offset=#page=397&amp;viewer=picture&amp;o=info&amp;n=0&amp;q=</v>
      </c>
      <c r="N44" s="12" t="s">
        <v>1497</v>
      </c>
      <c r="O44" s="12" t="str">
        <f>CONCATENATE(N44,A44,"\",B44,"\",C44,".jpg")</f>
        <v>C:\Users\mbaptista\OneDrive - Biblioteca Nacional de Portugal\Documentos\python\camoniana\imagens\capas\381465\\397.jpg</v>
      </c>
      <c r="P44" s="12" t="str">
        <f>HYPERLINK(O44)</f>
        <v>C:\Users\mbaptista\OneDrive - Biblioteca Nacional de Portugal\Documentos\python\camoniana\imagens\capas\381465\\397.jpg</v>
      </c>
      <c r="Q44" s="12"/>
      <c r="R44" s="6"/>
      <c r="S44" s="12"/>
      <c r="T44" s="1" t="s">
        <v>16</v>
      </c>
      <c r="U44" s="3"/>
      <c r="V44" s="3"/>
      <c r="W44" s="5"/>
    </row>
    <row r="45" spans="1:23" ht="225">
      <c r="A45" s="1">
        <v>381465</v>
      </c>
      <c r="B45" s="1"/>
      <c r="C45" s="1">
        <v>443</v>
      </c>
      <c r="D45" s="2" t="s">
        <v>14</v>
      </c>
      <c r="E45" s="5" t="s">
        <v>14</v>
      </c>
      <c r="F45" s="5">
        <v>271573</v>
      </c>
      <c r="G45" s="2" t="s">
        <v>1494</v>
      </c>
      <c r="H45" s="2" t="s">
        <v>1495</v>
      </c>
      <c r="I45" s="2" t="s">
        <v>1496</v>
      </c>
      <c r="J45" s="2" t="str">
        <f>CONCATENATE(G45,F45,H45,C45,I45)</f>
        <v>https://permalinkbnd.bnportugal.gov.pt/viewer/271573/?offset=#page=443&amp;viewer=picture&amp;o=info&amp;n=0&amp;q=</v>
      </c>
      <c r="K45" s="1" t="s">
        <v>15</v>
      </c>
      <c r="L45" s="1" t="str">
        <f>VLOOKUP(A45,Folha2!$A$2:$B$2019,2,FALSE)</f>
        <v>Os Lusíadas, 1898, obra dedicada à Comissão do Centenário e nos paratextos é referida a Celebração: Celebrações (1880); Paratextos argumentos e Iconografia figuras históricas.</v>
      </c>
      <c r="M45" s="12" t="str">
        <f>HYPERLINK(J45)</f>
        <v>https://permalinkbnd.bnportugal.gov.pt/viewer/271573/?offset=#page=443&amp;viewer=picture&amp;o=info&amp;n=0&amp;q=</v>
      </c>
      <c r="N45" s="12" t="s">
        <v>1497</v>
      </c>
      <c r="O45" s="12" t="str">
        <f>CONCATENATE(N45,A45,"\",B45,"\",C45,".jpg")</f>
        <v>C:\Users\mbaptista\OneDrive - Biblioteca Nacional de Portugal\Documentos\python\camoniana\imagens\capas\381465\\443.jpg</v>
      </c>
      <c r="P45" s="12" t="str">
        <f>HYPERLINK(O45)</f>
        <v>C:\Users\mbaptista\OneDrive - Biblioteca Nacional de Portugal\Documentos\python\camoniana\imagens\capas\381465\\443.jpg</v>
      </c>
      <c r="Q45" s="12"/>
      <c r="R45" s="6"/>
      <c r="S45" s="12"/>
      <c r="T45" s="1" t="s">
        <v>16</v>
      </c>
      <c r="U45" s="3"/>
      <c r="V45" s="3"/>
      <c r="W45" s="5"/>
    </row>
    <row r="46" spans="1:23" ht="225">
      <c r="A46" s="1">
        <v>381465</v>
      </c>
      <c r="B46" s="1"/>
      <c r="C46" s="1">
        <v>445</v>
      </c>
      <c r="D46" s="2" t="s">
        <v>14</v>
      </c>
      <c r="E46" s="11" t="s">
        <v>14</v>
      </c>
      <c r="F46" s="11">
        <v>271573</v>
      </c>
      <c r="G46" s="2" t="s">
        <v>1494</v>
      </c>
      <c r="H46" s="2" t="s">
        <v>1495</v>
      </c>
      <c r="I46" s="2" t="s">
        <v>1496</v>
      </c>
      <c r="J46" s="2" t="str">
        <f>CONCATENATE(G46,F46,H46,C46,I46)</f>
        <v>https://permalinkbnd.bnportugal.gov.pt/viewer/271573/?offset=#page=445&amp;viewer=picture&amp;o=info&amp;n=0&amp;q=</v>
      </c>
      <c r="K46" s="1" t="s">
        <v>15</v>
      </c>
      <c r="L46" s="1" t="str">
        <f>VLOOKUP(A46,Folha2!$A$2:$B$2019,2,FALSE)</f>
        <v>Os Lusíadas, 1898, obra dedicada à Comissão do Centenário e nos paratextos é referida a Celebração: Celebrações (1880); Paratextos argumentos e Iconografia figuras históricas.</v>
      </c>
      <c r="M46" s="12" t="str">
        <f>HYPERLINK(J46)</f>
        <v>https://permalinkbnd.bnportugal.gov.pt/viewer/271573/?offset=#page=445&amp;viewer=picture&amp;o=info&amp;n=0&amp;q=</v>
      </c>
      <c r="N46" s="12" t="s">
        <v>1497</v>
      </c>
      <c r="O46" s="12" t="str">
        <f>CONCATENATE(N46,A46,"\",B46,"\",C46,".jpg")</f>
        <v>C:\Users\mbaptista\OneDrive - Biblioteca Nacional de Portugal\Documentos\python\camoniana\imagens\capas\381465\\445.jpg</v>
      </c>
      <c r="P46" s="12" t="str">
        <f>HYPERLINK(O46)</f>
        <v>C:\Users\mbaptista\OneDrive - Biblioteca Nacional de Portugal\Documentos\python\camoniana\imagens\capas\381465\\445.jpg</v>
      </c>
      <c r="Q46" s="12"/>
      <c r="R46" s="6"/>
      <c r="S46" s="12"/>
      <c r="T46" s="1" t="s">
        <v>16</v>
      </c>
      <c r="U46" s="3"/>
      <c r="V46" s="3"/>
      <c r="W46" s="5"/>
    </row>
    <row r="47" spans="1:23" ht="225">
      <c r="A47" s="1">
        <v>381465</v>
      </c>
      <c r="B47" s="1"/>
      <c r="C47" s="1">
        <v>495</v>
      </c>
      <c r="D47" s="2" t="s">
        <v>14</v>
      </c>
      <c r="E47" s="5" t="s">
        <v>14</v>
      </c>
      <c r="F47" s="5">
        <v>271573</v>
      </c>
      <c r="G47" s="2" t="s">
        <v>1494</v>
      </c>
      <c r="H47" s="2" t="s">
        <v>1495</v>
      </c>
      <c r="I47" s="2" t="s">
        <v>1496</v>
      </c>
      <c r="J47" s="2" t="str">
        <f>CONCATENATE(G47,F47,H47,C47,I47)</f>
        <v>https://permalinkbnd.bnportugal.gov.pt/viewer/271573/?offset=#page=495&amp;viewer=picture&amp;o=info&amp;n=0&amp;q=</v>
      </c>
      <c r="K47" s="1" t="s">
        <v>15</v>
      </c>
      <c r="L47" s="1" t="str">
        <f>VLOOKUP(A47,Folha2!$A$2:$B$2019,2,FALSE)</f>
        <v>Os Lusíadas, 1898, obra dedicada à Comissão do Centenário e nos paratextos é referida a Celebração: Celebrações (1880); Paratextos argumentos e Iconografia figuras históricas.</v>
      </c>
      <c r="M47" s="12" t="str">
        <f>HYPERLINK(J47)</f>
        <v>https://permalinkbnd.bnportugal.gov.pt/viewer/271573/?offset=#page=495&amp;viewer=picture&amp;o=info&amp;n=0&amp;q=</v>
      </c>
      <c r="N47" s="12" t="s">
        <v>1497</v>
      </c>
      <c r="O47" s="12" t="str">
        <f>CONCATENATE(N47,A47,"\",B47,"\",C47,".jpg")</f>
        <v>C:\Users\mbaptista\OneDrive - Biblioteca Nacional de Portugal\Documentos\python\camoniana\imagens\capas\381465\\495.jpg</v>
      </c>
      <c r="P47" s="12" t="str">
        <f>HYPERLINK(O47)</f>
        <v>C:\Users\mbaptista\OneDrive - Biblioteca Nacional de Portugal\Documentos\python\camoniana\imagens\capas\381465\\495.jpg</v>
      </c>
      <c r="Q47" s="12"/>
      <c r="R47" s="6"/>
      <c r="S47" s="12"/>
      <c r="T47" s="1" t="s">
        <v>16</v>
      </c>
      <c r="U47" s="3"/>
      <c r="V47" s="3"/>
      <c r="W47" s="5"/>
    </row>
    <row r="48" spans="1:23" ht="225">
      <c r="A48" s="1">
        <v>381465</v>
      </c>
      <c r="B48" s="1"/>
      <c r="C48" s="1">
        <v>545</v>
      </c>
      <c r="D48" s="2" t="s">
        <v>14</v>
      </c>
      <c r="E48" s="11" t="s">
        <v>14</v>
      </c>
      <c r="F48" s="11">
        <v>271573</v>
      </c>
      <c r="G48" s="2" t="s">
        <v>1494</v>
      </c>
      <c r="H48" s="2" t="s">
        <v>1495</v>
      </c>
      <c r="I48" s="2" t="s">
        <v>1496</v>
      </c>
      <c r="J48" s="2" t="str">
        <f>CONCATENATE(G48,F48,H48,C48,I48)</f>
        <v>https://permalinkbnd.bnportugal.gov.pt/viewer/271573/?offset=#page=545&amp;viewer=picture&amp;o=info&amp;n=0&amp;q=</v>
      </c>
      <c r="K48" s="1" t="s">
        <v>15</v>
      </c>
      <c r="L48" s="1" t="str">
        <f>VLOOKUP(A48,Folha2!$A$2:$B$2019,2,FALSE)</f>
        <v>Os Lusíadas, 1898, obra dedicada à Comissão do Centenário e nos paratextos é referida a Celebração: Celebrações (1880); Paratextos argumentos e Iconografia figuras históricas.</v>
      </c>
      <c r="M48" s="12" t="str">
        <f>HYPERLINK(J48)</f>
        <v>https://permalinkbnd.bnportugal.gov.pt/viewer/271573/?offset=#page=545&amp;viewer=picture&amp;o=info&amp;n=0&amp;q=</v>
      </c>
      <c r="N48" s="12" t="s">
        <v>1497</v>
      </c>
      <c r="O48" s="12" t="str">
        <f>CONCATENATE(N48,A48,"\",B48,"\",C48,".jpg")</f>
        <v>C:\Users\mbaptista\OneDrive - Biblioteca Nacional de Portugal\Documentos\python\camoniana\imagens\capas\381465\\545.jpg</v>
      </c>
      <c r="P48" s="12" t="str">
        <f>HYPERLINK(O48)</f>
        <v>C:\Users\mbaptista\OneDrive - Biblioteca Nacional de Portugal\Documentos\python\camoniana\imagens\capas\381465\\545.jpg</v>
      </c>
      <c r="Q48" s="12"/>
      <c r="R48" s="6"/>
      <c r="S48" s="12"/>
      <c r="T48" s="1" t="s">
        <v>16</v>
      </c>
      <c r="U48" s="3"/>
      <c r="V48" s="3"/>
      <c r="W48" s="5"/>
    </row>
    <row r="49" spans="1:23" ht="225">
      <c r="A49" s="1">
        <v>381465</v>
      </c>
      <c r="B49" s="1"/>
      <c r="C49" s="1">
        <v>547</v>
      </c>
      <c r="D49" s="2" t="s">
        <v>14</v>
      </c>
      <c r="E49" s="5" t="s">
        <v>14</v>
      </c>
      <c r="F49" s="5">
        <v>271573</v>
      </c>
      <c r="G49" s="2" t="s">
        <v>1494</v>
      </c>
      <c r="H49" s="2" t="s">
        <v>1495</v>
      </c>
      <c r="I49" s="2" t="s">
        <v>1496</v>
      </c>
      <c r="J49" s="2" t="str">
        <f>CONCATENATE(G49,F49,H49,C49,I49)</f>
        <v>https://permalinkbnd.bnportugal.gov.pt/viewer/271573/?offset=#page=547&amp;viewer=picture&amp;o=info&amp;n=0&amp;q=</v>
      </c>
      <c r="K49" s="1" t="s">
        <v>15</v>
      </c>
      <c r="L49" s="1" t="str">
        <f>VLOOKUP(A49,Folha2!$A$2:$B$2019,2,FALSE)</f>
        <v>Os Lusíadas, 1898, obra dedicada à Comissão do Centenário e nos paratextos é referida a Celebração: Celebrações (1880); Paratextos argumentos e Iconografia figuras históricas.</v>
      </c>
      <c r="M49" s="12" t="str">
        <f>HYPERLINK(J49)</f>
        <v>https://permalinkbnd.bnportugal.gov.pt/viewer/271573/?offset=#page=547&amp;viewer=picture&amp;o=info&amp;n=0&amp;q=</v>
      </c>
      <c r="N49" s="12" t="s">
        <v>1497</v>
      </c>
      <c r="O49" s="12" t="str">
        <f>CONCATENATE(N49,A49,"\",B49,"\",C49,".jpg")</f>
        <v>C:\Users\mbaptista\OneDrive - Biblioteca Nacional de Portugal\Documentos\python\camoniana\imagens\capas\381465\\547.jpg</v>
      </c>
      <c r="P49" s="12" t="str">
        <f>HYPERLINK(O49)</f>
        <v>C:\Users\mbaptista\OneDrive - Biblioteca Nacional de Portugal\Documentos\python\camoniana\imagens\capas\381465\\547.jpg</v>
      </c>
      <c r="Q49" s="12"/>
      <c r="R49" s="6"/>
      <c r="S49" s="12"/>
      <c r="T49" s="1" t="s">
        <v>16</v>
      </c>
      <c r="U49" s="3"/>
      <c r="V49" s="3"/>
      <c r="W49" s="5"/>
    </row>
    <row r="50" spans="1:23" ht="225">
      <c r="A50" s="1">
        <v>381465</v>
      </c>
      <c r="B50" s="1"/>
      <c r="C50" s="1">
        <v>625</v>
      </c>
      <c r="D50" s="2" t="s">
        <v>14</v>
      </c>
      <c r="E50" s="11" t="s">
        <v>14</v>
      </c>
      <c r="F50" s="11">
        <v>271573</v>
      </c>
      <c r="G50" s="2" t="s">
        <v>1494</v>
      </c>
      <c r="H50" s="2" t="s">
        <v>1495</v>
      </c>
      <c r="I50" s="2" t="s">
        <v>1496</v>
      </c>
      <c r="J50" s="2" t="str">
        <f>CONCATENATE(G50,F50,H50,C50,I50)</f>
        <v>https://permalinkbnd.bnportugal.gov.pt/viewer/271573/?offset=#page=625&amp;viewer=picture&amp;o=info&amp;n=0&amp;q=</v>
      </c>
      <c r="K50" s="1" t="s">
        <v>15</v>
      </c>
      <c r="L50" s="1" t="str">
        <f>VLOOKUP(A50,Folha2!$A$2:$B$2019,2,FALSE)</f>
        <v>Os Lusíadas, 1898, obra dedicada à Comissão do Centenário e nos paratextos é referida a Celebração: Celebrações (1880); Paratextos argumentos e Iconografia figuras históricas.</v>
      </c>
      <c r="M50" s="12" t="str">
        <f>HYPERLINK(J50)</f>
        <v>https://permalinkbnd.bnportugal.gov.pt/viewer/271573/?offset=#page=625&amp;viewer=picture&amp;o=info&amp;n=0&amp;q=</v>
      </c>
      <c r="N50" s="12" t="s">
        <v>1497</v>
      </c>
      <c r="O50" s="12" t="str">
        <f>CONCATENATE(N50,A50,"\",B50,"\",C50,".jpg")</f>
        <v>C:\Users\mbaptista\OneDrive - Biblioteca Nacional de Portugal\Documentos\python\camoniana\imagens\capas\381465\\625.jpg</v>
      </c>
      <c r="P50" s="12" t="str">
        <f>HYPERLINK(O50)</f>
        <v>C:\Users\mbaptista\OneDrive - Biblioteca Nacional de Portugal\Documentos\python\camoniana\imagens\capas\381465\\625.jpg</v>
      </c>
      <c r="Q50" s="12"/>
      <c r="R50" s="6"/>
      <c r="S50" s="12"/>
      <c r="T50" s="1" t="s">
        <v>16</v>
      </c>
      <c r="U50" s="3"/>
      <c r="V50" s="3"/>
      <c r="W50" s="5"/>
    </row>
    <row r="51" spans="1:23" ht="225">
      <c r="A51" s="1">
        <v>381465</v>
      </c>
      <c r="B51" s="1"/>
      <c r="C51" s="1">
        <v>627</v>
      </c>
      <c r="D51" s="2" t="s">
        <v>14</v>
      </c>
      <c r="E51" s="5" t="s">
        <v>14</v>
      </c>
      <c r="F51" s="5">
        <v>271573</v>
      </c>
      <c r="G51" s="2" t="s">
        <v>1494</v>
      </c>
      <c r="H51" s="2" t="s">
        <v>1495</v>
      </c>
      <c r="I51" s="2" t="s">
        <v>1496</v>
      </c>
      <c r="J51" s="2" t="str">
        <f>CONCATENATE(G51,F51,H51,C51,I51)</f>
        <v>https://permalinkbnd.bnportugal.gov.pt/viewer/271573/?offset=#page=627&amp;viewer=picture&amp;o=info&amp;n=0&amp;q=</v>
      </c>
      <c r="K51" s="1" t="s">
        <v>15</v>
      </c>
      <c r="L51" s="1" t="str">
        <f>VLOOKUP(A51,Folha2!$A$2:$B$2019,2,FALSE)</f>
        <v>Os Lusíadas, 1898, obra dedicada à Comissão do Centenário e nos paratextos é referida a Celebração: Celebrações (1880); Paratextos argumentos e Iconografia figuras históricas.</v>
      </c>
      <c r="M51" s="12" t="str">
        <f>HYPERLINK(J51)</f>
        <v>https://permalinkbnd.bnportugal.gov.pt/viewer/271573/?offset=#page=627&amp;viewer=picture&amp;o=info&amp;n=0&amp;q=</v>
      </c>
      <c r="N51" s="12" t="s">
        <v>1497</v>
      </c>
      <c r="O51" s="12" t="str">
        <f>CONCATENATE(N51,A51,"\",B51,"\",C51,".jpg")</f>
        <v>C:\Users\mbaptista\OneDrive - Biblioteca Nacional de Portugal\Documentos\python\camoniana\imagens\capas\381465\\627.jpg</v>
      </c>
      <c r="P51" s="12" t="str">
        <f>HYPERLINK(O51)</f>
        <v>C:\Users\mbaptista\OneDrive - Biblioteca Nacional de Portugal\Documentos\python\camoniana\imagens\capas\381465\\627.jpg</v>
      </c>
      <c r="Q51" s="12"/>
      <c r="R51" s="6"/>
      <c r="S51" s="12"/>
      <c r="T51" s="1" t="s">
        <v>16</v>
      </c>
      <c r="U51" s="3"/>
      <c r="V51" s="3"/>
      <c r="W51" s="5"/>
    </row>
    <row r="52" spans="1:23" ht="225">
      <c r="A52" s="1">
        <v>381465</v>
      </c>
      <c r="B52" s="1">
        <v>1</v>
      </c>
      <c r="C52" s="1">
        <v>644</v>
      </c>
      <c r="D52" s="2" t="s">
        <v>14</v>
      </c>
      <c r="E52" s="11" t="s">
        <v>14</v>
      </c>
      <c r="F52" s="11">
        <v>271573</v>
      </c>
      <c r="G52" s="2" t="s">
        <v>1494</v>
      </c>
      <c r="H52" s="2" t="s">
        <v>1495</v>
      </c>
      <c r="I52" s="2" t="s">
        <v>1496</v>
      </c>
      <c r="J52" s="2" t="str">
        <f>CONCATENATE(G52,F52,H52,C52,I52)</f>
        <v>https://permalinkbnd.bnportugal.gov.pt/viewer/271573/?offset=#page=644&amp;viewer=picture&amp;o=info&amp;n=0&amp;q=</v>
      </c>
      <c r="K52" s="1" t="s">
        <v>15</v>
      </c>
      <c r="L52" s="1" t="str">
        <f>VLOOKUP(A52,Folha2!$A$2:$B$2019,2,FALSE)</f>
        <v>Os Lusíadas, 1898, obra dedicada à Comissão do Centenário e nos paratextos é referida a Celebração: Celebrações (1880); Paratextos argumentos e Iconografia figuras históricas.</v>
      </c>
      <c r="M52" s="12" t="str">
        <f>HYPERLINK(J52)</f>
        <v>https://permalinkbnd.bnportugal.gov.pt/viewer/271573/?offset=#page=644&amp;viewer=picture&amp;o=info&amp;n=0&amp;q=</v>
      </c>
      <c r="N52" s="12" t="s">
        <v>1497</v>
      </c>
      <c r="O52" s="12" t="str">
        <f>CONCATENATE(N52,A52,"\",B52,"\",C52,".jpg")</f>
        <v>C:\Users\mbaptista\OneDrive - Biblioteca Nacional de Portugal\Documentos\python\camoniana\imagens\capas\381465\1\644.jpg</v>
      </c>
      <c r="P52" s="12" t="str">
        <f>HYPERLINK(O52)</f>
        <v>C:\Users\mbaptista\OneDrive - Biblioteca Nacional de Portugal\Documentos\python\camoniana\imagens\capas\381465\1\644.jpg</v>
      </c>
      <c r="Q52" s="12"/>
      <c r="R52" s="6" t="s">
        <v>17</v>
      </c>
      <c r="S52" s="12"/>
      <c r="T52" s="1" t="s">
        <v>16</v>
      </c>
      <c r="U52" s="3"/>
      <c r="V52" s="3"/>
      <c r="W52" s="5" t="s">
        <v>1491</v>
      </c>
    </row>
    <row r="53" spans="1:23" ht="225">
      <c r="A53" s="1">
        <v>381468</v>
      </c>
      <c r="B53" s="1">
        <v>1</v>
      </c>
      <c r="C53" s="1">
        <v>8</v>
      </c>
      <c r="D53" s="2" t="s">
        <v>18</v>
      </c>
      <c r="E53" s="5" t="s">
        <v>18</v>
      </c>
      <c r="F53" s="5">
        <v>274087</v>
      </c>
      <c r="G53" s="2" t="s">
        <v>1494</v>
      </c>
      <c r="H53" s="2" t="s">
        <v>1495</v>
      </c>
      <c r="I53" s="2" t="s">
        <v>1496</v>
      </c>
      <c r="J53" s="2" t="str">
        <f>CONCATENATE(G53,F53,H53,C53,I53)</f>
        <v>https://permalinkbnd.bnportugal.gov.pt/viewer/274087/?offset=#page=8&amp;viewer=picture&amp;o=info&amp;n=0&amp;q=</v>
      </c>
      <c r="K53" s="1" t="s">
        <v>19</v>
      </c>
      <c r="L53" s="1" t="str">
        <f>VLOOKUP(A53,Folha2!$A$2:$B$2019,2,FALSE)</f>
        <v xml:space="preserve">Os Lusíadas/Los Portugueses, D. Carlos Soler y Arques, 1873. Bilingue, sem argumentos. Trad. Paratextos; Trad. Paratextos vida; Trad. Paratextos notas. </v>
      </c>
      <c r="M53" s="12" t="str">
        <f>HYPERLINK(J53)</f>
        <v>https://permalinkbnd.bnportugal.gov.pt/viewer/274087/?offset=#page=8&amp;viewer=picture&amp;o=info&amp;n=0&amp;q=</v>
      </c>
      <c r="N53" s="12" t="s">
        <v>1497</v>
      </c>
      <c r="O53" s="12" t="str">
        <f>CONCATENATE(N53,A53,"\",B53,"\",C53,".jpg")</f>
        <v>C:\Users\mbaptista\OneDrive - Biblioteca Nacional de Portugal\Documentos\python\camoniana\imagens\capas\381468\1\8.jpg</v>
      </c>
      <c r="P53" s="12" t="str">
        <f>HYPERLINK(O53)</f>
        <v>C:\Users\mbaptista\OneDrive - Biblioteca Nacional de Portugal\Documentos\python\camoniana\imagens\capas\381468\1\8.jpg</v>
      </c>
      <c r="Q53" s="12"/>
      <c r="R53" s="6" t="s">
        <v>20</v>
      </c>
      <c r="S53" s="12"/>
      <c r="T53" s="1">
        <v>8</v>
      </c>
      <c r="U53" s="3"/>
      <c r="V53" s="3"/>
      <c r="W53" s="5" t="s">
        <v>1491</v>
      </c>
    </row>
    <row r="54" spans="1:23" ht="225">
      <c r="A54" s="1">
        <v>381701</v>
      </c>
      <c r="B54" s="1">
        <v>1</v>
      </c>
      <c r="C54" s="1">
        <v>11</v>
      </c>
      <c r="D54" s="2" t="s">
        <v>21</v>
      </c>
      <c r="E54" s="11" t="s">
        <v>21</v>
      </c>
      <c r="F54" s="11">
        <v>281141</v>
      </c>
      <c r="G54" s="2" t="s">
        <v>1494</v>
      </c>
      <c r="H54" s="2" t="s">
        <v>1495</v>
      </c>
      <c r="I54" s="2" t="s">
        <v>1496</v>
      </c>
      <c r="J54" s="2" t="str">
        <f>CONCATENATE(G54,F54,H54,C54,I54)</f>
        <v>https://permalinkbnd.bnportugal.gov.pt/viewer/281141/?offset=#page=11&amp;viewer=picture&amp;o=info&amp;n=0&amp;q=</v>
      </c>
      <c r="K54" s="1">
        <v>11</v>
      </c>
      <c r="L54" s="1" t="str">
        <f>VLOOKUP(A54,Folha2!$A$2:$B$2019,2,FALSE)</f>
        <v>Inês de Castro, 1873. [cópia digital não abre, consultado PDF via Miguel] Edição em catorze línguas, um ano depois das Celebrações (1872), mas sem referência.</v>
      </c>
      <c r="M54" s="12" t="str">
        <f>HYPERLINK(J54)</f>
        <v>https://permalinkbnd.bnportugal.gov.pt/viewer/281141/?offset=#page=11&amp;viewer=picture&amp;o=info&amp;n=0&amp;q=</v>
      </c>
      <c r="N54" s="12" t="s">
        <v>1497</v>
      </c>
      <c r="O54" s="12" t="str">
        <f>CONCATENATE(N54,A54,"\",B54,"\",C54,".jpg")</f>
        <v>C:\Users\mbaptista\OneDrive - Biblioteca Nacional de Portugal\Documentos\python\camoniana\imagens\capas\381701\1\11.jpg</v>
      </c>
      <c r="P54" s="12" t="str">
        <f>HYPERLINK(O54)</f>
        <v>C:\Users\mbaptista\OneDrive - Biblioteca Nacional de Portugal\Documentos\python\camoniana\imagens\capas\381701\1\11.jpg</v>
      </c>
      <c r="Q54" s="12"/>
      <c r="R54" s="6" t="s">
        <v>22</v>
      </c>
      <c r="S54" s="12"/>
      <c r="T54" s="1">
        <v>11</v>
      </c>
      <c r="U54" s="3"/>
      <c r="V54" s="3"/>
      <c r="W54" s="5" t="s">
        <v>1491</v>
      </c>
    </row>
    <row r="55" spans="1:23" ht="225">
      <c r="A55" s="1">
        <v>381889</v>
      </c>
      <c r="B55" s="1">
        <v>1</v>
      </c>
      <c r="C55" s="1">
        <v>1</v>
      </c>
      <c r="D55" s="2" t="s">
        <v>23</v>
      </c>
      <c r="E55" s="5" t="s">
        <v>23</v>
      </c>
      <c r="F55" s="5">
        <v>273118</v>
      </c>
      <c r="G55" s="2" t="s">
        <v>1494</v>
      </c>
      <c r="H55" s="2" t="s">
        <v>1495</v>
      </c>
      <c r="I55" s="2" t="s">
        <v>1496</v>
      </c>
      <c r="J55" s="2" t="str">
        <f>CONCATENATE(G55,F55,H55,C55,I55)</f>
        <v>https://permalinkbnd.bnportugal.gov.pt/viewer/273118/?offset=#page=1&amp;viewer=picture&amp;o=info&amp;n=0&amp;q=</v>
      </c>
      <c r="K55" s="1" t="s">
        <v>24</v>
      </c>
      <c r="L55" s="1" t="str">
        <f>VLOOKUP(A55,Folha2!$A$2:$B$2019,2,FALSE)</f>
        <v>Pérolas de Camões. 1880. Inês de Castro, Adamastor, Ilha dos Amores, sem argumentos, Soneto a Natércia [em Antologia não existe fragmento/soneto lírica?]. Iconografia, figuras históricas.</v>
      </c>
      <c r="M55" s="12" t="str">
        <f>HYPERLINK(J55)</f>
        <v>https://permalinkbnd.bnportugal.gov.pt/viewer/273118/?offset=#page=1&amp;viewer=picture&amp;o=info&amp;n=0&amp;q=</v>
      </c>
      <c r="N55" s="12" t="s">
        <v>1497</v>
      </c>
      <c r="O55" s="12" t="str">
        <f>CONCATENATE(N55,A55,"\",B55,"\",C55,".jpg")</f>
        <v>C:\Users\mbaptista\OneDrive - Biblioteca Nacional de Portugal\Documentos\python\camoniana\imagens\capas\381889\1\1.jpg</v>
      </c>
      <c r="P55" s="12" t="str">
        <f>HYPERLINK(O55)</f>
        <v>C:\Users\mbaptista\OneDrive - Biblioteca Nacional de Portugal\Documentos\python\camoniana\imagens\capas\381889\1\1.jpg</v>
      </c>
      <c r="Q55" s="12"/>
      <c r="R55" s="6" t="s">
        <v>25</v>
      </c>
      <c r="S55" s="12"/>
      <c r="T55" s="1">
        <v>1</v>
      </c>
      <c r="U55" s="13"/>
      <c r="V55" s="13"/>
      <c r="W55" s="5" t="s">
        <v>1491</v>
      </c>
    </row>
    <row r="56" spans="1:23" ht="225">
      <c r="A56" s="1">
        <v>381903</v>
      </c>
      <c r="B56" s="1">
        <v>1</v>
      </c>
      <c r="C56" s="1">
        <v>5</v>
      </c>
      <c r="D56" s="2" t="s">
        <v>26</v>
      </c>
      <c r="E56" s="11" t="s">
        <v>26</v>
      </c>
      <c r="F56" s="11">
        <v>270037</v>
      </c>
      <c r="G56" s="2" t="s">
        <v>1494</v>
      </c>
      <c r="H56" s="2" t="s">
        <v>1495</v>
      </c>
      <c r="I56" s="2" t="s">
        <v>1496</v>
      </c>
      <c r="J56" s="2" t="str">
        <f>CONCATENATE(G56,F56,H56,C56,I56)</f>
        <v>https://permalinkbnd.bnportugal.gov.pt/viewer/270037/?offset=#page=5&amp;viewer=picture&amp;o=info&amp;n=0&amp;q=</v>
      </c>
      <c r="K56" s="1" t="s">
        <v>27</v>
      </c>
      <c r="L56" s="1" t="str">
        <f>VLOOKUP(A56,Folha2!$A$2:$B$2019,2,FALSE)</f>
        <v>Artigo polaco? Séc. XIX:  " Luiz de Camoens" da autoria de K. Kaszewskiego 1880, continuação do texto no CAM. 45//3 A.</v>
      </c>
      <c r="M56" s="12" t="str">
        <f>HYPERLINK(J56)</f>
        <v>https://permalinkbnd.bnportugal.gov.pt/viewer/270037/?offset=#page=5&amp;viewer=picture&amp;o=info&amp;n=0&amp;q=</v>
      </c>
      <c r="N56" s="12" t="s">
        <v>1497</v>
      </c>
      <c r="O56" s="12" t="str">
        <f>CONCATENATE(N56,A56,"\",B56,"\",C56,".jpg")</f>
        <v>C:\Users\mbaptista\OneDrive - Biblioteca Nacional de Portugal\Documentos\python\camoniana\imagens\capas\381903\1\5.jpg</v>
      </c>
      <c r="P56" s="12" t="str">
        <f>HYPERLINK(O56)</f>
        <v>C:\Users\mbaptista\OneDrive - Biblioteca Nacional de Portugal\Documentos\python\camoniana\imagens\capas\381903\1\5.jpg</v>
      </c>
      <c r="Q56" s="12"/>
      <c r="R56" s="6" t="s">
        <v>28</v>
      </c>
      <c r="S56" s="12"/>
      <c r="T56" s="1">
        <v>5</v>
      </c>
      <c r="U56" s="13"/>
      <c r="V56" s="13"/>
      <c r="W56" s="5" t="s">
        <v>1491</v>
      </c>
    </row>
    <row r="57" spans="1:23" ht="225">
      <c r="A57" s="1">
        <v>382749</v>
      </c>
      <c r="B57" s="1">
        <v>1</v>
      </c>
      <c r="C57" s="1">
        <v>7</v>
      </c>
      <c r="D57" s="2" t="s">
        <v>29</v>
      </c>
      <c r="E57" s="5" t="s">
        <v>29</v>
      </c>
      <c r="F57" s="5">
        <v>270109</v>
      </c>
      <c r="G57" s="2" t="s">
        <v>1494</v>
      </c>
      <c r="H57" s="2" t="s">
        <v>1495</v>
      </c>
      <c r="I57" s="2" t="s">
        <v>1496</v>
      </c>
      <c r="J57" s="2" t="str">
        <f>CONCATENATE(G57,F57,H57,C57,I57)</f>
        <v>https://permalinkbnd.bnportugal.gov.pt/viewer/270109/?offset=#page=7&amp;viewer=picture&amp;o=info&amp;n=0&amp;q=</v>
      </c>
      <c r="K57" s="1" t="s">
        <v>30</v>
      </c>
      <c r="L57" s="1" t="str">
        <f>VLOOKUP(A57,Folha2!$A$2:$B$2019,2,FALSE)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7" s="12" t="str">
        <f>HYPERLINK(J57)</f>
        <v>https://permalinkbnd.bnportugal.gov.pt/viewer/270109/?offset=#page=7&amp;viewer=picture&amp;o=info&amp;n=0&amp;q=</v>
      </c>
      <c r="N57" s="12" t="s">
        <v>1497</v>
      </c>
      <c r="O57" s="12" t="str">
        <f>CONCATENATE(N57,A57,"\",B57,"\",C57,".jpg")</f>
        <v>C:\Users\mbaptista\OneDrive - Biblioteca Nacional de Portugal\Documentos\python\camoniana\imagens\capas\382749\1\7.jpg</v>
      </c>
      <c r="P57" s="12" t="str">
        <f>HYPERLINK(O57)</f>
        <v>C:\Users\mbaptista\OneDrive - Biblioteca Nacional de Portugal\Documentos\python\camoniana\imagens\capas\382749\1\7.jpg</v>
      </c>
      <c r="Q57" s="12"/>
      <c r="R57" s="6" t="s">
        <v>31</v>
      </c>
      <c r="S57" s="12"/>
      <c r="T57" s="1"/>
      <c r="U57" s="13"/>
      <c r="V57" s="13"/>
      <c r="W57" s="5" t="s">
        <v>1491</v>
      </c>
    </row>
    <row r="58" spans="1:23" ht="225">
      <c r="A58" s="1">
        <v>382749</v>
      </c>
      <c r="B58" s="14">
        <v>1</v>
      </c>
      <c r="C58" s="1">
        <v>19</v>
      </c>
      <c r="D58" s="2" t="s">
        <v>29</v>
      </c>
      <c r="E58" s="11" t="s">
        <v>29</v>
      </c>
      <c r="F58" s="11">
        <v>270109</v>
      </c>
      <c r="G58" s="2" t="s">
        <v>1494</v>
      </c>
      <c r="H58" s="2" t="s">
        <v>1495</v>
      </c>
      <c r="I58" s="2" t="s">
        <v>1496</v>
      </c>
      <c r="J58" s="2" t="str">
        <f>CONCATENATE(G58,F58,H58,C58,I58)</f>
        <v>https://permalinkbnd.bnportugal.gov.pt/viewer/270109/?offset=#page=19&amp;viewer=picture&amp;o=info&amp;n=0&amp;q=</v>
      </c>
      <c r="K58" s="14"/>
      <c r="L58" s="1" t="str">
        <f>VLOOKUP(A58,Folha2!$A$2:$B$2019,2,FALSE)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8" s="12" t="str">
        <f>HYPERLINK(J58)</f>
        <v>https://permalinkbnd.bnportugal.gov.pt/viewer/270109/?offset=#page=19&amp;viewer=picture&amp;o=info&amp;n=0&amp;q=</v>
      </c>
      <c r="N58" s="12" t="s">
        <v>1497</v>
      </c>
      <c r="O58" s="12" t="str">
        <f>CONCATENATE(N58,A58,"\",B58,"\",C58,".jpg")</f>
        <v>C:\Users\mbaptista\OneDrive - Biblioteca Nacional de Portugal\Documentos\python\camoniana\imagens\capas\382749\1\19.jpg</v>
      </c>
      <c r="P58" s="12" t="str">
        <f>HYPERLINK(O58)</f>
        <v>C:\Users\mbaptista\OneDrive - Biblioteca Nacional de Portugal\Documentos\python\camoniana\imagens\capas\382749\1\19.jpg</v>
      </c>
      <c r="Q58" s="12"/>
      <c r="R58" s="6" t="s">
        <v>32</v>
      </c>
      <c r="S58" s="12"/>
      <c r="T58" s="14"/>
      <c r="U58" s="13"/>
      <c r="V58" s="13"/>
      <c r="W58" s="5" t="s">
        <v>1491</v>
      </c>
    </row>
    <row r="59" spans="1:23" ht="225">
      <c r="A59" s="1">
        <v>382749</v>
      </c>
      <c r="B59" s="1">
        <v>1</v>
      </c>
      <c r="C59" s="1">
        <v>23</v>
      </c>
      <c r="D59" s="2" t="s">
        <v>29</v>
      </c>
      <c r="E59" s="5" t="s">
        <v>29</v>
      </c>
      <c r="F59" s="5">
        <v>270109</v>
      </c>
      <c r="G59" s="2" t="s">
        <v>1494</v>
      </c>
      <c r="H59" s="2" t="s">
        <v>1495</v>
      </c>
      <c r="I59" s="2" t="s">
        <v>1496</v>
      </c>
      <c r="J59" s="2" t="str">
        <f>CONCATENATE(G59,F59,H59,C59,I59)</f>
        <v>https://permalinkbnd.bnportugal.gov.pt/viewer/270109/?offset=#page=23&amp;viewer=picture&amp;o=info&amp;n=0&amp;q=</v>
      </c>
      <c r="K59" s="1"/>
      <c r="L59" s="1" t="str">
        <f>VLOOKUP(A59,Folha2!$A$2:$B$2019,2,FALSE)</f>
        <v>Pretidão de amor. Texto+tradução, 1893-1895. 2 Vols [dois exemplares da mesma obra: n.º 56 de Tomás de Carvalho e 137 da BNL]. Trad. Paratextos e Mulheres [Alice Moderno trad. para francês; Josephine Lévi trad. para italiano; Josephine de Zaleska trad. polaco; Josephine Constantini-Arntzen trad. norueguês; Mathilde Perry Conorado trad. para castelhano]. Celebrações (1880), traduções em celebração do 313.º aniversário do passamento de Camões (1893)</v>
      </c>
      <c r="M59" s="12" t="str">
        <f>HYPERLINK(J59)</f>
        <v>https://permalinkbnd.bnportugal.gov.pt/viewer/270109/?offset=#page=23&amp;viewer=picture&amp;o=info&amp;n=0&amp;q=</v>
      </c>
      <c r="N59" s="12" t="s">
        <v>1497</v>
      </c>
      <c r="O59" s="12" t="str">
        <f>CONCATENATE(N59,A59,"\",B59,"\",C59,".jpg")</f>
        <v>C:\Users\mbaptista\OneDrive - Biblioteca Nacional de Portugal\Documentos\python\camoniana\imagens\capas\382749\1\23.jpg</v>
      </c>
      <c r="P59" s="12" t="str">
        <f>HYPERLINK(O59)</f>
        <v>C:\Users\mbaptista\OneDrive - Biblioteca Nacional de Portugal\Documentos\python\camoniana\imagens\capas\382749\1\23.jpg</v>
      </c>
      <c r="Q59" s="12"/>
      <c r="R59" s="6" t="s">
        <v>33</v>
      </c>
      <c r="S59" s="12"/>
      <c r="T59" s="1"/>
      <c r="U59" s="13"/>
      <c r="V59" s="13"/>
      <c r="W59" s="5" t="s">
        <v>1491</v>
      </c>
    </row>
    <row r="60" spans="1:23" ht="225">
      <c r="A60" s="1">
        <v>382834</v>
      </c>
      <c r="B60" s="1">
        <v>1</v>
      </c>
      <c r="C60" s="1">
        <v>11</v>
      </c>
      <c r="D60" s="2" t="s">
        <v>34</v>
      </c>
      <c r="E60" s="11" t="s">
        <v>34</v>
      </c>
      <c r="F60" s="11">
        <v>273316</v>
      </c>
      <c r="G60" s="2" t="s">
        <v>1494</v>
      </c>
      <c r="H60" s="2" t="s">
        <v>1495</v>
      </c>
      <c r="I60" s="2" t="s">
        <v>1496</v>
      </c>
      <c r="J60" s="2" t="str">
        <f>CONCATENATE(G60,F60,H60,C60,I60)</f>
        <v>https://permalinkbnd.bnportugal.gov.pt/viewer/273316/?offset=#page=11&amp;viewer=picture&amp;o=info&amp;n=0&amp;q=</v>
      </c>
      <c r="K60" s="1" t="s">
        <v>35</v>
      </c>
      <c r="L60" s="1" t="str">
        <f>VLOOKUP(A60,Folha2!$A$2:$B$2019,2,FALSE)</f>
        <v>Benoliel, Sobre o episódio do Adamastor, 1898. Bibliografia crítica, estudo.</v>
      </c>
      <c r="M60" s="12" t="str">
        <f>HYPERLINK(J60)</f>
        <v>https://permalinkbnd.bnportugal.gov.pt/viewer/273316/?offset=#page=11&amp;viewer=picture&amp;o=info&amp;n=0&amp;q=</v>
      </c>
      <c r="N60" s="12" t="s">
        <v>1497</v>
      </c>
      <c r="O60" s="12" t="str">
        <f>CONCATENATE(N60,A60,"\",B60,"\",C60,".jpg")</f>
        <v>C:\Users\mbaptista\OneDrive - Biblioteca Nacional de Portugal\Documentos\python\camoniana\imagens\capas\382834\1\11.jpg</v>
      </c>
      <c r="P60" s="12" t="str">
        <f>HYPERLINK(O60)</f>
        <v>C:\Users\mbaptista\OneDrive - Biblioteca Nacional de Portugal\Documentos\python\camoniana\imagens\capas\382834\1\11.jpg</v>
      </c>
      <c r="Q60" s="12"/>
      <c r="R60" s="6" t="s">
        <v>36</v>
      </c>
      <c r="S60" s="12"/>
      <c r="T60" s="1">
        <v>11</v>
      </c>
      <c r="U60" s="13"/>
      <c r="V60" s="13"/>
      <c r="W60" s="5" t="s">
        <v>1491</v>
      </c>
    </row>
    <row r="61" spans="1:23" ht="225">
      <c r="A61" s="1">
        <v>382844</v>
      </c>
      <c r="B61" s="1">
        <v>1</v>
      </c>
      <c r="C61" s="1">
        <v>3</v>
      </c>
      <c r="D61" s="2" t="s">
        <v>37</v>
      </c>
      <c r="E61" s="5" t="s">
        <v>37</v>
      </c>
      <c r="F61" s="5">
        <v>271559</v>
      </c>
      <c r="G61" s="2" t="s">
        <v>1494</v>
      </c>
      <c r="H61" s="2" t="s">
        <v>1495</v>
      </c>
      <c r="I61" s="2" t="s">
        <v>1496</v>
      </c>
      <c r="J61" s="2" t="str">
        <f>CONCATENATE(G61,F61,H61,C61,I61)</f>
        <v>https://permalinkbnd.bnportugal.gov.pt/viewer/271559/?offset=#page=3&amp;viewer=picture&amp;o=info&amp;n=0&amp;q=</v>
      </c>
      <c r="K61" s="1">
        <v>3</v>
      </c>
      <c r="L61" s="1" t="str">
        <f>VLOOKUP(A61,Folha2!$A$2:$B$2019,2,FALSE)</f>
        <v>Poema a Camões*Vida+Notas1880 [notas sobre a vida do Poeta, Im. 13]. Celebrações (1880), recepção criativa, tematização. Inclui soneto de Camões.</v>
      </c>
      <c r="M61" s="12" t="str">
        <f>HYPERLINK(J61)</f>
        <v>https://permalinkbnd.bnportugal.gov.pt/viewer/271559/?offset=#page=3&amp;viewer=picture&amp;o=info&amp;n=0&amp;q=</v>
      </c>
      <c r="N61" s="12" t="s">
        <v>1497</v>
      </c>
      <c r="O61" s="12" t="str">
        <f>CONCATENATE(N61,A61,"\",B61,"\",C61,".jpg")</f>
        <v>C:\Users\mbaptista\OneDrive - Biblioteca Nacional de Portugal\Documentos\python\camoniana\imagens\capas\382844\1\3.jpg</v>
      </c>
      <c r="P61" s="12" t="str">
        <f>HYPERLINK(O61)</f>
        <v>C:\Users\mbaptista\OneDrive - Biblioteca Nacional de Portugal\Documentos\python\camoniana\imagens\capas\382844\1\3.jpg</v>
      </c>
      <c r="Q61" s="12"/>
      <c r="R61" s="6" t="s">
        <v>38</v>
      </c>
      <c r="S61" s="12"/>
      <c r="T61" s="1"/>
      <c r="U61" s="13"/>
      <c r="V61" s="13"/>
      <c r="W61" s="5" t="s">
        <v>1491</v>
      </c>
    </row>
    <row r="62" spans="1:23" ht="225">
      <c r="A62" s="1">
        <v>382955</v>
      </c>
      <c r="B62" s="1">
        <v>1</v>
      </c>
      <c r="C62" s="1">
        <v>6</v>
      </c>
      <c r="D62" s="2" t="s">
        <v>39</v>
      </c>
      <c r="E62" s="11" t="s">
        <v>39</v>
      </c>
      <c r="F62" s="11">
        <v>274171</v>
      </c>
      <c r="G62" s="2" t="s">
        <v>1494</v>
      </c>
      <c r="H62" s="2" t="s">
        <v>1495</v>
      </c>
      <c r="I62" s="2" t="s">
        <v>1496</v>
      </c>
      <c r="J62" s="2" t="str">
        <f>CONCATENATE(G62,F62,H62,C62,I62)</f>
        <v>https://permalinkbnd.bnportugal.gov.pt/viewer/274171/?offset=#page=6&amp;viewer=picture&amp;o=info&amp;n=0&amp;q=</v>
      </c>
      <c r="K62" s="1" t="s">
        <v>40</v>
      </c>
      <c r="L62" s="1" t="str">
        <f>VLOOKUP(A62,Folha2!$A$2:$B$2019,2,FALSE)</f>
        <v>Auto da cunhagem. Textos+poesias de homenagem a Camões+Retrato, 1880. A inserir Celebrações (1880), recepção criativa, tematização.</v>
      </c>
      <c r="M62" s="12" t="str">
        <f>HYPERLINK(J62)</f>
        <v>https://permalinkbnd.bnportugal.gov.pt/viewer/274171/?offset=#page=6&amp;viewer=picture&amp;o=info&amp;n=0&amp;q=</v>
      </c>
      <c r="N62" s="12" t="s">
        <v>1497</v>
      </c>
      <c r="O62" s="12" t="str">
        <f>CONCATENATE(N62,A62,"\",B62,"\",C62,".jpg")</f>
        <v>C:\Users\mbaptista\OneDrive - Biblioteca Nacional de Portugal\Documentos\python\camoniana\imagens\capas\382955\1\6.jpg</v>
      </c>
      <c r="P62" s="12" t="str">
        <f>HYPERLINK(O62)</f>
        <v>C:\Users\mbaptista\OneDrive - Biblioteca Nacional de Portugal\Documentos\python\camoniana\imagens\capas\382955\1\6.jpg</v>
      </c>
      <c r="Q62" s="12"/>
      <c r="R62" s="6" t="s">
        <v>41</v>
      </c>
      <c r="S62" s="12"/>
      <c r="T62" s="1">
        <v>6</v>
      </c>
      <c r="U62" s="13"/>
      <c r="V62" s="13"/>
      <c r="W62" s="5" t="s">
        <v>1491</v>
      </c>
    </row>
    <row r="63" spans="1:23" ht="225">
      <c r="A63" s="1">
        <v>382972</v>
      </c>
      <c r="B63" s="1">
        <v>1</v>
      </c>
      <c r="C63" s="1">
        <v>14</v>
      </c>
      <c r="D63" s="2" t="s">
        <v>42</v>
      </c>
      <c r="E63" s="5" t="s">
        <v>42</v>
      </c>
      <c r="F63" s="5">
        <v>274229</v>
      </c>
      <c r="G63" s="2" t="s">
        <v>1494</v>
      </c>
      <c r="H63" s="2" t="s">
        <v>1495</v>
      </c>
      <c r="I63" s="2" t="s">
        <v>1496</v>
      </c>
      <c r="J63" s="2" t="str">
        <f>CONCATENATE(G63,F63,H63,C63,I63)</f>
        <v>https://permalinkbnd.bnportugal.gov.pt/viewer/274229/?offset=#page=14&amp;viewer=picture&amp;o=info&amp;n=0&amp;q=</v>
      </c>
      <c r="K63" s="1" t="s">
        <v>43</v>
      </c>
      <c r="L63" s="1" t="str">
        <f>VLOOKUP(A63,Folha2!$A$2:$B$2019,2,FALSE)</f>
        <v>Tomás Ribeiro, Surrexit, 1880. Celebrações (1880), recepção criativa, tematização.</v>
      </c>
      <c r="M63" s="12" t="str">
        <f>HYPERLINK(J63)</f>
        <v>https://permalinkbnd.bnportugal.gov.pt/viewer/274229/?offset=#page=14&amp;viewer=picture&amp;o=info&amp;n=0&amp;q=</v>
      </c>
      <c r="N63" s="12" t="s">
        <v>1497</v>
      </c>
      <c r="O63" s="12" t="str">
        <f>CONCATENATE(N63,A63,"\",B63,"\",C63,".jpg")</f>
        <v>C:\Users\mbaptista\OneDrive - Biblioteca Nacional de Portugal\Documentos\python\camoniana\imagens\capas\382972\1\14.jpg</v>
      </c>
      <c r="P63" s="12" t="str">
        <f>HYPERLINK(O63)</f>
        <v>C:\Users\mbaptista\OneDrive - Biblioteca Nacional de Portugal\Documentos\python\camoniana\imagens\capas\382972\1\14.jpg</v>
      </c>
      <c r="Q63" s="12"/>
      <c r="R63" s="6" t="s">
        <v>44</v>
      </c>
      <c r="S63" s="12"/>
      <c r="T63" s="1">
        <v>14</v>
      </c>
      <c r="U63" s="13"/>
      <c r="V63" s="13"/>
      <c r="W63" s="5" t="s">
        <v>1491</v>
      </c>
    </row>
    <row r="64" spans="1:23" ht="225">
      <c r="A64" s="1">
        <v>382978</v>
      </c>
      <c r="B64" s="1">
        <v>1</v>
      </c>
      <c r="C64" s="1">
        <v>7</v>
      </c>
      <c r="D64" s="2" t="s">
        <v>45</v>
      </c>
      <c r="E64" s="11" t="s">
        <v>45</v>
      </c>
      <c r="F64" s="11">
        <v>274235</v>
      </c>
      <c r="G64" s="2" t="s">
        <v>1494</v>
      </c>
      <c r="H64" s="2" t="s">
        <v>1495</v>
      </c>
      <c r="I64" s="2" t="s">
        <v>1496</v>
      </c>
      <c r="J64" s="2" t="str">
        <f>CONCATENATE(G64,F64,H64,C64,I64)</f>
        <v>https://permalinkbnd.bnportugal.gov.pt/viewer/274235/?offset=#page=7&amp;viewer=picture&amp;o=info&amp;n=0&amp;q=</v>
      </c>
      <c r="K64" s="1" t="s">
        <v>46</v>
      </c>
      <c r="L64" s="1" t="str">
        <f>VLOOKUP(A64,Folha2!$A$2:$B$2019,2,FALSE)</f>
        <v>Programa, 1880. Iconografia, Lugares de memória.</v>
      </c>
      <c r="M64" s="12" t="str">
        <f>HYPERLINK(J64)</f>
        <v>https://permalinkbnd.bnportugal.gov.pt/viewer/274235/?offset=#page=7&amp;viewer=picture&amp;o=info&amp;n=0&amp;q=</v>
      </c>
      <c r="N64" s="12" t="s">
        <v>1497</v>
      </c>
      <c r="O64" s="12" t="str">
        <f>CONCATENATE(N64,A64,"\",B64,"\",C64,".jpg")</f>
        <v>C:\Users\mbaptista\OneDrive - Biblioteca Nacional de Portugal\Documentos\python\camoniana\imagens\capas\382978\1\7.jpg</v>
      </c>
      <c r="P64" s="12" t="str">
        <f>HYPERLINK(O64)</f>
        <v>C:\Users\mbaptista\OneDrive - Biblioteca Nacional de Portugal\Documentos\python\camoniana\imagens\capas\382978\1\7.jpg</v>
      </c>
      <c r="Q64" s="12"/>
      <c r="R64" s="6" t="s">
        <v>48</v>
      </c>
      <c r="S64" s="12"/>
      <c r="T64" s="1" t="s">
        <v>47</v>
      </c>
      <c r="U64" s="13"/>
      <c r="V64" s="13"/>
      <c r="W64" s="5" t="s">
        <v>1491</v>
      </c>
    </row>
    <row r="65" spans="1:23" ht="225">
      <c r="A65" s="1">
        <v>382978</v>
      </c>
      <c r="B65" s="1">
        <v>1</v>
      </c>
      <c r="C65" s="1">
        <v>13</v>
      </c>
      <c r="D65" s="2" t="s">
        <v>45</v>
      </c>
      <c r="E65" s="5" t="s">
        <v>45</v>
      </c>
      <c r="F65" s="5">
        <v>274235</v>
      </c>
      <c r="G65" s="2" t="s">
        <v>1494</v>
      </c>
      <c r="H65" s="2" t="s">
        <v>1495</v>
      </c>
      <c r="I65" s="2" t="s">
        <v>1496</v>
      </c>
      <c r="J65" s="2" t="str">
        <f>CONCATENATE(G65,F65,H65,C65,I65)</f>
        <v>https://permalinkbnd.bnportugal.gov.pt/viewer/274235/?offset=#page=13&amp;viewer=picture&amp;o=info&amp;n=0&amp;q=</v>
      </c>
      <c r="K65" s="1" t="s">
        <v>46</v>
      </c>
      <c r="L65" s="1" t="str">
        <f>VLOOKUP(A65,Folha2!$A$2:$B$2019,2,FALSE)</f>
        <v>Programa, 1880. Iconografia, Lugares de memória.</v>
      </c>
      <c r="M65" s="12" t="str">
        <f>HYPERLINK(J65)</f>
        <v>https://permalinkbnd.bnportugal.gov.pt/viewer/274235/?offset=#page=13&amp;viewer=picture&amp;o=info&amp;n=0&amp;q=</v>
      </c>
      <c r="N65" s="12" t="s">
        <v>1497</v>
      </c>
      <c r="O65" s="12" t="str">
        <f>CONCATENATE(N65,A65,"\",B65,"\",C65,".jpg")</f>
        <v>C:\Users\mbaptista\OneDrive - Biblioteca Nacional de Portugal\Documentos\python\camoniana\imagens\capas\382978\1\13.jpg</v>
      </c>
      <c r="P65" s="12" t="str">
        <f>HYPERLINK(O65)</f>
        <v>C:\Users\mbaptista\OneDrive - Biblioteca Nacional de Portugal\Documentos\python\camoniana\imagens\capas\382978\1\13.jpg</v>
      </c>
      <c r="Q65" s="12"/>
      <c r="R65" s="6" t="s">
        <v>49</v>
      </c>
      <c r="S65" s="12"/>
      <c r="T65" s="1" t="s">
        <v>47</v>
      </c>
      <c r="U65" s="13"/>
      <c r="V65" s="13"/>
      <c r="W65" s="5" t="s">
        <v>1491</v>
      </c>
    </row>
    <row r="66" spans="1:23" ht="225">
      <c r="A66" s="1">
        <v>382978</v>
      </c>
      <c r="B66" s="1">
        <v>1</v>
      </c>
      <c r="C66" s="1">
        <v>15</v>
      </c>
      <c r="D66" s="2" t="s">
        <v>45</v>
      </c>
      <c r="E66" s="11" t="s">
        <v>45</v>
      </c>
      <c r="F66" s="11">
        <v>274235</v>
      </c>
      <c r="G66" s="2" t="s">
        <v>1494</v>
      </c>
      <c r="H66" s="2" t="s">
        <v>1495</v>
      </c>
      <c r="I66" s="2" t="s">
        <v>1496</v>
      </c>
      <c r="J66" s="2" t="str">
        <f>CONCATENATE(G66,F66,H66,C66,I66)</f>
        <v>https://permalinkbnd.bnportugal.gov.pt/viewer/274235/?offset=#page=15&amp;viewer=picture&amp;o=info&amp;n=0&amp;q=</v>
      </c>
      <c r="K66" s="1" t="s">
        <v>46</v>
      </c>
      <c r="L66" s="1" t="str">
        <f>VLOOKUP(A66,Folha2!$A$2:$B$2019,2,FALSE)</f>
        <v>Programa, 1880. Iconografia, Lugares de memória.</v>
      </c>
      <c r="M66" s="12" t="str">
        <f>HYPERLINK(J66)</f>
        <v>https://permalinkbnd.bnportugal.gov.pt/viewer/274235/?offset=#page=15&amp;viewer=picture&amp;o=info&amp;n=0&amp;q=</v>
      </c>
      <c r="N66" s="12" t="s">
        <v>1497</v>
      </c>
      <c r="O66" s="12" t="str">
        <f>CONCATENATE(N66,A66,"\",B66,"\",C66,".jpg")</f>
        <v>C:\Users\mbaptista\OneDrive - Biblioteca Nacional de Portugal\Documentos\python\camoniana\imagens\capas\382978\1\15.jpg</v>
      </c>
      <c r="P66" s="12" t="str">
        <f>HYPERLINK(O66)</f>
        <v>C:\Users\mbaptista\OneDrive - Biblioteca Nacional de Portugal\Documentos\python\camoniana\imagens\capas\382978\1\15.jpg</v>
      </c>
      <c r="Q66" s="12"/>
      <c r="R66" s="6" t="s">
        <v>50</v>
      </c>
      <c r="S66" s="12"/>
      <c r="T66" s="1" t="s">
        <v>47</v>
      </c>
      <c r="U66" s="13"/>
      <c r="V66" s="13"/>
      <c r="W66" s="5" t="s">
        <v>1491</v>
      </c>
    </row>
    <row r="67" spans="1:23" ht="225">
      <c r="A67" s="1">
        <v>382981</v>
      </c>
      <c r="B67" s="1">
        <v>1</v>
      </c>
      <c r="C67" s="1">
        <v>9</v>
      </c>
      <c r="D67" s="2" t="s">
        <v>51</v>
      </c>
      <c r="E67" s="5" t="s">
        <v>51</v>
      </c>
      <c r="F67" s="5">
        <v>1880</v>
      </c>
      <c r="G67" s="2" t="s">
        <v>1494</v>
      </c>
      <c r="H67" s="2" t="s">
        <v>1495</v>
      </c>
      <c r="I67" s="2" t="s">
        <v>1496</v>
      </c>
      <c r="J67" s="2" t="str">
        <f>CONCATENATE(G67,F67,H67,C67,I67)</f>
        <v>https://permalinkbnd.bnportugal.gov.pt/viewer/1880/?offset=#page=9&amp;viewer=picture&amp;o=info&amp;n=0&amp;q=</v>
      </c>
      <c r="K67" s="1">
        <v>9</v>
      </c>
      <c r="L67" s="1" t="str">
        <f>VLOOKUP(A67,Folha2!$A$2:$B$2019,2,FALSE)</f>
        <v>Relatório. Rio de Janeiro, 1880, com anexos. Figuras Femininas [Im. 24: Adelina Lopes VIeira, poetisa e recitadora, existe indicação em revista de 1880 de homenagem a Camões em que a autora participa,  cf. https://ccbibliotecas.azores.gov.pt/cgi-bin/koha/opac-detail.pl?biblionumber=5486; Lucinda Furtado Coelho, arte dramática; Im. 57: oferta a Maria Belizaria de Andrade Varela, viúva do poeta Fagundes Varela].</v>
      </c>
      <c r="M67" s="12" t="str">
        <f>HYPERLINK(J67)</f>
        <v>https://permalinkbnd.bnportugal.gov.pt/viewer/1880/?offset=#page=9&amp;viewer=picture&amp;o=info&amp;n=0&amp;q=</v>
      </c>
      <c r="N67" s="12" t="s">
        <v>1497</v>
      </c>
      <c r="O67" s="12" t="str">
        <f>CONCATENATE(N67,A67,"\",B67,"\",C67,".jpg")</f>
        <v>C:\Users\mbaptista\OneDrive - Biblioteca Nacional de Portugal\Documentos\python\camoniana\imagens\capas\382981\1\9.jpg</v>
      </c>
      <c r="P67" s="12" t="str">
        <f>HYPERLINK(O67)</f>
        <v>C:\Users\mbaptista\OneDrive - Biblioteca Nacional de Portugal\Documentos\python\camoniana\imagens\capas\382981\1\9.jpg</v>
      </c>
      <c r="Q67" s="12"/>
      <c r="R67" s="6" t="s">
        <v>52</v>
      </c>
      <c r="S67" s="12"/>
      <c r="T67" s="1"/>
      <c r="U67" s="13"/>
      <c r="V67" s="13"/>
      <c r="W67" s="5" t="s">
        <v>1491</v>
      </c>
    </row>
    <row r="68" spans="1:23" ht="225">
      <c r="A68" s="1">
        <v>385945</v>
      </c>
      <c r="B68" s="1">
        <v>1</v>
      </c>
      <c r="C68" s="1">
        <v>10</v>
      </c>
      <c r="D68" s="2" t="s">
        <v>53</v>
      </c>
      <c r="E68" s="11" t="s">
        <v>53</v>
      </c>
      <c r="F68" s="11">
        <v>273149</v>
      </c>
      <c r="G68" s="2" t="s">
        <v>1494</v>
      </c>
      <c r="H68" s="2" t="s">
        <v>1495</v>
      </c>
      <c r="I68" s="2" t="s">
        <v>1496</v>
      </c>
      <c r="J68" s="2" t="str">
        <f>CONCATENATE(G68,F68,H68,C68,I68)</f>
        <v>https://permalinkbnd.bnportugal.gov.pt/viewer/273149/?offset=#page=10&amp;viewer=picture&amp;o=info&amp;n=0&amp;q=</v>
      </c>
      <c r="K68" s="1" t="s">
        <v>54</v>
      </c>
      <c r="L68" s="1" t="str">
        <f>VLOOKUP(A68,Folha2!$A$2:$B$2019,2,FALSE)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8" s="12" t="str">
        <f>HYPERLINK(J68)</f>
        <v>https://permalinkbnd.bnportugal.gov.pt/viewer/273149/?offset=#page=10&amp;viewer=picture&amp;o=info&amp;n=0&amp;q=</v>
      </c>
      <c r="N68" s="12" t="s">
        <v>1497</v>
      </c>
      <c r="O68" s="12" t="str">
        <f>CONCATENATE(N68,A68,"\",B68,"\",C68,".jpg")</f>
        <v>C:\Users\mbaptista\OneDrive - Biblioteca Nacional de Portugal\Documentos\python\camoniana\imagens\capas\385945\1\10.jpg</v>
      </c>
      <c r="P68" s="12" t="str">
        <f>HYPERLINK(O68)</f>
        <v>C:\Users\mbaptista\OneDrive - Biblioteca Nacional de Portugal\Documentos\python\camoniana\imagens\capas\385945\1\10.jpg</v>
      </c>
      <c r="Q68" s="12"/>
      <c r="R68" s="6"/>
      <c r="S68" s="12"/>
      <c r="T68" s="1"/>
      <c r="U68" s="13"/>
      <c r="V68" s="13"/>
      <c r="W68" s="5"/>
    </row>
    <row r="69" spans="1:23" ht="225">
      <c r="A69" s="1">
        <v>385945</v>
      </c>
      <c r="B69" s="1">
        <v>1</v>
      </c>
      <c r="C69" s="1">
        <v>11</v>
      </c>
      <c r="D69" s="2" t="s">
        <v>53</v>
      </c>
      <c r="E69" s="5" t="s">
        <v>53</v>
      </c>
      <c r="F69" s="5">
        <v>273149</v>
      </c>
      <c r="G69" s="2" t="s">
        <v>1494</v>
      </c>
      <c r="H69" s="2" t="s">
        <v>1495</v>
      </c>
      <c r="I69" s="2" t="s">
        <v>1496</v>
      </c>
      <c r="J69" s="2" t="str">
        <f>CONCATENATE(G69,F69,H69,C69,I69)</f>
        <v>https://permalinkbnd.bnportugal.gov.pt/viewer/273149/?offset=#page=11&amp;viewer=picture&amp;o=info&amp;n=0&amp;q=</v>
      </c>
      <c r="K69" s="1" t="s">
        <v>54</v>
      </c>
      <c r="L69" s="1" t="str">
        <f>VLOOKUP(A69,Folha2!$A$2:$B$2019,2,FALSE)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69" s="12" t="str">
        <f>HYPERLINK(J69)</f>
        <v>https://permalinkbnd.bnportugal.gov.pt/viewer/273149/?offset=#page=11&amp;viewer=picture&amp;o=info&amp;n=0&amp;q=</v>
      </c>
      <c r="N69" s="12" t="s">
        <v>1497</v>
      </c>
      <c r="O69" s="12" t="str">
        <f>CONCATENATE(N69,A69,"\",B69,"\",C69,".jpg")</f>
        <v>C:\Users\mbaptista\OneDrive - Biblioteca Nacional de Portugal\Documentos\python\camoniana\imagens\capas\385945\1\11.jpg</v>
      </c>
      <c r="P69" s="12" t="str">
        <f>HYPERLINK(O69)</f>
        <v>C:\Users\mbaptista\OneDrive - Biblioteca Nacional de Portugal\Documentos\python\camoniana\imagens\capas\385945\1\11.jpg</v>
      </c>
      <c r="Q69" s="12"/>
      <c r="R69" s="6"/>
      <c r="S69" s="12"/>
      <c r="T69" s="1"/>
      <c r="U69" s="13"/>
      <c r="V69" s="13"/>
      <c r="W69" s="5"/>
    </row>
    <row r="70" spans="1:23" ht="225">
      <c r="A70" s="1">
        <v>385945</v>
      </c>
      <c r="B70" s="1">
        <v>1</v>
      </c>
      <c r="C70" s="1">
        <v>15</v>
      </c>
      <c r="D70" s="2" t="s">
        <v>53</v>
      </c>
      <c r="E70" s="11" t="s">
        <v>53</v>
      </c>
      <c r="F70" s="11">
        <v>273149</v>
      </c>
      <c r="G70" s="2" t="s">
        <v>1494</v>
      </c>
      <c r="H70" s="2" t="s">
        <v>1495</v>
      </c>
      <c r="I70" s="2" t="s">
        <v>1496</v>
      </c>
      <c r="J70" s="2" t="str">
        <f>CONCATENATE(G70,F70,H70,C70,I70)</f>
        <v>https://permalinkbnd.bnportugal.gov.pt/viewer/273149/?offset=#page=15&amp;viewer=picture&amp;o=info&amp;n=0&amp;q=</v>
      </c>
      <c r="K70" s="1" t="s">
        <v>54</v>
      </c>
      <c r="L70" s="1" t="str">
        <f>VLOOKUP(A70,Folha2!$A$2:$B$2019,2,FALSE)</f>
        <v>Francisco Xavier Esteves (ed.), Album Literário, 1880. Figuras Femininas [Guiomar Torresão; D. Agua de Valldaura]. Celebrações (1880), recepção criativa, tematização e centão. Tradução/versão livre soneto de Camões, cf. Im. 37; Soneto de Camões: "Quando o sol encoberto vai mostrando", cf. Im. 38, redondilhas em espanhol, Camões, cf. 39.</v>
      </c>
      <c r="M70" s="12" t="str">
        <f>HYPERLINK(J70)</f>
        <v>https://permalinkbnd.bnportugal.gov.pt/viewer/273149/?offset=#page=15&amp;viewer=picture&amp;o=info&amp;n=0&amp;q=</v>
      </c>
      <c r="N70" s="12" t="s">
        <v>1497</v>
      </c>
      <c r="O70" s="12" t="str">
        <f>CONCATENATE(N70,A70,"\",B70,"\",C70,".jpg")</f>
        <v>C:\Users\mbaptista\OneDrive - Biblioteca Nacional de Portugal\Documentos\python\camoniana\imagens\capas\385945\1\15.jpg</v>
      </c>
      <c r="P70" s="12" t="str">
        <f>HYPERLINK(O70)</f>
        <v>C:\Users\mbaptista\OneDrive - Biblioteca Nacional de Portugal\Documentos\python\camoniana\imagens\capas\385945\1\15.jpg</v>
      </c>
      <c r="Q70" s="12"/>
      <c r="R70" s="6" t="s">
        <v>55</v>
      </c>
      <c r="S70" s="12"/>
      <c r="T70" s="1">
        <v>15</v>
      </c>
      <c r="U70" s="13"/>
      <c r="V70" s="13"/>
      <c r="W70" s="5" t="s">
        <v>1491</v>
      </c>
    </row>
    <row r="71" spans="1:23" ht="225">
      <c r="A71" s="1">
        <v>385949</v>
      </c>
      <c r="B71" s="1">
        <v>1</v>
      </c>
      <c r="C71" s="1">
        <v>1</v>
      </c>
      <c r="D71" s="2" t="s">
        <v>56</v>
      </c>
      <c r="E71" s="5" t="s">
        <v>56</v>
      </c>
      <c r="F71" s="5">
        <v>274256</v>
      </c>
      <c r="G71" s="2" t="s">
        <v>1494</v>
      </c>
      <c r="H71" s="2" t="s">
        <v>1495</v>
      </c>
      <c r="I71" s="2" t="s">
        <v>1496</v>
      </c>
      <c r="J71" s="2" t="str">
        <f>CONCATENATE(G71,F71,H71,C71,I71)</f>
        <v>https://permalinkbnd.bnportugal.gov.pt/viewer/274256/?offset=#page=1&amp;viewer=picture&amp;o=info&amp;n=0&amp;q=</v>
      </c>
      <c r="K71" s="1">
        <v>1</v>
      </c>
      <c r="L71" s="1" t="str">
        <f>VLOOKUP(A71,Folha2!$A$2:$B$2019,2,FALSE)</f>
        <v>Centro Republicano. Açores, 1880. Fragmentos épica e canção: Recolha epigráfica?</v>
      </c>
      <c r="M71" s="12" t="str">
        <f>HYPERLINK(J71)</f>
        <v>https://permalinkbnd.bnportugal.gov.pt/viewer/274256/?offset=#page=1&amp;viewer=picture&amp;o=info&amp;n=0&amp;q=</v>
      </c>
      <c r="N71" s="12" t="s">
        <v>1497</v>
      </c>
      <c r="O71" s="12" t="str">
        <f>CONCATENATE(N71,A71,"\",B71,"\",C71,".jpg")</f>
        <v>C:\Users\mbaptista\OneDrive - Biblioteca Nacional de Portugal\Documentos\python\camoniana\imagens\capas\385949\1\1.jpg</v>
      </c>
      <c r="P71" s="12" t="str">
        <f>HYPERLINK(O71)</f>
        <v>C:\Users\mbaptista\OneDrive - Biblioteca Nacional de Portugal\Documentos\python\camoniana\imagens\capas\385949\1\1.jpg</v>
      </c>
      <c r="Q71" s="12"/>
      <c r="R71" s="6" t="s">
        <v>57</v>
      </c>
      <c r="S71" s="12"/>
      <c r="T71" s="1">
        <v>1</v>
      </c>
      <c r="U71" s="13"/>
      <c r="V71" s="13"/>
      <c r="W71" s="5" t="s">
        <v>1491</v>
      </c>
    </row>
    <row r="72" spans="1:23" ht="225">
      <c r="A72" s="1">
        <v>386935</v>
      </c>
      <c r="B72" s="1">
        <v>1</v>
      </c>
      <c r="C72" s="1">
        <v>1</v>
      </c>
      <c r="D72" s="2" t="s">
        <v>58</v>
      </c>
      <c r="E72" s="11" t="s">
        <v>58</v>
      </c>
      <c r="F72" s="11">
        <v>273122</v>
      </c>
      <c r="G72" s="2" t="s">
        <v>1494</v>
      </c>
      <c r="H72" s="2" t="s">
        <v>1495</v>
      </c>
      <c r="I72" s="2" t="s">
        <v>1496</v>
      </c>
      <c r="J72" s="2" t="str">
        <f>CONCATENATE(G72,F72,H72,C72,I72)</f>
        <v>https://permalinkbnd.bnportugal.gov.pt/viewer/273122/?offset=#page=1&amp;viewer=picture&amp;o=info&amp;n=0&amp;q=</v>
      </c>
      <c r="K72" s="1">
        <v>1</v>
      </c>
      <c r="L72" s="1" t="str">
        <f>VLOOKUP(A72,Folha2!$A$2:$B$2019,2,FALSE)</f>
        <v>Viana a Camões, 1880.  Publicação Comemorativa: não parece periódico do Tricentenário do Imortal Cantor dos Lusíadas. Figuras Femininas [Zulmira E. A. de Sá, poema em homenagem ao Poeta]. Celebrações (1880), recepção criativa, tematização</v>
      </c>
      <c r="M72" s="12" t="str">
        <f>HYPERLINK(J72)</f>
        <v>https://permalinkbnd.bnportugal.gov.pt/viewer/273122/?offset=#page=1&amp;viewer=picture&amp;o=info&amp;n=0&amp;q=</v>
      </c>
      <c r="N72" s="12" t="s">
        <v>1497</v>
      </c>
      <c r="O72" s="12" t="str">
        <f>CONCATENATE(N72,A72,"\",B72,"\",C72,".jpg")</f>
        <v>C:\Users\mbaptista\OneDrive - Biblioteca Nacional de Portugal\Documentos\python\camoniana\imagens\capas\386935\1\1.jpg</v>
      </c>
      <c r="P72" s="12" t="str">
        <f>HYPERLINK(O72)</f>
        <v>C:\Users\mbaptista\OneDrive - Biblioteca Nacional de Portugal\Documentos\python\camoniana\imagens\capas\386935\1\1.jpg</v>
      </c>
      <c r="Q72" s="12"/>
      <c r="R72" s="6" t="s">
        <v>59</v>
      </c>
      <c r="S72" s="12"/>
      <c r="T72" s="1"/>
      <c r="U72" s="13"/>
      <c r="V72" s="13"/>
      <c r="W72" s="5" t="s">
        <v>1491</v>
      </c>
    </row>
    <row r="73" spans="1:23" ht="225">
      <c r="A73" s="1">
        <v>386992</v>
      </c>
      <c r="B73" s="1">
        <v>1</v>
      </c>
      <c r="C73" s="1">
        <v>1</v>
      </c>
      <c r="D73" s="2" t="s">
        <v>60</v>
      </c>
      <c r="E73" s="5" t="s">
        <v>60</v>
      </c>
      <c r="F73" s="5">
        <v>273124</v>
      </c>
      <c r="G73" s="2" t="s">
        <v>1494</v>
      </c>
      <c r="H73" s="2" t="s">
        <v>1495</v>
      </c>
      <c r="I73" s="2" t="s">
        <v>1496</v>
      </c>
      <c r="J73" s="2" t="str">
        <f>CONCATENATE(G73,F73,H73,C73,I73)</f>
        <v>https://permalinkbnd.bnportugal.gov.pt/viewer/273124/?offset=#page=1&amp;viewer=picture&amp;o=info&amp;n=0&amp;q=</v>
      </c>
      <c r="K73" s="1">
        <v>1</v>
      </c>
      <c r="L73" s="1" t="str">
        <f>VLOOKUP(A73,Folha2!$A$2:$B$2019,2,FALSE)</f>
        <v xml:space="preserve">Homenagem. S. Miguel, Açores, 1880, com duas digitalizações em cores distintas da mesma peça. Será um periódico? Não. </v>
      </c>
      <c r="M73" s="12" t="str">
        <f>HYPERLINK(J73)</f>
        <v>https://permalinkbnd.bnportugal.gov.pt/viewer/273124/?offset=#page=1&amp;viewer=picture&amp;o=info&amp;n=0&amp;q=</v>
      </c>
      <c r="N73" s="12" t="s">
        <v>1497</v>
      </c>
      <c r="O73" s="12" t="str">
        <f>CONCATENATE(N73,A73,"\",B73,"\",C73,".jpg")</f>
        <v>C:\Users\mbaptista\OneDrive - Biblioteca Nacional de Portugal\Documentos\python\camoniana\imagens\capas\386992\1\1.jpg</v>
      </c>
      <c r="P73" s="12" t="str">
        <f>HYPERLINK(O73)</f>
        <v>C:\Users\mbaptista\OneDrive - Biblioteca Nacional de Portugal\Documentos\python\camoniana\imagens\capas\386992\1\1.jpg</v>
      </c>
      <c r="Q73" s="12"/>
      <c r="R73" s="6" t="s">
        <v>61</v>
      </c>
      <c r="S73" s="12"/>
      <c r="T73" s="1">
        <v>1</v>
      </c>
      <c r="U73" s="13"/>
      <c r="V73" s="13"/>
      <c r="W73" s="5" t="s">
        <v>1491</v>
      </c>
    </row>
    <row r="74" spans="1:23" ht="225">
      <c r="A74" s="1">
        <v>396405</v>
      </c>
      <c r="B74" s="1">
        <v>1</v>
      </c>
      <c r="C74" s="1">
        <v>1</v>
      </c>
      <c r="D74" s="2" t="s">
        <v>62</v>
      </c>
      <c r="E74" s="11" t="s">
        <v>62</v>
      </c>
      <c r="F74" s="11">
        <v>36059</v>
      </c>
      <c r="G74" s="2" t="s">
        <v>1494</v>
      </c>
      <c r="H74" s="2" t="s">
        <v>1495</v>
      </c>
      <c r="I74" s="2" t="s">
        <v>1496</v>
      </c>
      <c r="J74" s="2" t="str">
        <f>CONCATENATE(G74,F74,H74,C74,I74)</f>
        <v>https://permalinkbnd.bnportugal.gov.pt/viewer/36059/?offset=#page=1&amp;viewer=picture&amp;o=info&amp;n=0&amp;q=</v>
      </c>
      <c r="K74" s="1">
        <v>1</v>
      </c>
      <c r="L74" s="1" t="str">
        <f>VLOOKUP(A74,Folha2!$A$2:$B$2019,2,FALSE)</f>
        <v>Fernando Jorge Fialho, 1992, com epígrafe: "Daquele cuja lira sonorosa/ será mais afamada que ditosa". Consultada cópia interna.</v>
      </c>
      <c r="M74" s="12" t="str">
        <f>HYPERLINK(J74)</f>
        <v>https://permalinkbnd.bnportugal.gov.pt/viewer/36059/?offset=#page=1&amp;viewer=picture&amp;o=info&amp;n=0&amp;q=</v>
      </c>
      <c r="N74" s="12" t="s">
        <v>1497</v>
      </c>
      <c r="O74" s="12" t="str">
        <f>CONCATENATE(N74,A74,"\",B74,"\",C74,".jpg")</f>
        <v>C:\Users\mbaptista\OneDrive - Biblioteca Nacional de Portugal\Documentos\python\camoniana\imagens\capas\396405\1\1.jpg</v>
      </c>
      <c r="P74" s="12" t="str">
        <f>HYPERLINK(O74)</f>
        <v>C:\Users\mbaptista\OneDrive - Biblioteca Nacional de Portugal\Documentos\python\camoniana\imagens\capas\396405\1\1.jpg</v>
      </c>
      <c r="Q74" s="12"/>
      <c r="R74" s="6" t="s">
        <v>63</v>
      </c>
      <c r="S74" s="12"/>
      <c r="T74" s="1">
        <v>1</v>
      </c>
      <c r="U74" s="13"/>
      <c r="V74" s="13"/>
      <c r="W74" s="5" t="s">
        <v>1491</v>
      </c>
    </row>
    <row r="75" spans="1:23" ht="225">
      <c r="A75" s="1">
        <v>397670</v>
      </c>
      <c r="B75" s="1">
        <v>1</v>
      </c>
      <c r="C75" s="13">
        <v>11</v>
      </c>
      <c r="D75" s="2" t="s">
        <v>64</v>
      </c>
      <c r="E75" s="5" t="s">
        <v>64</v>
      </c>
      <c r="F75" s="5">
        <v>273150</v>
      </c>
      <c r="G75" s="2" t="s">
        <v>1494</v>
      </c>
      <c r="H75" s="2" t="s">
        <v>1495</v>
      </c>
      <c r="I75" s="2" t="s">
        <v>1496</v>
      </c>
      <c r="J75" s="2" t="str">
        <f>CONCATENATE(G75,F75,H75,C75,I75)</f>
        <v>https://permalinkbnd.bnportugal.gov.pt/viewer/273150/?offset=#page=11&amp;viewer=picture&amp;o=info&amp;n=0&amp;q=</v>
      </c>
      <c r="K75" s="1" t="s">
        <v>65</v>
      </c>
      <c r="L75" s="1" t="str">
        <f>VLOOKUP(A75,Folha2!$A$2:$B$2019,2,FALSE)</f>
        <v>Episódio da Ilha de Vénus. Trd. De Cournand, 1880, sem argumento. Bilingue. Trad. Paratextos gerais e Celebrações (1880), traduções.</v>
      </c>
      <c r="M75" s="12" t="str">
        <f>HYPERLINK(J75)</f>
        <v>https://permalinkbnd.bnportugal.gov.pt/viewer/273150/?offset=#page=11&amp;viewer=picture&amp;o=info&amp;n=0&amp;q=</v>
      </c>
      <c r="N75" s="12" t="s">
        <v>1497</v>
      </c>
      <c r="O75" s="12" t="str">
        <f>CONCATENATE(N75,A75,"\",B75,"\",C75,".jpg")</f>
        <v>C:\Users\mbaptista\OneDrive - Biblioteca Nacional de Portugal\Documentos\python\camoniana\imagens\capas\397670\1\11.jpg</v>
      </c>
      <c r="P75" s="12" t="str">
        <f>HYPERLINK(O75)</f>
        <v>C:\Users\mbaptista\OneDrive - Biblioteca Nacional de Portugal\Documentos\python\camoniana\imagens\capas\397670\1\11.jpg</v>
      </c>
      <c r="Q75" s="12"/>
      <c r="R75" s="6" t="s">
        <v>67</v>
      </c>
      <c r="S75" s="12"/>
      <c r="T75" s="1"/>
      <c r="U75" s="13" t="s">
        <v>66</v>
      </c>
      <c r="V75" s="13"/>
      <c r="W75" s="5" t="s">
        <v>1491</v>
      </c>
    </row>
    <row r="76" spans="1:23" ht="225">
      <c r="A76" s="1">
        <v>397670</v>
      </c>
      <c r="B76" s="1"/>
      <c r="C76" s="13">
        <v>13</v>
      </c>
      <c r="D76" s="2" t="s">
        <v>64</v>
      </c>
      <c r="E76" s="11" t="s">
        <v>64</v>
      </c>
      <c r="F76" s="11">
        <v>273150</v>
      </c>
      <c r="G76" s="2" t="s">
        <v>1494</v>
      </c>
      <c r="H76" s="2" t="s">
        <v>1495</v>
      </c>
      <c r="I76" s="2" t="s">
        <v>1496</v>
      </c>
      <c r="J76" s="2" t="str">
        <f>CONCATENATE(G76,F76,H76,C76,I76)</f>
        <v>https://permalinkbnd.bnportugal.gov.pt/viewer/273150/?offset=#page=13&amp;viewer=picture&amp;o=info&amp;n=0&amp;q=</v>
      </c>
      <c r="K76" s="1" t="s">
        <v>65</v>
      </c>
      <c r="L76" s="1" t="str">
        <f>VLOOKUP(A76,Folha2!$A$2:$B$2019,2,FALSE)</f>
        <v>Episódio da Ilha de Vénus. Trd. De Cournand, 1880, sem argumento. Bilingue. Trad. Paratextos gerais e Celebrações (1880), traduções.</v>
      </c>
      <c r="M76" s="12" t="str">
        <f>HYPERLINK(J76)</f>
        <v>https://permalinkbnd.bnportugal.gov.pt/viewer/273150/?offset=#page=13&amp;viewer=picture&amp;o=info&amp;n=0&amp;q=</v>
      </c>
      <c r="N76" s="12" t="s">
        <v>1497</v>
      </c>
      <c r="O76" s="12" t="str">
        <f>CONCATENATE(N76,A76,"\",B76,"\",C76,".jpg")</f>
        <v>C:\Users\mbaptista\OneDrive - Biblioteca Nacional de Portugal\Documentos\python\camoniana\imagens\capas\397670\\13.jpg</v>
      </c>
      <c r="P76" s="12" t="str">
        <f>HYPERLINK(O76)</f>
        <v>C:\Users\mbaptista\OneDrive - Biblioteca Nacional de Portugal\Documentos\python\camoniana\imagens\capas\397670\\13.jpg</v>
      </c>
      <c r="Q76" s="12"/>
      <c r="R76" s="6"/>
      <c r="S76" s="12"/>
      <c r="T76" s="1"/>
      <c r="U76" s="13"/>
      <c r="V76" s="13"/>
      <c r="W76" s="5"/>
    </row>
    <row r="77" spans="1:23" ht="225">
      <c r="A77" s="1">
        <v>397818</v>
      </c>
      <c r="B77" s="1">
        <v>1</v>
      </c>
      <c r="C77" s="1">
        <v>6</v>
      </c>
      <c r="D77" s="2" t="s">
        <v>68</v>
      </c>
      <c r="E77" s="5" t="s">
        <v>68</v>
      </c>
      <c r="F77" s="5">
        <v>272368</v>
      </c>
      <c r="G77" s="2" t="s">
        <v>1494</v>
      </c>
      <c r="H77" s="2" t="s">
        <v>1495</v>
      </c>
      <c r="I77" s="2" t="s">
        <v>1496</v>
      </c>
      <c r="J77" s="2" t="str">
        <f>CONCATENATE(G77,F77,H77,C77,I77)</f>
        <v>https://permalinkbnd.bnportugal.gov.pt/viewer/272368/?offset=#page=6&amp;viewer=picture&amp;o=info&amp;n=0&amp;q=</v>
      </c>
      <c r="K77" s="1" t="s">
        <v>69</v>
      </c>
      <c r="L77" s="1" t="str">
        <f>VLOOKUP(A77,Folha2!$A$2:$B$2019,2,FALSE)</f>
        <v>Os Lusíadas. Inocêncio Francisco da Silva, 1891. Paratextos vida e Paratextos argumentos. Iconografia outros [padrão].</v>
      </c>
      <c r="M77" s="12" t="str">
        <f>HYPERLINK(J77)</f>
        <v>https://permalinkbnd.bnportugal.gov.pt/viewer/272368/?offset=#page=6&amp;viewer=picture&amp;o=info&amp;n=0&amp;q=</v>
      </c>
      <c r="N77" s="12" t="s">
        <v>1497</v>
      </c>
      <c r="O77" s="12" t="str">
        <f>CONCATENATE(N77,A77,"\",B77,"\",C77,".jpg")</f>
        <v>C:\Users\mbaptista\OneDrive - Biblioteca Nacional de Portugal\Documentos\python\camoniana\imagens\capas\397818\1\6.jpg</v>
      </c>
      <c r="P77" s="12" t="str">
        <f>HYPERLINK(O77)</f>
        <v>C:\Users\mbaptista\OneDrive - Biblioteca Nacional de Portugal\Documentos\python\camoniana\imagens\capas\397818\1\6.jpg</v>
      </c>
      <c r="Q77" s="12"/>
      <c r="R77" s="6" t="s">
        <v>70</v>
      </c>
      <c r="S77" s="12"/>
      <c r="T77" s="1">
        <v>6</v>
      </c>
      <c r="U77" s="13"/>
      <c r="V77" s="13"/>
      <c r="W77" s="5" t="s">
        <v>1491</v>
      </c>
    </row>
    <row r="78" spans="1:23" ht="225">
      <c r="A78" s="1">
        <v>397818</v>
      </c>
      <c r="B78" s="1">
        <v>1</v>
      </c>
      <c r="C78" s="1">
        <v>106</v>
      </c>
      <c r="D78" s="2" t="s">
        <v>68</v>
      </c>
      <c r="E78" s="11" t="s">
        <v>68</v>
      </c>
      <c r="F78" s="11">
        <v>272368</v>
      </c>
      <c r="G78" s="2" t="s">
        <v>1494</v>
      </c>
      <c r="H78" s="2" t="s">
        <v>1495</v>
      </c>
      <c r="I78" s="2" t="s">
        <v>1496</v>
      </c>
      <c r="J78" s="2" t="str">
        <f>CONCATENATE(G78,F78,H78,C78,I78)</f>
        <v>https://permalinkbnd.bnportugal.gov.pt/viewer/272368/?offset=#page=106&amp;viewer=picture&amp;o=info&amp;n=0&amp;q=</v>
      </c>
      <c r="K78" s="1" t="s">
        <v>69</v>
      </c>
      <c r="L78" s="1" t="str">
        <f>VLOOKUP(A78,Folha2!$A$2:$B$2019,2,FALSE)</f>
        <v>Os Lusíadas. Inocêncio Francisco da Silva, 1891. Paratextos vida e Paratextos argumentos. Iconografia outros [padrão].</v>
      </c>
      <c r="M78" s="12" t="str">
        <f>HYPERLINK(J78)</f>
        <v>https://permalinkbnd.bnportugal.gov.pt/viewer/272368/?offset=#page=106&amp;viewer=picture&amp;o=info&amp;n=0&amp;q=</v>
      </c>
      <c r="N78" s="12" t="s">
        <v>1497</v>
      </c>
      <c r="O78" s="12" t="str">
        <f>CONCATENATE(N78,A78,"\",B78,"\",C78,".jpg")</f>
        <v>C:\Users\mbaptista\OneDrive - Biblioteca Nacional de Portugal\Documentos\python\camoniana\imagens\capas\397818\1\106.jpg</v>
      </c>
      <c r="P78" s="12" t="str">
        <f>HYPERLINK(O78)</f>
        <v>C:\Users\mbaptista\OneDrive - Biblioteca Nacional de Portugal\Documentos\python\camoniana\imagens\capas\397818\1\106.jpg</v>
      </c>
      <c r="Q78" s="12"/>
      <c r="R78" s="6"/>
      <c r="S78" s="12"/>
      <c r="T78" s="1"/>
      <c r="U78" s="13"/>
      <c r="V78" s="13"/>
      <c r="W78" s="5"/>
    </row>
    <row r="79" spans="1:23" ht="225">
      <c r="A79" s="1">
        <v>397822</v>
      </c>
      <c r="B79" s="1">
        <v>1</v>
      </c>
      <c r="C79" s="13">
        <v>7</v>
      </c>
      <c r="D79" s="2" t="s">
        <v>71</v>
      </c>
      <c r="E79" s="5" t="s">
        <v>71</v>
      </c>
      <c r="F79" s="5">
        <v>274090</v>
      </c>
      <c r="G79" s="2" t="s">
        <v>1494</v>
      </c>
      <c r="H79" s="2" t="s">
        <v>1495</v>
      </c>
      <c r="I79" s="2" t="s">
        <v>1496</v>
      </c>
      <c r="J79" s="2" t="str">
        <f>CONCATENATE(G79,F79,H79,C79,I79)</f>
        <v>https://permalinkbnd.bnportugal.gov.pt/viewer/274090/?offset=#page=7&amp;viewer=picture&amp;o=info&amp;n=0&amp;q=</v>
      </c>
      <c r="K79" s="1" t="s">
        <v>72</v>
      </c>
      <c r="L79" s="1" t="str">
        <f>VLOOKUP(A79,Folha2!$A$2:$B$2019,2,FALSE)</f>
        <v xml:space="preserve">Os Lusíadas, 1898, sem argumentos. Paratextos notas [espécie de didascália]. </v>
      </c>
      <c r="M79" s="12" t="str">
        <f>HYPERLINK(J79)</f>
        <v>https://permalinkbnd.bnportugal.gov.pt/viewer/274090/?offset=#page=7&amp;viewer=picture&amp;o=info&amp;n=0&amp;q=</v>
      </c>
      <c r="N79" s="12" t="s">
        <v>1497</v>
      </c>
      <c r="O79" s="12" t="str">
        <f>CONCATENATE(N79,A79,"\",B79,"\",C79,".jpg")</f>
        <v>C:\Users\mbaptista\OneDrive - Biblioteca Nacional de Portugal\Documentos\python\camoniana\imagens\capas\397822\1\7.jpg</v>
      </c>
      <c r="P79" s="12" t="str">
        <f>HYPERLINK(O79)</f>
        <v>C:\Users\mbaptista\OneDrive - Biblioteca Nacional de Portugal\Documentos\python\camoniana\imagens\capas\397822\1\7.jpg</v>
      </c>
      <c r="Q79" s="12"/>
      <c r="R79" s="6" t="s">
        <v>74</v>
      </c>
      <c r="S79" s="12"/>
      <c r="T79" s="1"/>
      <c r="U79" s="13" t="s">
        <v>73</v>
      </c>
      <c r="V79" s="13"/>
      <c r="W79" s="5" t="s">
        <v>1491</v>
      </c>
    </row>
    <row r="80" spans="1:23" ht="225">
      <c r="A80" s="1">
        <v>397822</v>
      </c>
      <c r="B80" s="1">
        <v>1</v>
      </c>
      <c r="C80" s="13">
        <v>388</v>
      </c>
      <c r="D80" s="2" t="s">
        <v>71</v>
      </c>
      <c r="E80" s="11" t="s">
        <v>71</v>
      </c>
      <c r="F80" s="11">
        <v>274090</v>
      </c>
      <c r="G80" s="2" t="s">
        <v>1494</v>
      </c>
      <c r="H80" s="2" t="s">
        <v>1495</v>
      </c>
      <c r="I80" s="2" t="s">
        <v>1496</v>
      </c>
      <c r="J80" s="2" t="str">
        <f>CONCATENATE(G80,F80,H80,C80,I80)</f>
        <v>https://permalinkbnd.bnportugal.gov.pt/viewer/274090/?offset=#page=388&amp;viewer=picture&amp;o=info&amp;n=0&amp;q=</v>
      </c>
      <c r="K80" s="1" t="s">
        <v>72</v>
      </c>
      <c r="L80" s="1" t="str">
        <f>VLOOKUP(A80,Folha2!$A$2:$B$2019,2,FALSE)</f>
        <v xml:space="preserve">Os Lusíadas, 1898, sem argumentos. Paratextos notas [espécie de didascália]. </v>
      </c>
      <c r="M80" s="12" t="str">
        <f>HYPERLINK(J80)</f>
        <v>https://permalinkbnd.bnportugal.gov.pt/viewer/274090/?offset=#page=388&amp;viewer=picture&amp;o=info&amp;n=0&amp;q=</v>
      </c>
      <c r="N80" s="12" t="s">
        <v>1497</v>
      </c>
      <c r="O80" s="12" t="str">
        <f>CONCATENATE(N80,A80,"\",B80,"\",C80,".jpg")</f>
        <v>C:\Users\mbaptista\OneDrive - Biblioteca Nacional de Portugal\Documentos\python\camoniana\imagens\capas\397822\1\388.jpg</v>
      </c>
      <c r="P80" s="12" t="str">
        <f>HYPERLINK(O80)</f>
        <v>C:\Users\mbaptista\OneDrive - Biblioteca Nacional de Portugal\Documentos\python\camoniana\imagens\capas\397822\1\388.jpg</v>
      </c>
      <c r="Q80" s="12"/>
      <c r="R80" s="6"/>
      <c r="S80" s="12"/>
      <c r="T80" s="1"/>
      <c r="U80" s="13"/>
      <c r="V80" s="13"/>
      <c r="W80" s="5"/>
    </row>
    <row r="81" spans="1:23" ht="225">
      <c r="A81" s="1">
        <v>397852</v>
      </c>
      <c r="B81" s="1">
        <v>1</v>
      </c>
      <c r="C81" s="13">
        <v>14</v>
      </c>
      <c r="D81" s="2" t="s">
        <v>75</v>
      </c>
      <c r="E81" s="5" t="s">
        <v>75</v>
      </c>
      <c r="F81" s="5">
        <v>274172</v>
      </c>
      <c r="G81" s="2" t="s">
        <v>1494</v>
      </c>
      <c r="H81" s="2" t="s">
        <v>1495</v>
      </c>
      <c r="I81" s="2" t="s">
        <v>1496</v>
      </c>
      <c r="J81" s="2" t="str">
        <f>CONCATENATE(G81,F81,H81,C81,I81)</f>
        <v>https://permalinkbnd.bnportugal.gov.pt/viewer/274172/?offset=#page=14&amp;viewer=picture&amp;o=info&amp;n=0&amp;q=</v>
      </c>
      <c r="K81" s="1" t="s">
        <v>76</v>
      </c>
      <c r="L81" s="1" t="str">
        <f>VLOOKUP(A81,Folha2!$A$2:$B$2019,2,FALSE)</f>
        <v>Les Lusiades (I), Henri Courtois, 1887, sem argumentos. Bilingue. 1.º fascículo, que inclui apenas o C. I. no sétimo aniversário do Tricentenário. Trad. Paratextos gerais e Celebrações (1880), traduções.</v>
      </c>
      <c r="M81" s="12" t="str">
        <f>HYPERLINK(J81)</f>
        <v>https://permalinkbnd.bnportugal.gov.pt/viewer/274172/?offset=#page=14&amp;viewer=picture&amp;o=info&amp;n=0&amp;q=</v>
      </c>
      <c r="N81" s="12" t="s">
        <v>1497</v>
      </c>
      <c r="O81" s="12" t="str">
        <f>CONCATENATE(N81,A81,"\",B81,"\",C81,".jpg")</f>
        <v>C:\Users\mbaptista\OneDrive - Biblioteca Nacional de Portugal\Documentos\python\camoniana\imagens\capas\397852\1\14.jpg</v>
      </c>
      <c r="P81" s="12" t="str">
        <f>HYPERLINK(O81)</f>
        <v>C:\Users\mbaptista\OneDrive - Biblioteca Nacional de Portugal\Documentos\python\camoniana\imagens\capas\397852\1\14.jpg</v>
      </c>
      <c r="Q81" s="12"/>
      <c r="R81" s="6" t="s">
        <v>78</v>
      </c>
      <c r="S81" s="12"/>
      <c r="T81" s="1"/>
      <c r="U81" s="13" t="s">
        <v>77</v>
      </c>
      <c r="V81" s="13"/>
      <c r="W81" s="5" t="s">
        <v>1491</v>
      </c>
    </row>
    <row r="82" spans="1:23" ht="225">
      <c r="A82" s="1">
        <v>397863</v>
      </c>
      <c r="B82" s="1">
        <v>1</v>
      </c>
      <c r="C82" s="13">
        <v>11</v>
      </c>
      <c r="D82" s="2" t="s">
        <v>79</v>
      </c>
      <c r="E82" s="11" t="s">
        <v>79</v>
      </c>
      <c r="F82" s="11">
        <v>273148</v>
      </c>
      <c r="G82" s="2" t="s">
        <v>1494</v>
      </c>
      <c r="H82" s="2" t="s">
        <v>1495</v>
      </c>
      <c r="I82" s="2" t="s">
        <v>1496</v>
      </c>
      <c r="J82" s="2" t="str">
        <f>CONCATENATE(G82,F82,H82,C82,I82)</f>
        <v>https://permalinkbnd.bnportugal.gov.pt/viewer/273148/?offset=#page=11&amp;viewer=picture&amp;o=info&amp;n=0&amp;q=</v>
      </c>
      <c r="K82" s="1" t="s">
        <v>80</v>
      </c>
      <c r="L82" s="1" t="str">
        <f>VLOOKUP(A82,Folha2!$A$2:$B$2019,2,FALSE)</f>
        <v>A ode ao Conde de Redondo, 1884. No quarto aniversário do Tricentenário.</v>
      </c>
      <c r="M82" s="12" t="str">
        <f>HYPERLINK(J82)</f>
        <v>https://permalinkbnd.bnportugal.gov.pt/viewer/273148/?offset=#page=11&amp;viewer=picture&amp;o=info&amp;n=0&amp;q=</v>
      </c>
      <c r="N82" s="12" t="s">
        <v>1497</v>
      </c>
      <c r="O82" s="12" t="str">
        <f>CONCATENATE(N82,A82,"\",B82,"\",C82,".jpg")</f>
        <v>C:\Users\mbaptista\OneDrive - Biblioteca Nacional de Portugal\Documentos\python\camoniana\imagens\capas\397863\1\11.jpg</v>
      </c>
      <c r="P82" s="12" t="str">
        <f>HYPERLINK(O82)</f>
        <v>C:\Users\mbaptista\OneDrive - Biblioteca Nacional de Portugal\Documentos\python\camoniana\imagens\capas\397863\1\11.jpg</v>
      </c>
      <c r="Q82" s="12"/>
      <c r="R82" s="6" t="s">
        <v>81</v>
      </c>
      <c r="S82" s="12"/>
      <c r="T82" s="1"/>
      <c r="U82" s="13" t="s">
        <v>66</v>
      </c>
      <c r="V82" s="13"/>
      <c r="W82" s="5" t="s">
        <v>1491</v>
      </c>
    </row>
    <row r="83" spans="1:23" ht="225">
      <c r="A83" s="1">
        <v>397876</v>
      </c>
      <c r="B83" s="1">
        <v>1</v>
      </c>
      <c r="C83" s="13">
        <v>9</v>
      </c>
      <c r="D83" s="2" t="s">
        <v>82</v>
      </c>
      <c r="E83" s="5" t="s">
        <v>82</v>
      </c>
      <c r="F83" s="5">
        <v>274230</v>
      </c>
      <c r="G83" s="2" t="s">
        <v>1494</v>
      </c>
      <c r="H83" s="2" t="s">
        <v>1495</v>
      </c>
      <c r="I83" s="2" t="s">
        <v>1496</v>
      </c>
      <c r="J83" s="2" t="str">
        <f>CONCATENATE(G83,F83,H83,C83,I83)</f>
        <v>https://permalinkbnd.bnportugal.gov.pt/viewer/274230/?offset=#page=9&amp;viewer=picture&amp;o=info&amp;n=0&amp;q=</v>
      </c>
      <c r="K83" s="1">
        <v>9</v>
      </c>
      <c r="L83" s="1" t="str">
        <f>VLOOKUP(A83,Folha2!$A$2:$B$2019,2,FALSE)</f>
        <v xml:space="preserve">Sonnets choisis, 1879 . Trad. Paratextos gerais e trad. paratextos notas [em rodapé]. </v>
      </c>
      <c r="M83" s="12" t="str">
        <f>HYPERLINK(J83)</f>
        <v>https://permalinkbnd.bnportugal.gov.pt/viewer/274230/?offset=#page=9&amp;viewer=picture&amp;o=info&amp;n=0&amp;q=</v>
      </c>
      <c r="N83" s="12" t="s">
        <v>1497</v>
      </c>
      <c r="O83" s="12" t="str">
        <f>CONCATENATE(N83,A83,"\",B83,"\",C83,".jpg")</f>
        <v>C:\Users\mbaptista\OneDrive - Biblioteca Nacional de Portugal\Documentos\python\camoniana\imagens\capas\397876\1\9.jpg</v>
      </c>
      <c r="P83" s="12" t="str">
        <f>HYPERLINK(O83)</f>
        <v>C:\Users\mbaptista\OneDrive - Biblioteca Nacional de Portugal\Documentos\python\camoniana\imagens\capas\397876\1\9.jpg</v>
      </c>
      <c r="Q83" s="12"/>
      <c r="R83" s="6" t="s">
        <v>84</v>
      </c>
      <c r="S83" s="12"/>
      <c r="T83" s="1"/>
      <c r="U83" s="13" t="s">
        <v>83</v>
      </c>
      <c r="V83" s="13"/>
      <c r="W83" s="5" t="s">
        <v>1491</v>
      </c>
    </row>
    <row r="84" spans="1:23" ht="225">
      <c r="A84" s="1">
        <v>397877</v>
      </c>
      <c r="B84" s="1">
        <v>1</v>
      </c>
      <c r="C84" s="1">
        <v>9</v>
      </c>
      <c r="D84" s="2" t="s">
        <v>85</v>
      </c>
      <c r="E84" s="11" t="s">
        <v>85</v>
      </c>
      <c r="F84" s="11">
        <v>1576</v>
      </c>
      <c r="G84" s="2" t="s">
        <v>1494</v>
      </c>
      <c r="H84" s="2" t="s">
        <v>1495</v>
      </c>
      <c r="I84" s="2" t="s">
        <v>1496</v>
      </c>
      <c r="J84" s="2" t="str">
        <f>CONCATENATE(G84,F84,H84,C84,I84)</f>
        <v>https://permalinkbnd.bnportugal.gov.pt/viewer/1576/?offset=#page=9&amp;viewer=picture&amp;o=info&amp;n=0&amp;q=</v>
      </c>
      <c r="K84" s="1" t="s">
        <v>86</v>
      </c>
      <c r="L84" s="1" t="str">
        <f>VLOOKUP(A84,Folha2!$A$2:$B$2019,2,FALSE)</f>
        <v xml:space="preserve">Tercetos e um soneto. Magalhães Gandavo, 1894. Tercetos entram em elegias. </v>
      </c>
      <c r="M84" s="12" t="str">
        <f>HYPERLINK(J84)</f>
        <v>https://permalinkbnd.bnportugal.gov.pt/viewer/1576/?offset=#page=9&amp;viewer=picture&amp;o=info&amp;n=0&amp;q=</v>
      </c>
      <c r="N84" s="12" t="s">
        <v>1497</v>
      </c>
      <c r="O84" s="12" t="str">
        <f>CONCATENATE(N84,A84,"\",B84,"\",C84,".jpg")</f>
        <v>C:\Users\mbaptista\OneDrive - Biblioteca Nacional de Portugal\Documentos\python\camoniana\imagens\capas\397877\1\9.jpg</v>
      </c>
      <c r="P84" s="12" t="str">
        <f>HYPERLINK(O84)</f>
        <v>C:\Users\mbaptista\OneDrive - Biblioteca Nacional de Portugal\Documentos\python\camoniana\imagens\capas\397877\1\9.jpg</v>
      </c>
      <c r="Q84" s="12"/>
      <c r="R84" s="6" t="s">
        <v>87</v>
      </c>
      <c r="S84" s="12"/>
      <c r="T84" s="1">
        <v>9</v>
      </c>
      <c r="U84" s="13"/>
      <c r="V84" s="13"/>
      <c r="W84" s="5" t="s">
        <v>1491</v>
      </c>
    </row>
    <row r="85" spans="1:23" ht="225">
      <c r="A85" s="1">
        <v>401648</v>
      </c>
      <c r="B85" s="1">
        <v>1</v>
      </c>
      <c r="C85" s="1">
        <v>1</v>
      </c>
      <c r="D85" s="2" t="s">
        <v>88</v>
      </c>
      <c r="E85" s="5" t="s">
        <v>88</v>
      </c>
      <c r="F85" s="5">
        <v>273125</v>
      </c>
      <c r="G85" s="2" t="s">
        <v>1494</v>
      </c>
      <c r="H85" s="2" t="s">
        <v>1495</v>
      </c>
      <c r="I85" s="2" t="s">
        <v>1496</v>
      </c>
      <c r="J85" s="2" t="str">
        <f>CONCATENATE(G85,F85,H85,C85,I85)</f>
        <v>https://permalinkbnd.bnportugal.gov.pt/viewer/273125/?offset=#page=1&amp;viewer=picture&amp;o=info&amp;n=0&amp;q=</v>
      </c>
      <c r="K85" s="1" t="s">
        <v>89</v>
      </c>
      <c r="L85" s="1" t="str">
        <f>VLOOKUP(A85,Folha2!$A$2:$B$2019,2,FALSE)</f>
        <v>Plutarcho Portuguez+Retrato 1881. Inserir em Celebrações (1880), vida.</v>
      </c>
      <c r="M85" s="12" t="str">
        <f>HYPERLINK(J85)</f>
        <v>https://permalinkbnd.bnportugal.gov.pt/viewer/273125/?offset=#page=1&amp;viewer=picture&amp;o=info&amp;n=0&amp;q=</v>
      </c>
      <c r="N85" s="12" t="s">
        <v>1497</v>
      </c>
      <c r="O85" s="12" t="str">
        <f>CONCATENATE(N85,A85,"\",B85,"\",C85,".jpg")</f>
        <v>C:\Users\mbaptista\OneDrive - Biblioteca Nacional de Portugal\Documentos\python\camoniana\imagens\capas\401648\1\1.jpg</v>
      </c>
      <c r="P85" s="12" t="str">
        <f>HYPERLINK(O85)</f>
        <v>C:\Users\mbaptista\OneDrive - Biblioteca Nacional de Portugal\Documentos\python\camoniana\imagens\capas\401648\1\1.jpg</v>
      </c>
      <c r="Q85" s="12"/>
      <c r="R85" s="6"/>
      <c r="S85" s="12"/>
      <c r="T85" s="1"/>
      <c r="U85" s="13"/>
      <c r="V85" s="13"/>
      <c r="W85" s="5"/>
    </row>
    <row r="86" spans="1:23" ht="225">
      <c r="A86" s="1">
        <v>401648</v>
      </c>
      <c r="B86" s="1">
        <v>1</v>
      </c>
      <c r="C86" s="1">
        <v>3</v>
      </c>
      <c r="D86" s="2" t="s">
        <v>88</v>
      </c>
      <c r="E86" s="11" t="s">
        <v>88</v>
      </c>
      <c r="F86" s="11">
        <v>273125</v>
      </c>
      <c r="G86" s="2" t="s">
        <v>1494</v>
      </c>
      <c r="H86" s="2" t="s">
        <v>1495</v>
      </c>
      <c r="I86" s="2" t="s">
        <v>1496</v>
      </c>
      <c r="J86" s="2" t="str">
        <f>CONCATENATE(G86,F86,H86,C86,I86)</f>
        <v>https://permalinkbnd.bnportugal.gov.pt/viewer/273125/?offset=#page=3&amp;viewer=picture&amp;o=info&amp;n=0&amp;q=</v>
      </c>
      <c r="K86" s="1" t="s">
        <v>89</v>
      </c>
      <c r="L86" s="1" t="str">
        <f>VLOOKUP(A86,Folha2!$A$2:$B$2019,2,FALSE)</f>
        <v>Plutarcho Portuguez+Retrato 1881. Inserir em Celebrações (1880), vida.</v>
      </c>
      <c r="M86" s="12" t="str">
        <f>HYPERLINK(J86)</f>
        <v>https://permalinkbnd.bnportugal.gov.pt/viewer/273125/?offset=#page=3&amp;viewer=picture&amp;o=info&amp;n=0&amp;q=</v>
      </c>
      <c r="N86" s="12" t="s">
        <v>1497</v>
      </c>
      <c r="O86" s="12" t="str">
        <f>CONCATENATE(N86,A86,"\",B86,"\",C86,".jpg")</f>
        <v>C:\Users\mbaptista\OneDrive - Biblioteca Nacional de Portugal\Documentos\python\camoniana\imagens\capas\401648\1\3.jpg</v>
      </c>
      <c r="P86" s="12" t="str">
        <f>HYPERLINK(O86)</f>
        <v>C:\Users\mbaptista\OneDrive - Biblioteca Nacional de Portugal\Documentos\python\camoniana\imagens\capas\401648\1\3.jpg</v>
      </c>
      <c r="Q86" s="12"/>
      <c r="R86" s="6" t="s">
        <v>90</v>
      </c>
      <c r="S86" s="12"/>
      <c r="T86" s="1">
        <v>3</v>
      </c>
      <c r="U86" s="13"/>
      <c r="V86" s="13"/>
      <c r="W86" s="5" t="s">
        <v>1491</v>
      </c>
    </row>
    <row r="87" spans="1:23" ht="225">
      <c r="A87" s="1">
        <v>401658</v>
      </c>
      <c r="B87" s="1">
        <v>1</v>
      </c>
      <c r="C87" s="1">
        <v>1</v>
      </c>
      <c r="D87" s="2" t="s">
        <v>91</v>
      </c>
      <c r="E87" s="5" t="s">
        <v>91</v>
      </c>
      <c r="F87" s="5">
        <v>3</v>
      </c>
      <c r="G87" s="2" t="s">
        <v>1494</v>
      </c>
      <c r="H87" s="2" t="s">
        <v>1495</v>
      </c>
      <c r="I87" s="2" t="s">
        <v>1496</v>
      </c>
      <c r="J87" s="2" t="str">
        <f>CONCATENATE(G87,F87,H87,C87,I87)</f>
        <v>https://permalinkbnd.bnportugal.gov.pt/viewer/3/?offset=#page=1&amp;viewer=picture&amp;o=info&amp;n=0&amp;q=</v>
      </c>
      <c r="K87" s="1">
        <v>1</v>
      </c>
      <c r="L87" s="1" t="str">
        <f>VLOOKUP(A87,Folha2!$A$2:$B$2019,2,FALSE)</f>
        <v>Victor Hugo celebra Camões, 1880. Celebrações (1880), nótulas</v>
      </c>
      <c r="M87" s="12" t="str">
        <f>HYPERLINK(J87)</f>
        <v>https://permalinkbnd.bnportugal.gov.pt/viewer/3/?offset=#page=1&amp;viewer=picture&amp;o=info&amp;n=0&amp;q=</v>
      </c>
      <c r="N87" s="12" t="s">
        <v>1497</v>
      </c>
      <c r="O87" s="12" t="str">
        <f>CONCATENATE(N87,A87,"\",B87,"\",C87,".jpg")</f>
        <v>C:\Users\mbaptista\OneDrive - Biblioteca Nacional de Portugal\Documentos\python\camoniana\imagens\capas\401658\1\1.jpg</v>
      </c>
      <c r="P87" s="12" t="str">
        <f>HYPERLINK(O87)</f>
        <v>C:\Users\mbaptista\OneDrive - Biblioteca Nacional de Portugal\Documentos\python\camoniana\imagens\capas\401658\1\1.jpg</v>
      </c>
      <c r="Q87" s="12"/>
      <c r="R87" s="6" t="s">
        <v>92</v>
      </c>
      <c r="S87" s="12"/>
      <c r="T87" s="1">
        <v>1</v>
      </c>
      <c r="U87" s="13"/>
      <c r="V87" s="13"/>
      <c r="W87" s="5" t="s">
        <v>1491</v>
      </c>
    </row>
    <row r="88" spans="1:23" ht="225">
      <c r="A88" s="1">
        <v>401739</v>
      </c>
      <c r="B88" s="1">
        <v>1</v>
      </c>
      <c r="C88" s="1">
        <v>1</v>
      </c>
      <c r="D88" s="2" t="s">
        <v>93</v>
      </c>
      <c r="E88" s="11" t="s">
        <v>93</v>
      </c>
      <c r="F88" s="11">
        <v>274260</v>
      </c>
      <c r="G88" s="2" t="s">
        <v>1494</v>
      </c>
      <c r="H88" s="2" t="s">
        <v>1495</v>
      </c>
      <c r="I88" s="2" t="s">
        <v>1496</v>
      </c>
      <c r="J88" s="2" t="str">
        <f>CONCATENATE(G88,F88,H88,C88,I88)</f>
        <v>https://permalinkbnd.bnportugal.gov.pt/viewer/274260/?offset=#page=1&amp;viewer=picture&amp;o=info&amp;n=0&amp;q=</v>
      </c>
      <c r="K88" s="1">
        <v>1</v>
      </c>
      <c r="L88" s="1" t="str">
        <f>VLOOKUP(A88,Folha2!$A$2:$B$2019,2,FALSE)</f>
        <v>Homenagem a Camões, 1880</v>
      </c>
      <c r="M88" s="12" t="str">
        <f>HYPERLINK(J88)</f>
        <v>https://permalinkbnd.bnportugal.gov.pt/viewer/274260/?offset=#page=1&amp;viewer=picture&amp;o=info&amp;n=0&amp;q=</v>
      </c>
      <c r="N88" s="12" t="s">
        <v>1497</v>
      </c>
      <c r="O88" s="12" t="str">
        <f>CONCATENATE(N88,A88,"\",B88,"\",C88,".jpg")</f>
        <v>C:\Users\mbaptista\OneDrive - Biblioteca Nacional de Portugal\Documentos\python\camoniana\imagens\capas\401739\1\1.jpg</v>
      </c>
      <c r="P88" s="12" t="str">
        <f>HYPERLINK(O88)</f>
        <v>C:\Users\mbaptista\OneDrive - Biblioteca Nacional de Portugal\Documentos\python\camoniana\imagens\capas\401739\1\1.jpg</v>
      </c>
      <c r="Q88" s="12"/>
      <c r="R88" s="6" t="s">
        <v>94</v>
      </c>
      <c r="S88" s="12"/>
      <c r="T88" s="1">
        <v>1</v>
      </c>
      <c r="U88" s="13"/>
      <c r="V88" s="13"/>
      <c r="W88" s="5" t="s">
        <v>1491</v>
      </c>
    </row>
    <row r="89" spans="1:23" ht="225">
      <c r="A89" s="1">
        <v>402086</v>
      </c>
      <c r="B89" s="1">
        <v>1</v>
      </c>
      <c r="C89" s="1">
        <v>16</v>
      </c>
      <c r="D89" s="2" t="s">
        <v>95</v>
      </c>
      <c r="E89" s="5" t="s">
        <v>95</v>
      </c>
      <c r="F89" s="5">
        <v>274280</v>
      </c>
      <c r="G89" s="2" t="s">
        <v>1494</v>
      </c>
      <c r="H89" s="2" t="s">
        <v>1495</v>
      </c>
      <c r="I89" s="2" t="s">
        <v>1496</v>
      </c>
      <c r="J89" s="2" t="str">
        <f>CONCATENATE(G89,F89,H89,C89,I89)</f>
        <v>https://permalinkbnd.bnportugal.gov.pt/viewer/274280/?offset=#page=16&amp;viewer=picture&amp;o=info&amp;n=0&amp;q=</v>
      </c>
      <c r="K89" s="1" t="s">
        <v>96</v>
      </c>
      <c r="L89" s="1" t="str">
        <f>VLOOKUP(A89,Folha2!$A$2:$B$2019,2,FALSE)</f>
        <v>José do Canto, Colecção Camoniana, 1895</v>
      </c>
      <c r="M89" s="12" t="str">
        <f>HYPERLINK(J89)</f>
        <v>https://permalinkbnd.bnportugal.gov.pt/viewer/274280/?offset=#page=16&amp;viewer=picture&amp;o=info&amp;n=0&amp;q=</v>
      </c>
      <c r="N89" s="12" t="s">
        <v>1497</v>
      </c>
      <c r="O89" s="12" t="str">
        <f>CONCATENATE(N89,A89,"\",B89,"\",C89,".jpg")</f>
        <v>C:\Users\mbaptista\OneDrive - Biblioteca Nacional de Portugal\Documentos\python\camoniana\imagens\capas\402086\1\16.jpg</v>
      </c>
      <c r="P89" s="12" t="str">
        <f>HYPERLINK(O89)</f>
        <v>C:\Users\mbaptista\OneDrive - Biblioteca Nacional de Portugal\Documentos\python\camoniana\imagens\capas\402086\1\16.jpg</v>
      </c>
      <c r="Q89" s="12"/>
      <c r="R89" s="6" t="s">
        <v>98</v>
      </c>
      <c r="S89" s="12"/>
      <c r="T89" s="1" t="s">
        <v>97</v>
      </c>
      <c r="U89" s="13"/>
      <c r="V89" s="13"/>
      <c r="W89" s="5" t="s">
        <v>1491</v>
      </c>
    </row>
    <row r="90" spans="1:23" ht="225">
      <c r="A90" s="1">
        <v>402086</v>
      </c>
      <c r="B90" s="1">
        <v>1</v>
      </c>
      <c r="C90" s="1">
        <v>22</v>
      </c>
      <c r="D90" s="2" t="s">
        <v>95</v>
      </c>
      <c r="E90" s="11" t="s">
        <v>95</v>
      </c>
      <c r="F90" s="11">
        <v>274280</v>
      </c>
      <c r="G90" s="2" t="s">
        <v>1494</v>
      </c>
      <c r="H90" s="2" t="s">
        <v>1495</v>
      </c>
      <c r="I90" s="2" t="s">
        <v>1496</v>
      </c>
      <c r="J90" s="2" t="str">
        <f>CONCATENATE(G90,F90,H90,C90,I90)</f>
        <v>https://permalinkbnd.bnportugal.gov.pt/viewer/274280/?offset=#page=22&amp;viewer=picture&amp;o=info&amp;n=0&amp;q=</v>
      </c>
      <c r="K90" s="1" t="s">
        <v>96</v>
      </c>
      <c r="L90" s="1" t="str">
        <f>VLOOKUP(A90,Folha2!$A$2:$B$2019,2,FALSE)</f>
        <v>José do Canto, Colecção Camoniana, 1895</v>
      </c>
      <c r="M90" s="12" t="str">
        <f>HYPERLINK(J90)</f>
        <v>https://permalinkbnd.bnportugal.gov.pt/viewer/274280/?offset=#page=22&amp;viewer=picture&amp;o=info&amp;n=0&amp;q=</v>
      </c>
      <c r="N90" s="12" t="s">
        <v>1497</v>
      </c>
      <c r="O90" s="12" t="str">
        <f>CONCATENATE(N90,A90,"\",B90,"\",C90,".jpg")</f>
        <v>C:\Users\mbaptista\OneDrive - Biblioteca Nacional de Portugal\Documentos\python\camoniana\imagens\capas\402086\1\22.jpg</v>
      </c>
      <c r="P90" s="12" t="str">
        <f>HYPERLINK(O90)</f>
        <v>C:\Users\mbaptista\OneDrive - Biblioteca Nacional de Portugal\Documentos\python\camoniana\imagens\capas\402086\1\22.jpg</v>
      </c>
      <c r="Q90" s="12"/>
      <c r="R90" s="6" t="s">
        <v>99</v>
      </c>
      <c r="S90" s="12"/>
      <c r="T90" s="1" t="s">
        <v>97</v>
      </c>
      <c r="U90" s="13"/>
      <c r="V90" s="13"/>
      <c r="W90" s="5" t="s">
        <v>1491</v>
      </c>
    </row>
    <row r="91" spans="1:23" ht="225">
      <c r="A91" s="1">
        <v>402917</v>
      </c>
      <c r="B91" s="1">
        <v>1</v>
      </c>
      <c r="C91" s="13">
        <v>9</v>
      </c>
      <c r="D91" s="2" t="s">
        <v>100</v>
      </c>
      <c r="E91" s="5" t="s">
        <v>100</v>
      </c>
      <c r="F91" s="5">
        <v>273560</v>
      </c>
      <c r="G91" s="2" t="s">
        <v>1494</v>
      </c>
      <c r="H91" s="2" t="s">
        <v>1495</v>
      </c>
      <c r="I91" s="2" t="s">
        <v>1496</v>
      </c>
      <c r="J91" s="2" t="str">
        <f>CONCATENATE(G91,F91,H91,C91,I91)</f>
        <v>https://permalinkbnd.bnportugal.gov.pt/viewer/273560/?offset=#page=9&amp;viewer=picture&amp;o=info&amp;n=0&amp;q=</v>
      </c>
      <c r="K91" s="1">
        <v>9</v>
      </c>
      <c r="L91" s="1" t="str">
        <f>VLOOKUP(A91,Folha2!$A$2:$B$2019,2,FALSE)</f>
        <v>Adolf Von Schack, Camões em Sinta, 1891. No 311.º aniversário da morte do Poeta: Celebrações Recepção criativa. Tematização.</v>
      </c>
      <c r="M91" s="12" t="str">
        <f>HYPERLINK(J91)</f>
        <v>https://permalinkbnd.bnportugal.gov.pt/viewer/273560/?offset=#page=9&amp;viewer=picture&amp;o=info&amp;n=0&amp;q=</v>
      </c>
      <c r="N91" s="12" t="s">
        <v>1497</v>
      </c>
      <c r="O91" s="12" t="str">
        <f>CONCATENATE(N91,A91,"\",B91,"\",C91,".jpg")</f>
        <v>C:\Users\mbaptista\OneDrive - Biblioteca Nacional de Portugal\Documentos\python\camoniana\imagens\capas\402917\1\9.jpg</v>
      </c>
      <c r="P91" s="12" t="str">
        <f>HYPERLINK(O91)</f>
        <v>C:\Users\mbaptista\OneDrive - Biblioteca Nacional de Portugal\Documentos\python\camoniana\imagens\capas\402917\1\9.jpg</v>
      </c>
      <c r="Q91" s="12"/>
      <c r="R91" s="6" t="s">
        <v>101</v>
      </c>
      <c r="S91" s="12"/>
      <c r="T91" s="1"/>
      <c r="U91" s="13" t="s">
        <v>83</v>
      </c>
      <c r="V91" s="13"/>
      <c r="W91" s="5" t="s">
        <v>1491</v>
      </c>
    </row>
    <row r="92" spans="1:23" ht="225">
      <c r="A92" s="1">
        <v>404543</v>
      </c>
      <c r="B92" s="1">
        <v>1</v>
      </c>
      <c r="C92" s="13">
        <v>7</v>
      </c>
      <c r="D92" s="2" t="s">
        <v>102</v>
      </c>
      <c r="E92" s="11" t="s">
        <v>102</v>
      </c>
      <c r="F92" s="11">
        <v>273347</v>
      </c>
      <c r="G92" s="2" t="s">
        <v>1494</v>
      </c>
      <c r="H92" s="2" t="s">
        <v>1495</v>
      </c>
      <c r="I92" s="2" t="s">
        <v>1496</v>
      </c>
      <c r="J92" s="2" t="str">
        <f>CONCATENATE(G92,F92,H92,C92,I92)</f>
        <v>https://permalinkbnd.bnportugal.gov.pt/viewer/273347/?offset=#page=7&amp;viewer=picture&amp;o=info&amp;n=0&amp;q=</v>
      </c>
      <c r="K92" s="1">
        <v>7</v>
      </c>
      <c r="L92" s="1" t="str">
        <f>VLOOKUP(A92,Folha2!$A$2:$B$2019,2,FALSE)</f>
        <v>Excertos d'Os Lusíadas, canto II, 1889. Vénus e os Portugueses, Canto III, Inês de Castro e Batalha de Salado; C. IV: Batalha de Aljubarrota; C. V: Adamastor; C. VI: Os Doze; C. IX: Ilha dos Amores, sem argumentos.</v>
      </c>
      <c r="M92" s="12" t="str">
        <f>HYPERLINK(J92)</f>
        <v>https://permalinkbnd.bnportugal.gov.pt/viewer/273347/?offset=#page=7&amp;viewer=picture&amp;o=info&amp;n=0&amp;q=</v>
      </c>
      <c r="N92" s="12" t="s">
        <v>1497</v>
      </c>
      <c r="O92" s="12" t="str">
        <f>CONCATENATE(N92,A92,"\",B92,"\",C92,".jpg")</f>
        <v>C:\Users\mbaptista\OneDrive - Biblioteca Nacional de Portugal\Documentos\python\camoniana\imagens\capas\404543\1\7.jpg</v>
      </c>
      <c r="P92" s="12" t="str">
        <f>HYPERLINK(O92)</f>
        <v>C:\Users\mbaptista\OneDrive - Biblioteca Nacional de Portugal\Documentos\python\camoniana\imagens\capas\404543\1\7.jpg</v>
      </c>
      <c r="Q92" s="12"/>
      <c r="R92" s="6" t="s">
        <v>103</v>
      </c>
      <c r="S92" s="12"/>
      <c r="T92" s="1"/>
      <c r="U92" s="13" t="s">
        <v>73</v>
      </c>
      <c r="V92" s="13"/>
      <c r="W92" s="5" t="s">
        <v>1491</v>
      </c>
    </row>
    <row r="93" spans="1:23" ht="225">
      <c r="A93" s="1">
        <v>404800</v>
      </c>
      <c r="B93" s="1">
        <v>1</v>
      </c>
      <c r="C93" s="1">
        <v>3</v>
      </c>
      <c r="D93" s="2" t="s">
        <v>104</v>
      </c>
      <c r="E93" s="5" t="s">
        <v>104</v>
      </c>
      <c r="F93" s="5">
        <v>274348</v>
      </c>
      <c r="G93" s="2" t="s">
        <v>1494</v>
      </c>
      <c r="H93" s="2" t="s">
        <v>1495</v>
      </c>
      <c r="I93" s="2" t="s">
        <v>1496</v>
      </c>
      <c r="J93" s="2" t="str">
        <f>CONCATENATE(G93,F93,H93,C93,I93)</f>
        <v>https://permalinkbnd.bnportugal.gov.pt/viewer/274348/?offset=#page=3&amp;viewer=picture&amp;o=info&amp;n=0&amp;q=</v>
      </c>
      <c r="K93" s="1" t="s">
        <v>105</v>
      </c>
      <c r="L93" s="1" t="str">
        <f>VLOOKUP(A93,Folha2!$A$2:$B$2019,2,FALSE)</f>
        <v>Os festejos do centenário da Índia, 1898. 4.º centenário da Índia. A inserir celebrações (1898), iconografia.</v>
      </c>
      <c r="M93" s="12" t="str">
        <f>HYPERLINK(J93)</f>
        <v>https://permalinkbnd.bnportugal.gov.pt/viewer/274348/?offset=#page=3&amp;viewer=picture&amp;o=info&amp;n=0&amp;q=</v>
      </c>
      <c r="N93" s="12" t="s">
        <v>1497</v>
      </c>
      <c r="O93" s="12" t="str">
        <f>CONCATENATE(N93,A93,"\",B93,"\",C93,".jpg")</f>
        <v>C:\Users\mbaptista\OneDrive - Biblioteca Nacional de Portugal\Documentos\python\camoniana\imagens\capas\404800\1\3.jpg</v>
      </c>
      <c r="P93" s="12" t="str">
        <f>HYPERLINK(O93)</f>
        <v>C:\Users\mbaptista\OneDrive - Biblioteca Nacional de Portugal\Documentos\python\camoniana\imagens\capas\404800\1\3.jpg</v>
      </c>
      <c r="Q93" s="12"/>
      <c r="R93" s="6"/>
      <c r="S93" s="12"/>
      <c r="T93" s="1"/>
      <c r="U93" s="13"/>
      <c r="V93" s="13"/>
      <c r="W93" s="5"/>
    </row>
    <row r="94" spans="1:23" ht="225">
      <c r="A94" s="1">
        <v>404800</v>
      </c>
      <c r="B94" s="1">
        <v>1</v>
      </c>
      <c r="C94" s="1">
        <v>21</v>
      </c>
      <c r="D94" s="2" t="s">
        <v>104</v>
      </c>
      <c r="E94" s="11" t="s">
        <v>104</v>
      </c>
      <c r="F94" s="11">
        <v>274348</v>
      </c>
      <c r="G94" s="2" t="s">
        <v>1494</v>
      </c>
      <c r="H94" s="2" t="s">
        <v>1495</v>
      </c>
      <c r="I94" s="2" t="s">
        <v>1496</v>
      </c>
      <c r="J94" s="2" t="str">
        <f>CONCATENATE(G94,F94,H94,C94,I94)</f>
        <v>https://permalinkbnd.bnportugal.gov.pt/viewer/274348/?offset=#page=21&amp;viewer=picture&amp;o=info&amp;n=0&amp;q=</v>
      </c>
      <c r="K94" s="1" t="s">
        <v>105</v>
      </c>
      <c r="L94" s="1" t="str">
        <f>VLOOKUP(A94,Folha2!$A$2:$B$2019,2,FALSE)</f>
        <v>Os festejos do centenário da Índia, 1898. 4.º centenário da Índia. A inserir celebrações (1898), iconografia.</v>
      </c>
      <c r="M94" s="12" t="str">
        <f>HYPERLINK(J94)</f>
        <v>https://permalinkbnd.bnportugal.gov.pt/viewer/274348/?offset=#page=21&amp;viewer=picture&amp;o=info&amp;n=0&amp;q=</v>
      </c>
      <c r="N94" s="12" t="s">
        <v>1497</v>
      </c>
      <c r="O94" s="12" t="str">
        <f>CONCATENATE(N94,A94,"\",B94,"\",C94,".jpg")</f>
        <v>C:\Users\mbaptista\OneDrive - Biblioteca Nacional de Portugal\Documentos\python\camoniana\imagens\capas\404800\1\21.jpg</v>
      </c>
      <c r="P94" s="12" t="str">
        <f>HYPERLINK(O94)</f>
        <v>C:\Users\mbaptista\OneDrive - Biblioteca Nacional de Portugal\Documentos\python\camoniana\imagens\capas\404800\1\21.jpg</v>
      </c>
      <c r="Q94" s="12"/>
      <c r="R94" s="6" t="s">
        <v>107</v>
      </c>
      <c r="S94" s="12"/>
      <c r="T94" s="1" t="s">
        <v>106</v>
      </c>
      <c r="U94" s="13"/>
      <c r="V94" s="13"/>
      <c r="W94" s="5" t="s">
        <v>1491</v>
      </c>
    </row>
    <row r="95" spans="1:23" ht="225">
      <c r="A95" s="1">
        <v>404800</v>
      </c>
      <c r="B95" s="1">
        <v>1</v>
      </c>
      <c r="C95" s="1">
        <v>69</v>
      </c>
      <c r="D95" s="2" t="s">
        <v>104</v>
      </c>
      <c r="E95" s="5" t="s">
        <v>104</v>
      </c>
      <c r="F95" s="5">
        <v>274348</v>
      </c>
      <c r="G95" s="2" t="s">
        <v>1494</v>
      </c>
      <c r="H95" s="2" t="s">
        <v>1495</v>
      </c>
      <c r="I95" s="2" t="s">
        <v>1496</v>
      </c>
      <c r="J95" s="2" t="str">
        <f>CONCATENATE(G95,F95,H95,C95,I95)</f>
        <v>https://permalinkbnd.bnportugal.gov.pt/viewer/274348/?offset=#page=69&amp;viewer=picture&amp;o=info&amp;n=0&amp;q=</v>
      </c>
      <c r="K95" s="1" t="s">
        <v>105</v>
      </c>
      <c r="L95" s="1" t="str">
        <f>VLOOKUP(A95,Folha2!$A$2:$B$2019,2,FALSE)</f>
        <v>Os festejos do centenário da Índia, 1898. 4.º centenário da Índia. A inserir celebrações (1898), iconografia.</v>
      </c>
      <c r="M95" s="12" t="str">
        <f>HYPERLINK(J95)</f>
        <v>https://permalinkbnd.bnportugal.gov.pt/viewer/274348/?offset=#page=69&amp;viewer=picture&amp;o=info&amp;n=0&amp;q=</v>
      </c>
      <c r="N95" s="12" t="s">
        <v>1497</v>
      </c>
      <c r="O95" s="12" t="str">
        <f>CONCATENATE(N95,A95,"\",B95,"\",C95,".jpg")</f>
        <v>C:\Users\mbaptista\OneDrive - Biblioteca Nacional de Portugal\Documentos\python\camoniana\imagens\capas\404800\1\69.jpg</v>
      </c>
      <c r="P95" s="12" t="str">
        <f>HYPERLINK(O95)</f>
        <v>C:\Users\mbaptista\OneDrive - Biblioteca Nacional de Portugal\Documentos\python\camoniana\imagens\capas\404800\1\69.jpg</v>
      </c>
      <c r="Q95" s="12"/>
      <c r="R95" s="6" t="s">
        <v>108</v>
      </c>
      <c r="S95" s="12"/>
      <c r="T95" s="1" t="s">
        <v>106</v>
      </c>
      <c r="U95" s="13"/>
      <c r="V95" s="13"/>
      <c r="W95" s="5" t="s">
        <v>1491</v>
      </c>
    </row>
    <row r="96" spans="1:23" ht="225">
      <c r="A96" s="1">
        <v>410449</v>
      </c>
      <c r="B96" s="1">
        <v>1</v>
      </c>
      <c r="C96" s="1">
        <v>6</v>
      </c>
      <c r="D96" s="2" t="s">
        <v>109</v>
      </c>
      <c r="E96" s="11" t="s">
        <v>109</v>
      </c>
      <c r="F96" s="11">
        <v>274346</v>
      </c>
      <c r="G96" s="2" t="s">
        <v>1494</v>
      </c>
      <c r="H96" s="2" t="s">
        <v>1495</v>
      </c>
      <c r="I96" s="2" t="s">
        <v>1496</v>
      </c>
      <c r="J96" s="2" t="str">
        <f>CONCATENATE(G96,F96,H96,C96,I96)</f>
        <v>https://permalinkbnd.bnportugal.gov.pt/viewer/274346/?offset=#page=6&amp;viewer=picture&amp;o=info&amp;n=0&amp;q=</v>
      </c>
      <c r="K96" s="1" t="s">
        <v>110</v>
      </c>
      <c r="L96" s="1" t="str">
        <f>VLOOKUP(A96,Folha2!$A$2:$B$2019,2,FALSE)</f>
        <v>Los Lusiadas, D. Carlos Soler y Arques, 1873. Bilingue, sem argumentos. Trad. Paratextos; Trad. Paratextos notas; Trad. Paratextos vida. Celebrações 1872, ainda que sem referência explícita.</v>
      </c>
      <c r="M96" s="12" t="str">
        <f>HYPERLINK(J96)</f>
        <v>https://permalinkbnd.bnportugal.gov.pt/viewer/274346/?offset=#page=6&amp;viewer=picture&amp;o=info&amp;n=0&amp;q=</v>
      </c>
      <c r="N96" s="12" t="s">
        <v>1497</v>
      </c>
      <c r="O96" s="12" t="str">
        <f>CONCATENATE(N96,A96,"\",B96,"\",C96,".jpg")</f>
        <v>C:\Users\mbaptista\OneDrive - Biblioteca Nacional de Portugal\Documentos\python\camoniana\imagens\capas\410449\1\6.jpg</v>
      </c>
      <c r="P96" s="12" t="str">
        <f>HYPERLINK(O96)</f>
        <v>C:\Users\mbaptista\OneDrive - Biblioteca Nacional de Portugal\Documentos\python\camoniana\imagens\capas\410449\1\6.jpg</v>
      </c>
      <c r="Q96" s="12"/>
      <c r="R96" s="6" t="s">
        <v>111</v>
      </c>
      <c r="S96" s="12"/>
      <c r="T96" s="1">
        <v>6</v>
      </c>
      <c r="U96" s="13"/>
      <c r="V96" s="13"/>
      <c r="W96" s="5" t="s">
        <v>1491</v>
      </c>
    </row>
    <row r="97" spans="1:23" ht="225">
      <c r="A97" s="1">
        <v>411542</v>
      </c>
      <c r="B97" s="1">
        <v>1</v>
      </c>
      <c r="C97" s="13">
        <v>1</v>
      </c>
      <c r="D97" s="2" t="s">
        <v>112</v>
      </c>
      <c r="E97" s="5" t="s">
        <v>112</v>
      </c>
      <c r="F97" s="5">
        <v>273798</v>
      </c>
      <c r="G97" s="2" t="s">
        <v>1494</v>
      </c>
      <c r="H97" s="2" t="s">
        <v>1495</v>
      </c>
      <c r="I97" s="2" t="s">
        <v>1496</v>
      </c>
      <c r="J97" s="2" t="str">
        <f>CONCATENATE(G97,F97,H97,C97,I97)</f>
        <v>https://permalinkbnd.bnportugal.gov.pt/viewer/273798/?offset=#page=1&amp;viewer=picture&amp;o=info&amp;n=0&amp;q=</v>
      </c>
      <c r="K97" s="1">
        <v>1</v>
      </c>
      <c r="L97" s="1" t="str">
        <f>VLOOKUP(A97,Folha2!$A$2:$B$2019,2,FALSE)</f>
        <v>Magalhães Lima, O centenário no estrangeiro, 1897 conferência.</v>
      </c>
      <c r="M97" s="12" t="str">
        <f>HYPERLINK(J97)</f>
        <v>https://permalinkbnd.bnportugal.gov.pt/viewer/273798/?offset=#page=1&amp;viewer=picture&amp;o=info&amp;n=0&amp;q=</v>
      </c>
      <c r="N97" s="12" t="s">
        <v>1497</v>
      </c>
      <c r="O97" s="12" t="str">
        <f>CONCATENATE(N97,A97,"\",B97,"\",C97,".jpg")</f>
        <v>C:\Users\mbaptista\OneDrive - Biblioteca Nacional de Portugal\Documentos\python\camoniana\imagens\capas\411542\1\1.jpg</v>
      </c>
      <c r="P97" s="12" t="str">
        <f>HYPERLINK(O97)</f>
        <v>C:\Users\mbaptista\OneDrive - Biblioteca Nacional de Portugal\Documentos\python\camoniana\imagens\capas\411542\1\1.jpg</v>
      </c>
      <c r="Q97" s="12"/>
      <c r="R97" s="6" t="s">
        <v>114</v>
      </c>
      <c r="S97" s="12"/>
      <c r="T97" s="1"/>
      <c r="U97" s="13" t="s">
        <v>113</v>
      </c>
      <c r="V97" s="13"/>
      <c r="W97" s="5" t="s">
        <v>1491</v>
      </c>
    </row>
    <row r="98" spans="1:23" ht="225">
      <c r="A98" s="1">
        <v>426512</v>
      </c>
      <c r="B98" s="1">
        <v>1</v>
      </c>
      <c r="C98" s="1">
        <v>1</v>
      </c>
      <c r="D98" s="2" t="s">
        <v>115</v>
      </c>
      <c r="E98" s="11" t="s">
        <v>115</v>
      </c>
      <c r="F98" s="11">
        <v>272882</v>
      </c>
      <c r="G98" s="2" t="s">
        <v>1494</v>
      </c>
      <c r="H98" s="2" t="s">
        <v>1495</v>
      </c>
      <c r="I98" s="2" t="s">
        <v>1496</v>
      </c>
      <c r="J98" s="2" t="str">
        <f>CONCATENATE(G98,F98,H98,C98,I98)</f>
        <v>https://permalinkbnd.bnportugal.gov.pt/viewer/272882/?offset=#page=1&amp;viewer=picture&amp;o=info&amp;n=0&amp;q=</v>
      </c>
      <c r="K98" s="1">
        <v>1</v>
      </c>
      <c r="L98" s="1" t="str">
        <f>VLOOKUP(A98,Folha2!$A$2:$B$2019,2,FALSE)</f>
        <v>D. Maria Cornélia Pacheco, Homenagem a Camões. Lamentações de Jau, 187?</v>
      </c>
      <c r="M98" s="12" t="str">
        <f>HYPERLINK(J98)</f>
        <v>https://permalinkbnd.bnportugal.gov.pt/viewer/272882/?offset=#page=1&amp;viewer=picture&amp;o=info&amp;n=0&amp;q=</v>
      </c>
      <c r="N98" s="12" t="s">
        <v>1497</v>
      </c>
      <c r="O98" s="12" t="str">
        <f>CONCATENATE(N98,A98,"\",B98,"\",C98,".jpg")</f>
        <v>C:\Users\mbaptista\OneDrive - Biblioteca Nacional de Portugal\Documentos\python\camoniana\imagens\capas\426512\1\1.jpg</v>
      </c>
      <c r="P98" s="12" t="str">
        <f>HYPERLINK(O98)</f>
        <v>C:\Users\mbaptista\OneDrive - Biblioteca Nacional de Portugal\Documentos\python\camoniana\imagens\capas\426512\1\1.jpg</v>
      </c>
      <c r="Q98" s="12"/>
      <c r="R98" s="6" t="s">
        <v>116</v>
      </c>
      <c r="S98" s="12"/>
      <c r="T98" s="1">
        <v>1</v>
      </c>
      <c r="U98" s="13"/>
      <c r="V98" s="13"/>
      <c r="W98" s="5" t="s">
        <v>1491</v>
      </c>
    </row>
    <row r="99" spans="1:23" ht="225">
      <c r="A99" s="1">
        <v>446302</v>
      </c>
      <c r="B99" s="1">
        <v>1</v>
      </c>
      <c r="C99" s="1">
        <v>11</v>
      </c>
      <c r="D99" s="2" t="s">
        <v>117</v>
      </c>
      <c r="E99" s="5" t="s">
        <v>117</v>
      </c>
      <c r="F99" s="5">
        <v>1880</v>
      </c>
      <c r="G99" s="2" t="s">
        <v>1494</v>
      </c>
      <c r="H99" s="2" t="s">
        <v>1495</v>
      </c>
      <c r="I99" s="2" t="s">
        <v>1496</v>
      </c>
      <c r="J99" s="2" t="str">
        <f>CONCATENATE(G99,F99,H99,C99,I99)</f>
        <v>https://permalinkbnd.bnportugal.gov.pt/viewer/1880/?offset=#page=11&amp;viewer=picture&amp;o=info&amp;n=0&amp;q=</v>
      </c>
      <c r="K99" s="1">
        <v>11</v>
      </c>
      <c r="L99" s="1" t="str">
        <f>VLOOKUP(A99,Folha2!$A$2:$B$2019,2,FALSE)</f>
        <v xml:space="preserve">Primeiros documentos para a história da comemoração camoniana de 1880, 1887. </v>
      </c>
      <c r="M99" s="12" t="str">
        <f>HYPERLINK(J99)</f>
        <v>https://permalinkbnd.bnportugal.gov.pt/viewer/1880/?offset=#page=11&amp;viewer=picture&amp;o=info&amp;n=0&amp;q=</v>
      </c>
      <c r="N99" s="12" t="s">
        <v>1497</v>
      </c>
      <c r="O99" s="12" t="str">
        <f>CONCATENATE(N99,A99,"\",B99,"\",C99,".jpg")</f>
        <v>C:\Users\mbaptista\OneDrive - Biblioteca Nacional de Portugal\Documentos\python\camoniana\imagens\capas\446302\1\11.jpg</v>
      </c>
      <c r="P99" s="12" t="str">
        <f>HYPERLINK(O99)</f>
        <v>C:\Users\mbaptista\OneDrive - Biblioteca Nacional de Portugal\Documentos\python\camoniana\imagens\capas\446302\1\11.jpg</v>
      </c>
      <c r="Q99" s="12"/>
      <c r="R99" s="6" t="s">
        <v>118</v>
      </c>
      <c r="S99" s="12"/>
      <c r="T99" s="1"/>
      <c r="U99" s="13"/>
      <c r="V99" s="13"/>
      <c r="W99" s="5" t="s">
        <v>1491</v>
      </c>
    </row>
    <row r="100" spans="1:23" ht="225">
      <c r="A100" s="1">
        <v>452363</v>
      </c>
      <c r="B100" s="1">
        <v>1</v>
      </c>
      <c r="C100" s="1">
        <v>1</v>
      </c>
      <c r="D100" s="2" t="s">
        <v>119</v>
      </c>
      <c r="E100" s="11" t="s">
        <v>119</v>
      </c>
      <c r="F100" s="11">
        <v>35644</v>
      </c>
      <c r="G100" s="2" t="s">
        <v>1494</v>
      </c>
      <c r="H100" s="2" t="s">
        <v>1495</v>
      </c>
      <c r="I100" s="2" t="s">
        <v>1496</v>
      </c>
      <c r="J100" s="2" t="str">
        <f>CONCATENATE(G100,F100,H100,C100,I100)</f>
        <v>https://permalinkbnd.bnportugal.gov.pt/viewer/35644/?offset=#page=1&amp;viewer=picture&amp;o=info&amp;n=0&amp;q=</v>
      </c>
      <c r="K100" s="1" t="s">
        <v>120</v>
      </c>
      <c r="L100" s="1" t="str">
        <f>VLOOKUP(A100,Folha2!$A$2:$B$2019,2,FALSE)</f>
        <v>Lubin David, Camões, 1887?</v>
      </c>
      <c r="M100" s="12" t="str">
        <f>HYPERLINK(J100)</f>
        <v>https://permalinkbnd.bnportugal.gov.pt/viewer/35644/?offset=#page=1&amp;viewer=picture&amp;o=info&amp;n=0&amp;q=</v>
      </c>
      <c r="N100" s="12" t="s">
        <v>1497</v>
      </c>
      <c r="O100" s="12" t="str">
        <f>CONCATENATE(N100,A100,"\",B100,"\",C100,".jpg")</f>
        <v>C:\Users\mbaptista\OneDrive - Biblioteca Nacional de Portugal\Documentos\python\camoniana\imagens\capas\452363\1\1.jpg</v>
      </c>
      <c r="P100" s="12" t="str">
        <f>HYPERLINK(O100)</f>
        <v>C:\Users\mbaptista\OneDrive - Biblioteca Nacional de Portugal\Documentos\python\camoniana\imagens\capas\452363\1\1.jpg</v>
      </c>
      <c r="Q100" s="12"/>
      <c r="R100" s="6" t="s">
        <v>121</v>
      </c>
      <c r="S100" s="12"/>
      <c r="T100" s="1">
        <v>1</v>
      </c>
      <c r="U100" s="13"/>
      <c r="V100" s="13"/>
      <c r="W100" s="5" t="s">
        <v>1491</v>
      </c>
    </row>
    <row r="101" spans="1:23" ht="225">
      <c r="A101" s="1">
        <v>453897</v>
      </c>
      <c r="B101" s="1">
        <v>1</v>
      </c>
      <c r="C101" s="1">
        <v>9</v>
      </c>
      <c r="D101" s="2" t="s">
        <v>122</v>
      </c>
      <c r="E101" s="5" t="s">
        <v>122</v>
      </c>
      <c r="F101" s="5">
        <v>1880</v>
      </c>
      <c r="G101" s="2" t="s">
        <v>1494</v>
      </c>
      <c r="H101" s="2" t="s">
        <v>1495</v>
      </c>
      <c r="I101" s="2" t="s">
        <v>1496</v>
      </c>
      <c r="J101" s="2" t="str">
        <f>CONCATENATE(G101,F101,H101,C101,I101)</f>
        <v>https://permalinkbnd.bnportugal.gov.pt/viewer/1880/?offset=#page=9&amp;viewer=picture&amp;o=info&amp;n=0&amp;q=</v>
      </c>
      <c r="K101" s="1">
        <v>9</v>
      </c>
      <c r="L101" s="1" t="str">
        <f>VLOOKUP(A101,Folha2!$A$2:$B$2019,2,FALSE)</f>
        <v xml:space="preserve">À memória de Luís de Camões, 1880. Excerto do episódio Os doze. In A sentinela, semanário bracarense. </v>
      </c>
      <c r="M101" s="12" t="str">
        <f>HYPERLINK(J101)</f>
        <v>https://permalinkbnd.bnportugal.gov.pt/viewer/1880/?offset=#page=9&amp;viewer=picture&amp;o=info&amp;n=0&amp;q=</v>
      </c>
      <c r="N101" s="12" t="s">
        <v>1497</v>
      </c>
      <c r="O101" s="12" t="str">
        <f>CONCATENATE(N101,A101,"\",B101,"\",C101,".jpg")</f>
        <v>C:\Users\mbaptista\OneDrive - Biblioteca Nacional de Portugal\Documentos\python\camoniana\imagens\capas\453897\1\9.jpg</v>
      </c>
      <c r="P101" s="12" t="str">
        <f>HYPERLINK(O101)</f>
        <v>C:\Users\mbaptista\OneDrive - Biblioteca Nacional de Portugal\Documentos\python\camoniana\imagens\capas\453897\1\9.jpg</v>
      </c>
      <c r="Q101" s="12"/>
      <c r="R101" s="6" t="s">
        <v>52</v>
      </c>
      <c r="S101" s="12"/>
      <c r="T101" s="1">
        <v>9</v>
      </c>
      <c r="U101" s="13"/>
      <c r="V101" s="13"/>
      <c r="W101" s="5" t="s">
        <v>1491</v>
      </c>
    </row>
    <row r="102" spans="1:23" ht="225">
      <c r="A102" s="1">
        <v>454218</v>
      </c>
      <c r="B102" s="1">
        <v>1</v>
      </c>
      <c r="C102" s="1">
        <v>3</v>
      </c>
      <c r="D102" s="2" t="s">
        <v>123</v>
      </c>
      <c r="E102" s="11" t="s">
        <v>123</v>
      </c>
      <c r="F102" s="11">
        <v>273923</v>
      </c>
      <c r="G102" s="2" t="s">
        <v>1494</v>
      </c>
      <c r="H102" s="2" t="s">
        <v>1495</v>
      </c>
      <c r="I102" s="2" t="s">
        <v>1496</v>
      </c>
      <c r="J102" s="2" t="str">
        <f>CONCATENATE(G102,F102,H102,C102,I102)</f>
        <v>https://permalinkbnd.bnportugal.gov.pt/viewer/273923/?offset=#page=3&amp;viewer=picture&amp;o=info&amp;n=0&amp;q=</v>
      </c>
      <c r="K102" s="1">
        <v>3</v>
      </c>
      <c r="L102" s="1" t="str">
        <f>VLOOKUP(A102,Folha2!$A$2:$B$2019,2,FALSE)</f>
        <v>Vida de Luís de Camões e seu retrato (retoma o texto de 1772), 1881</v>
      </c>
      <c r="M102" s="12" t="str">
        <f>HYPERLINK(J102)</f>
        <v>https://permalinkbnd.bnportugal.gov.pt/viewer/273923/?offset=#page=3&amp;viewer=picture&amp;o=info&amp;n=0&amp;q=</v>
      </c>
      <c r="N102" s="12" t="s">
        <v>1497</v>
      </c>
      <c r="O102" s="12" t="str">
        <f>CONCATENATE(N102,A102,"\",B102,"\",C102,".jpg")</f>
        <v>C:\Users\mbaptista\OneDrive - Biblioteca Nacional de Portugal\Documentos\python\camoniana\imagens\capas\454218\1\3.jpg</v>
      </c>
      <c r="P102" s="12" t="str">
        <f>HYPERLINK(O102)</f>
        <v>C:\Users\mbaptista\OneDrive - Biblioteca Nacional de Portugal\Documentos\python\camoniana\imagens\capas\454218\1\3.jpg</v>
      </c>
      <c r="Q102" s="12"/>
      <c r="R102" s="6" t="s">
        <v>124</v>
      </c>
      <c r="S102" s="12"/>
      <c r="T102" s="1">
        <v>3</v>
      </c>
      <c r="U102" s="13"/>
      <c r="V102" s="13"/>
      <c r="W102" s="5" t="s">
        <v>1491</v>
      </c>
    </row>
    <row r="103" spans="1:23" ht="225">
      <c r="A103" s="1">
        <v>455268</v>
      </c>
      <c r="B103" s="1">
        <v>1</v>
      </c>
      <c r="C103" s="1">
        <v>8</v>
      </c>
      <c r="D103" s="2" t="s">
        <v>125</v>
      </c>
      <c r="E103" s="5" t="s">
        <v>125</v>
      </c>
      <c r="F103" s="5">
        <v>270331</v>
      </c>
      <c r="G103" s="2" t="s">
        <v>1494</v>
      </c>
      <c r="H103" s="2" t="s">
        <v>1495</v>
      </c>
      <c r="I103" s="2" t="s">
        <v>1496</v>
      </c>
      <c r="J103" s="2" t="str">
        <f>CONCATENATE(G103,F103,H103,C103,I103)</f>
        <v>https://permalinkbnd.bnportugal.gov.pt/viewer/270331/?offset=#page=8&amp;viewer=picture&amp;o=info&amp;n=0&amp;q=</v>
      </c>
      <c r="K103" s="1" t="s">
        <v>126</v>
      </c>
      <c r="L103" s="1" t="str">
        <f>VLOOKUP(A103,Folha2!$A$2:$B$2019,2,FALSE)</f>
        <v>I Lusiadi, Antonio Nervi, 1821, 2.ª ed. 2 Vols [1.º: até ao C. V, com notas; 2.º até ao C. X, com notas]. Trad. Paratextos; Trad. Paratextos vida; Trad. Paratextos notas; Trad. Paratextos argumentos; Mulheres [M. de Staël].</v>
      </c>
      <c r="M103" s="12" t="str">
        <f>HYPERLINK(J103)</f>
        <v>https://permalinkbnd.bnportugal.gov.pt/viewer/270331/?offset=#page=8&amp;viewer=picture&amp;o=info&amp;n=0&amp;q=</v>
      </c>
      <c r="N103" s="12" t="s">
        <v>1497</v>
      </c>
      <c r="O103" s="12" t="str">
        <f>CONCATENATE(N103,A103,"\",B103,"\",C103,".jpg")</f>
        <v>C:\Users\mbaptista\OneDrive - Biblioteca Nacional de Portugal\Documentos\python\camoniana\imagens\capas\455268\1\8.jpg</v>
      </c>
      <c r="P103" s="12" t="str">
        <f>HYPERLINK(O103)</f>
        <v>C:\Users\mbaptista\OneDrive - Biblioteca Nacional de Portugal\Documentos\python\camoniana\imagens\capas\455268\1\8.jpg</v>
      </c>
      <c r="Q103" s="12"/>
      <c r="R103" s="6" t="s">
        <v>128</v>
      </c>
      <c r="S103" s="12"/>
      <c r="T103" s="1" t="s">
        <v>127</v>
      </c>
      <c r="U103" s="13"/>
      <c r="V103" s="13"/>
      <c r="W103" s="5" t="s">
        <v>1491</v>
      </c>
    </row>
    <row r="104" spans="1:23" ht="225">
      <c r="A104" s="1">
        <v>455268</v>
      </c>
      <c r="B104" s="1">
        <v>1</v>
      </c>
      <c r="C104" s="1">
        <v>62</v>
      </c>
      <c r="D104" s="2" t="s">
        <v>125</v>
      </c>
      <c r="E104" s="11" t="s">
        <v>125</v>
      </c>
      <c r="F104" s="11">
        <v>270331</v>
      </c>
      <c r="G104" s="2" t="s">
        <v>1494</v>
      </c>
      <c r="H104" s="2" t="s">
        <v>1495</v>
      </c>
      <c r="I104" s="2" t="s">
        <v>1496</v>
      </c>
      <c r="J104" s="2" t="str">
        <f>CONCATENATE(G104,F104,H104,C104,I104)</f>
        <v>https://permalinkbnd.bnportugal.gov.pt/viewer/270331/?offset=#page=62&amp;viewer=picture&amp;o=info&amp;n=0&amp;q=</v>
      </c>
      <c r="K104" s="1" t="s">
        <v>126</v>
      </c>
      <c r="L104" s="1" t="str">
        <f>VLOOKUP(A104,Folha2!$A$2:$B$2019,2,FALSE)</f>
        <v>I Lusiadi, Antonio Nervi, 1821, 2.ª ed. 2 Vols [1.º: até ao C. V, com notas; 2.º até ao C. X, com notas]. Trad. Paratextos; Trad. Paratextos vida; Trad. Paratextos notas; Trad. Paratextos argumentos; Mulheres [M. de Staël].</v>
      </c>
      <c r="M104" s="12" t="str">
        <f>HYPERLINK(J104)</f>
        <v>https://permalinkbnd.bnportugal.gov.pt/viewer/270331/?offset=#page=62&amp;viewer=picture&amp;o=info&amp;n=0&amp;q=</v>
      </c>
      <c r="N104" s="12" t="s">
        <v>1497</v>
      </c>
      <c r="O104" s="12" t="str">
        <f>CONCATENATE(N104,A104,"\",B104,"\",C104,".jpg")</f>
        <v>C:\Users\mbaptista\OneDrive - Biblioteca Nacional de Portugal\Documentos\python\camoniana\imagens\capas\455268\1\62.jpg</v>
      </c>
      <c r="P104" s="12" t="str">
        <f>HYPERLINK(O104)</f>
        <v>C:\Users\mbaptista\OneDrive - Biblioteca Nacional de Portugal\Documentos\python\camoniana\imagens\capas\455268\1\62.jpg</v>
      </c>
      <c r="Q104" s="12"/>
      <c r="R104" s="6" t="s">
        <v>129</v>
      </c>
      <c r="S104" s="12"/>
      <c r="T104" s="1" t="s">
        <v>127</v>
      </c>
      <c r="U104" s="13"/>
      <c r="V104" s="13"/>
      <c r="W104" s="5" t="s">
        <v>1491</v>
      </c>
    </row>
    <row r="105" spans="1:23" ht="225">
      <c r="A105" s="1">
        <v>455268</v>
      </c>
      <c r="B105" s="1">
        <v>2</v>
      </c>
      <c r="C105" s="1">
        <v>8</v>
      </c>
      <c r="D105" s="2" t="s">
        <v>125</v>
      </c>
      <c r="E105" s="5" t="s">
        <v>125</v>
      </c>
      <c r="F105" s="5">
        <v>270331</v>
      </c>
      <c r="G105" s="2" t="s">
        <v>1494</v>
      </c>
      <c r="H105" s="2" t="s">
        <v>1495</v>
      </c>
      <c r="I105" s="2" t="s">
        <v>1496</v>
      </c>
      <c r="J105" s="2" t="str">
        <f>CONCATENATE(G105,F105,H105,C105,I105)</f>
        <v>https://permalinkbnd.bnportugal.gov.pt/viewer/270331/?offset=#page=8&amp;viewer=picture&amp;o=info&amp;n=0&amp;q=</v>
      </c>
      <c r="K105" s="1" t="s">
        <v>126</v>
      </c>
      <c r="L105" s="1" t="str">
        <f>VLOOKUP(A105,Folha2!$A$2:$B$2019,2,FALSE)</f>
        <v>I Lusiadi, Antonio Nervi, 1821, 2.ª ed. 2 Vols [1.º: até ao C. V, com notas; 2.º até ao C. X, com notas]. Trad. Paratextos; Trad. Paratextos vida; Trad. Paratextos notas; Trad. Paratextos argumentos; Mulheres [M. de Staël].</v>
      </c>
      <c r="M105" s="12" t="s">
        <v>1520</v>
      </c>
      <c r="N105" s="12" t="s">
        <v>1497</v>
      </c>
      <c r="O105" s="12" t="str">
        <f>CONCATENATE(N105,A105,"\",B105,"\",C105,".jpg")</f>
        <v>C:\Users\mbaptista\OneDrive - Biblioteca Nacional de Portugal\Documentos\python\camoniana\imagens\capas\455268\2\8.jpg</v>
      </c>
      <c r="P105" s="12" t="str">
        <f>HYPERLINK(O105)</f>
        <v>C:\Users\mbaptista\OneDrive - Biblioteca Nacional de Portugal\Documentos\python\camoniana\imagens\capas\455268\2\8.jpg</v>
      </c>
      <c r="Q105" s="12"/>
      <c r="R105" s="6" t="s">
        <v>128</v>
      </c>
      <c r="S105" s="12"/>
      <c r="T105" s="1" t="s">
        <v>127</v>
      </c>
      <c r="U105" s="13"/>
      <c r="V105" s="13"/>
      <c r="W105" s="5" t="s">
        <v>1491</v>
      </c>
    </row>
    <row r="106" spans="1:23" ht="225">
      <c r="A106" s="1">
        <v>455275</v>
      </c>
      <c r="B106" s="1">
        <v>1</v>
      </c>
      <c r="C106" s="1">
        <v>10</v>
      </c>
      <c r="D106" s="2" t="s">
        <v>130</v>
      </c>
      <c r="E106" s="5" t="s">
        <v>130</v>
      </c>
      <c r="F106" s="5">
        <v>270345</v>
      </c>
      <c r="G106" s="2" t="s">
        <v>1494</v>
      </c>
      <c r="H106" s="2" t="s">
        <v>1495</v>
      </c>
      <c r="I106" s="2" t="s">
        <v>1496</v>
      </c>
      <c r="J106" s="2" t="str">
        <f>CONCATENATE(G106,F106,H106,C106,I106)</f>
        <v>https://permalinkbnd.bnportugal.gov.pt/viewer/270345/?offset=#page=10&amp;viewer=picture&amp;o=info&amp;n=0&amp;q=</v>
      </c>
      <c r="K106" s="1" t="s">
        <v>131</v>
      </c>
      <c r="L106" s="1" t="str">
        <f>VLOOKUP(A106,Folha2!$A$2:$B$2019,2,FALSE)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6" s="12" t="str">
        <f>HYPERLINK(J106)</f>
        <v>https://permalinkbnd.bnportugal.gov.pt/viewer/270345/?offset=#page=10&amp;viewer=picture&amp;o=info&amp;n=0&amp;q=</v>
      </c>
      <c r="N106" s="12" t="s">
        <v>1497</v>
      </c>
      <c r="O106" s="12" t="str">
        <f>CONCATENATE(N106,A106,"\",B106,"\",C106,".jpg")</f>
        <v>C:\Users\mbaptista\OneDrive - Biblioteca Nacional de Portugal\Documentos\python\camoniana\imagens\capas\455275\1\10.jpg</v>
      </c>
      <c r="P106" s="12" t="str">
        <f>HYPERLINK(O106)</f>
        <v>C:\Users\mbaptista\OneDrive - Biblioteca Nacional de Portugal\Documentos\python\camoniana\imagens\capas\455275\1\10.jpg</v>
      </c>
      <c r="Q106" s="12"/>
      <c r="R106" s="6" t="s">
        <v>132</v>
      </c>
      <c r="S106" s="12"/>
      <c r="T106" s="1">
        <v>10</v>
      </c>
      <c r="U106" s="13"/>
      <c r="V106" s="13"/>
      <c r="W106" s="5" t="s">
        <v>1491</v>
      </c>
    </row>
    <row r="107" spans="1:23" ht="225">
      <c r="A107" s="1">
        <v>455275</v>
      </c>
      <c r="B107" s="1">
        <v>1</v>
      </c>
      <c r="C107" s="1">
        <v>13</v>
      </c>
      <c r="D107" s="2" t="s">
        <v>130</v>
      </c>
      <c r="E107" s="11" t="s">
        <v>130</v>
      </c>
      <c r="F107" s="11">
        <v>270345</v>
      </c>
      <c r="G107" s="2" t="s">
        <v>1494</v>
      </c>
      <c r="H107" s="2" t="s">
        <v>1495</v>
      </c>
      <c r="I107" s="2" t="s">
        <v>1496</v>
      </c>
      <c r="J107" s="2" t="str">
        <f>CONCATENATE(G107,F107,H107,C107,I107)</f>
        <v>https://permalinkbnd.bnportugal.gov.pt/viewer/270345/?offset=#page=13&amp;viewer=picture&amp;o=info&amp;n=0&amp;q=</v>
      </c>
      <c r="K107" s="1" t="s">
        <v>131</v>
      </c>
      <c r="L107" s="1" t="str">
        <f>VLOOKUP(A107,Folha2!$A$2:$B$2019,2,FALSE)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7" s="12" t="str">
        <f>HYPERLINK(J107)</f>
        <v>https://permalinkbnd.bnportugal.gov.pt/viewer/270345/?offset=#page=13&amp;viewer=picture&amp;o=info&amp;n=0&amp;q=</v>
      </c>
      <c r="N107" s="12" t="s">
        <v>1497</v>
      </c>
      <c r="O107" s="12" t="str">
        <f>CONCATENATE(N107,A107,"\",B107,"\",C107,".jpg")</f>
        <v>C:\Users\mbaptista\OneDrive - Biblioteca Nacional de Portugal\Documentos\python\camoniana\imagens\capas\455275\1\13.jpg</v>
      </c>
      <c r="P107" s="12" t="str">
        <f>HYPERLINK(O107)</f>
        <v>C:\Users\mbaptista\OneDrive - Biblioteca Nacional de Portugal\Documentos\python\camoniana\imagens\capas\455275\1\13.jpg</v>
      </c>
      <c r="Q107" s="12"/>
      <c r="R107" s="6"/>
      <c r="S107" s="12"/>
      <c r="T107" s="1"/>
      <c r="U107" s="13"/>
      <c r="V107" s="13"/>
      <c r="W107" s="5"/>
    </row>
    <row r="108" spans="1:23" ht="225">
      <c r="A108" s="1">
        <v>455275</v>
      </c>
      <c r="B108" s="1">
        <v>1</v>
      </c>
      <c r="C108" s="1">
        <v>426</v>
      </c>
      <c r="D108" s="2" t="s">
        <v>130</v>
      </c>
      <c r="E108" s="5" t="s">
        <v>130</v>
      </c>
      <c r="F108" s="5">
        <v>270345</v>
      </c>
      <c r="G108" s="2" t="s">
        <v>1494</v>
      </c>
      <c r="H108" s="2" t="s">
        <v>1495</v>
      </c>
      <c r="I108" s="2" t="s">
        <v>1496</v>
      </c>
      <c r="J108" s="2" t="str">
        <f>CONCATENATE(G108,F108,H108,C108,I108)</f>
        <v>https://permalinkbnd.bnportugal.gov.pt/viewer/270345/?offset=#page=426&amp;viewer=picture&amp;o=info&amp;n=0&amp;q=</v>
      </c>
      <c r="K108" s="1" t="s">
        <v>131</v>
      </c>
      <c r="L108" s="1" t="str">
        <f>VLOOKUP(A108,Folha2!$A$2:$B$2019,2,FALSE)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8" s="12" t="str">
        <f>HYPERLINK(J108)</f>
        <v>https://permalinkbnd.bnportugal.gov.pt/viewer/270345/?offset=#page=426&amp;viewer=picture&amp;o=info&amp;n=0&amp;q=</v>
      </c>
      <c r="N108" s="12" t="s">
        <v>1497</v>
      </c>
      <c r="O108" s="12" t="str">
        <f>CONCATENATE(N108,A108,"\",B108,"\",C108,".jpg")</f>
        <v>C:\Users\mbaptista\OneDrive - Biblioteca Nacional de Portugal\Documentos\python\camoniana\imagens\capas\455275\1\426.jpg</v>
      </c>
      <c r="P108" s="12" t="str">
        <f>HYPERLINK(O108)</f>
        <v>C:\Users\mbaptista\OneDrive - Biblioteca Nacional de Portugal\Documentos\python\camoniana\imagens\capas\455275\1\426.jpg</v>
      </c>
      <c r="Q108" s="12"/>
      <c r="R108" s="6"/>
      <c r="S108" s="12"/>
      <c r="T108" s="1"/>
      <c r="U108" s="13"/>
      <c r="V108" s="13"/>
      <c r="W108" s="5"/>
    </row>
    <row r="109" spans="1:23" ht="225">
      <c r="A109" s="1">
        <v>455275</v>
      </c>
      <c r="B109" s="1">
        <v>3</v>
      </c>
      <c r="C109" s="1">
        <v>154</v>
      </c>
      <c r="D109" s="2" t="s">
        <v>130</v>
      </c>
      <c r="E109" s="11" t="s">
        <v>130</v>
      </c>
      <c r="F109" s="11">
        <v>270345</v>
      </c>
      <c r="G109" s="2" t="s">
        <v>1494</v>
      </c>
      <c r="H109" s="2" t="s">
        <v>1495</v>
      </c>
      <c r="I109" s="2" t="s">
        <v>1496</v>
      </c>
      <c r="J109" s="2" t="str">
        <f>CONCATENATE(G109,F109,H109,C109,I109)</f>
        <v>https://permalinkbnd.bnportugal.gov.pt/viewer/270345/?offset=#page=154&amp;viewer=picture&amp;o=info&amp;n=0&amp;q=</v>
      </c>
      <c r="K109" s="1" t="s">
        <v>131</v>
      </c>
      <c r="L109" s="1" t="str">
        <f>VLOOKUP(A109,Folha2!$A$2:$B$2019,2,FALSE)</f>
        <v xml:space="preserve">Obras Completas, 1843. 3 Vols. [1.º Épica, com notas sobre os Cantos, sem argumentos; 2.º Lírica: sonetos, éclogas, canções, odes, com notas; 3.º Cont. Lírica: redondilhas, sôbolos rios, cartas poema, convites, mote, disparates, cantiga, endechas, sextinas, elegias, trovas, esparsas, vilancete, epístolas, oitavas; Teatro: Seleuco, Anfitriões, Filodemo; Cartas; notas até às cartas] Paratextos vida; Paratextos notas [épica, lírica e cartas]. </v>
      </c>
      <c r="M109" s="12" t="s">
        <v>1521</v>
      </c>
      <c r="N109" s="12" t="s">
        <v>1497</v>
      </c>
      <c r="O109" s="12" t="str">
        <f>CONCATENATE(N109,A109,"\",B109,"\",C109,".jpg")</f>
        <v>C:\Users\mbaptista\OneDrive - Biblioteca Nacional de Portugal\Documentos\python\camoniana\imagens\capas\455275\3\154.jpg</v>
      </c>
      <c r="P109" s="12" t="str">
        <f>HYPERLINK(O109)</f>
        <v>C:\Users\mbaptista\OneDrive - Biblioteca Nacional de Portugal\Documentos\python\camoniana\imagens\capas\455275\3\154.jpg</v>
      </c>
      <c r="Q109" s="12"/>
      <c r="R109" s="6"/>
      <c r="S109" s="12"/>
      <c r="T109" s="1"/>
      <c r="U109" s="13"/>
      <c r="V109" s="13"/>
      <c r="W109" s="5"/>
    </row>
    <row r="110" spans="1:23" ht="225">
      <c r="A110" s="1">
        <v>458290</v>
      </c>
      <c r="B110" s="1">
        <v>1</v>
      </c>
      <c r="C110" s="1">
        <v>10</v>
      </c>
      <c r="D110" s="2" t="s">
        <v>133</v>
      </c>
      <c r="E110" s="5" t="s">
        <v>133</v>
      </c>
      <c r="F110" s="5">
        <v>273525</v>
      </c>
      <c r="G110" s="2" t="s">
        <v>1494</v>
      </c>
      <c r="H110" s="2" t="s">
        <v>1495</v>
      </c>
      <c r="I110" s="2" t="s">
        <v>1496</v>
      </c>
      <c r="J110" s="2" t="str">
        <f>CONCATENATE(G110,F110,H110,C110,I110)</f>
        <v>https://permalinkbnd.bnportugal.gov.pt/viewer/273525/?offset=#page=10&amp;viewer=picture&amp;o=info&amp;n=0&amp;q=</v>
      </c>
      <c r="K110" s="1" t="s">
        <v>134</v>
      </c>
      <c r="L110" s="1" t="str">
        <f>VLOOKUP(A110,Folha2!$A$2:$B$2019,2,FALSE)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0" s="12" t="str">
        <f>HYPERLINK(J110)</f>
        <v>https://permalinkbnd.bnportugal.gov.pt/viewer/273525/?offset=#page=10&amp;viewer=picture&amp;o=info&amp;n=0&amp;q=</v>
      </c>
      <c r="N110" s="12" t="s">
        <v>1497</v>
      </c>
      <c r="O110" s="12" t="str">
        <f>CONCATENATE(N110,A110,"\",B110,"\",C110,".jpg")</f>
        <v>C:\Users\mbaptista\OneDrive - Biblioteca Nacional de Portugal\Documentos\python\camoniana\imagens\capas\458290\1\10.jpg</v>
      </c>
      <c r="P110" s="12" t="str">
        <f>HYPERLINK(O110)</f>
        <v>C:\Users\mbaptista\OneDrive - Biblioteca Nacional de Portugal\Documentos\python\camoniana\imagens\capas\458290\1\10.jpg</v>
      </c>
      <c r="Q110" s="12"/>
      <c r="R110" s="6" t="s">
        <v>136</v>
      </c>
      <c r="S110" s="12"/>
      <c r="T110" s="1">
        <v>10</v>
      </c>
      <c r="U110" s="13" t="s">
        <v>135</v>
      </c>
      <c r="V110" s="13"/>
      <c r="W110" s="5" t="s">
        <v>1491</v>
      </c>
    </row>
    <row r="111" spans="1:23" ht="225">
      <c r="A111" s="1">
        <v>458290</v>
      </c>
      <c r="B111" s="1">
        <v>1</v>
      </c>
      <c r="C111" s="1">
        <v>11</v>
      </c>
      <c r="D111" s="2" t="s">
        <v>133</v>
      </c>
      <c r="E111" s="11" t="s">
        <v>133</v>
      </c>
      <c r="F111" s="11">
        <v>273525</v>
      </c>
      <c r="G111" s="2" t="s">
        <v>1494</v>
      </c>
      <c r="H111" s="2" t="s">
        <v>1495</v>
      </c>
      <c r="I111" s="2" t="s">
        <v>1496</v>
      </c>
      <c r="J111" s="2" t="str">
        <f>CONCATENATE(G111,F111,H111,C111,I111)</f>
        <v>https://permalinkbnd.bnportugal.gov.pt/viewer/273525/?offset=#page=11&amp;viewer=picture&amp;o=info&amp;n=0&amp;q=</v>
      </c>
      <c r="K111" s="1" t="s">
        <v>134</v>
      </c>
      <c r="L111" s="1" t="str">
        <f>VLOOKUP(A111,Folha2!$A$2:$B$2019,2,FALSE)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1" s="12" t="str">
        <f>HYPERLINK(J111)</f>
        <v>https://permalinkbnd.bnportugal.gov.pt/viewer/273525/?offset=#page=11&amp;viewer=picture&amp;o=info&amp;n=0&amp;q=</v>
      </c>
      <c r="N111" s="12" t="s">
        <v>1497</v>
      </c>
      <c r="O111" s="12" t="str">
        <f>CONCATENATE(N111,A111,"\",B111,"\",C111,".jpg")</f>
        <v>C:\Users\mbaptista\OneDrive - Biblioteca Nacional de Portugal\Documentos\python\camoniana\imagens\capas\458290\1\11.jpg</v>
      </c>
      <c r="P111" s="12" t="str">
        <f>HYPERLINK(O111)</f>
        <v>C:\Users\mbaptista\OneDrive - Biblioteca Nacional de Portugal\Documentos\python\camoniana\imagens\capas\458290\1\11.jpg</v>
      </c>
      <c r="Q111" s="12"/>
      <c r="R111" s="6"/>
      <c r="S111" s="12"/>
      <c r="T111" s="1"/>
      <c r="U111" s="13"/>
      <c r="V111" s="13"/>
      <c r="W111" s="5"/>
    </row>
    <row r="112" spans="1:23" ht="225">
      <c r="A112" s="1">
        <v>458290</v>
      </c>
      <c r="B112" s="1">
        <v>1</v>
      </c>
      <c r="C112" s="1">
        <v>7</v>
      </c>
      <c r="D112" s="2" t="s">
        <v>133</v>
      </c>
      <c r="E112" s="5" t="s">
        <v>133</v>
      </c>
      <c r="F112" s="5">
        <v>273525</v>
      </c>
      <c r="G112" s="2" t="s">
        <v>1494</v>
      </c>
      <c r="H112" s="2" t="s">
        <v>1495</v>
      </c>
      <c r="I112" s="2" t="s">
        <v>1496</v>
      </c>
      <c r="J112" s="2" t="str">
        <f>CONCATENATE(G112,F112,H112,C112,I112)</f>
        <v>https://permalinkbnd.bnportugal.gov.pt/viewer/273525/?offset=#page=7&amp;viewer=picture&amp;o=info&amp;n=0&amp;q=</v>
      </c>
      <c r="K112" s="1" t="s">
        <v>134</v>
      </c>
      <c r="L112" s="1" t="str">
        <f>VLOOKUP(A112,Folha2!$A$2:$B$2019,2,FALSE)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2" s="12" t="str">
        <f>HYPERLINK(J112)</f>
        <v>https://permalinkbnd.bnportugal.gov.pt/viewer/273525/?offset=#page=7&amp;viewer=picture&amp;o=info&amp;n=0&amp;q=</v>
      </c>
      <c r="N112" s="12" t="s">
        <v>1497</v>
      </c>
      <c r="O112" s="12" t="str">
        <f>CONCATENATE(N112,A112,"\",B112,"\",C112,".jpg")</f>
        <v>C:\Users\mbaptista\OneDrive - Biblioteca Nacional de Portugal\Documentos\python\camoniana\imagens\capas\458290\1\7.jpg</v>
      </c>
      <c r="P112" s="12" t="str">
        <f>HYPERLINK(O112)</f>
        <v>C:\Users\mbaptista\OneDrive - Biblioteca Nacional de Portugal\Documentos\python\camoniana\imagens\capas\458290\1\7.jpg</v>
      </c>
      <c r="Q112" s="12"/>
      <c r="R112" s="6"/>
      <c r="S112" s="12"/>
      <c r="T112" s="1"/>
      <c r="U112" s="13"/>
      <c r="V112" s="13"/>
      <c r="W112" s="5"/>
    </row>
    <row r="113" spans="1:24" ht="225">
      <c r="A113" s="1">
        <v>458290</v>
      </c>
      <c r="B113" s="1">
        <v>1</v>
      </c>
      <c r="C113" s="1">
        <v>15</v>
      </c>
      <c r="D113" s="2" t="s">
        <v>133</v>
      </c>
      <c r="E113" s="11" t="s">
        <v>133</v>
      </c>
      <c r="F113" s="11">
        <v>273525</v>
      </c>
      <c r="G113" s="2" t="s">
        <v>1494</v>
      </c>
      <c r="H113" s="2" t="s">
        <v>1495</v>
      </c>
      <c r="I113" s="2" t="s">
        <v>1496</v>
      </c>
      <c r="J113" s="2" t="str">
        <f>CONCATENATE(G113,F113,H113,C113,I113)</f>
        <v>https://permalinkbnd.bnportugal.gov.pt/viewer/273525/?offset=#page=15&amp;viewer=picture&amp;o=info&amp;n=0&amp;q=</v>
      </c>
      <c r="K113" s="1" t="s">
        <v>134</v>
      </c>
      <c r="L113" s="1" t="str">
        <f>VLOOKUP(A113,Folha2!$A$2:$B$2019,2,FALSE)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3" s="12" t="str">
        <f>HYPERLINK(J113)</f>
        <v>https://permalinkbnd.bnportugal.gov.pt/viewer/273525/?offset=#page=15&amp;viewer=picture&amp;o=info&amp;n=0&amp;q=</v>
      </c>
      <c r="N113" s="12" t="s">
        <v>1497</v>
      </c>
      <c r="O113" s="12" t="str">
        <f>CONCATENATE(N113,A113,"\",B113,"\",C113,".jpg")</f>
        <v>C:\Users\mbaptista\OneDrive - Biblioteca Nacional de Portugal\Documentos\python\camoniana\imagens\capas\458290\1\15.jpg</v>
      </c>
      <c r="P113" s="12" t="str">
        <f>HYPERLINK(O113)</f>
        <v>C:\Users\mbaptista\OneDrive - Biblioteca Nacional de Portugal\Documentos\python\camoniana\imagens\capas\458290\1\15.jpg</v>
      </c>
      <c r="Q113" s="12"/>
      <c r="R113" s="6"/>
      <c r="S113" s="12"/>
      <c r="T113" s="1"/>
      <c r="U113" s="13"/>
      <c r="V113" s="13"/>
      <c r="W113" s="5"/>
    </row>
    <row r="114" spans="1:24" ht="225">
      <c r="A114" s="1">
        <v>458290</v>
      </c>
      <c r="B114" s="1">
        <v>1</v>
      </c>
      <c r="C114" s="1">
        <v>37</v>
      </c>
      <c r="D114" s="2" t="s">
        <v>133</v>
      </c>
      <c r="E114" s="5" t="s">
        <v>133</v>
      </c>
      <c r="F114" s="5">
        <v>273525</v>
      </c>
      <c r="G114" s="2" t="s">
        <v>1494</v>
      </c>
      <c r="H114" s="2" t="s">
        <v>1495</v>
      </c>
      <c r="I114" s="2" t="s">
        <v>1496</v>
      </c>
      <c r="J114" s="2" t="str">
        <f>CONCATENATE(G114,F114,H114,C114,I114)</f>
        <v>https://permalinkbnd.bnportugal.gov.pt/viewer/273525/?offset=#page=37&amp;viewer=picture&amp;o=info&amp;n=0&amp;q=</v>
      </c>
      <c r="K114" s="1" t="s">
        <v>134</v>
      </c>
      <c r="L114" s="1" t="str">
        <f>VLOOKUP(A114,Folha2!$A$2:$B$2019,2,FALSE)</f>
        <v>O episódio da Ilha de Vénus+ 2 versões livres em francês, 1890. Recepção criativa em francês. Tematização. Refere em paratexto as celebrações de 1880: Celebrações (1880), recepção criativa, tematização. Imagem 10 de Vénus parece estar esfumada.</v>
      </c>
      <c r="M114" s="12" t="str">
        <f>HYPERLINK(J114)</f>
        <v>https://permalinkbnd.bnportugal.gov.pt/viewer/273525/?offset=#page=37&amp;viewer=picture&amp;o=info&amp;n=0&amp;q=</v>
      </c>
      <c r="N114" s="12" t="s">
        <v>1497</v>
      </c>
      <c r="O114" s="12" t="str">
        <f>CONCATENATE(N114,A114,"\",B114,"\",C114,".jpg")</f>
        <v>C:\Users\mbaptista\OneDrive - Biblioteca Nacional de Portugal\Documentos\python\camoniana\imagens\capas\458290\1\37.jpg</v>
      </c>
      <c r="P114" s="12" t="str">
        <f>HYPERLINK(O114)</f>
        <v>C:\Users\mbaptista\OneDrive - Biblioteca Nacional de Portugal\Documentos\python\camoniana\imagens\capas\458290\1\37.jpg</v>
      </c>
      <c r="Q114" s="12"/>
      <c r="R114" s="6"/>
      <c r="S114" s="12"/>
      <c r="T114" s="1"/>
      <c r="U114" s="13"/>
      <c r="V114" s="13"/>
      <c r="W114" s="5"/>
    </row>
    <row r="115" spans="1:24" ht="225">
      <c r="A115" s="1">
        <v>458655</v>
      </c>
      <c r="B115" s="1">
        <v>1</v>
      </c>
      <c r="C115" s="1">
        <v>5</v>
      </c>
      <c r="D115" s="2" t="s">
        <v>137</v>
      </c>
      <c r="E115" s="11" t="s">
        <v>137</v>
      </c>
      <c r="F115" s="11">
        <v>270116</v>
      </c>
      <c r="G115" s="2" t="s">
        <v>1494</v>
      </c>
      <c r="H115" s="2" t="s">
        <v>1495</v>
      </c>
      <c r="I115" s="2" t="s">
        <v>1496</v>
      </c>
      <c r="J115" s="2" t="str">
        <f>CONCATENATE(G115,F115,H115,C115,I115)</f>
        <v>https://permalinkbnd.bnportugal.gov.pt/viewer/270116/?offset=#page=5&amp;viewer=picture&amp;o=info&amp;n=0&amp;q=</v>
      </c>
      <c r="K115" s="1" t="s">
        <v>138</v>
      </c>
      <c r="L115" s="1" t="str">
        <f>VLOOKUP(A115,Folha2!$A$2:$B$2019,2,FALSE)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5" s="12" t="str">
        <f>HYPERLINK(J115)</f>
        <v>https://permalinkbnd.bnportugal.gov.pt/viewer/270116/?offset=#page=5&amp;viewer=picture&amp;o=info&amp;n=0&amp;q=</v>
      </c>
      <c r="N115" s="12" t="s">
        <v>1497</v>
      </c>
      <c r="O115" s="12" t="str">
        <f>CONCATENATE(N115,A115,"\",B115,"\",C115,".jpg")</f>
        <v>C:\Users\mbaptista\OneDrive - Biblioteca Nacional de Portugal\Documentos\python\camoniana\imagens\capas\458655\1\5.jpg</v>
      </c>
      <c r="P115" s="12" t="str">
        <f>HYPERLINK(O115)</f>
        <v>C:\Users\mbaptista\OneDrive - Biblioteca Nacional de Portugal\Documentos\python\camoniana\imagens\capas\458655\1\5.jpg</v>
      </c>
      <c r="Q115" s="12"/>
      <c r="R115" s="6"/>
      <c r="S115" s="12"/>
      <c r="T115" s="1" t="s">
        <v>139</v>
      </c>
      <c r="U115" s="13"/>
      <c r="V115" s="13"/>
      <c r="W115" s="5"/>
    </row>
    <row r="116" spans="1:24" ht="225">
      <c r="A116" s="1">
        <v>458655</v>
      </c>
      <c r="B116" s="1">
        <v>1</v>
      </c>
      <c r="C116" s="1">
        <v>11</v>
      </c>
      <c r="D116" s="2" t="s">
        <v>137</v>
      </c>
      <c r="E116" s="5" t="s">
        <v>137</v>
      </c>
      <c r="F116" s="5">
        <v>270116</v>
      </c>
      <c r="G116" s="2" t="s">
        <v>1494</v>
      </c>
      <c r="H116" s="2" t="s">
        <v>1495</v>
      </c>
      <c r="I116" s="2" t="s">
        <v>1496</v>
      </c>
      <c r="J116" s="2" t="str">
        <f>CONCATENATE(G116,F116,H116,C116,I116)</f>
        <v>https://permalinkbnd.bnportugal.gov.pt/viewer/270116/?offset=#page=11&amp;viewer=picture&amp;o=info&amp;n=0&amp;q=</v>
      </c>
      <c r="K116" s="1" t="s">
        <v>138</v>
      </c>
      <c r="L116" s="1" t="str">
        <f>VLOOKUP(A116,Folha2!$A$2:$B$2019,2,FALSE)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6" s="12" t="str">
        <f>HYPERLINK(J116)</f>
        <v>https://permalinkbnd.bnportugal.gov.pt/viewer/270116/?offset=#page=11&amp;viewer=picture&amp;o=info&amp;n=0&amp;q=</v>
      </c>
      <c r="N116" s="12" t="s">
        <v>1497</v>
      </c>
      <c r="O116" s="12" t="str">
        <f>CONCATENATE(N116,A116,"\",B116,"\",C116,".jpg")</f>
        <v>C:\Users\mbaptista\OneDrive - Biblioteca Nacional de Portugal\Documentos\python\camoniana\imagens\capas\458655\1\11.jpg</v>
      </c>
      <c r="P116" s="12" t="str">
        <f>HYPERLINK(O116)</f>
        <v>C:\Users\mbaptista\OneDrive - Biblioteca Nacional de Portugal\Documentos\python\camoniana\imagens\capas\458655\1\11.jpg</v>
      </c>
      <c r="Q116" s="12"/>
      <c r="R116" s="6" t="s">
        <v>140</v>
      </c>
      <c r="S116" s="12"/>
      <c r="T116" s="1" t="s">
        <v>139</v>
      </c>
      <c r="U116" s="13"/>
      <c r="V116" s="13"/>
      <c r="W116" s="5" t="s">
        <v>1491</v>
      </c>
    </row>
    <row r="117" spans="1:24" ht="225">
      <c r="A117" s="1">
        <v>458655</v>
      </c>
      <c r="B117" s="1">
        <v>2</v>
      </c>
      <c r="C117" s="1">
        <v>5</v>
      </c>
      <c r="D117" s="2" t="s">
        <v>137</v>
      </c>
      <c r="E117" s="11" t="s">
        <v>137</v>
      </c>
      <c r="F117" s="11">
        <v>270116</v>
      </c>
      <c r="G117" s="2" t="s">
        <v>1494</v>
      </c>
      <c r="H117" s="2" t="s">
        <v>1495</v>
      </c>
      <c r="I117" s="2" t="s">
        <v>1496</v>
      </c>
      <c r="J117" s="2" t="str">
        <f>CONCATENATE(G117,F117,H117,C117,I117)</f>
        <v>https://permalinkbnd.bnportugal.gov.pt/viewer/270116/?offset=#page=5&amp;viewer=picture&amp;o=info&amp;n=0&amp;q=</v>
      </c>
      <c r="K117" s="1" t="s">
        <v>138</v>
      </c>
      <c r="L117" s="1" t="str">
        <f>VLOOKUP(A117,Folha2!$A$2:$B$2019,2,FALSE)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7" s="12" t="s">
        <v>1512</v>
      </c>
      <c r="N117" s="12" t="s">
        <v>1497</v>
      </c>
      <c r="O117" s="12" t="str">
        <f>CONCATENATE(N117,A117,"\",B117,"\",C117,".jpg")</f>
        <v>C:\Users\mbaptista\OneDrive - Biblioteca Nacional de Portugal\Documentos\python\camoniana\imagens\capas\458655\2\5.jpg</v>
      </c>
      <c r="P117" s="12" t="str">
        <f>HYPERLINK(O117)</f>
        <v>C:\Users\mbaptista\OneDrive - Biblioteca Nacional de Portugal\Documentos\python\camoniana\imagens\capas\458655\2\5.jpg</v>
      </c>
      <c r="Q117" s="12"/>
      <c r="R117" s="6" t="s">
        <v>141</v>
      </c>
      <c r="S117" s="12"/>
      <c r="T117" s="1" t="s">
        <v>139</v>
      </c>
      <c r="U117" s="13"/>
      <c r="V117" s="13"/>
      <c r="W117" s="5" t="s">
        <v>1491</v>
      </c>
    </row>
    <row r="118" spans="1:24" ht="225">
      <c r="A118" s="1">
        <v>458655</v>
      </c>
      <c r="B118" s="1">
        <v>3</v>
      </c>
      <c r="C118" s="1">
        <v>12</v>
      </c>
      <c r="D118" s="2" t="s">
        <v>137</v>
      </c>
      <c r="E118" s="5" t="s">
        <v>137</v>
      </c>
      <c r="F118" s="5">
        <v>270116</v>
      </c>
      <c r="G118" s="2" t="s">
        <v>1494</v>
      </c>
      <c r="H118" s="2" t="s">
        <v>1495</v>
      </c>
      <c r="I118" s="2" t="s">
        <v>1496</v>
      </c>
      <c r="J118" s="2" t="str">
        <f>CONCATENATE(G118,F118,H118,C118,I118)</f>
        <v>https://permalinkbnd.bnportugal.gov.pt/viewer/270116/?offset=#page=12&amp;viewer=picture&amp;o=info&amp;n=0&amp;q=</v>
      </c>
      <c r="K118" s="1" t="s">
        <v>138</v>
      </c>
      <c r="L118" s="1" t="str">
        <f>VLOOKUP(A118,Folha2!$A$2:$B$2019,2,FALSE)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8" s="12" t="s">
        <v>1513</v>
      </c>
      <c r="N118" s="12" t="s">
        <v>1497</v>
      </c>
      <c r="O118" s="12" t="str">
        <f>CONCATENATE(N118,A118,"\",B118,"\",C118,".jpg")</f>
        <v>C:\Users\mbaptista\OneDrive - Biblioteca Nacional de Portugal\Documentos\python\camoniana\imagens\capas\458655\3\12.jpg</v>
      </c>
      <c r="P118" s="12" t="str">
        <f>HYPERLINK(O118)</f>
        <v>C:\Users\mbaptista\OneDrive - Biblioteca Nacional de Portugal\Documentos\python\camoniana\imagens\capas\458655\3\12.jpg</v>
      </c>
      <c r="Q118" s="12"/>
      <c r="R118" s="6" t="s">
        <v>143</v>
      </c>
      <c r="S118" s="12"/>
      <c r="T118" s="1" t="s">
        <v>139</v>
      </c>
      <c r="U118" s="13" t="s">
        <v>142</v>
      </c>
      <c r="V118" s="13"/>
      <c r="W118" s="5" t="s">
        <v>1491</v>
      </c>
    </row>
    <row r="119" spans="1:24" ht="225">
      <c r="A119" s="1">
        <v>458655</v>
      </c>
      <c r="B119" s="1">
        <v>4</v>
      </c>
      <c r="C119" s="1">
        <v>12</v>
      </c>
      <c r="D119" s="2" t="s">
        <v>137</v>
      </c>
      <c r="E119" s="11" t="s">
        <v>137</v>
      </c>
      <c r="F119" s="11">
        <v>270116</v>
      </c>
      <c r="G119" s="2" t="s">
        <v>1494</v>
      </c>
      <c r="H119" s="2" t="s">
        <v>1495</v>
      </c>
      <c r="I119" s="2" t="s">
        <v>1496</v>
      </c>
      <c r="J119" s="2" t="str">
        <f>CONCATENATE(G119,F119,H119,C119,I119)</f>
        <v>https://permalinkbnd.bnportugal.gov.pt/viewer/270116/?offset=#page=12&amp;viewer=picture&amp;o=info&amp;n=0&amp;q=</v>
      </c>
      <c r="K119" s="1" t="s">
        <v>138</v>
      </c>
      <c r="L119" s="1" t="str">
        <f>VLOOKUP(A119,Folha2!$A$2:$B$2019,2,FALSE)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19" s="12" t="s">
        <v>1514</v>
      </c>
      <c r="N119" s="12" t="s">
        <v>1497</v>
      </c>
      <c r="O119" s="12" t="str">
        <f>CONCATENATE(N119,A119,"\",B119,"\",C119,".jpg")</f>
        <v>C:\Users\mbaptista\OneDrive - Biblioteca Nacional de Portugal\Documentos\python\camoniana\imagens\capas\458655\4\12.jpg</v>
      </c>
      <c r="P119" s="12" t="str">
        <f>HYPERLINK(O119)</f>
        <v>C:\Users\mbaptista\OneDrive - Biblioteca Nacional de Portugal\Documentos\python\camoniana\imagens\capas\458655\4\12.jpg</v>
      </c>
      <c r="Q119" s="12"/>
      <c r="R119" s="6" t="s">
        <v>143</v>
      </c>
      <c r="S119" s="12"/>
      <c r="T119" s="1" t="s">
        <v>139</v>
      </c>
      <c r="U119" s="13" t="s">
        <v>142</v>
      </c>
      <c r="V119" s="13"/>
      <c r="W119" s="5" t="s">
        <v>1491</v>
      </c>
    </row>
    <row r="120" spans="1:24" ht="225">
      <c r="A120" s="1">
        <v>458655</v>
      </c>
      <c r="B120" s="1"/>
      <c r="C120" s="1">
        <v>11</v>
      </c>
      <c r="D120" s="2" t="s">
        <v>137</v>
      </c>
      <c r="E120" s="5" t="s">
        <v>137</v>
      </c>
      <c r="F120" s="5">
        <v>270116</v>
      </c>
      <c r="G120" s="2" t="s">
        <v>1494</v>
      </c>
      <c r="H120" s="2" t="s">
        <v>1495</v>
      </c>
      <c r="I120" s="2" t="s">
        <v>1496</v>
      </c>
      <c r="J120" s="2" t="str">
        <f>CONCATENATE(G120,F120,H120,C120,I120)</f>
        <v>https://permalinkbnd.bnportugal.gov.pt/viewer/270116/?offset=#page=11&amp;viewer=picture&amp;o=info&amp;n=0&amp;q=</v>
      </c>
      <c r="K120" s="1" t="s">
        <v>138</v>
      </c>
      <c r="L120" s="1" t="str">
        <f>VLOOKUP(A120,Folha2!$A$2:$B$2019,2,FALSE)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0" s="12"/>
      <c r="N120" s="12" t="s">
        <v>1497</v>
      </c>
      <c r="O120" s="12" t="str">
        <f>CONCATENATE(N120,A120,"\",B120,"\",C120,".jpg")</f>
        <v>C:\Users\mbaptista\OneDrive - Biblioteca Nacional de Portugal\Documentos\python\camoniana\imagens\capas\458655\\11.jpg</v>
      </c>
      <c r="P120" s="12" t="str">
        <f>HYPERLINK(O120)</f>
        <v>C:\Users\mbaptista\OneDrive - Biblioteca Nacional de Portugal\Documentos\python\camoniana\imagens\capas\458655\\11.jpg</v>
      </c>
      <c r="Q120" s="12"/>
      <c r="R120" s="6" t="s">
        <v>140</v>
      </c>
      <c r="S120" s="12"/>
      <c r="T120" s="1" t="s">
        <v>139</v>
      </c>
      <c r="U120" s="13" t="s">
        <v>142</v>
      </c>
      <c r="V120" s="13"/>
      <c r="W120" s="5" t="s">
        <v>1491</v>
      </c>
      <c r="X120" t="s">
        <v>1516</v>
      </c>
    </row>
    <row r="121" spans="1:24" ht="225">
      <c r="A121" s="1">
        <v>458655</v>
      </c>
      <c r="B121" s="1">
        <v>8</v>
      </c>
      <c r="C121" s="1">
        <v>12</v>
      </c>
      <c r="D121" s="2" t="s">
        <v>137</v>
      </c>
      <c r="E121" s="11" t="s">
        <v>137</v>
      </c>
      <c r="F121" s="11">
        <v>270116</v>
      </c>
      <c r="G121" s="2" t="s">
        <v>1494</v>
      </c>
      <c r="H121" s="2" t="s">
        <v>1495</v>
      </c>
      <c r="I121" s="2" t="s">
        <v>1496</v>
      </c>
      <c r="J121" s="2" t="str">
        <f>CONCATENATE(G121,F121,H121,C121,I121)</f>
        <v>https://permalinkbnd.bnportugal.gov.pt/viewer/270116/?offset=#page=12&amp;viewer=picture&amp;o=info&amp;n=0&amp;q=</v>
      </c>
      <c r="K121" s="1" t="s">
        <v>138</v>
      </c>
      <c r="L121" s="1" t="str">
        <f>VLOOKUP(A121,Folha2!$A$2:$B$2019,2,FALSE)</f>
        <v>Florilégio Camoniano, 1887-1890. 8 Vols. [1.º: C. I, até est. 8; C. III, estâncias 120-135: Episódio Inês de Castro; sonetos (bilingue: pt+inglês); 2.º: textos sobre a comemoração do Tricentenário por membros da Sociedade Nacional Camoniana, poemas tematização; 3.º: Trad. Frag. Canto V e Frag. Canto I, até est. 10 por Victor Perrodil (bilingue pt+francês), com notas, tematização; 4.º: Trad. Frag. Canto V, episódio do Adamastor por J. R. Jauffret, Felicia Hemans, tradutora, Marc-Monnier, V. Perrodil, A. Quetelet; 5.º: Miscelânea: Camões exilado em Goa por Alfred Guyon, texto e poema traduzidos por Alberto de Armada; soneto por J. V. de Vasconcelos; A Camões, poema por A. Moreira Cabral no aniversário...; texto sobre Catherine d'Athayde por A. de C.; poema "The last song of Camões" by Rev. W. Lisle Bowles; 6.º:  discursos e poesias pronunciados por Conde de Samodães, Francisco José Patrício, António Moreira Cabral e A. F. Araújo e Silva, no Porto, Palácio de Cristal, por ocasião do 308.º aniversário do passamento do Poeta; 7.º: sessão comemorativa 309.º aniversário, Porto Palácio de Cristal, textos de Conde de Samodães, Domingos Alexandre F. da Silva, Joaquim de Araújo, poema de António Moreira Cabral, J. F. Patrício; poema de Tomás Ribeiro; 8.º: Episódio Ilha de Vénus trad./versões por Baour-Lormian e Parseval Grandmaison] Trad. Paratextos; Trad. Paratextos vida; Trad. Paratextos notas; Mulheres [1.º: Parat. vida por Amália; 4.º: tradutora]  307.º aniversário da morte de Camões. Celebrações (1880), recepção criativa, tematização.</v>
      </c>
      <c r="M121" s="12" t="s">
        <v>1515</v>
      </c>
      <c r="N121" s="12" t="s">
        <v>1497</v>
      </c>
      <c r="O121" s="12" t="str">
        <f>CONCATENATE(N121,A121,"\",B121,"\",C121,".jpg")</f>
        <v>C:\Users\mbaptista\OneDrive - Biblioteca Nacional de Portugal\Documentos\python\camoniana\imagens\capas\458655\8\12.jpg</v>
      </c>
      <c r="P121" s="12" t="str">
        <f>HYPERLINK(O121)</f>
        <v>C:\Users\mbaptista\OneDrive - Biblioteca Nacional de Portugal\Documentos\python\camoniana\imagens\capas\458655\8\12.jpg</v>
      </c>
      <c r="Q121" s="12"/>
      <c r="R121" s="6" t="s">
        <v>143</v>
      </c>
      <c r="S121" s="12"/>
      <c r="T121" s="1" t="s">
        <v>139</v>
      </c>
      <c r="U121" s="13" t="s">
        <v>142</v>
      </c>
      <c r="V121" s="13"/>
      <c r="W121" s="5" t="s">
        <v>1491</v>
      </c>
    </row>
    <row r="122" spans="1:24" ht="225">
      <c r="A122" s="1">
        <v>465606</v>
      </c>
      <c r="B122" s="1">
        <v>1</v>
      </c>
      <c r="C122" s="13">
        <v>3</v>
      </c>
      <c r="D122" s="2" t="s">
        <v>144</v>
      </c>
      <c r="E122" s="5" t="s">
        <v>144</v>
      </c>
      <c r="F122" s="5">
        <v>274117</v>
      </c>
      <c r="G122" s="2" t="s">
        <v>1494</v>
      </c>
      <c r="H122" s="2" t="s">
        <v>1495</v>
      </c>
      <c r="I122" s="2" t="s">
        <v>1496</v>
      </c>
      <c r="J122" s="2" t="str">
        <f>CONCATENATE(G122,F122,H122,C122,I122)</f>
        <v>https://permalinkbnd.bnportugal.gov.pt/viewer/274117/?offset=#page=3&amp;viewer=picture&amp;o=info&amp;n=0&amp;q=</v>
      </c>
      <c r="K122" s="1">
        <v>3</v>
      </c>
      <c r="L122" s="1" t="str">
        <f>VLOOKUP(A122,Folha2!$A$2:$B$2019,2,FALSE)</f>
        <v>J. Adamson, Sonnets, 1845, os sonetos são imitações de Camões?, cf. nota de rodapé, Im. 12.</v>
      </c>
      <c r="M122" s="12" t="str">
        <f>HYPERLINK(J122)</f>
        <v>https://permalinkbnd.bnportugal.gov.pt/viewer/274117/?offset=#page=3&amp;viewer=picture&amp;o=info&amp;n=0&amp;q=</v>
      </c>
      <c r="N122" s="12" t="s">
        <v>1497</v>
      </c>
      <c r="O122" s="12" t="str">
        <f>CONCATENATE(N122,A122,"\",B122,"\",C122,".jpg")</f>
        <v>C:\Users\mbaptista\OneDrive - Biblioteca Nacional de Portugal\Documentos\python\camoniana\imagens\capas\465606\1\3.jpg</v>
      </c>
      <c r="P122" s="12" t="str">
        <f>HYPERLINK(O122)</f>
        <v>C:\Users\mbaptista\OneDrive - Biblioteca Nacional de Portugal\Documentos\python\camoniana\imagens\capas\465606\1\3.jpg</v>
      </c>
      <c r="Q122" s="12"/>
      <c r="R122" s="6" t="s">
        <v>146</v>
      </c>
      <c r="S122" s="12"/>
      <c r="T122" s="1"/>
      <c r="U122" s="13" t="s">
        <v>145</v>
      </c>
      <c r="V122" s="13"/>
      <c r="W122" s="5" t="s">
        <v>1491</v>
      </c>
    </row>
    <row r="123" spans="1:24" ht="225">
      <c r="A123" s="1">
        <v>471392</v>
      </c>
      <c r="B123" s="1">
        <v>1</v>
      </c>
      <c r="C123" s="13">
        <v>5</v>
      </c>
      <c r="D123" s="2" t="s">
        <v>147</v>
      </c>
      <c r="E123" s="11" t="s">
        <v>147</v>
      </c>
      <c r="F123" s="11">
        <v>274153</v>
      </c>
      <c r="G123" s="2" t="s">
        <v>1494</v>
      </c>
      <c r="H123" s="2" t="s">
        <v>1495</v>
      </c>
      <c r="I123" s="2" t="s">
        <v>1496</v>
      </c>
      <c r="J123" s="2" t="str">
        <f>CONCATENATE(G123,F123,H123,C123,I123)</f>
        <v>https://permalinkbnd.bnportugal.gov.pt/viewer/274153/?offset=#page=5&amp;viewer=picture&amp;o=info&amp;n=0&amp;q=</v>
      </c>
      <c r="K123" s="1">
        <v>5</v>
      </c>
      <c r="L123" s="1" t="str">
        <f>VLOOKUP(A123,Folha2!$A$2:$B$2019,2,FALSE)</f>
        <v>Camões, Drama lírico, Pádua, 1857. Inserir Celebrações (1860), textos ficcionais?</v>
      </c>
      <c r="M123" s="12" t="str">
        <f>HYPERLINK(J123)</f>
        <v>https://permalinkbnd.bnportugal.gov.pt/viewer/274153/?offset=#page=5&amp;viewer=picture&amp;o=info&amp;n=0&amp;q=</v>
      </c>
      <c r="N123" s="12" t="s">
        <v>1497</v>
      </c>
      <c r="O123" s="12" t="str">
        <f>CONCATENATE(N123,A123,"\",B123,"\",C123,".jpg")</f>
        <v>C:\Users\mbaptista\OneDrive - Biblioteca Nacional de Portugal\Documentos\python\camoniana\imagens\capas\471392\1\5.jpg</v>
      </c>
      <c r="P123" s="12" t="str">
        <f>HYPERLINK(O123)</f>
        <v>C:\Users\mbaptista\OneDrive - Biblioteca Nacional de Portugal\Documentos\python\camoniana\imagens\capas\471392\1\5.jpg</v>
      </c>
      <c r="Q123" s="12"/>
      <c r="R123" s="6" t="s">
        <v>149</v>
      </c>
      <c r="S123" s="12"/>
      <c r="T123" s="1"/>
      <c r="U123" s="13" t="s">
        <v>148</v>
      </c>
      <c r="V123" s="13"/>
      <c r="W123" s="5" t="s">
        <v>1491</v>
      </c>
    </row>
    <row r="124" spans="1:24" ht="225">
      <c r="A124" s="1">
        <v>475171</v>
      </c>
      <c r="B124" s="1">
        <v>1</v>
      </c>
      <c r="C124" s="1">
        <v>13</v>
      </c>
      <c r="D124" s="2" t="s">
        <v>150</v>
      </c>
      <c r="E124" s="5" t="s">
        <v>150</v>
      </c>
      <c r="F124" s="5">
        <v>272371</v>
      </c>
      <c r="G124" s="2" t="s">
        <v>1494</v>
      </c>
      <c r="H124" s="2" t="s">
        <v>1495</v>
      </c>
      <c r="I124" s="2" t="s">
        <v>1496</v>
      </c>
      <c r="J124" s="2" t="str">
        <f>CONCATENATE(G124,F124,H124,C124,I124)</f>
        <v>https://permalinkbnd.bnportugal.gov.pt/viewer/272371/?offset=#page=13&amp;viewer=picture&amp;o=info&amp;n=0&amp;q=</v>
      </c>
      <c r="K124" s="1">
        <v>13</v>
      </c>
      <c r="L124" s="1" t="str">
        <f>VLOOKUP(A124,Folha2!$A$2:$B$2019,2,FALSE)</f>
        <v>Os Lusíadas traduzidos por fr. André Baião, 1625. A trad. do Canto II parece não estar terminada. Trad. Paratextos gerais manuscritos; Trad. Paratextos argumentos manuscritos.</v>
      </c>
      <c r="M124" s="12" t="str">
        <f>HYPERLINK(J124)</f>
        <v>https://permalinkbnd.bnportugal.gov.pt/viewer/272371/?offset=#page=13&amp;viewer=picture&amp;o=info&amp;n=0&amp;q=</v>
      </c>
      <c r="N124" s="12" t="s">
        <v>1497</v>
      </c>
      <c r="O124" s="12" t="str">
        <f>CONCATENATE(N124,A124,"\",B124,"\",C124,".jpg")</f>
        <v>C:\Users\mbaptista\OneDrive - Biblioteca Nacional de Portugal\Documentos\python\camoniana\imagens\capas\475171\1\13.jpg</v>
      </c>
      <c r="P124" s="12" t="str">
        <f>HYPERLINK(O124)</f>
        <v>C:\Users\mbaptista\OneDrive - Biblioteca Nacional de Portugal\Documentos\python\camoniana\imagens\capas\475171\1\13.jpg</v>
      </c>
      <c r="Q124" s="12"/>
      <c r="R124" s="6" t="s">
        <v>151</v>
      </c>
      <c r="S124" s="12"/>
      <c r="T124" s="1">
        <v>13</v>
      </c>
      <c r="U124" s="13"/>
      <c r="V124" s="13"/>
      <c r="W124" s="5" t="s">
        <v>1491</v>
      </c>
    </row>
    <row r="125" spans="1:24" ht="225">
      <c r="A125" s="1">
        <v>475214</v>
      </c>
      <c r="B125" s="1">
        <v>1</v>
      </c>
      <c r="C125" s="13">
        <v>7</v>
      </c>
      <c r="D125" s="2" t="s">
        <v>152</v>
      </c>
      <c r="E125" s="11" t="s">
        <v>152</v>
      </c>
      <c r="F125" s="11">
        <v>273182</v>
      </c>
      <c r="G125" s="2" t="s">
        <v>1494</v>
      </c>
      <c r="H125" s="2" t="s">
        <v>1495</v>
      </c>
      <c r="I125" s="2" t="s">
        <v>1496</v>
      </c>
      <c r="J125" s="2" t="str">
        <f>CONCATENATE(G125,F125,H125,C125,I125)</f>
        <v>https://permalinkbnd.bnportugal.gov.pt/viewer/273182/?offset=#page=7&amp;viewer=picture&amp;o=info&amp;n=0&amp;q=</v>
      </c>
      <c r="K125" s="1">
        <v>7</v>
      </c>
      <c r="L125" s="1" t="str">
        <f>VLOOKUP(A125,Folha2!$A$2:$B$2019,2,FALSE)</f>
        <v>Inès de Castro, Traduit en vers hébreux, 1892. Bilingue, apresentado na 10.ª sessão do Congresso Internacional de Orientalistas. Trad. Paratextos Frag. gerais; Trad. Frag. Paratextos notas; Mulheres [dedicatória do tradutor a Madame]</v>
      </c>
      <c r="M125" s="12" t="str">
        <f>HYPERLINK(J125)</f>
        <v>https://permalinkbnd.bnportugal.gov.pt/viewer/273182/?offset=#page=7&amp;viewer=picture&amp;o=info&amp;n=0&amp;q=</v>
      </c>
      <c r="N125" s="12" t="s">
        <v>1497</v>
      </c>
      <c r="O125" s="12" t="str">
        <f>CONCATENATE(N125,A125,"\",B125,"\",C125,".jpg")</f>
        <v>C:\Users\mbaptista\OneDrive - Biblioteca Nacional de Portugal\Documentos\python\camoniana\imagens\capas\475214\1\7.jpg</v>
      </c>
      <c r="P125" s="12" t="str">
        <f>HYPERLINK(O125)</f>
        <v>C:\Users\mbaptista\OneDrive - Biblioteca Nacional de Portugal\Documentos\python\camoniana\imagens\capas\475214\1\7.jpg</v>
      </c>
      <c r="Q125" s="12"/>
      <c r="R125" s="6" t="s">
        <v>153</v>
      </c>
      <c r="S125" s="12"/>
      <c r="T125" s="1"/>
      <c r="U125" s="13" t="s">
        <v>73</v>
      </c>
      <c r="V125" s="13"/>
      <c r="W125" s="5" t="s">
        <v>1491</v>
      </c>
    </row>
    <row r="126" spans="1:24" ht="225">
      <c r="A126" s="1">
        <v>475453</v>
      </c>
      <c r="B126" s="1">
        <v>1</v>
      </c>
      <c r="C126" s="1">
        <v>1</v>
      </c>
      <c r="D126" s="2" t="s">
        <v>154</v>
      </c>
      <c r="E126" s="5" t="s">
        <v>154</v>
      </c>
      <c r="F126" s="5">
        <v>273318</v>
      </c>
      <c r="G126" s="2" t="s">
        <v>1494</v>
      </c>
      <c r="H126" s="2" t="s">
        <v>1495</v>
      </c>
      <c r="I126" s="2" t="s">
        <v>1496</v>
      </c>
      <c r="J126" s="2" t="str">
        <f>CONCATENATE(G126,F126,H126,C126,I126)</f>
        <v>https://permalinkbnd.bnportugal.gov.pt/viewer/273318/?offset=#page=1&amp;viewer=picture&amp;o=info&amp;n=0&amp;q=</v>
      </c>
      <c r="K126" s="1">
        <v>1</v>
      </c>
      <c r="L126" s="1" t="str">
        <f>VLOOKUP(A126,Folha2!$A$2:$B$2019,2,FALSE)</f>
        <v>Valsa Azulina. Outros números do Recreio Musical. 1880. Pedir para retirar ponto de interrogação [1880?] do purl</v>
      </c>
      <c r="M126" s="12" t="str">
        <f>HYPERLINK(J126)</f>
        <v>https://permalinkbnd.bnportugal.gov.pt/viewer/273318/?offset=#page=1&amp;viewer=picture&amp;o=info&amp;n=0&amp;q=</v>
      </c>
      <c r="N126" s="12" t="s">
        <v>1497</v>
      </c>
      <c r="O126" s="12" t="str">
        <f>CONCATENATE(N126,A126,"\",B126,"\",C126,".jpg")</f>
        <v>C:\Users\mbaptista\OneDrive - Biblioteca Nacional de Portugal\Documentos\python\camoniana\imagens\capas\475453\1\1.jpg</v>
      </c>
      <c r="P126" s="12" t="str">
        <f>HYPERLINK(O126)</f>
        <v>C:\Users\mbaptista\OneDrive - Biblioteca Nacional de Portugal\Documentos\python\camoniana\imagens\capas\475453\1\1.jpg</v>
      </c>
      <c r="Q126" s="12"/>
      <c r="R126" s="6" t="s">
        <v>155</v>
      </c>
      <c r="S126" s="12"/>
      <c r="T126" s="1">
        <v>1</v>
      </c>
      <c r="U126" s="13"/>
      <c r="V126" s="13"/>
      <c r="W126" s="5" t="s">
        <v>1491</v>
      </c>
    </row>
    <row r="127" spans="1:24" ht="225">
      <c r="A127" s="1">
        <v>475458</v>
      </c>
      <c r="B127" s="1">
        <v>1</v>
      </c>
      <c r="C127" s="1">
        <v>1</v>
      </c>
      <c r="D127" s="2" t="s">
        <v>156</v>
      </c>
      <c r="E127" s="11" t="s">
        <v>156</v>
      </c>
      <c r="F127" s="11">
        <v>273319</v>
      </c>
      <c r="G127" s="2" t="s">
        <v>1494</v>
      </c>
      <c r="H127" s="2" t="s">
        <v>1495</v>
      </c>
      <c r="I127" s="2" t="s">
        <v>1496</v>
      </c>
      <c r="J127" s="2" t="str">
        <f>CONCATENATE(G127,F127,H127,C127,I127)</f>
        <v>https://permalinkbnd.bnportugal.gov.pt/viewer/273319/?offset=#page=1&amp;viewer=picture&amp;o=info&amp;n=0&amp;q=</v>
      </c>
      <c r="K127" s="1">
        <v>1</v>
      </c>
      <c r="L127" s="1" t="str">
        <f>VLOOKUP(A127,Folha2!$A$2:$B$2019,2,FALSE)</f>
        <v>Augusto José de Carvalho, Os Lusíadas. Música para piano e canto, 1880 Canto I e X.</v>
      </c>
      <c r="M127" s="12" t="str">
        <f>HYPERLINK(J127)</f>
        <v>https://permalinkbnd.bnportugal.gov.pt/viewer/273319/?offset=#page=1&amp;viewer=picture&amp;o=info&amp;n=0&amp;q=</v>
      </c>
      <c r="N127" s="12" t="s">
        <v>1497</v>
      </c>
      <c r="O127" s="12" t="str">
        <f>CONCATENATE(N127,A127,"\",B127,"\",C127,".jpg")</f>
        <v>C:\Users\mbaptista\OneDrive - Biblioteca Nacional de Portugal\Documentos\python\camoniana\imagens\capas\475458\1\1.jpg</v>
      </c>
      <c r="P127" s="12" t="str">
        <f>HYPERLINK(O127)</f>
        <v>C:\Users\mbaptista\OneDrive - Biblioteca Nacional de Portugal\Documentos\python\camoniana\imagens\capas\475458\1\1.jpg</v>
      </c>
      <c r="Q127" s="12"/>
      <c r="R127" s="6" t="s">
        <v>157</v>
      </c>
      <c r="S127" s="12"/>
      <c r="T127" s="1">
        <v>1</v>
      </c>
      <c r="U127" s="13"/>
      <c r="V127" s="13"/>
      <c r="W127" s="5" t="s">
        <v>1491</v>
      </c>
    </row>
    <row r="128" spans="1:24" ht="225">
      <c r="A128" s="1">
        <v>476957</v>
      </c>
      <c r="B128" s="1">
        <v>1</v>
      </c>
      <c r="C128" s="13">
        <v>5</v>
      </c>
      <c r="D128" s="2" t="s">
        <v>158</v>
      </c>
      <c r="E128" s="5" t="s">
        <v>158</v>
      </c>
      <c r="F128" s="5">
        <v>273102</v>
      </c>
      <c r="G128" s="2" t="s">
        <v>1494</v>
      </c>
      <c r="H128" s="2" t="s">
        <v>1495</v>
      </c>
      <c r="I128" s="2" t="s">
        <v>1496</v>
      </c>
      <c r="J128" s="2" t="str">
        <f>CONCATENATE(G128,F128,H128,C128,I128)</f>
        <v>https://permalinkbnd.bnportugal.gov.pt/viewer/273102/?offset=#page=5&amp;viewer=picture&amp;o=info&amp;n=0&amp;q=</v>
      </c>
      <c r="K128" s="1" t="s">
        <v>159</v>
      </c>
      <c r="L128" s="1" t="str">
        <f>VLOOKUP(A128,Folha2!$A$2:$B$2019,2,FALSE)</f>
        <v>Os Lusíadas. Edição popular gratuita, 1880, sem argumentos.</v>
      </c>
      <c r="M128" s="12" t="str">
        <f>HYPERLINK(J128)</f>
        <v>https://permalinkbnd.bnportugal.gov.pt/viewer/273102/?offset=#page=5&amp;viewer=picture&amp;o=info&amp;n=0&amp;q=</v>
      </c>
      <c r="N128" s="12" t="s">
        <v>1497</v>
      </c>
      <c r="O128" s="12" t="str">
        <f>CONCATENATE(N128,A128,"\",B128,"\",C128,".jpg")</f>
        <v>C:\Users\mbaptista\OneDrive - Biblioteca Nacional de Portugal\Documentos\python\camoniana\imagens\capas\476957\1\5.jpg</v>
      </c>
      <c r="P128" s="12" t="str">
        <f>HYPERLINK(O128)</f>
        <v>C:\Users\mbaptista\OneDrive - Biblioteca Nacional de Portugal\Documentos\python\camoniana\imagens\capas\476957\1\5.jpg</v>
      </c>
      <c r="Q128" s="12"/>
      <c r="R128" s="6" t="s">
        <v>160</v>
      </c>
      <c r="S128" s="12"/>
      <c r="T128" s="1"/>
      <c r="U128" s="13" t="s">
        <v>148</v>
      </c>
      <c r="V128" s="13"/>
      <c r="W128" s="5" t="s">
        <v>1491</v>
      </c>
    </row>
    <row r="129" spans="1:23" ht="225">
      <c r="A129" s="1">
        <v>479076</v>
      </c>
      <c r="B129" s="1">
        <v>1</v>
      </c>
      <c r="C129" s="1">
        <v>1</v>
      </c>
      <c r="D129" s="2" t="s">
        <v>161</v>
      </c>
      <c r="E129" s="11" t="s">
        <v>161</v>
      </c>
      <c r="F129" s="11">
        <v>270341</v>
      </c>
      <c r="G129" s="2" t="s">
        <v>1494</v>
      </c>
      <c r="H129" s="2" t="s">
        <v>1495</v>
      </c>
      <c r="I129" s="2" t="s">
        <v>1496</v>
      </c>
      <c r="J129" s="2" t="str">
        <f>CONCATENATE(G129,F129,H129,C129,I129)</f>
        <v>https://permalinkbnd.bnportugal.gov.pt/viewer/270341/?offset=#page=1&amp;viewer=picture&amp;o=info&amp;n=0&amp;q=</v>
      </c>
      <c r="K129" s="1" t="s">
        <v>162</v>
      </c>
      <c r="L129" s="1" t="str">
        <f>VLOOKUP(A129,Folha2!$A$2:$B$2019,2,FALSE)</f>
        <v>Tygnodik, 1880 [1.º: artigo sobre Camões de Edward Grabuwski?, cf. Im.: 3-4 e 2.º: cf. Im. 2, com várias imagens alheias a Camões].</v>
      </c>
      <c r="M129" s="12" t="str">
        <f>HYPERLINK(J129)</f>
        <v>https://permalinkbnd.bnportugal.gov.pt/viewer/270341/?offset=#page=1&amp;viewer=picture&amp;o=info&amp;n=0&amp;q=</v>
      </c>
      <c r="N129" s="12" t="s">
        <v>1497</v>
      </c>
      <c r="O129" s="12" t="str">
        <f>CONCATENATE(N129,A129,"\",B129,"\",C129,".jpg")</f>
        <v>C:\Users\mbaptista\OneDrive - Biblioteca Nacional de Portugal\Documentos\python\camoniana\imagens\capas\479076\1\1.jpg</v>
      </c>
      <c r="P129" s="12" t="str">
        <f>HYPERLINK(O129)</f>
        <v>C:\Users\mbaptista\OneDrive - Biblioteca Nacional de Portugal\Documentos\python\camoniana\imagens\capas\479076\1\1.jpg</v>
      </c>
      <c r="Q129" s="12"/>
      <c r="R129" s="6" t="s">
        <v>163</v>
      </c>
      <c r="S129" s="12"/>
      <c r="T129" s="1">
        <v>1</v>
      </c>
      <c r="U129" s="13"/>
      <c r="V129" s="13"/>
      <c r="W129" s="5" t="s">
        <v>1491</v>
      </c>
    </row>
    <row r="130" spans="1:23" ht="225">
      <c r="A130" s="1">
        <v>479079</v>
      </c>
      <c r="B130" s="1">
        <v>1</v>
      </c>
      <c r="C130" s="1">
        <v>1</v>
      </c>
      <c r="D130" s="2" t="s">
        <v>164</v>
      </c>
      <c r="E130" s="5" t="s">
        <v>164</v>
      </c>
      <c r="F130" s="5">
        <v>270336</v>
      </c>
      <c r="G130" s="2" t="s">
        <v>1494</v>
      </c>
      <c r="H130" s="2" t="s">
        <v>1495</v>
      </c>
      <c r="I130" s="2" t="s">
        <v>1496</v>
      </c>
      <c r="J130" s="2" t="str">
        <f>CONCATENATE(G130,F130,H130,C130,I130)</f>
        <v>https://permalinkbnd.bnportugal.gov.pt/viewer/270336/?offset=#page=1&amp;viewer=picture&amp;o=info&amp;n=0&amp;q=</v>
      </c>
      <c r="K130" s="1" t="s">
        <v>162</v>
      </c>
      <c r="L130" s="1" t="str">
        <f>VLOOKUP(A130,Folha2!$A$2:$B$2019,2,FALSE)</f>
        <v>Tygnodik, 1880  [1.º: artigos sobre Camões, cf. Im.: 3-4 e 2.º Vol.: cf. Im. 1-3 de D. n., com várias imagens alheias a Camões].</v>
      </c>
      <c r="M130" s="12" t="str">
        <f>HYPERLINK(J130)</f>
        <v>https://permalinkbnd.bnportugal.gov.pt/viewer/270336/?offset=#page=1&amp;viewer=picture&amp;o=info&amp;n=0&amp;q=</v>
      </c>
      <c r="N130" s="12" t="s">
        <v>1497</v>
      </c>
      <c r="O130" s="12" t="str">
        <f>CONCATENATE(N130,A130,"\",B130,"\",C130,".jpg")</f>
        <v>C:\Users\mbaptista\OneDrive - Biblioteca Nacional de Portugal\Documentos\python\camoniana\imagens\capas\479079\1\1.jpg</v>
      </c>
      <c r="P130" s="12" t="str">
        <f>HYPERLINK(O130)</f>
        <v>C:\Users\mbaptista\OneDrive - Biblioteca Nacional de Portugal\Documentos\python\camoniana\imagens\capas\479079\1\1.jpg</v>
      </c>
      <c r="Q130" s="12"/>
      <c r="R130" s="6" t="s">
        <v>165</v>
      </c>
      <c r="S130" s="12"/>
      <c r="T130" s="1">
        <v>1</v>
      </c>
      <c r="U130" s="13"/>
      <c r="V130" s="13"/>
      <c r="W130" s="5" t="s">
        <v>1491</v>
      </c>
    </row>
    <row r="131" spans="1:23" ht="225">
      <c r="A131" s="1">
        <v>480058</v>
      </c>
      <c r="B131" s="1">
        <v>1</v>
      </c>
      <c r="C131" s="1">
        <v>1</v>
      </c>
      <c r="D131" s="2" t="s">
        <v>166</v>
      </c>
      <c r="E131" s="11" t="s">
        <v>166</v>
      </c>
      <c r="F131" s="11">
        <v>273314</v>
      </c>
      <c r="G131" s="2" t="s">
        <v>1494</v>
      </c>
      <c r="H131" s="2" t="s">
        <v>1495</v>
      </c>
      <c r="I131" s="2" t="s">
        <v>1496</v>
      </c>
      <c r="J131" s="2" t="str">
        <f>CONCATENATE(G131,F131,H131,C131,I131)</f>
        <v>https://permalinkbnd.bnportugal.gov.pt/viewer/273314/?offset=#page=1&amp;viewer=picture&amp;o=info&amp;n=0&amp;q=</v>
      </c>
      <c r="K131" s="1">
        <v>1</v>
      </c>
      <c r="L131" s="1" t="str">
        <f>VLOOKUP(A131,Folha2!$A$2:$B$2019,2,FALSE)</f>
        <v>Jornal do Comércio, 1880  Figuras Femininas [Aura? de Castro, soneto, cf. Im. 2]. Recepção criativa, tematização e centão.</v>
      </c>
      <c r="M131" s="12" t="str">
        <f>HYPERLINK(J131)</f>
        <v>https://permalinkbnd.bnportugal.gov.pt/viewer/273314/?offset=#page=1&amp;viewer=picture&amp;o=info&amp;n=0&amp;q=</v>
      </c>
      <c r="N131" s="12" t="s">
        <v>1497</v>
      </c>
      <c r="O131" s="12" t="str">
        <f>CONCATENATE(N131,A131,"\",B131,"\",C131,".jpg")</f>
        <v>C:\Users\mbaptista\OneDrive - Biblioteca Nacional de Portugal\Documentos\python\camoniana\imagens\capas\480058\1\1.jpg</v>
      </c>
      <c r="P131" s="12" t="str">
        <f>HYPERLINK(O131)</f>
        <v>C:\Users\mbaptista\OneDrive - Biblioteca Nacional de Portugal\Documentos\python\camoniana\imagens\capas\480058\1\1.jpg</v>
      </c>
      <c r="Q131" s="12"/>
      <c r="R131" s="6" t="s">
        <v>167</v>
      </c>
      <c r="S131" s="12"/>
      <c r="T131" s="1">
        <v>1</v>
      </c>
      <c r="U131" s="13"/>
      <c r="V131" s="13"/>
      <c r="W131" s="5" t="s">
        <v>1491</v>
      </c>
    </row>
    <row r="132" spans="1:23" ht="225">
      <c r="A132" s="1">
        <v>357297</v>
      </c>
      <c r="B132" s="1">
        <v>1</v>
      </c>
      <c r="C132" s="13">
        <v>10</v>
      </c>
      <c r="D132" s="2" t="s">
        <v>168</v>
      </c>
      <c r="E132" s="5" t="s">
        <v>168</v>
      </c>
      <c r="F132" s="5">
        <v>281908</v>
      </c>
      <c r="G132" s="2" t="s">
        <v>1494</v>
      </c>
      <c r="H132" s="2" t="s">
        <v>1495</v>
      </c>
      <c r="I132" s="2" t="s">
        <v>1496</v>
      </c>
      <c r="J132" s="2" t="str">
        <f>CONCATENATE(G132,F132,H132,C132,I132)</f>
        <v>https://permalinkbnd.bnportugal.gov.pt/viewer/281908/?offset=#page=10&amp;viewer=picture&amp;o=info&amp;n=0&amp;q=</v>
      </c>
      <c r="K132" s="1" t="s">
        <v>169</v>
      </c>
      <c r="L132" s="1" t="str">
        <f>VLOOKUP(A132,Folha2!$A$2:$B$2019,2,FALSE)</f>
        <v>Os Lusíadas. Morgado de Mateus, 1819, sem argumentos.  Refere catálogos de Os Lusíadas.  Paratextos vida (inclui ainda notas de vida), Paratextos notas e lista.</v>
      </c>
      <c r="M132" s="12" t="str">
        <f>HYPERLINK(J132)</f>
        <v>https://permalinkbnd.bnportugal.gov.pt/viewer/281908/?offset=#page=10&amp;viewer=picture&amp;o=info&amp;n=0&amp;q=</v>
      </c>
      <c r="N132" s="12" t="s">
        <v>1497</v>
      </c>
      <c r="O132" s="12" t="str">
        <f>CONCATENATE(N132,A132,"\",B132,"\",C132,".jpg")</f>
        <v>C:\Users\mbaptista\OneDrive - Biblioteca Nacional de Portugal\Documentos\python\camoniana\imagens\capas\357297\1\10.jpg</v>
      </c>
      <c r="P132" s="12" t="str">
        <f>HYPERLINK(O132)</f>
        <v>C:\Users\mbaptista\OneDrive - Biblioteca Nacional de Portugal\Documentos\python\camoniana\imagens\capas\357297\1\10.jpg</v>
      </c>
      <c r="Q132" s="12"/>
      <c r="R132" s="6" t="s">
        <v>171</v>
      </c>
      <c r="S132" s="12"/>
      <c r="T132" s="1">
        <v>1</v>
      </c>
      <c r="U132" s="13" t="s">
        <v>170</v>
      </c>
      <c r="V132" s="13"/>
      <c r="W132" s="5" t="s">
        <v>1491</v>
      </c>
    </row>
    <row r="133" spans="1:23" ht="225">
      <c r="A133" s="1">
        <v>601741</v>
      </c>
      <c r="B133" s="1">
        <v>1</v>
      </c>
      <c r="C133" s="1">
        <v>1</v>
      </c>
      <c r="D133" s="2" t="s">
        <v>172</v>
      </c>
      <c r="E133" s="11" t="s">
        <v>172</v>
      </c>
      <c r="F133" s="11">
        <v>36540</v>
      </c>
      <c r="G133" s="2" t="s">
        <v>1494</v>
      </c>
      <c r="H133" s="2" t="s">
        <v>1495</v>
      </c>
      <c r="I133" s="2" t="s">
        <v>1496</v>
      </c>
      <c r="J133" s="2" t="str">
        <f>CONCATENATE(G133,F133,H133,C133,I133)</f>
        <v>https://permalinkbnd.bnportugal.gov.pt/viewer/36540/?offset=#page=1&amp;viewer=picture&amp;o=info&amp;n=0&amp;q=</v>
      </c>
      <c r="K133" s="1" t="s">
        <v>120</v>
      </c>
      <c r="L133" s="1" t="str">
        <f>VLOOKUP(A133,Folha2!$A$2:$B$2019,2,FALSE)</f>
        <v>Camões, litografia, 1880</v>
      </c>
      <c r="M133" s="12" t="str">
        <f>HYPERLINK(J133)</f>
        <v>https://permalinkbnd.bnportugal.gov.pt/viewer/36540/?offset=#page=1&amp;viewer=picture&amp;o=info&amp;n=0&amp;q=</v>
      </c>
      <c r="N133" s="12" t="s">
        <v>1497</v>
      </c>
      <c r="O133" s="12" t="str">
        <f>CONCATENATE(N133,A133,"\",B133,"\",C133,".jpg")</f>
        <v>C:\Users\mbaptista\OneDrive - Biblioteca Nacional de Portugal\Documentos\python\camoniana\imagens\capas\601741\1\1.jpg</v>
      </c>
      <c r="P133" s="12" t="str">
        <f>HYPERLINK(O133)</f>
        <v>C:\Users\mbaptista\OneDrive - Biblioteca Nacional de Portugal\Documentos\python\camoniana\imagens\capas\601741\1\1.jpg</v>
      </c>
      <c r="Q133" s="12"/>
      <c r="R133" s="6" t="s">
        <v>173</v>
      </c>
      <c r="S133" s="12"/>
      <c r="T133" s="1">
        <v>1</v>
      </c>
      <c r="U133" s="13"/>
      <c r="V133" s="13"/>
      <c r="W133" s="5" t="s">
        <v>1491</v>
      </c>
    </row>
    <row r="134" spans="1:23" ht="225">
      <c r="A134" s="1">
        <v>604127</v>
      </c>
      <c r="B134" s="1">
        <v>1</v>
      </c>
      <c r="C134" s="1">
        <v>1</v>
      </c>
      <c r="D134" s="2" t="s">
        <v>174</v>
      </c>
      <c r="E134" s="5" t="s">
        <v>174</v>
      </c>
      <c r="F134" s="5">
        <v>14040</v>
      </c>
      <c r="G134" s="2" t="s">
        <v>1494</v>
      </c>
      <c r="H134" s="2" t="s">
        <v>1495</v>
      </c>
      <c r="I134" s="2" t="s">
        <v>1496</v>
      </c>
      <c r="J134" s="2" t="str">
        <f>CONCATENATE(G134,F134,H134,C134,I134)</f>
        <v>https://permalinkbnd.bnportugal.gov.pt/viewer/14040/?offset=#page=1&amp;viewer=picture&amp;o=info&amp;n=0&amp;q=</v>
      </c>
      <c r="K134" s="1" t="s">
        <v>175</v>
      </c>
      <c r="L134" s="1" t="str">
        <f>VLOOKUP(A134,Folha2!$A$2:$B$2019,2,FALSE)</f>
        <v>Borges Figueiredo, Carta da geografia, 1883</v>
      </c>
      <c r="M134" s="12" t="str">
        <f>HYPERLINK(J134)</f>
        <v>https://permalinkbnd.bnportugal.gov.pt/viewer/14040/?offset=#page=1&amp;viewer=picture&amp;o=info&amp;n=0&amp;q=</v>
      </c>
      <c r="N134" s="12" t="s">
        <v>1497</v>
      </c>
      <c r="O134" s="12" t="str">
        <f>CONCATENATE(N134,A134,"\",B134,"\",C134,".jpg")</f>
        <v>C:\Users\mbaptista\OneDrive - Biblioteca Nacional de Portugal\Documentos\python\camoniana\imagens\capas\604127\1\1.jpg</v>
      </c>
      <c r="P134" s="12" t="str">
        <f>HYPERLINK(O134)</f>
        <v>C:\Users\mbaptista\OneDrive - Biblioteca Nacional de Portugal\Documentos\python\camoniana\imagens\capas\604127\1\1.jpg</v>
      </c>
      <c r="Q134" s="12"/>
      <c r="R134" s="6" t="s">
        <v>176</v>
      </c>
      <c r="S134" s="12"/>
      <c r="T134" s="1">
        <v>1</v>
      </c>
      <c r="U134" s="13"/>
      <c r="V134" s="13"/>
      <c r="W134" s="5" t="s">
        <v>1491</v>
      </c>
    </row>
    <row r="135" spans="1:23" ht="225">
      <c r="A135" s="1">
        <v>613457</v>
      </c>
      <c r="B135" s="1">
        <v>1</v>
      </c>
      <c r="C135" s="1">
        <v>1</v>
      </c>
      <c r="D135" s="2" t="s">
        <v>177</v>
      </c>
      <c r="E135" s="11" t="s">
        <v>177</v>
      </c>
      <c r="F135" s="11">
        <v>272734</v>
      </c>
      <c r="G135" s="2" t="s">
        <v>1494</v>
      </c>
      <c r="H135" s="2" t="s">
        <v>1495</v>
      </c>
      <c r="I135" s="2" t="s">
        <v>1496</v>
      </c>
      <c r="J135" s="2" t="str">
        <f>CONCATENATE(G135,F135,H135,C135,I135)</f>
        <v>https://permalinkbnd.bnportugal.gov.pt/viewer/272734/?offset=#page=1&amp;viewer=picture&amp;o=info&amp;n=0&amp;q=</v>
      </c>
      <c r="K135" s="1">
        <v>1</v>
      </c>
      <c r="L135" s="1" t="str">
        <f>VLOOKUP(A135,Folha2!$A$2:$B$2019,2,FALSE)</f>
        <v>Camões, 1970</v>
      </c>
      <c r="M135" s="12" t="str">
        <f>HYPERLINK(J135)</f>
        <v>https://permalinkbnd.bnportugal.gov.pt/viewer/272734/?offset=#page=1&amp;viewer=picture&amp;o=info&amp;n=0&amp;q=</v>
      </c>
      <c r="N135" s="12" t="s">
        <v>1497</v>
      </c>
      <c r="O135" s="12" t="str">
        <f>CONCATENATE(N135,A135,"\",B135,"\",C135,".jpg")</f>
        <v>C:\Users\mbaptista\OneDrive - Biblioteca Nacional de Portugal\Documentos\python\camoniana\imagens\capas\613457\1\1.jpg</v>
      </c>
      <c r="P135" s="12" t="str">
        <f>HYPERLINK(O135)</f>
        <v>C:\Users\mbaptista\OneDrive - Biblioteca Nacional de Portugal\Documentos\python\camoniana\imagens\capas\613457\1\1.jpg</v>
      </c>
      <c r="Q135" s="12"/>
      <c r="R135" s="6" t="s">
        <v>178</v>
      </c>
      <c r="S135" s="12"/>
      <c r="T135" s="1">
        <v>1</v>
      </c>
      <c r="U135" s="13"/>
      <c r="V135" s="13"/>
      <c r="W135" s="5" t="s">
        <v>1491</v>
      </c>
    </row>
    <row r="136" spans="1:23" ht="225">
      <c r="A136" s="1">
        <v>614521</v>
      </c>
      <c r="B136" s="1">
        <v>1</v>
      </c>
      <c r="C136" s="1">
        <v>1</v>
      </c>
      <c r="D136" s="2" t="s">
        <v>179</v>
      </c>
      <c r="E136" s="5" t="s">
        <v>179</v>
      </c>
      <c r="F136" s="5">
        <v>36741</v>
      </c>
      <c r="G136" s="2" t="s">
        <v>1494</v>
      </c>
      <c r="H136" s="2" t="s">
        <v>1495</v>
      </c>
      <c r="I136" s="2" t="s">
        <v>1496</v>
      </c>
      <c r="J136" s="2" t="str">
        <f>CONCATENATE(G136,F136,H136,C136,I136)</f>
        <v>https://permalinkbnd.bnportugal.gov.pt/viewer/36741/?offset=#page=1&amp;viewer=picture&amp;o=info&amp;n=0&amp;q=</v>
      </c>
      <c r="K136" s="1">
        <v>1</v>
      </c>
      <c r="L136" s="1" t="str">
        <f>VLOOKUP(A136,Folha2!$A$2:$B$2019,2,FALSE)</f>
        <v>Camões, 1873</v>
      </c>
      <c r="M136" s="12" t="str">
        <f>HYPERLINK(J136)</f>
        <v>https://permalinkbnd.bnportugal.gov.pt/viewer/36741/?offset=#page=1&amp;viewer=picture&amp;o=info&amp;n=0&amp;q=</v>
      </c>
      <c r="N136" s="12" t="s">
        <v>1497</v>
      </c>
      <c r="O136" s="12" t="str">
        <f>CONCATENATE(N136,A136,"\",B136,"\",C136,".jpg")</f>
        <v>C:\Users\mbaptista\OneDrive - Biblioteca Nacional de Portugal\Documentos\python\camoniana\imagens\capas\614521\1\1.jpg</v>
      </c>
      <c r="P136" s="12" t="str">
        <f>HYPERLINK(O136)</f>
        <v>C:\Users\mbaptista\OneDrive - Biblioteca Nacional de Portugal\Documentos\python\camoniana\imagens\capas\614521\1\1.jpg</v>
      </c>
      <c r="Q136" s="12"/>
      <c r="R136" s="6" t="s">
        <v>180</v>
      </c>
      <c r="S136" s="12"/>
      <c r="T136" s="1">
        <v>1</v>
      </c>
      <c r="U136" s="13"/>
      <c r="V136" s="13"/>
      <c r="W136" s="5" t="s">
        <v>1491</v>
      </c>
    </row>
    <row r="137" spans="1:23" ht="225">
      <c r="A137" s="1">
        <v>626460</v>
      </c>
      <c r="B137" s="1">
        <v>1</v>
      </c>
      <c r="C137" s="1">
        <v>1</v>
      </c>
      <c r="D137" s="2" t="s">
        <v>181</v>
      </c>
      <c r="E137" s="11" t="s">
        <v>181</v>
      </c>
      <c r="F137" s="11">
        <v>37180</v>
      </c>
      <c r="G137" s="2" t="s">
        <v>1494</v>
      </c>
      <c r="H137" s="2" t="s">
        <v>1495</v>
      </c>
      <c r="I137" s="2" t="s">
        <v>1496</v>
      </c>
      <c r="J137" s="2" t="str">
        <f>CONCATENATE(G137,F137,H137,C137,I137)</f>
        <v>https://permalinkbnd.bnportugal.gov.pt/viewer/37180/?offset=#page=1&amp;viewer=picture&amp;o=info&amp;n=0&amp;q=</v>
      </c>
      <c r="K137" s="1" t="s">
        <v>120</v>
      </c>
      <c r="L137" s="1" t="str">
        <f>VLOOKUP(A137,Folha2!$A$2:$B$2019,2,FALSE)</f>
        <v>Augustin Lemaître, Camões, 1846</v>
      </c>
      <c r="M137" s="12" t="str">
        <f>HYPERLINK(J137)</f>
        <v>https://permalinkbnd.bnportugal.gov.pt/viewer/37180/?offset=#page=1&amp;viewer=picture&amp;o=info&amp;n=0&amp;q=</v>
      </c>
      <c r="N137" s="12" t="s">
        <v>1497</v>
      </c>
      <c r="O137" s="12" t="str">
        <f>CONCATENATE(N137,A137,"\",B137,"\",C137,".jpg")</f>
        <v>C:\Users\mbaptista\OneDrive - Biblioteca Nacional de Portugal\Documentos\python\camoniana\imagens\capas\626460\1\1.jpg</v>
      </c>
      <c r="P137" s="12" t="str">
        <f>HYPERLINK(O137)</f>
        <v>C:\Users\mbaptista\OneDrive - Biblioteca Nacional de Portugal\Documentos\python\camoniana\imagens\capas\626460\1\1.jpg</v>
      </c>
      <c r="Q137" s="12"/>
      <c r="R137" s="6" t="s">
        <v>182</v>
      </c>
      <c r="S137" s="12"/>
      <c r="T137" s="1">
        <v>1</v>
      </c>
      <c r="U137" s="13"/>
      <c r="V137" s="13"/>
      <c r="W137" s="5" t="s">
        <v>1491</v>
      </c>
    </row>
    <row r="138" spans="1:23" ht="225">
      <c r="A138" s="1">
        <v>626703</v>
      </c>
      <c r="B138" s="1">
        <v>1</v>
      </c>
      <c r="C138" s="1">
        <v>1</v>
      </c>
      <c r="D138" s="2" t="s">
        <v>183</v>
      </c>
      <c r="E138" s="5" t="s">
        <v>183</v>
      </c>
      <c r="F138" s="5">
        <v>37208</v>
      </c>
      <c r="G138" s="2" t="s">
        <v>1494</v>
      </c>
      <c r="H138" s="2" t="s">
        <v>1495</v>
      </c>
      <c r="I138" s="2" t="s">
        <v>1496</v>
      </c>
      <c r="J138" s="2" t="str">
        <f>CONCATENATE(G138,F138,H138,C138,I138)</f>
        <v>https://permalinkbnd.bnportugal.gov.pt/viewer/37208/?offset=#page=1&amp;viewer=picture&amp;o=info&amp;n=0&amp;q=</v>
      </c>
      <c r="K138" s="1" t="s">
        <v>120</v>
      </c>
      <c r="L138" s="1" t="str">
        <f>VLOOKUP(A138,Folha2!$A$2:$B$2019,2,FALSE)</f>
        <v>Camoens,1845</v>
      </c>
      <c r="M138" s="12" t="str">
        <f>HYPERLINK(J138)</f>
        <v>https://permalinkbnd.bnportugal.gov.pt/viewer/37208/?offset=#page=1&amp;viewer=picture&amp;o=info&amp;n=0&amp;q=</v>
      </c>
      <c r="N138" s="12" t="s">
        <v>1497</v>
      </c>
      <c r="O138" s="12" t="str">
        <f>CONCATENATE(N138,A138,"\",B138,"\",C138,".jpg")</f>
        <v>C:\Users\mbaptista\OneDrive - Biblioteca Nacional de Portugal\Documentos\python\camoniana\imagens\capas\626703\1\1.jpg</v>
      </c>
      <c r="P138" s="12" t="str">
        <f>HYPERLINK(O138)</f>
        <v>C:\Users\mbaptista\OneDrive - Biblioteca Nacional de Portugal\Documentos\python\camoniana\imagens\capas\626703\1\1.jpg</v>
      </c>
      <c r="Q138" s="12"/>
      <c r="R138" s="6" t="s">
        <v>184</v>
      </c>
      <c r="S138" s="12"/>
      <c r="T138" s="1">
        <v>1</v>
      </c>
      <c r="U138" s="13"/>
      <c r="V138" s="13"/>
      <c r="W138" s="5" t="s">
        <v>1491</v>
      </c>
    </row>
    <row r="139" spans="1:23" ht="225">
      <c r="A139" s="1">
        <v>636335</v>
      </c>
      <c r="B139" s="1">
        <v>1</v>
      </c>
      <c r="C139" s="1">
        <v>1</v>
      </c>
      <c r="D139" s="2" t="s">
        <v>185</v>
      </c>
      <c r="E139" s="11" t="s">
        <v>185</v>
      </c>
      <c r="F139" s="11">
        <v>35147</v>
      </c>
      <c r="G139" s="2" t="s">
        <v>1494</v>
      </c>
      <c r="H139" s="2" t="s">
        <v>1495</v>
      </c>
      <c r="I139" s="2" t="s">
        <v>1496</v>
      </c>
      <c r="J139" s="2" t="str">
        <f>CONCATENATE(G139,F139,H139,C139,I139)</f>
        <v>https://permalinkbnd.bnportugal.gov.pt/viewer/35147/?offset=#page=1&amp;viewer=picture&amp;o=info&amp;n=0&amp;q=</v>
      </c>
      <c r="K139" s="1">
        <v>1</v>
      </c>
      <c r="L139" s="1" t="str">
        <f>VLOOKUP(A139,Folha2!$A$2:$B$2019,2,FALSE)</f>
        <v>À memória do imortal cantor, 1880, litografia; Gravura (Sara)</v>
      </c>
      <c r="M139" s="12" t="str">
        <f>HYPERLINK(J139)</f>
        <v>https://permalinkbnd.bnportugal.gov.pt/viewer/35147/?offset=#page=1&amp;viewer=picture&amp;o=info&amp;n=0&amp;q=</v>
      </c>
      <c r="N139" s="12" t="s">
        <v>1497</v>
      </c>
      <c r="O139" s="12" t="str">
        <f>CONCATENATE(N139,A139,"\",B139,"\",C139,".jpg")</f>
        <v>C:\Users\mbaptista\OneDrive - Biblioteca Nacional de Portugal\Documentos\python\camoniana\imagens\capas\636335\1\1.jpg</v>
      </c>
      <c r="P139" s="12" t="str">
        <f>HYPERLINK(O139)</f>
        <v>C:\Users\mbaptista\OneDrive - Biblioteca Nacional de Portugal\Documentos\python\camoniana\imagens\capas\636335\1\1.jpg</v>
      </c>
      <c r="Q139" s="12"/>
      <c r="R139" s="6" t="s">
        <v>186</v>
      </c>
      <c r="S139" s="12"/>
      <c r="T139" s="1">
        <v>1</v>
      </c>
      <c r="U139" s="13"/>
      <c r="V139" s="13"/>
      <c r="W139" s="5" t="s">
        <v>1491</v>
      </c>
    </row>
    <row r="140" spans="1:23" ht="225">
      <c r="A140" s="1">
        <v>636337</v>
      </c>
      <c r="B140" s="1">
        <v>1</v>
      </c>
      <c r="C140" s="1">
        <v>1</v>
      </c>
      <c r="D140" s="2" t="s">
        <v>187</v>
      </c>
      <c r="E140" s="5" t="s">
        <v>187</v>
      </c>
      <c r="F140" s="5">
        <v>1880</v>
      </c>
      <c r="G140" s="2" t="s">
        <v>1494</v>
      </c>
      <c r="H140" s="2" t="s">
        <v>1495</v>
      </c>
      <c r="I140" s="2" t="s">
        <v>1496</v>
      </c>
      <c r="J140" s="2" t="str">
        <f>CONCATENATE(G140,F140,H140,C140,I140)</f>
        <v>https://permalinkbnd.bnportugal.gov.pt/viewer/1880/?offset=#page=1&amp;viewer=picture&amp;o=info&amp;n=0&amp;q=</v>
      </c>
      <c r="K140" s="1">
        <v>1</v>
      </c>
      <c r="L140" s="1" t="str">
        <f>VLOOKUP(A140,Folha2!$A$2:$B$2019,2,FALSE)</f>
        <v>10 de Junho de 1880</v>
      </c>
      <c r="M140" s="12" t="str">
        <f>HYPERLINK(J140)</f>
        <v>https://permalinkbnd.bnportugal.gov.pt/viewer/1880/?offset=#page=1&amp;viewer=picture&amp;o=info&amp;n=0&amp;q=</v>
      </c>
      <c r="N140" s="12" t="s">
        <v>1497</v>
      </c>
      <c r="O140" s="12" t="str">
        <f>CONCATENATE(N140,A140,"\",B140,"\",C140,".jpg")</f>
        <v>C:\Users\mbaptista\OneDrive - Biblioteca Nacional de Portugal\Documentos\python\camoniana\imagens\capas\636337\1\1.jpg</v>
      </c>
      <c r="P140" s="12" t="str">
        <f>HYPERLINK(O140)</f>
        <v>C:\Users\mbaptista\OneDrive - Biblioteca Nacional de Portugal\Documentos\python\camoniana\imagens\capas\636337\1\1.jpg</v>
      </c>
      <c r="Q140" s="12"/>
      <c r="R140" s="6" t="s">
        <v>188</v>
      </c>
      <c r="S140" s="12"/>
      <c r="T140" s="1">
        <v>1</v>
      </c>
      <c r="U140" s="13"/>
      <c r="V140" s="13"/>
      <c r="W140" s="5" t="s">
        <v>1491</v>
      </c>
    </row>
    <row r="141" spans="1:23" ht="225">
      <c r="A141" s="1">
        <v>636371</v>
      </c>
      <c r="B141" s="1">
        <v>1</v>
      </c>
      <c r="C141" s="1">
        <v>1</v>
      </c>
      <c r="D141" s="2" t="s">
        <v>189</v>
      </c>
      <c r="E141" s="11" t="s">
        <v>189</v>
      </c>
      <c r="F141" s="11">
        <v>35133</v>
      </c>
      <c r="G141" s="2" t="s">
        <v>1494</v>
      </c>
      <c r="H141" s="2" t="s">
        <v>1495</v>
      </c>
      <c r="I141" s="2" t="s">
        <v>1496</v>
      </c>
      <c r="J141" s="2" t="str">
        <f>CONCATENATE(G141,F141,H141,C141,I141)</f>
        <v>https://permalinkbnd.bnportugal.gov.pt/viewer/35133/?offset=#page=1&amp;viewer=picture&amp;o=info&amp;n=0&amp;q=</v>
      </c>
      <c r="K141" s="1" t="s">
        <v>120</v>
      </c>
      <c r="L141" s="1" t="str">
        <f>VLOOKUP(A141,Folha2!$A$2:$B$2019,2,FALSE)</f>
        <v>Camões na gruta de Macau, 1880</v>
      </c>
      <c r="M141" s="12" t="str">
        <f>HYPERLINK(J141)</f>
        <v>https://permalinkbnd.bnportugal.gov.pt/viewer/35133/?offset=#page=1&amp;viewer=picture&amp;o=info&amp;n=0&amp;q=</v>
      </c>
      <c r="N141" s="12" t="s">
        <v>1497</v>
      </c>
      <c r="O141" s="12" t="str">
        <f>CONCATENATE(N141,A141,"\",B141,"\",C141,".jpg")</f>
        <v>C:\Users\mbaptista\OneDrive - Biblioteca Nacional de Portugal\Documentos\python\camoniana\imagens\capas\636371\1\1.jpg</v>
      </c>
      <c r="P141" s="12" t="str">
        <f>HYPERLINK(O141)</f>
        <v>C:\Users\mbaptista\OneDrive - Biblioteca Nacional de Portugal\Documentos\python\camoniana\imagens\capas\636371\1\1.jpg</v>
      </c>
      <c r="Q141" s="12"/>
      <c r="R141" s="6" t="s">
        <v>190</v>
      </c>
      <c r="S141" s="12"/>
      <c r="T141" s="1">
        <v>1</v>
      </c>
      <c r="U141" s="13"/>
      <c r="V141" s="13"/>
      <c r="W141" s="5" t="s">
        <v>1491</v>
      </c>
    </row>
    <row r="142" spans="1:23" ht="225">
      <c r="A142" s="1">
        <v>636385</v>
      </c>
      <c r="B142" s="1">
        <v>1</v>
      </c>
      <c r="C142" s="1">
        <v>1</v>
      </c>
      <c r="D142" s="2" t="s">
        <v>191</v>
      </c>
      <c r="E142" s="5" t="s">
        <v>191</v>
      </c>
      <c r="F142" s="5">
        <v>35127</v>
      </c>
      <c r="G142" s="2" t="s">
        <v>1494</v>
      </c>
      <c r="H142" s="2" t="s">
        <v>1495</v>
      </c>
      <c r="I142" s="2" t="s">
        <v>1496</v>
      </c>
      <c r="J142" s="2" t="str">
        <f>CONCATENATE(G142,F142,H142,C142,I142)</f>
        <v>https://permalinkbnd.bnportugal.gov.pt/viewer/35127/?offset=#page=1&amp;viewer=picture&amp;o=info&amp;n=0&amp;q=</v>
      </c>
      <c r="K142" s="1">
        <v>1</v>
      </c>
      <c r="L142" s="1" t="str">
        <f>VLOOKUP(A142,Folha2!$A$2:$B$2019,2,FALSE)</f>
        <v>Monumento a Camões, 1860. Celebrações (1860), Iconografia.</v>
      </c>
      <c r="M142" s="12" t="str">
        <f>HYPERLINK(J142)</f>
        <v>https://permalinkbnd.bnportugal.gov.pt/viewer/35127/?offset=#page=1&amp;viewer=picture&amp;o=info&amp;n=0&amp;q=</v>
      </c>
      <c r="N142" s="12" t="s">
        <v>1497</v>
      </c>
      <c r="O142" s="12" t="str">
        <f>CONCATENATE(N142,A142,"\",B142,"\",C142,".jpg")</f>
        <v>C:\Users\mbaptista\OneDrive - Biblioteca Nacional de Portugal\Documentos\python\camoniana\imagens\capas\636385\1\1.jpg</v>
      </c>
      <c r="P142" s="12" t="str">
        <f>HYPERLINK(O142)</f>
        <v>C:\Users\mbaptista\OneDrive - Biblioteca Nacional de Portugal\Documentos\python\camoniana\imagens\capas\636385\1\1.jpg</v>
      </c>
      <c r="Q142" s="12"/>
      <c r="R142" s="6" t="s">
        <v>192</v>
      </c>
      <c r="S142" s="12"/>
      <c r="T142" s="1">
        <v>1</v>
      </c>
      <c r="U142" s="13"/>
      <c r="V142" s="13"/>
      <c r="W142" s="5" t="s">
        <v>1491</v>
      </c>
    </row>
    <row r="143" spans="1:23" ht="225">
      <c r="A143" s="1">
        <v>636389</v>
      </c>
      <c r="B143" s="1">
        <v>1</v>
      </c>
      <c r="C143" s="1">
        <v>1</v>
      </c>
      <c r="D143" s="2" t="s">
        <v>193</v>
      </c>
      <c r="E143" s="11" t="s">
        <v>193</v>
      </c>
      <c r="F143" s="11">
        <v>35137</v>
      </c>
      <c r="G143" s="2" t="s">
        <v>1494</v>
      </c>
      <c r="H143" s="2" t="s">
        <v>1495</v>
      </c>
      <c r="I143" s="2" t="s">
        <v>1496</v>
      </c>
      <c r="J143" s="2" t="str">
        <f>CONCATENATE(G143,F143,H143,C143,I143)</f>
        <v>https://permalinkbnd.bnportugal.gov.pt/viewer/35137/?offset=#page=1&amp;viewer=picture&amp;o=info&amp;n=0&amp;q=</v>
      </c>
      <c r="K143" s="1" t="s">
        <v>120</v>
      </c>
      <c r="L143" s="1" t="str">
        <f>VLOOKUP(A143,Folha2!$A$2:$B$2019,2,FALSE)</f>
        <v>O tempo levando Os Lusíadas à posteridade, 1880</v>
      </c>
      <c r="M143" s="12" t="str">
        <f>HYPERLINK(J143)</f>
        <v>https://permalinkbnd.bnportugal.gov.pt/viewer/35137/?offset=#page=1&amp;viewer=picture&amp;o=info&amp;n=0&amp;q=</v>
      </c>
      <c r="N143" s="12" t="s">
        <v>1497</v>
      </c>
      <c r="O143" s="12" t="str">
        <f>CONCATENATE(N143,A143,"\",B143,"\",C143,".jpg")</f>
        <v>C:\Users\mbaptista\OneDrive - Biblioteca Nacional de Portugal\Documentos\python\camoniana\imagens\capas\636389\1\1.jpg</v>
      </c>
      <c r="P143" s="12" t="str">
        <f>HYPERLINK(O143)</f>
        <v>C:\Users\mbaptista\OneDrive - Biblioteca Nacional de Portugal\Documentos\python\camoniana\imagens\capas\636389\1\1.jpg</v>
      </c>
      <c r="Q143" s="12"/>
      <c r="R143" s="6" t="s">
        <v>194</v>
      </c>
      <c r="S143" s="12"/>
      <c r="T143" s="1">
        <v>1</v>
      </c>
      <c r="U143" s="13"/>
      <c r="V143" s="13"/>
      <c r="W143" s="5" t="s">
        <v>1491</v>
      </c>
    </row>
    <row r="144" spans="1:23" ht="225">
      <c r="A144" s="1">
        <v>637133</v>
      </c>
      <c r="B144" s="1">
        <v>1</v>
      </c>
      <c r="C144" s="1">
        <v>1</v>
      </c>
      <c r="D144" s="2" t="s">
        <v>195</v>
      </c>
      <c r="E144" s="5" t="s">
        <v>195</v>
      </c>
      <c r="F144" s="5">
        <v>37203</v>
      </c>
      <c r="G144" s="2" t="s">
        <v>1494</v>
      </c>
      <c r="H144" s="2" t="s">
        <v>1495</v>
      </c>
      <c r="I144" s="2" t="s">
        <v>1496</v>
      </c>
      <c r="J144" s="2" t="str">
        <f>CONCATENATE(G144,F144,H144,C144,I144)</f>
        <v>https://permalinkbnd.bnportugal.gov.pt/viewer/37203/?offset=#page=1&amp;viewer=picture&amp;o=info&amp;n=0&amp;q=</v>
      </c>
      <c r="K144" s="1" t="s">
        <v>120</v>
      </c>
      <c r="L144" s="1" t="str">
        <f>VLOOKUP(A144,Folha2!$A$2:$B$2019,2,FALSE)</f>
        <v>João Cardini, Epítome da vida de Camões, 1810</v>
      </c>
      <c r="M144" s="12" t="str">
        <f>HYPERLINK(J144)</f>
        <v>https://permalinkbnd.bnportugal.gov.pt/viewer/37203/?offset=#page=1&amp;viewer=picture&amp;o=info&amp;n=0&amp;q=</v>
      </c>
      <c r="N144" s="12" t="s">
        <v>1497</v>
      </c>
      <c r="O144" s="12" t="str">
        <f>CONCATENATE(N144,A144,"\",B144,"\",C144,".jpg")</f>
        <v>C:\Users\mbaptista\OneDrive - Biblioteca Nacional de Portugal\Documentos\python\camoniana\imagens\capas\637133\1\1.jpg</v>
      </c>
      <c r="P144" s="12" t="str">
        <f>HYPERLINK(O144)</f>
        <v>C:\Users\mbaptista\OneDrive - Biblioteca Nacional de Portugal\Documentos\python\camoniana\imagens\capas\637133\1\1.jpg</v>
      </c>
      <c r="Q144" s="12"/>
      <c r="R144" s="6" t="s">
        <v>196</v>
      </c>
      <c r="S144" s="12"/>
      <c r="T144" s="1">
        <v>1</v>
      </c>
      <c r="U144" s="13"/>
      <c r="V144" s="13"/>
      <c r="W144" s="5" t="s">
        <v>1491</v>
      </c>
    </row>
    <row r="145" spans="1:23" ht="225">
      <c r="A145" s="1">
        <v>637139</v>
      </c>
      <c r="B145" s="1">
        <v>1</v>
      </c>
      <c r="C145" s="1">
        <v>1</v>
      </c>
      <c r="D145" s="2" t="s">
        <v>197</v>
      </c>
      <c r="E145" s="11" t="s">
        <v>197</v>
      </c>
      <c r="F145" s="11">
        <v>37132</v>
      </c>
      <c r="G145" s="2" t="s">
        <v>1494</v>
      </c>
      <c r="H145" s="2" t="s">
        <v>1495</v>
      </c>
      <c r="I145" s="2" t="s">
        <v>1496</v>
      </c>
      <c r="J145" s="2" t="str">
        <f>CONCATENATE(G145,F145,H145,C145,I145)</f>
        <v>https://permalinkbnd.bnportugal.gov.pt/viewer/37132/?offset=#page=1&amp;viewer=picture&amp;o=info&amp;n=0&amp;q=</v>
      </c>
      <c r="K145" s="1" t="s">
        <v>120</v>
      </c>
      <c r="L145" s="1" t="str">
        <f>VLOOKUP(A145,Folha2!$A$2:$B$2019,2,FALSE)</f>
        <v>Ao tricentenário de Camões, 1880</v>
      </c>
      <c r="M145" s="12" t="str">
        <f>HYPERLINK(J145)</f>
        <v>https://permalinkbnd.bnportugal.gov.pt/viewer/37132/?offset=#page=1&amp;viewer=picture&amp;o=info&amp;n=0&amp;q=</v>
      </c>
      <c r="N145" s="12" t="s">
        <v>1497</v>
      </c>
      <c r="O145" s="12" t="str">
        <f>CONCATENATE(N145,A145,"\",B145,"\",C145,".jpg")</f>
        <v>C:\Users\mbaptista\OneDrive - Biblioteca Nacional de Portugal\Documentos\python\camoniana\imagens\capas\637139\1\1.jpg</v>
      </c>
      <c r="P145" s="12" t="str">
        <f>HYPERLINK(O145)</f>
        <v>C:\Users\mbaptista\OneDrive - Biblioteca Nacional de Portugal\Documentos\python\camoniana\imagens\capas\637139\1\1.jpg</v>
      </c>
      <c r="Q145" s="12"/>
      <c r="R145" s="6" t="s">
        <v>198</v>
      </c>
      <c r="S145" s="12"/>
      <c r="T145" s="1">
        <v>1</v>
      </c>
      <c r="U145" s="13"/>
      <c r="V145" s="13"/>
      <c r="W145" s="5" t="s">
        <v>1491</v>
      </c>
    </row>
    <row r="146" spans="1:23" ht="225">
      <c r="A146" s="1">
        <v>665442</v>
      </c>
      <c r="B146" s="1">
        <v>1</v>
      </c>
      <c r="C146" s="1">
        <v>1</v>
      </c>
      <c r="D146" s="2" t="s">
        <v>199</v>
      </c>
      <c r="E146" s="5" t="s">
        <v>199</v>
      </c>
      <c r="F146" s="5">
        <v>34623</v>
      </c>
      <c r="G146" s="2" t="s">
        <v>1494</v>
      </c>
      <c r="H146" s="2" t="s">
        <v>1495</v>
      </c>
      <c r="I146" s="2" t="s">
        <v>1496</v>
      </c>
      <c r="J146" s="2" t="str">
        <f>CONCATENATE(G146,F146,H146,C146,I146)</f>
        <v>https://permalinkbnd.bnportugal.gov.pt/viewer/34623/?offset=#page=1&amp;viewer=picture&amp;o=info&amp;n=0&amp;q=</v>
      </c>
      <c r="K146" s="1">
        <v>1</v>
      </c>
      <c r="L146" s="1" t="str">
        <f>VLOOKUP(A146,Folha2!$A$2:$B$2019,2,FALSE)</f>
        <v>No tricentenário de Camões, 1880. Iconografia, Lugares de memória.</v>
      </c>
      <c r="M146" s="12" t="str">
        <f>HYPERLINK(J146)</f>
        <v>https://permalinkbnd.bnportugal.gov.pt/viewer/34623/?offset=#page=1&amp;viewer=picture&amp;o=info&amp;n=0&amp;q=</v>
      </c>
      <c r="N146" s="12" t="s">
        <v>1497</v>
      </c>
      <c r="O146" s="12" t="str">
        <f>CONCATENATE(N146,A146,"\",B146,"\",C146,".jpg")</f>
        <v>C:\Users\mbaptista\OneDrive - Biblioteca Nacional de Portugal\Documentos\python\camoniana\imagens\capas\665442\1\1.jpg</v>
      </c>
      <c r="P146" s="12" t="str">
        <f>HYPERLINK(O146)</f>
        <v>C:\Users\mbaptista\OneDrive - Biblioteca Nacional de Portugal\Documentos\python\camoniana\imagens\capas\665442\1\1.jpg</v>
      </c>
      <c r="Q146" s="12"/>
      <c r="R146" s="6" t="s">
        <v>200</v>
      </c>
      <c r="S146" s="12"/>
      <c r="T146" s="1">
        <v>1</v>
      </c>
      <c r="U146" s="13"/>
      <c r="V146" s="13"/>
      <c r="W146" s="5" t="s">
        <v>1491</v>
      </c>
    </row>
    <row r="147" spans="1:23" ht="225">
      <c r="A147" s="1">
        <v>700486</v>
      </c>
      <c r="B147" s="1">
        <v>1</v>
      </c>
      <c r="C147" s="1">
        <v>1</v>
      </c>
      <c r="D147" s="2" t="s">
        <v>201</v>
      </c>
      <c r="E147" s="11" t="s">
        <v>201</v>
      </c>
      <c r="F147" s="11">
        <v>37092</v>
      </c>
      <c r="G147" s="2" t="s">
        <v>1494</v>
      </c>
      <c r="H147" s="2" t="s">
        <v>1495</v>
      </c>
      <c r="I147" s="2" t="s">
        <v>1496</v>
      </c>
      <c r="J147" s="2" t="str">
        <f>CONCATENATE(G147,F147,H147,C147,I147)</f>
        <v>https://permalinkbnd.bnportugal.gov.pt/viewer/37092/?offset=#page=1&amp;viewer=picture&amp;o=info&amp;n=0&amp;q=</v>
      </c>
      <c r="K147" s="1">
        <v>1</v>
      </c>
      <c r="L147" s="1" t="str">
        <f>VLOOKUP(A147,Folha2!$A$2:$B$2019,2,FALSE)</f>
        <v>António Ramalho, Camões lendo Os Lusíadas a D. Sebastião, 1916</v>
      </c>
      <c r="M147" s="12" t="str">
        <f>HYPERLINK(J147)</f>
        <v>https://permalinkbnd.bnportugal.gov.pt/viewer/37092/?offset=#page=1&amp;viewer=picture&amp;o=info&amp;n=0&amp;q=</v>
      </c>
      <c r="N147" s="12" t="s">
        <v>1497</v>
      </c>
      <c r="O147" s="12" t="str">
        <f>CONCATENATE(N147,A147,"\",B147,"\",C147,".jpg")</f>
        <v>C:\Users\mbaptista\OneDrive - Biblioteca Nacional de Portugal\Documentos\python\camoniana\imagens\capas\700486\1\1.jpg</v>
      </c>
      <c r="P147" s="12" t="str">
        <f>HYPERLINK(O147)</f>
        <v>C:\Users\mbaptista\OneDrive - Biblioteca Nacional de Portugal\Documentos\python\camoniana\imagens\capas\700486\1\1.jpg</v>
      </c>
      <c r="Q147" s="12"/>
      <c r="R147" s="6" t="s">
        <v>202</v>
      </c>
      <c r="S147" s="12"/>
      <c r="T147" s="1">
        <v>1</v>
      </c>
      <c r="U147" s="13"/>
      <c r="V147" s="13"/>
      <c r="W147" s="5" t="s">
        <v>1491</v>
      </c>
    </row>
    <row r="148" spans="1:23" ht="225">
      <c r="A148" s="1">
        <v>700487</v>
      </c>
      <c r="B148" s="1">
        <v>1</v>
      </c>
      <c r="C148" s="1">
        <v>1</v>
      </c>
      <c r="D148" s="2" t="s">
        <v>203</v>
      </c>
      <c r="E148" s="5" t="s">
        <v>203</v>
      </c>
      <c r="F148" s="5">
        <v>37325</v>
      </c>
      <c r="G148" s="2" t="s">
        <v>1494</v>
      </c>
      <c r="H148" s="2" t="s">
        <v>1495</v>
      </c>
      <c r="I148" s="2" t="s">
        <v>1496</v>
      </c>
      <c r="J148" s="2" t="str">
        <f>CONCATENATE(G148,F148,H148,C148,I148)</f>
        <v>https://permalinkbnd.bnportugal.gov.pt/viewer/37325/?offset=#page=1&amp;viewer=picture&amp;o=info&amp;n=0&amp;q=</v>
      </c>
      <c r="K148" s="1">
        <v>1</v>
      </c>
      <c r="L148" s="1" t="str">
        <f>VLOOKUP(A148,Folha2!$A$2:$B$2019,2,FALSE)</f>
        <v>Camões no leito de morte, 1861</v>
      </c>
      <c r="M148" s="12" t="str">
        <f>HYPERLINK(J148)</f>
        <v>https://permalinkbnd.bnportugal.gov.pt/viewer/37325/?offset=#page=1&amp;viewer=picture&amp;o=info&amp;n=0&amp;q=</v>
      </c>
      <c r="N148" s="12" t="s">
        <v>1497</v>
      </c>
      <c r="O148" s="12" t="str">
        <f>CONCATENATE(N148,A148,"\",B148,"\",C148,".jpg")</f>
        <v>C:\Users\mbaptista\OneDrive - Biblioteca Nacional de Portugal\Documentos\python\camoniana\imagens\capas\700487\1\1.jpg</v>
      </c>
      <c r="P148" s="12" t="str">
        <f>HYPERLINK(O148)</f>
        <v>C:\Users\mbaptista\OneDrive - Biblioteca Nacional de Portugal\Documentos\python\camoniana\imagens\capas\700487\1\1.jpg</v>
      </c>
      <c r="Q148" s="12"/>
      <c r="R148" s="6" t="s">
        <v>204</v>
      </c>
      <c r="S148" s="12"/>
      <c r="T148" s="1">
        <v>1</v>
      </c>
      <c r="U148" s="13"/>
      <c r="V148" s="13"/>
      <c r="W148" s="5" t="s">
        <v>1491</v>
      </c>
    </row>
    <row r="149" spans="1:23" ht="225">
      <c r="A149" s="1">
        <v>704429</v>
      </c>
      <c r="B149" s="1">
        <v>1</v>
      </c>
      <c r="C149" s="1">
        <v>1</v>
      </c>
      <c r="D149" s="2" t="s">
        <v>205</v>
      </c>
      <c r="E149" s="11" t="s">
        <v>205</v>
      </c>
      <c r="F149" s="11">
        <v>33427</v>
      </c>
      <c r="G149" s="2" t="s">
        <v>1494</v>
      </c>
      <c r="H149" s="2" t="s">
        <v>1495</v>
      </c>
      <c r="I149" s="2" t="s">
        <v>1496</v>
      </c>
      <c r="J149" s="2" t="str">
        <f>CONCATENATE(G149,F149,H149,C149,I149)</f>
        <v>https://permalinkbnd.bnportugal.gov.pt/viewer/33427/?offset=#page=1&amp;viewer=picture&amp;o=info&amp;n=0&amp;q=</v>
      </c>
      <c r="K149" s="1">
        <v>1</v>
      </c>
      <c r="L149" s="1" t="str">
        <f>VLOOKUP(A149,Folha2!$A$2:$B$2019,2,FALSE)</f>
        <v xml:space="preserve">GAMEIRO, Alfredo Roque, 1864-1935. [Os Lusíadas] : [ilustração]. -[1900]. - 1 desenho : tinta-da-china e aguarela ; </v>
      </c>
      <c r="M149" s="12" t="str">
        <f>HYPERLINK(J149)</f>
        <v>https://permalinkbnd.bnportugal.gov.pt/viewer/33427/?offset=#page=1&amp;viewer=picture&amp;o=info&amp;n=0&amp;q=</v>
      </c>
      <c r="N149" s="12" t="s">
        <v>1497</v>
      </c>
      <c r="O149" s="12" t="str">
        <f>CONCATENATE(N149,A149,"\",B149,"\",C149,".jpg")</f>
        <v>C:\Users\mbaptista\OneDrive - Biblioteca Nacional de Portugal\Documentos\python\camoniana\imagens\capas\704429\1\1.jpg</v>
      </c>
      <c r="P149" s="12" t="str">
        <f>HYPERLINK(O149)</f>
        <v>C:\Users\mbaptista\OneDrive - Biblioteca Nacional de Portugal\Documentos\python\camoniana\imagens\capas\704429\1\1.jpg</v>
      </c>
      <c r="Q149" s="12"/>
      <c r="R149" s="6" t="s">
        <v>206</v>
      </c>
      <c r="S149" s="12"/>
      <c r="T149" s="1">
        <v>1</v>
      </c>
      <c r="U149" s="13"/>
      <c r="V149" s="13"/>
      <c r="W149" s="5" t="s">
        <v>1491</v>
      </c>
    </row>
    <row r="150" spans="1:23" ht="225">
      <c r="A150" s="1">
        <v>709106</v>
      </c>
      <c r="B150" s="1">
        <v>1</v>
      </c>
      <c r="C150" s="1">
        <v>1</v>
      </c>
      <c r="D150" s="2" t="s">
        <v>207</v>
      </c>
      <c r="E150" s="5" t="s">
        <v>207</v>
      </c>
      <c r="F150" s="5">
        <v>36374</v>
      </c>
      <c r="G150" s="2" t="s">
        <v>1494</v>
      </c>
      <c r="H150" s="2" t="s">
        <v>1495</v>
      </c>
      <c r="I150" s="2" t="s">
        <v>1496</v>
      </c>
      <c r="J150" s="2" t="str">
        <f>CONCATENATE(G150,F150,H150,C150,I150)</f>
        <v>https://permalinkbnd.bnportugal.gov.pt/viewer/36374/?offset=#page=1&amp;viewer=picture&amp;o=info&amp;n=0&amp;q=</v>
      </c>
      <c r="K150" s="1">
        <v>1</v>
      </c>
      <c r="L150" s="1" t="str">
        <f>VLOOKUP(A150,Folha2!$A$2:$B$2019,2,FALSE)</f>
        <v xml:space="preserve">Luiz de Camões / Grossi. - [S.l. : s.n., ca. 1880] (Bologna : Stah Lito P. Barigazzi). - 1 gravura </v>
      </c>
      <c r="M150" s="12" t="str">
        <f>HYPERLINK(J150)</f>
        <v>https://permalinkbnd.bnportugal.gov.pt/viewer/36374/?offset=#page=1&amp;viewer=picture&amp;o=info&amp;n=0&amp;q=</v>
      </c>
      <c r="N150" s="12" t="s">
        <v>1497</v>
      </c>
      <c r="O150" s="12" t="str">
        <f>CONCATENATE(N150,A150,"\",B150,"\",C150,".jpg")</f>
        <v>C:\Users\mbaptista\OneDrive - Biblioteca Nacional de Portugal\Documentos\python\camoniana\imagens\capas\709106\1\1.jpg</v>
      </c>
      <c r="P150" s="12" t="str">
        <f>HYPERLINK(O150)</f>
        <v>C:\Users\mbaptista\OneDrive - Biblioteca Nacional de Portugal\Documentos\python\camoniana\imagens\capas\709106\1\1.jpg</v>
      </c>
      <c r="Q150" s="12"/>
      <c r="R150" s="6" t="s">
        <v>208</v>
      </c>
      <c r="S150" s="12"/>
      <c r="T150" s="1">
        <v>1</v>
      </c>
      <c r="U150" s="13"/>
      <c r="V150" s="13"/>
      <c r="W150" s="5" t="s">
        <v>1491</v>
      </c>
    </row>
    <row r="151" spans="1:23" ht="225">
      <c r="A151" s="1">
        <v>709129</v>
      </c>
      <c r="B151" s="1">
        <v>1</v>
      </c>
      <c r="C151" s="1">
        <v>1</v>
      </c>
      <c r="D151" s="2" t="s">
        <v>209</v>
      </c>
      <c r="E151" s="11" t="s">
        <v>209</v>
      </c>
      <c r="F151" s="11">
        <v>36554</v>
      </c>
      <c r="G151" s="2" t="s">
        <v>1494</v>
      </c>
      <c r="H151" s="2" t="s">
        <v>1495</v>
      </c>
      <c r="I151" s="2" t="s">
        <v>1496</v>
      </c>
      <c r="J151" s="2" t="str">
        <f>CONCATENATE(G151,F151,H151,C151,I151)</f>
        <v>https://permalinkbnd.bnportugal.gov.pt/viewer/36554/?offset=#page=1&amp;viewer=picture&amp;o=info&amp;n=0&amp;q=</v>
      </c>
      <c r="K151" s="1">
        <v>1</v>
      </c>
      <c r="L151" s="1" t="str">
        <f>VLOOKUP(A151,Folha2!$A$2:$B$2019,2,FALSE)</f>
        <v>Vasco da Gama apresentando… 1900</v>
      </c>
      <c r="M151" s="12" t="str">
        <f>HYPERLINK(J151)</f>
        <v>https://permalinkbnd.bnportugal.gov.pt/viewer/36554/?offset=#page=1&amp;viewer=picture&amp;o=info&amp;n=0&amp;q=</v>
      </c>
      <c r="N151" s="12" t="s">
        <v>1497</v>
      </c>
      <c r="O151" s="12" t="str">
        <f>CONCATENATE(N151,A151,"\",B151,"\",C151,".jpg")</f>
        <v>C:\Users\mbaptista\OneDrive - Biblioteca Nacional de Portugal\Documentos\python\camoniana\imagens\capas\709129\1\1.jpg</v>
      </c>
      <c r="P151" s="12" t="str">
        <f>HYPERLINK(O151)</f>
        <v>C:\Users\mbaptista\OneDrive - Biblioteca Nacional de Portugal\Documentos\python\camoniana\imagens\capas\709129\1\1.jpg</v>
      </c>
      <c r="Q151" s="12"/>
      <c r="R151" s="6" t="s">
        <v>210</v>
      </c>
      <c r="S151" s="12"/>
      <c r="T151" s="1">
        <v>1</v>
      </c>
      <c r="U151" s="13"/>
      <c r="V151" s="13"/>
      <c r="W151" s="5" t="s">
        <v>1491</v>
      </c>
    </row>
    <row r="152" spans="1:23" ht="225">
      <c r="A152" s="1">
        <v>729122</v>
      </c>
      <c r="B152" s="1">
        <v>1</v>
      </c>
      <c r="C152" s="1">
        <v>1</v>
      </c>
      <c r="D152" s="2" t="s">
        <v>211</v>
      </c>
      <c r="E152" s="5" t="s">
        <v>211</v>
      </c>
      <c r="F152" s="5">
        <v>37663</v>
      </c>
      <c r="G152" s="2" t="s">
        <v>1494</v>
      </c>
      <c r="H152" s="2" t="s">
        <v>1495</v>
      </c>
      <c r="I152" s="2" t="s">
        <v>1496</v>
      </c>
      <c r="J152" s="2" t="str">
        <f>CONCATENATE(G152,F152,H152,C152,I152)</f>
        <v>https://permalinkbnd.bnportugal.gov.pt/viewer/37663/?offset=#page=1&amp;viewer=picture&amp;o=info&amp;n=0&amp;q=</v>
      </c>
      <c r="K152" s="1">
        <v>1</v>
      </c>
      <c r="L152" s="1" t="str">
        <f>VLOOKUP(A152,Folha2!$A$2:$B$2019,2,FALSE)</f>
        <v>António Fernandes Rodrigues, Camões, 1779</v>
      </c>
      <c r="M152" s="12" t="str">
        <f>HYPERLINK(J152)</f>
        <v>https://permalinkbnd.bnportugal.gov.pt/viewer/37663/?offset=#page=1&amp;viewer=picture&amp;o=info&amp;n=0&amp;q=</v>
      </c>
      <c r="N152" s="12" t="s">
        <v>1497</v>
      </c>
      <c r="O152" s="12" t="str">
        <f>CONCATENATE(N152,A152,"\",B152,"\",C152,".jpg")</f>
        <v>C:\Users\mbaptista\OneDrive - Biblioteca Nacional de Portugal\Documentos\python\camoniana\imagens\capas\729122\1\1.jpg</v>
      </c>
      <c r="P152" s="12" t="str">
        <f>HYPERLINK(O152)</f>
        <v>C:\Users\mbaptista\OneDrive - Biblioteca Nacional de Portugal\Documentos\python\camoniana\imagens\capas\729122\1\1.jpg</v>
      </c>
      <c r="Q152" s="12"/>
      <c r="R152" s="6" t="s">
        <v>212</v>
      </c>
      <c r="S152" s="12"/>
      <c r="T152" s="1">
        <v>1</v>
      </c>
      <c r="U152" s="13"/>
      <c r="V152" s="13"/>
      <c r="W152" s="5" t="s">
        <v>1491</v>
      </c>
    </row>
    <row r="153" spans="1:23" ht="225">
      <c r="A153" s="1">
        <v>730341</v>
      </c>
      <c r="B153" s="1">
        <v>1</v>
      </c>
      <c r="C153" s="1">
        <v>1</v>
      </c>
      <c r="D153" s="2" t="s">
        <v>213</v>
      </c>
      <c r="E153" s="11" t="s">
        <v>213</v>
      </c>
      <c r="F153" s="11">
        <v>37195</v>
      </c>
      <c r="G153" s="2" t="s">
        <v>1494</v>
      </c>
      <c r="H153" s="2" t="s">
        <v>1495</v>
      </c>
      <c r="I153" s="2" t="s">
        <v>1496</v>
      </c>
      <c r="J153" s="2" t="str">
        <f>CONCATENATE(G153,F153,H153,C153,I153)</f>
        <v>https://permalinkbnd.bnportugal.gov.pt/viewer/37195/?offset=#page=1&amp;viewer=picture&amp;o=info&amp;n=0&amp;q=</v>
      </c>
      <c r="K153" s="1" t="s">
        <v>120</v>
      </c>
      <c r="L153" s="1" t="str">
        <f>VLOOKUP(A153,Folha2!$A$2:$B$2019,2,FALSE)</f>
        <v>F. Audibran, Camões, c. 1841</v>
      </c>
      <c r="M153" s="12" t="str">
        <f>HYPERLINK(J153)</f>
        <v>https://permalinkbnd.bnportugal.gov.pt/viewer/37195/?offset=#page=1&amp;viewer=picture&amp;o=info&amp;n=0&amp;q=</v>
      </c>
      <c r="N153" s="12" t="s">
        <v>1497</v>
      </c>
      <c r="O153" s="12" t="str">
        <f>CONCATENATE(N153,A153,"\",B153,"\",C153,".jpg")</f>
        <v>C:\Users\mbaptista\OneDrive - Biblioteca Nacional de Portugal\Documentos\python\camoniana\imagens\capas\730341\1\1.jpg</v>
      </c>
      <c r="P153" s="12" t="str">
        <f>HYPERLINK(O153)</f>
        <v>C:\Users\mbaptista\OneDrive - Biblioteca Nacional de Portugal\Documentos\python\camoniana\imagens\capas\730341\1\1.jpg</v>
      </c>
      <c r="Q153" s="12"/>
      <c r="R153" s="6" t="s">
        <v>214</v>
      </c>
      <c r="S153" s="12"/>
      <c r="T153" s="1">
        <v>1</v>
      </c>
      <c r="U153" s="13"/>
      <c r="V153" s="13"/>
      <c r="W153" s="5" t="s">
        <v>1491</v>
      </c>
    </row>
    <row r="154" spans="1:23" ht="225">
      <c r="A154" s="1">
        <v>733501</v>
      </c>
      <c r="B154" s="1">
        <v>1</v>
      </c>
      <c r="C154" s="1">
        <v>1</v>
      </c>
      <c r="D154" s="2" t="s">
        <v>215</v>
      </c>
      <c r="E154" s="5" t="s">
        <v>215</v>
      </c>
      <c r="F154" s="5">
        <v>37674</v>
      </c>
      <c r="G154" s="2" t="s">
        <v>1494</v>
      </c>
      <c r="H154" s="2" t="s">
        <v>1495</v>
      </c>
      <c r="I154" s="2" t="s">
        <v>1496</v>
      </c>
      <c r="J154" s="2" t="str">
        <f>CONCATENATE(G154,F154,H154,C154,I154)</f>
        <v>https://permalinkbnd.bnportugal.gov.pt/viewer/37674/?offset=#page=1&amp;viewer=picture&amp;o=info&amp;n=0&amp;q=</v>
      </c>
      <c r="K154" s="1">
        <v>1</v>
      </c>
      <c r="L154" s="1" t="str">
        <f>VLOOKUP(A154,Folha2!$A$2:$B$2019,2,FALSE)</f>
        <v>William Skelton, Camões, 1820</v>
      </c>
      <c r="M154" s="12" t="str">
        <f>HYPERLINK(J154)</f>
        <v>https://permalinkbnd.bnportugal.gov.pt/viewer/37674/?offset=#page=1&amp;viewer=picture&amp;o=info&amp;n=0&amp;q=</v>
      </c>
      <c r="N154" s="12" t="s">
        <v>1497</v>
      </c>
      <c r="O154" s="12" t="str">
        <f>CONCATENATE(N154,A154,"\",B154,"\",C154,".jpg")</f>
        <v>C:\Users\mbaptista\OneDrive - Biblioteca Nacional de Portugal\Documentos\python\camoniana\imagens\capas\733501\1\1.jpg</v>
      </c>
      <c r="P154" s="12" t="str">
        <f>HYPERLINK(O154)</f>
        <v>C:\Users\mbaptista\OneDrive - Biblioteca Nacional de Portugal\Documentos\python\camoniana\imagens\capas\733501\1\1.jpg</v>
      </c>
      <c r="Q154" s="12"/>
      <c r="R154" s="6" t="s">
        <v>216</v>
      </c>
      <c r="S154" s="12"/>
      <c r="T154" s="1">
        <v>1</v>
      </c>
      <c r="U154" s="13"/>
      <c r="V154" s="13"/>
      <c r="W154" s="5" t="s">
        <v>1491</v>
      </c>
    </row>
    <row r="155" spans="1:23" ht="225">
      <c r="A155" s="1">
        <v>742171</v>
      </c>
      <c r="B155" s="1">
        <v>1</v>
      </c>
      <c r="C155" s="1">
        <v>10</v>
      </c>
      <c r="D155" s="2" t="s">
        <v>217</v>
      </c>
      <c r="E155" s="11" t="s">
        <v>217</v>
      </c>
      <c r="F155" s="11">
        <v>274166</v>
      </c>
      <c r="G155" s="2" t="s">
        <v>1494</v>
      </c>
      <c r="H155" s="2" t="s">
        <v>1495</v>
      </c>
      <c r="I155" s="2" t="s">
        <v>1496</v>
      </c>
      <c r="J155" s="2" t="str">
        <f>CONCATENATE(G155,F155,H155,C155,I155)</f>
        <v>https://permalinkbnd.bnportugal.gov.pt/viewer/274166/?offset=#page=10&amp;viewer=picture&amp;o=info&amp;n=0&amp;q=</v>
      </c>
      <c r="K155" s="1" t="s">
        <v>218</v>
      </c>
      <c r="L155" s="1" t="str">
        <f>VLOOKUP(A155,Folha2!$A$2:$B$2019,2,FALSE)</f>
        <v xml:space="preserve">Les Lusiades, H. Garin, 1889. Em verso. Trad. Paratextos gerais; Trad. Paratextos argumentos e Iconografia: figuras históricas. </v>
      </c>
      <c r="M155" s="12" t="str">
        <f>HYPERLINK(J155)</f>
        <v>https://permalinkbnd.bnportugal.gov.pt/viewer/274166/?offset=#page=10&amp;viewer=picture&amp;o=info&amp;n=0&amp;q=</v>
      </c>
      <c r="N155" s="12" t="s">
        <v>1497</v>
      </c>
      <c r="O155" s="12" t="str">
        <f>CONCATENATE(N155,A155,"\",B155,"\",C155,".jpg")</f>
        <v>C:\Users\mbaptista\OneDrive - Biblioteca Nacional de Portugal\Documentos\python\camoniana\imagens\capas\742171\1\10.jpg</v>
      </c>
      <c r="P155" s="12" t="str">
        <f>HYPERLINK(O155)</f>
        <v>C:\Users\mbaptista\OneDrive - Biblioteca Nacional de Portugal\Documentos\python\camoniana\imagens\capas\742171\1\10.jpg</v>
      </c>
      <c r="Q155" s="12"/>
      <c r="R155" s="6" t="s">
        <v>220</v>
      </c>
      <c r="S155" s="12"/>
      <c r="T155" s="1" t="s">
        <v>219</v>
      </c>
      <c r="U155" s="13"/>
      <c r="V155" s="13"/>
      <c r="W155" s="5" t="s">
        <v>1491</v>
      </c>
    </row>
    <row r="156" spans="1:23" ht="225">
      <c r="A156" s="1">
        <v>742171</v>
      </c>
      <c r="B156" s="1">
        <v>1</v>
      </c>
      <c r="C156" s="1">
        <v>18</v>
      </c>
      <c r="D156" s="2" t="s">
        <v>217</v>
      </c>
      <c r="E156" s="5" t="s">
        <v>217</v>
      </c>
      <c r="F156" s="5">
        <v>274166</v>
      </c>
      <c r="G156" s="2" t="s">
        <v>1494</v>
      </c>
      <c r="H156" s="2" t="s">
        <v>1495</v>
      </c>
      <c r="I156" s="2" t="s">
        <v>1496</v>
      </c>
      <c r="J156" s="2" t="str">
        <f>CONCATENATE(G156,F156,H156,C156,I156)</f>
        <v>https://permalinkbnd.bnportugal.gov.pt/viewer/274166/?offset=#page=18&amp;viewer=picture&amp;o=info&amp;n=0&amp;q=</v>
      </c>
      <c r="K156" s="1" t="s">
        <v>218</v>
      </c>
      <c r="L156" s="1" t="str">
        <f>VLOOKUP(A156,Folha2!$A$2:$B$2019,2,FALSE)</f>
        <v xml:space="preserve">Les Lusiades, H. Garin, 1889. Em verso. Trad. Paratextos gerais; Trad. Paratextos argumentos e Iconografia: figuras históricas. </v>
      </c>
      <c r="M156" s="12" t="str">
        <f>HYPERLINK(J156)</f>
        <v>https://permalinkbnd.bnportugal.gov.pt/viewer/274166/?offset=#page=18&amp;viewer=picture&amp;o=info&amp;n=0&amp;q=</v>
      </c>
      <c r="N156" s="12" t="s">
        <v>1497</v>
      </c>
      <c r="O156" s="12" t="str">
        <f>CONCATENATE(N156,A156,"\",B156,"\",C156,".jpg")</f>
        <v>C:\Users\mbaptista\OneDrive - Biblioteca Nacional de Portugal\Documentos\python\camoniana\imagens\capas\742171\1\18.jpg</v>
      </c>
      <c r="P156" s="12" t="str">
        <f>HYPERLINK(O156)</f>
        <v>C:\Users\mbaptista\OneDrive - Biblioteca Nacional de Portugal\Documentos\python\camoniana\imagens\capas\742171\1\18.jpg</v>
      </c>
      <c r="Q156" s="12"/>
      <c r="R156" s="6" t="s">
        <v>221</v>
      </c>
      <c r="S156" s="12"/>
      <c r="T156" s="1" t="s">
        <v>219</v>
      </c>
      <c r="U156" s="13"/>
      <c r="V156" s="13"/>
      <c r="W156" s="5" t="s">
        <v>1491</v>
      </c>
    </row>
    <row r="157" spans="1:23" ht="225">
      <c r="A157" s="1">
        <v>764770</v>
      </c>
      <c r="B157" s="1">
        <v>1</v>
      </c>
      <c r="C157" s="1">
        <v>7</v>
      </c>
      <c r="D157" s="2" t="s">
        <v>222</v>
      </c>
      <c r="E157" s="11" t="s">
        <v>222</v>
      </c>
      <c r="F157" s="11">
        <v>270042</v>
      </c>
      <c r="G157" s="2" t="s">
        <v>1494</v>
      </c>
      <c r="H157" s="2" t="s">
        <v>1495</v>
      </c>
      <c r="I157" s="2" t="s">
        <v>1496</v>
      </c>
      <c r="J157" s="2" t="str">
        <f>CONCATENATE(G157,F157,H157,C157,I157)</f>
        <v>https://permalinkbnd.bnportugal.gov.pt/viewer/270042/?offset=#page=7&amp;viewer=picture&amp;o=info&amp;n=0&amp;q=</v>
      </c>
      <c r="K157" s="1" t="s">
        <v>223</v>
      </c>
      <c r="L157" s="1" t="str">
        <f>VLOOKUP(A157,Folha2!$A$2:$B$2019,2,FALSE)</f>
        <v>Os Lusíadas, 1609, sem argumentos.</v>
      </c>
      <c r="M157" s="12" t="str">
        <f>HYPERLINK(J157)</f>
        <v>https://permalinkbnd.bnportugal.gov.pt/viewer/270042/?offset=#page=7&amp;viewer=picture&amp;o=info&amp;n=0&amp;q=</v>
      </c>
      <c r="N157" s="12" t="s">
        <v>1497</v>
      </c>
      <c r="O157" s="12" t="str">
        <f>CONCATENATE(N157,A157,"\",B157,"\",C157,".jpg")</f>
        <v>C:\Users\mbaptista\OneDrive - Biblioteca Nacional de Portugal\Documentos\python\camoniana\imagens\capas\764770\1\7.jpg</v>
      </c>
      <c r="P157" s="12" t="str">
        <f>HYPERLINK(O157)</f>
        <v>C:\Users\mbaptista\OneDrive - Biblioteca Nacional de Portugal\Documentos\python\camoniana\imagens\capas\764770\1\7.jpg</v>
      </c>
      <c r="Q157" s="12"/>
      <c r="R157" s="6" t="s">
        <v>224</v>
      </c>
      <c r="S157" s="12"/>
      <c r="T157" s="1">
        <v>7</v>
      </c>
      <c r="U157" s="13"/>
      <c r="V157" s="13"/>
      <c r="W157" s="5" t="s">
        <v>1491</v>
      </c>
    </row>
    <row r="158" spans="1:23" ht="225">
      <c r="A158" s="1">
        <v>764770</v>
      </c>
      <c r="B158" s="1">
        <v>1</v>
      </c>
      <c r="C158" s="1">
        <v>46</v>
      </c>
      <c r="D158" s="2" t="s">
        <v>222</v>
      </c>
      <c r="E158" s="5" t="s">
        <v>222</v>
      </c>
      <c r="F158" s="5">
        <v>270042</v>
      </c>
      <c r="G158" s="2" t="s">
        <v>1494</v>
      </c>
      <c r="H158" s="2" t="s">
        <v>1495</v>
      </c>
      <c r="I158" s="2" t="s">
        <v>1496</v>
      </c>
      <c r="J158" s="2" t="str">
        <f>CONCATENATE(G158,F158,H158,C158,I158)</f>
        <v>https://permalinkbnd.bnportugal.gov.pt/viewer/270042/?offset=#page=46&amp;viewer=picture&amp;o=info&amp;n=0&amp;q=</v>
      </c>
      <c r="K158" s="1" t="s">
        <v>223</v>
      </c>
      <c r="L158" s="1" t="str">
        <f>VLOOKUP(A158,Folha2!$A$2:$B$2019,2,FALSE)</f>
        <v>Os Lusíadas, 1609, sem argumentos.</v>
      </c>
      <c r="M158" s="12" t="str">
        <f>HYPERLINK(J158)</f>
        <v>https://permalinkbnd.bnportugal.gov.pt/viewer/270042/?offset=#page=46&amp;viewer=picture&amp;o=info&amp;n=0&amp;q=</v>
      </c>
      <c r="N158" s="12" t="s">
        <v>1497</v>
      </c>
      <c r="O158" s="12" t="str">
        <f>CONCATENATE(N158,A158,"\",B158,"\",C158,".jpg")</f>
        <v>C:\Users\mbaptista\OneDrive - Biblioteca Nacional de Portugal\Documentos\python\camoniana\imagens\capas\764770\1\46.jpg</v>
      </c>
      <c r="P158" s="12" t="str">
        <f>HYPERLINK(O158)</f>
        <v>C:\Users\mbaptista\OneDrive - Biblioteca Nacional de Portugal\Documentos\python\camoniana\imagens\capas\764770\1\46.jpg</v>
      </c>
      <c r="Q158" s="12"/>
      <c r="R158" s="6"/>
      <c r="S158" s="12"/>
      <c r="T158" s="1"/>
      <c r="U158" s="13"/>
      <c r="V158" s="13"/>
      <c r="W158" s="5"/>
    </row>
    <row r="159" spans="1:23" ht="225">
      <c r="A159" s="1">
        <v>767226</v>
      </c>
      <c r="B159" s="1">
        <v>1</v>
      </c>
      <c r="C159" s="1">
        <v>4</v>
      </c>
      <c r="D159" s="2" t="s">
        <v>225</v>
      </c>
      <c r="E159" s="11" t="s">
        <v>225</v>
      </c>
      <c r="F159" s="11">
        <v>273943</v>
      </c>
      <c r="G159" s="2" t="s">
        <v>1494</v>
      </c>
      <c r="H159" s="2" t="s">
        <v>1495</v>
      </c>
      <c r="I159" s="2" t="s">
        <v>1496</v>
      </c>
      <c r="J159" s="2" t="str">
        <f>CONCATENATE(G159,F159,H159,C159,I159)</f>
        <v>https://permalinkbnd.bnportugal.gov.pt/viewer/273943/?offset=#page=4&amp;viewer=picture&amp;o=info&amp;n=0&amp;q=</v>
      </c>
      <c r="K159" s="1">
        <v>4</v>
      </c>
      <c r="L159" s="1" t="str">
        <f>VLOOKUP(A159,Folha2!$A$2:$B$2019,2,FALSE)</f>
        <v>Os Lusíadas, 1875. Paratextos vida e Paratextos argumentos.</v>
      </c>
      <c r="M159" s="12" t="str">
        <f>HYPERLINK(J159)</f>
        <v>https://permalinkbnd.bnportugal.gov.pt/viewer/273943/?offset=#page=4&amp;viewer=picture&amp;o=info&amp;n=0&amp;q=</v>
      </c>
      <c r="N159" s="12" t="s">
        <v>1497</v>
      </c>
      <c r="O159" s="12" t="str">
        <f>CONCATENATE(N159,A159,"\",B159,"\",C159,".jpg")</f>
        <v>C:\Users\mbaptista\OneDrive - Biblioteca Nacional de Portugal\Documentos\python\camoniana\imagens\capas\767226\1\4.jpg</v>
      </c>
      <c r="P159" s="12" t="str">
        <f>HYPERLINK(O159)</f>
        <v>C:\Users\mbaptista\OneDrive - Biblioteca Nacional de Portugal\Documentos\python\camoniana\imagens\capas\767226\1\4.jpg</v>
      </c>
      <c r="Q159" s="12"/>
      <c r="R159" s="6" t="s">
        <v>226</v>
      </c>
      <c r="S159" s="12"/>
      <c r="T159" s="1">
        <v>4</v>
      </c>
      <c r="U159" s="13"/>
      <c r="V159" s="13"/>
      <c r="W159" s="5" t="s">
        <v>1491</v>
      </c>
    </row>
    <row r="160" spans="1:23" ht="225">
      <c r="A160" s="1">
        <v>767525</v>
      </c>
      <c r="B160" s="1">
        <v>1</v>
      </c>
      <c r="C160" s="1">
        <v>3</v>
      </c>
      <c r="D160" s="2" t="s">
        <v>227</v>
      </c>
      <c r="E160" s="5" t="s">
        <v>227</v>
      </c>
      <c r="F160" s="5">
        <v>273427</v>
      </c>
      <c r="G160" s="2" t="s">
        <v>1494</v>
      </c>
      <c r="H160" s="2" t="s">
        <v>1495</v>
      </c>
      <c r="I160" s="2" t="s">
        <v>1496</v>
      </c>
      <c r="J160" s="2" t="str">
        <f>CONCATENATE(G160,F160,H160,C160,I160)</f>
        <v>https://permalinkbnd.bnportugal.gov.pt/viewer/273427/?offset=#page=3&amp;viewer=picture&amp;o=info&amp;n=0&amp;q=</v>
      </c>
      <c r="K160" s="1">
        <v>3</v>
      </c>
      <c r="L160" s="1" t="str">
        <f>VLOOKUP(A160,Folha2!$A$2:$B$2019,2,FALSE)</f>
        <v>À memória de Luís de Camões, Luanda, Sociedade Propagadora de Conhecimentos Geográfico-Africanos, 1881</v>
      </c>
      <c r="M160" s="12" t="str">
        <f>HYPERLINK(J160)</f>
        <v>https://permalinkbnd.bnportugal.gov.pt/viewer/273427/?offset=#page=3&amp;viewer=picture&amp;o=info&amp;n=0&amp;q=</v>
      </c>
      <c r="N160" s="12" t="s">
        <v>1497</v>
      </c>
      <c r="O160" s="12" t="str">
        <f>CONCATENATE(N160,A160,"\",B160,"\",C160,".jpg")</f>
        <v>C:\Users\mbaptista\OneDrive - Biblioteca Nacional de Portugal\Documentos\python\camoniana\imagens\capas\767525\1\3.jpg</v>
      </c>
      <c r="P160" s="12" t="str">
        <f>HYPERLINK(O160)</f>
        <v>C:\Users\mbaptista\OneDrive - Biblioteca Nacional de Portugal\Documentos\python\camoniana\imagens\capas\767525\1\3.jpg</v>
      </c>
      <c r="Q160" s="12"/>
      <c r="R160" s="6" t="s">
        <v>228</v>
      </c>
      <c r="S160" s="12"/>
      <c r="T160" s="1">
        <v>3</v>
      </c>
      <c r="U160" s="13"/>
      <c r="V160" s="13"/>
      <c r="W160" s="5" t="s">
        <v>1491</v>
      </c>
    </row>
    <row r="161" spans="1:23" ht="225">
      <c r="A161" s="1">
        <v>782745</v>
      </c>
      <c r="B161" s="1">
        <v>1</v>
      </c>
      <c r="C161" s="1">
        <v>6</v>
      </c>
      <c r="D161" s="2" t="s">
        <v>229</v>
      </c>
      <c r="E161" s="11" t="s">
        <v>229</v>
      </c>
      <c r="F161" s="11">
        <v>272372</v>
      </c>
      <c r="G161" s="2" t="s">
        <v>1494</v>
      </c>
      <c r="H161" s="2" t="s">
        <v>1495</v>
      </c>
      <c r="I161" s="2" t="s">
        <v>1496</v>
      </c>
      <c r="J161" s="2" t="str">
        <f>CONCATENATE(G161,F161,H161,C161,I161)</f>
        <v>https://permalinkbnd.bnportugal.gov.pt/viewer/272372/?offset=#page=6&amp;viewer=picture&amp;o=info&amp;n=0&amp;q=</v>
      </c>
      <c r="K161" s="1" t="s">
        <v>230</v>
      </c>
      <c r="L161" s="1" t="str">
        <f>VLOOKUP(A161,Folha2!$A$2:$B$2019,2,FALSE)</f>
        <v>Os Lusíadas, 1889. Paratextos vida e Paratextos argumentos.</v>
      </c>
      <c r="M161" s="12" t="str">
        <f>HYPERLINK(J161)</f>
        <v>https://permalinkbnd.bnportugal.gov.pt/viewer/272372/?offset=#page=6&amp;viewer=picture&amp;o=info&amp;n=0&amp;q=</v>
      </c>
      <c r="N161" s="12" t="s">
        <v>1497</v>
      </c>
      <c r="O161" s="12" t="str">
        <f>CONCATENATE(N161,A161,"\",B161,"\",C161,".jpg")</f>
        <v>C:\Users\mbaptista\OneDrive - Biblioteca Nacional de Portugal\Documentos\python\camoniana\imagens\capas\782745\1\6.jpg</v>
      </c>
      <c r="P161" s="12" t="str">
        <f>HYPERLINK(O161)</f>
        <v>C:\Users\mbaptista\OneDrive - Biblioteca Nacional de Portugal\Documentos\python\camoniana\imagens\capas\782745\1\6.jpg</v>
      </c>
      <c r="Q161" s="12"/>
      <c r="R161" s="6" t="s">
        <v>231</v>
      </c>
      <c r="S161" s="12"/>
      <c r="T161" s="1">
        <v>6</v>
      </c>
      <c r="U161" s="13"/>
      <c r="V161" s="13"/>
      <c r="W161" s="5" t="s">
        <v>1491</v>
      </c>
    </row>
    <row r="162" spans="1:23" ht="225">
      <c r="A162" s="1">
        <v>784907</v>
      </c>
      <c r="B162" s="1">
        <v>1</v>
      </c>
      <c r="C162" s="1">
        <v>21</v>
      </c>
      <c r="D162" s="2" t="s">
        <v>232</v>
      </c>
      <c r="E162" s="5" t="s">
        <v>232</v>
      </c>
      <c r="F162" s="5">
        <v>272381</v>
      </c>
      <c r="G162" s="2" t="s">
        <v>1494</v>
      </c>
      <c r="H162" s="2" t="s">
        <v>1495</v>
      </c>
      <c r="I162" s="2" t="s">
        <v>1496</v>
      </c>
      <c r="J162" s="2" t="str">
        <f>CONCATENATE(G162,F162,H162,C162,I162)</f>
        <v>https://permalinkbnd.bnportugal.gov.pt/viewer/272381/?offset=#page=21&amp;viewer=picture&amp;o=info&amp;n=0&amp;q=</v>
      </c>
      <c r="K162" s="1" t="s">
        <v>233</v>
      </c>
      <c r="L162" s="1" t="str">
        <f>VLOOKUP(A162,Folha2!$A$2:$B$2019,2,FALSE)</f>
        <v>Os Lusíadas, 1836. [a obra digitalizada apresenta as estampas referentes a cada Canto e retrato do Poeta, mas sem Os Lusíadas e sem os paratextos referidos na folha de rosto, cf. objecto]</v>
      </c>
      <c r="M162" s="12" t="str">
        <f>HYPERLINK(J162)</f>
        <v>https://permalinkbnd.bnportugal.gov.pt/viewer/272381/?offset=#page=21&amp;viewer=picture&amp;o=info&amp;n=0&amp;q=</v>
      </c>
      <c r="N162" s="12" t="s">
        <v>1497</v>
      </c>
      <c r="O162" s="12" t="str">
        <f>CONCATENATE(N162,A162,"\",B162,"\",C162,".jpg")</f>
        <v>C:\Users\mbaptista\OneDrive - Biblioteca Nacional de Portugal\Documentos\python\camoniana\imagens\capas\784907\1\21.jpg</v>
      </c>
      <c r="P162" s="12" t="str">
        <f>HYPERLINK(O162)</f>
        <v>C:\Users\mbaptista\OneDrive - Biblioteca Nacional de Portugal\Documentos\python\camoniana\imagens\capas\784907\1\21.jpg</v>
      </c>
      <c r="Q162" s="12"/>
      <c r="R162" s="6" t="s">
        <v>235</v>
      </c>
      <c r="S162" s="12"/>
      <c r="T162" s="1" t="s">
        <v>234</v>
      </c>
      <c r="U162" s="13"/>
      <c r="V162" s="13"/>
      <c r="W162" s="5" t="s">
        <v>1491</v>
      </c>
    </row>
    <row r="163" spans="1:23" ht="225">
      <c r="A163" s="1">
        <v>784907</v>
      </c>
      <c r="B163" s="1">
        <v>1</v>
      </c>
      <c r="C163" s="1">
        <v>24</v>
      </c>
      <c r="D163" s="2" t="s">
        <v>232</v>
      </c>
      <c r="E163" s="11" t="s">
        <v>232</v>
      </c>
      <c r="F163" s="11">
        <v>272381</v>
      </c>
      <c r="G163" s="2" t="s">
        <v>1494</v>
      </c>
      <c r="H163" s="2" t="s">
        <v>1495</v>
      </c>
      <c r="I163" s="2" t="s">
        <v>1496</v>
      </c>
      <c r="J163" s="2" t="str">
        <f>CONCATENATE(G163,F163,H163,C163,I163)</f>
        <v>https://permalinkbnd.bnportugal.gov.pt/viewer/272381/?offset=#page=24&amp;viewer=picture&amp;o=info&amp;n=0&amp;q=</v>
      </c>
      <c r="K163" s="1" t="s">
        <v>233</v>
      </c>
      <c r="L163" s="1" t="str">
        <f>VLOOKUP(A163,Folha2!$A$2:$B$2019,2,FALSE)</f>
        <v>Os Lusíadas, 1836. [a obra digitalizada apresenta as estampas referentes a cada Canto e retrato do Poeta, mas sem Os Lusíadas e sem os paratextos referidos na folha de rosto, cf. objecto]</v>
      </c>
      <c r="M163" s="12" t="str">
        <f>HYPERLINK(J163)</f>
        <v>https://permalinkbnd.bnportugal.gov.pt/viewer/272381/?offset=#page=24&amp;viewer=picture&amp;o=info&amp;n=0&amp;q=</v>
      </c>
      <c r="N163" s="12" t="s">
        <v>1497</v>
      </c>
      <c r="O163" s="12" t="str">
        <f>CONCATENATE(N163,A163,"\",B163,"\",C163,".jpg")</f>
        <v>C:\Users\mbaptista\OneDrive - Biblioteca Nacional de Portugal\Documentos\python\camoniana\imagens\capas\784907\1\24.jpg</v>
      </c>
      <c r="P163" s="12" t="str">
        <f>HYPERLINK(O163)</f>
        <v>C:\Users\mbaptista\OneDrive - Biblioteca Nacional de Portugal\Documentos\python\camoniana\imagens\capas\784907\1\24.jpg</v>
      </c>
      <c r="Q163" s="12"/>
      <c r="R163" s="6" t="s">
        <v>236</v>
      </c>
      <c r="S163" s="12"/>
      <c r="T163" s="1" t="s">
        <v>234</v>
      </c>
      <c r="U163" s="13"/>
      <c r="V163" s="13"/>
      <c r="W163" s="5" t="s">
        <v>1491</v>
      </c>
    </row>
    <row r="164" spans="1:23" ht="225">
      <c r="A164" s="1">
        <v>784907</v>
      </c>
      <c r="B164" s="1">
        <v>1</v>
      </c>
      <c r="C164" s="1">
        <v>25</v>
      </c>
      <c r="D164" s="2" t="s">
        <v>232</v>
      </c>
      <c r="E164" s="5" t="s">
        <v>232</v>
      </c>
      <c r="F164" s="5">
        <v>272381</v>
      </c>
      <c r="G164" s="2" t="s">
        <v>1494</v>
      </c>
      <c r="H164" s="2" t="s">
        <v>1495</v>
      </c>
      <c r="I164" s="2" t="s">
        <v>1496</v>
      </c>
      <c r="J164" s="2" t="str">
        <f>CONCATENATE(G164,F164,H164,C164,I164)</f>
        <v>https://permalinkbnd.bnportugal.gov.pt/viewer/272381/?offset=#page=25&amp;viewer=picture&amp;o=info&amp;n=0&amp;q=</v>
      </c>
      <c r="K164" s="1" t="s">
        <v>233</v>
      </c>
      <c r="L164" s="1" t="str">
        <f>VLOOKUP(A164,Folha2!$A$2:$B$2019,2,FALSE)</f>
        <v>Os Lusíadas, 1836. [a obra digitalizada apresenta as estampas referentes a cada Canto e retrato do Poeta, mas sem Os Lusíadas e sem os paratextos referidos na folha de rosto, cf. objecto]</v>
      </c>
      <c r="M164" s="12" t="str">
        <f>HYPERLINK(J164)</f>
        <v>https://permalinkbnd.bnportugal.gov.pt/viewer/272381/?offset=#page=25&amp;viewer=picture&amp;o=info&amp;n=0&amp;q=</v>
      </c>
      <c r="N164" s="12" t="s">
        <v>1497</v>
      </c>
      <c r="O164" s="12" t="str">
        <f>CONCATENATE(N164,A164,"\",B164,"\",C164,".jpg")</f>
        <v>C:\Users\mbaptista\OneDrive - Biblioteca Nacional de Portugal\Documentos\python\camoniana\imagens\capas\784907\1\25.jpg</v>
      </c>
      <c r="P164" s="12" t="str">
        <f>HYPERLINK(O164)</f>
        <v>C:\Users\mbaptista\OneDrive - Biblioteca Nacional de Portugal\Documentos\python\camoniana\imagens\capas\784907\1\25.jpg</v>
      </c>
      <c r="Q164" s="12"/>
      <c r="R164" s="6" t="s">
        <v>237</v>
      </c>
      <c r="S164" s="12"/>
      <c r="T164" s="1" t="s">
        <v>234</v>
      </c>
      <c r="U164" s="13"/>
      <c r="V164" s="13"/>
      <c r="W164" s="5" t="s">
        <v>1491</v>
      </c>
    </row>
    <row r="165" spans="1:23" ht="225">
      <c r="A165" s="1">
        <v>784907</v>
      </c>
      <c r="B165" s="1">
        <v>1</v>
      </c>
      <c r="C165" s="1">
        <v>28</v>
      </c>
      <c r="D165" s="2" t="s">
        <v>232</v>
      </c>
      <c r="E165" s="11" t="s">
        <v>232</v>
      </c>
      <c r="F165" s="11">
        <v>272381</v>
      </c>
      <c r="G165" s="2" t="s">
        <v>1494</v>
      </c>
      <c r="H165" s="2" t="s">
        <v>1495</v>
      </c>
      <c r="I165" s="2" t="s">
        <v>1496</v>
      </c>
      <c r="J165" s="2" t="str">
        <f>CONCATENATE(G165,F165,H165,C165,I165)</f>
        <v>https://permalinkbnd.bnportugal.gov.pt/viewer/272381/?offset=#page=28&amp;viewer=picture&amp;o=info&amp;n=0&amp;q=</v>
      </c>
      <c r="K165" s="1" t="s">
        <v>233</v>
      </c>
      <c r="L165" s="1" t="str">
        <f>VLOOKUP(A165,Folha2!$A$2:$B$2019,2,FALSE)</f>
        <v>Os Lusíadas, 1836. [a obra digitalizada apresenta as estampas referentes a cada Canto e retrato do Poeta, mas sem Os Lusíadas e sem os paratextos referidos na folha de rosto, cf. objecto]</v>
      </c>
      <c r="M165" s="12" t="str">
        <f>HYPERLINK(J165)</f>
        <v>https://permalinkbnd.bnportugal.gov.pt/viewer/272381/?offset=#page=28&amp;viewer=picture&amp;o=info&amp;n=0&amp;q=</v>
      </c>
      <c r="N165" s="12" t="s">
        <v>1497</v>
      </c>
      <c r="O165" s="12" t="str">
        <f>CONCATENATE(N165,A165,"\",B165,"\",C165,".jpg")</f>
        <v>C:\Users\mbaptista\OneDrive - Biblioteca Nacional de Portugal\Documentos\python\camoniana\imagens\capas\784907\1\28.jpg</v>
      </c>
      <c r="P165" s="12" t="str">
        <f>HYPERLINK(O165)</f>
        <v>C:\Users\mbaptista\OneDrive - Biblioteca Nacional de Portugal\Documentos\python\camoniana\imagens\capas\784907\1\28.jpg</v>
      </c>
      <c r="Q165" s="12"/>
      <c r="R165" s="6" t="s">
        <v>238</v>
      </c>
      <c r="S165" s="12"/>
      <c r="T165" s="1" t="s">
        <v>234</v>
      </c>
      <c r="U165" s="13"/>
      <c r="V165" s="13"/>
      <c r="W165" s="5" t="s">
        <v>1491</v>
      </c>
    </row>
    <row r="166" spans="1:23" ht="225">
      <c r="A166" s="1">
        <v>784907</v>
      </c>
      <c r="B166" s="1">
        <v>1</v>
      </c>
      <c r="C166" s="1">
        <v>29</v>
      </c>
      <c r="D166" s="2" t="s">
        <v>232</v>
      </c>
      <c r="E166" s="5" t="s">
        <v>232</v>
      </c>
      <c r="F166" s="5">
        <v>272381</v>
      </c>
      <c r="G166" s="2" t="s">
        <v>1494</v>
      </c>
      <c r="H166" s="2" t="s">
        <v>1495</v>
      </c>
      <c r="I166" s="2" t="s">
        <v>1496</v>
      </c>
      <c r="J166" s="2" t="str">
        <f>CONCATENATE(G166,F166,H166,C166,I166)</f>
        <v>https://permalinkbnd.bnportugal.gov.pt/viewer/272381/?offset=#page=29&amp;viewer=picture&amp;o=info&amp;n=0&amp;q=</v>
      </c>
      <c r="K166" s="1" t="s">
        <v>233</v>
      </c>
      <c r="L166" s="1" t="str">
        <f>VLOOKUP(A166,Folha2!$A$2:$B$2019,2,FALSE)</f>
        <v>Os Lusíadas, 1836. [a obra digitalizada apresenta as estampas referentes a cada Canto e retrato do Poeta, mas sem Os Lusíadas e sem os paratextos referidos na folha de rosto, cf. objecto]</v>
      </c>
      <c r="M166" s="12" t="str">
        <f>HYPERLINK(J166)</f>
        <v>https://permalinkbnd.bnportugal.gov.pt/viewer/272381/?offset=#page=29&amp;viewer=picture&amp;o=info&amp;n=0&amp;q=</v>
      </c>
      <c r="N166" s="12" t="s">
        <v>1497</v>
      </c>
      <c r="O166" s="12" t="str">
        <f>CONCATENATE(N166,A166,"\",B166,"\",C166,".jpg")</f>
        <v>C:\Users\mbaptista\OneDrive - Biblioteca Nacional de Portugal\Documentos\python\camoniana\imagens\capas\784907\1\29.jpg</v>
      </c>
      <c r="P166" s="12" t="str">
        <f>HYPERLINK(O166)</f>
        <v>C:\Users\mbaptista\OneDrive - Biblioteca Nacional de Portugal\Documentos\python\camoniana\imagens\capas\784907\1\29.jpg</v>
      </c>
      <c r="Q166" s="12"/>
      <c r="R166" s="6" t="s">
        <v>239</v>
      </c>
      <c r="S166" s="12"/>
      <c r="T166" s="1" t="s">
        <v>234</v>
      </c>
      <c r="U166" s="13"/>
      <c r="V166" s="13"/>
      <c r="W166" s="5" t="s">
        <v>1491</v>
      </c>
    </row>
    <row r="167" spans="1:23" ht="225">
      <c r="A167" s="1">
        <v>784907</v>
      </c>
      <c r="B167" s="1">
        <v>1</v>
      </c>
      <c r="C167" s="1">
        <v>32</v>
      </c>
      <c r="D167" s="2" t="s">
        <v>232</v>
      </c>
      <c r="E167" s="11" t="s">
        <v>232</v>
      </c>
      <c r="F167" s="11">
        <v>272381</v>
      </c>
      <c r="G167" s="2" t="s">
        <v>1494</v>
      </c>
      <c r="H167" s="2" t="s">
        <v>1495</v>
      </c>
      <c r="I167" s="2" t="s">
        <v>1496</v>
      </c>
      <c r="J167" s="2" t="str">
        <f>CONCATENATE(G167,F167,H167,C167,I167)</f>
        <v>https://permalinkbnd.bnportugal.gov.pt/viewer/272381/?offset=#page=32&amp;viewer=picture&amp;o=info&amp;n=0&amp;q=</v>
      </c>
      <c r="K167" s="1" t="s">
        <v>233</v>
      </c>
      <c r="L167" s="1" t="str">
        <f>VLOOKUP(A167,Folha2!$A$2:$B$2019,2,FALSE)</f>
        <v>Os Lusíadas, 1836. [a obra digitalizada apresenta as estampas referentes a cada Canto e retrato do Poeta, mas sem Os Lusíadas e sem os paratextos referidos na folha de rosto, cf. objecto]</v>
      </c>
      <c r="M167" s="12" t="str">
        <f>HYPERLINK(J167)</f>
        <v>https://permalinkbnd.bnportugal.gov.pt/viewer/272381/?offset=#page=32&amp;viewer=picture&amp;o=info&amp;n=0&amp;q=</v>
      </c>
      <c r="N167" s="12" t="s">
        <v>1497</v>
      </c>
      <c r="O167" s="12" t="str">
        <f>CONCATENATE(N167,A167,"\",B167,"\",C167,".jpg")</f>
        <v>C:\Users\mbaptista\OneDrive - Biblioteca Nacional de Portugal\Documentos\python\camoniana\imagens\capas\784907\1\32.jpg</v>
      </c>
      <c r="P167" s="12" t="str">
        <f>HYPERLINK(O167)</f>
        <v>C:\Users\mbaptista\OneDrive - Biblioteca Nacional de Portugal\Documentos\python\camoniana\imagens\capas\784907\1\32.jpg</v>
      </c>
      <c r="Q167" s="12"/>
      <c r="R167" s="6" t="s">
        <v>240</v>
      </c>
      <c r="S167" s="12"/>
      <c r="T167" s="1" t="s">
        <v>234</v>
      </c>
      <c r="U167" s="13"/>
      <c r="V167" s="13"/>
      <c r="W167" s="5" t="s">
        <v>1491</v>
      </c>
    </row>
    <row r="168" spans="1:23" ht="225">
      <c r="A168" s="1">
        <v>784907</v>
      </c>
      <c r="B168" s="1">
        <v>1</v>
      </c>
      <c r="C168" s="1">
        <v>33</v>
      </c>
      <c r="D168" s="2" t="s">
        <v>232</v>
      </c>
      <c r="E168" s="5" t="s">
        <v>232</v>
      </c>
      <c r="F168" s="5">
        <v>272381</v>
      </c>
      <c r="G168" s="2" t="s">
        <v>1494</v>
      </c>
      <c r="H168" s="2" t="s">
        <v>1495</v>
      </c>
      <c r="I168" s="2" t="s">
        <v>1496</v>
      </c>
      <c r="J168" s="2" t="str">
        <f>CONCATENATE(G168,F168,H168,C168,I168)</f>
        <v>https://permalinkbnd.bnportugal.gov.pt/viewer/272381/?offset=#page=33&amp;viewer=picture&amp;o=info&amp;n=0&amp;q=</v>
      </c>
      <c r="K168" s="1" t="s">
        <v>233</v>
      </c>
      <c r="L168" s="1" t="str">
        <f>VLOOKUP(A168,Folha2!$A$2:$B$2019,2,FALSE)</f>
        <v>Os Lusíadas, 1836. [a obra digitalizada apresenta as estampas referentes a cada Canto e retrato do Poeta, mas sem Os Lusíadas e sem os paratextos referidos na folha de rosto, cf. objecto]</v>
      </c>
      <c r="M168" s="12" t="str">
        <f>HYPERLINK(J168)</f>
        <v>https://permalinkbnd.bnportugal.gov.pt/viewer/272381/?offset=#page=33&amp;viewer=picture&amp;o=info&amp;n=0&amp;q=</v>
      </c>
      <c r="N168" s="12" t="s">
        <v>1497</v>
      </c>
      <c r="O168" s="12" t="str">
        <f>CONCATENATE(N168,A168,"\",B168,"\",C168,".jpg")</f>
        <v>C:\Users\mbaptista\OneDrive - Biblioteca Nacional de Portugal\Documentos\python\camoniana\imagens\capas\784907\1\33.jpg</v>
      </c>
      <c r="P168" s="12" t="str">
        <f>HYPERLINK(O168)</f>
        <v>C:\Users\mbaptista\OneDrive - Biblioteca Nacional de Portugal\Documentos\python\camoniana\imagens\capas\784907\1\33.jpg</v>
      </c>
      <c r="Q168" s="12"/>
      <c r="R168" s="6" t="s">
        <v>241</v>
      </c>
      <c r="S168" s="12"/>
      <c r="T168" s="1" t="s">
        <v>234</v>
      </c>
      <c r="U168" s="13"/>
      <c r="V168" s="13"/>
      <c r="W168" s="5" t="s">
        <v>1491</v>
      </c>
    </row>
    <row r="169" spans="1:23" ht="225">
      <c r="A169" s="1">
        <v>784907</v>
      </c>
      <c r="B169" s="1">
        <v>1</v>
      </c>
      <c r="C169" s="1">
        <v>36</v>
      </c>
      <c r="D169" s="2" t="s">
        <v>232</v>
      </c>
      <c r="E169" s="11" t="s">
        <v>232</v>
      </c>
      <c r="F169" s="11">
        <v>272381</v>
      </c>
      <c r="G169" s="2" t="s">
        <v>1494</v>
      </c>
      <c r="H169" s="2" t="s">
        <v>1495</v>
      </c>
      <c r="I169" s="2" t="s">
        <v>1496</v>
      </c>
      <c r="J169" s="2" t="str">
        <f>CONCATENATE(G169,F169,H169,C169,I169)</f>
        <v>https://permalinkbnd.bnportugal.gov.pt/viewer/272381/?offset=#page=36&amp;viewer=picture&amp;o=info&amp;n=0&amp;q=</v>
      </c>
      <c r="K169" s="1" t="s">
        <v>233</v>
      </c>
      <c r="L169" s="1" t="str">
        <f>VLOOKUP(A169,Folha2!$A$2:$B$2019,2,FALSE)</f>
        <v>Os Lusíadas, 1836. [a obra digitalizada apresenta as estampas referentes a cada Canto e retrato do Poeta, mas sem Os Lusíadas e sem os paratextos referidos na folha de rosto, cf. objecto]</v>
      </c>
      <c r="M169" s="12" t="str">
        <f>HYPERLINK(J169)</f>
        <v>https://permalinkbnd.bnportugal.gov.pt/viewer/272381/?offset=#page=36&amp;viewer=picture&amp;o=info&amp;n=0&amp;q=</v>
      </c>
      <c r="N169" s="12" t="s">
        <v>1497</v>
      </c>
      <c r="O169" s="12" t="str">
        <f>CONCATENATE(N169,A169,"\",B169,"\",C169,".jpg")</f>
        <v>C:\Users\mbaptista\OneDrive - Biblioteca Nacional de Portugal\Documentos\python\camoniana\imagens\capas\784907\1\36.jpg</v>
      </c>
      <c r="P169" s="12" t="str">
        <f>HYPERLINK(O169)</f>
        <v>C:\Users\mbaptista\OneDrive - Biblioteca Nacional de Portugal\Documentos\python\camoniana\imagens\capas\784907\1\36.jpg</v>
      </c>
      <c r="Q169" s="12"/>
      <c r="R169" s="6" t="s">
        <v>242</v>
      </c>
      <c r="S169" s="12"/>
      <c r="T169" s="1" t="s">
        <v>234</v>
      </c>
      <c r="U169" s="13"/>
      <c r="V169" s="13"/>
      <c r="W169" s="5" t="s">
        <v>1491</v>
      </c>
    </row>
    <row r="170" spans="1:23" ht="225">
      <c r="A170" s="1">
        <v>784907</v>
      </c>
      <c r="B170" s="1">
        <v>1</v>
      </c>
      <c r="C170" s="1">
        <v>37</v>
      </c>
      <c r="D170" s="2" t="s">
        <v>232</v>
      </c>
      <c r="E170" s="5" t="s">
        <v>232</v>
      </c>
      <c r="F170" s="5">
        <v>272381</v>
      </c>
      <c r="G170" s="2" t="s">
        <v>1494</v>
      </c>
      <c r="H170" s="2" t="s">
        <v>1495</v>
      </c>
      <c r="I170" s="2" t="s">
        <v>1496</v>
      </c>
      <c r="J170" s="2" t="str">
        <f>CONCATENATE(G170,F170,H170,C170,I170)</f>
        <v>https://permalinkbnd.bnportugal.gov.pt/viewer/272381/?offset=#page=37&amp;viewer=picture&amp;o=info&amp;n=0&amp;q=</v>
      </c>
      <c r="K170" s="1" t="s">
        <v>233</v>
      </c>
      <c r="L170" s="1" t="str">
        <f>VLOOKUP(A170,Folha2!$A$2:$B$2019,2,FALSE)</f>
        <v>Os Lusíadas, 1836. [a obra digitalizada apresenta as estampas referentes a cada Canto e retrato do Poeta, mas sem Os Lusíadas e sem os paratextos referidos na folha de rosto, cf. objecto]</v>
      </c>
      <c r="M170" s="12" t="str">
        <f>HYPERLINK(J170)</f>
        <v>https://permalinkbnd.bnportugal.gov.pt/viewer/272381/?offset=#page=37&amp;viewer=picture&amp;o=info&amp;n=0&amp;q=</v>
      </c>
      <c r="N170" s="12" t="s">
        <v>1497</v>
      </c>
      <c r="O170" s="12" t="str">
        <f>CONCATENATE(N170,A170,"\",B170,"\",C170,".jpg")</f>
        <v>C:\Users\mbaptista\OneDrive - Biblioteca Nacional de Portugal\Documentos\python\camoniana\imagens\capas\784907\1\37.jpg</v>
      </c>
      <c r="P170" s="12" t="str">
        <f>HYPERLINK(O170)</f>
        <v>C:\Users\mbaptista\OneDrive - Biblioteca Nacional de Portugal\Documentos\python\camoniana\imagens\capas\784907\1\37.jpg</v>
      </c>
      <c r="Q170" s="12"/>
      <c r="R170" s="6" t="s">
        <v>243</v>
      </c>
      <c r="S170" s="12"/>
      <c r="T170" s="1" t="s">
        <v>234</v>
      </c>
      <c r="U170" s="13"/>
      <c r="V170" s="13"/>
      <c r="W170" s="5" t="s">
        <v>1491</v>
      </c>
    </row>
    <row r="171" spans="1:23" ht="225">
      <c r="A171" s="1">
        <v>784907</v>
      </c>
      <c r="B171" s="1">
        <v>1</v>
      </c>
      <c r="C171" s="1">
        <v>40</v>
      </c>
      <c r="D171" s="2" t="s">
        <v>232</v>
      </c>
      <c r="E171" s="11" t="s">
        <v>232</v>
      </c>
      <c r="F171" s="11">
        <v>272381</v>
      </c>
      <c r="G171" s="2" t="s">
        <v>1494</v>
      </c>
      <c r="H171" s="2" t="s">
        <v>1495</v>
      </c>
      <c r="I171" s="2" t="s">
        <v>1496</v>
      </c>
      <c r="J171" s="2" t="str">
        <f>CONCATENATE(G171,F171,H171,C171,I171)</f>
        <v>https://permalinkbnd.bnportugal.gov.pt/viewer/272381/?offset=#page=40&amp;viewer=picture&amp;o=info&amp;n=0&amp;q=</v>
      </c>
      <c r="K171" s="1" t="s">
        <v>233</v>
      </c>
      <c r="L171" s="1" t="str">
        <f>VLOOKUP(A171,Folha2!$A$2:$B$2019,2,FALSE)</f>
        <v>Os Lusíadas, 1836. [a obra digitalizada apresenta as estampas referentes a cada Canto e retrato do Poeta, mas sem Os Lusíadas e sem os paratextos referidos na folha de rosto, cf. objecto]</v>
      </c>
      <c r="M171" s="12" t="str">
        <f>HYPERLINK(J171)</f>
        <v>https://permalinkbnd.bnportugal.gov.pt/viewer/272381/?offset=#page=40&amp;viewer=picture&amp;o=info&amp;n=0&amp;q=</v>
      </c>
      <c r="N171" s="12" t="s">
        <v>1497</v>
      </c>
      <c r="O171" s="12" t="str">
        <f>CONCATENATE(N171,A171,"\",B171,"\",C171,".jpg")</f>
        <v>C:\Users\mbaptista\OneDrive - Biblioteca Nacional de Portugal\Documentos\python\camoniana\imagens\capas\784907\1\40.jpg</v>
      </c>
      <c r="P171" s="12" t="str">
        <f>HYPERLINK(O171)</f>
        <v>C:\Users\mbaptista\OneDrive - Biblioteca Nacional de Portugal\Documentos\python\camoniana\imagens\capas\784907\1\40.jpg</v>
      </c>
      <c r="Q171" s="12"/>
      <c r="R171" s="6" t="s">
        <v>244</v>
      </c>
      <c r="S171" s="12"/>
      <c r="T171" s="1" t="s">
        <v>234</v>
      </c>
      <c r="U171" s="13"/>
      <c r="V171" s="13"/>
      <c r="W171" s="5" t="s">
        <v>1491</v>
      </c>
    </row>
    <row r="172" spans="1:23" ht="225">
      <c r="A172" s="1">
        <v>784907</v>
      </c>
      <c r="B172" s="1">
        <v>1</v>
      </c>
      <c r="C172" s="1">
        <v>41</v>
      </c>
      <c r="D172" s="2" t="s">
        <v>232</v>
      </c>
      <c r="E172" s="5" t="s">
        <v>232</v>
      </c>
      <c r="F172" s="5">
        <v>272381</v>
      </c>
      <c r="G172" s="2" t="s">
        <v>1494</v>
      </c>
      <c r="H172" s="2" t="s">
        <v>1495</v>
      </c>
      <c r="I172" s="2" t="s">
        <v>1496</v>
      </c>
      <c r="J172" s="2" t="str">
        <f>CONCATENATE(G172,F172,H172,C172,I172)</f>
        <v>https://permalinkbnd.bnportugal.gov.pt/viewer/272381/?offset=#page=41&amp;viewer=picture&amp;o=info&amp;n=0&amp;q=</v>
      </c>
      <c r="K172" s="1" t="s">
        <v>233</v>
      </c>
      <c r="L172" s="1" t="str">
        <f>VLOOKUP(A172,Folha2!$A$2:$B$2019,2,FALSE)</f>
        <v>Os Lusíadas, 1836. [a obra digitalizada apresenta as estampas referentes a cada Canto e retrato do Poeta, mas sem Os Lusíadas e sem os paratextos referidos na folha de rosto, cf. objecto]</v>
      </c>
      <c r="M172" s="12" t="str">
        <f>HYPERLINK(J172)</f>
        <v>https://permalinkbnd.bnportugal.gov.pt/viewer/272381/?offset=#page=41&amp;viewer=picture&amp;o=info&amp;n=0&amp;q=</v>
      </c>
      <c r="N172" s="12" t="s">
        <v>1497</v>
      </c>
      <c r="O172" s="12" t="str">
        <f>CONCATENATE(N172,A172,"\",B172,"\",C172,".jpg")</f>
        <v>C:\Users\mbaptista\OneDrive - Biblioteca Nacional de Portugal\Documentos\python\camoniana\imagens\capas\784907\1\41.jpg</v>
      </c>
      <c r="P172" s="12" t="str">
        <f>HYPERLINK(O172)</f>
        <v>C:\Users\mbaptista\OneDrive - Biblioteca Nacional de Portugal\Documentos\python\camoniana\imagens\capas\784907\1\41.jpg</v>
      </c>
      <c r="Q172" s="12"/>
      <c r="R172" s="6" t="s">
        <v>245</v>
      </c>
      <c r="S172" s="12"/>
      <c r="T172" s="1" t="s">
        <v>234</v>
      </c>
      <c r="U172" s="13"/>
      <c r="V172" s="13"/>
      <c r="W172" s="5" t="s">
        <v>1491</v>
      </c>
    </row>
    <row r="173" spans="1:23" ht="225">
      <c r="A173" s="1">
        <v>785080</v>
      </c>
      <c r="B173" s="1">
        <v>1</v>
      </c>
      <c r="C173" s="1">
        <v>10</v>
      </c>
      <c r="D173" s="2" t="s">
        <v>246</v>
      </c>
      <c r="E173" s="11" t="s">
        <v>246</v>
      </c>
      <c r="F173" s="11">
        <v>280474</v>
      </c>
      <c r="G173" s="2" t="s">
        <v>1494</v>
      </c>
      <c r="H173" s="2" t="s">
        <v>1495</v>
      </c>
      <c r="I173" s="2" t="s">
        <v>1496</v>
      </c>
      <c r="J173" s="2" t="str">
        <f>CONCATENATE(G173,F173,H173,C173,I173)</f>
        <v>https://permalinkbnd.bnportugal.gov.pt/viewer/280474/?offset=#page=10&amp;viewer=picture&amp;o=info&amp;n=0&amp;q=</v>
      </c>
      <c r="K173" s="1">
        <v>10</v>
      </c>
      <c r="L173" s="1" t="str">
        <f>VLOOKUP(A173,Folha2!$A$2:$B$2019,2,FALSE)</f>
        <v>Poems from the Portuguese, 1824. By Lord Strangford. [cópia digital não abre: diz página não encontrada, PDF consultado via Miguel]. Lírica: canções, madrigais, cançonetas, rondeau, estâncias, fragmento de elegia, sonetos (V.N.? Serão de outro autor ou versões?)] ; Épica [Canto VI, sem argumentos, só estrofes]. Trad. Paratextos gerais, Paratextos vida e Trad. Paratextos notas.</v>
      </c>
      <c r="M173" s="12" t="str">
        <f>HYPERLINK(J173)</f>
        <v>https://permalinkbnd.bnportugal.gov.pt/viewer/280474/?offset=#page=10&amp;viewer=picture&amp;o=info&amp;n=0&amp;q=</v>
      </c>
      <c r="N173" s="12" t="s">
        <v>1497</v>
      </c>
      <c r="O173" s="12" t="str">
        <f>CONCATENATE(N173,A173,"\",B173,"\",C173,".jpg")</f>
        <v>C:\Users\mbaptista\OneDrive - Biblioteca Nacional de Portugal\Documentos\python\camoniana\imagens\capas\785080\1\10.jpg</v>
      </c>
      <c r="P173" s="12" t="str">
        <f>HYPERLINK(O173)</f>
        <v>C:\Users\mbaptista\OneDrive - Biblioteca Nacional de Portugal\Documentos\python\camoniana\imagens\capas\785080\1\10.jpg</v>
      </c>
      <c r="Q173" s="12"/>
      <c r="R173" s="6" t="s">
        <v>247</v>
      </c>
      <c r="S173" s="12"/>
      <c r="T173" s="1">
        <v>10</v>
      </c>
      <c r="U173" s="13"/>
      <c r="V173" s="13"/>
      <c r="W173" s="5" t="s">
        <v>1491</v>
      </c>
    </row>
    <row r="174" spans="1:23" ht="225">
      <c r="A174" s="1">
        <v>788850</v>
      </c>
      <c r="B174" s="1">
        <v>1</v>
      </c>
      <c r="C174" s="1">
        <v>8</v>
      </c>
      <c r="D174" s="2" t="s">
        <v>248</v>
      </c>
      <c r="E174" s="5" t="s">
        <v>248</v>
      </c>
      <c r="F174" s="5">
        <v>272359</v>
      </c>
      <c r="G174" s="2" t="s">
        <v>1494</v>
      </c>
      <c r="H174" s="2" t="s">
        <v>1495</v>
      </c>
      <c r="I174" s="2" t="s">
        <v>1496</v>
      </c>
      <c r="J174" s="2" t="str">
        <f>CONCATENATE(G174,F174,H174,C174,I174)</f>
        <v>https://permalinkbnd.bnportugal.gov.pt/viewer/272359/?offset=#page=8&amp;viewer=picture&amp;o=info&amp;n=0&amp;q=</v>
      </c>
      <c r="K174" s="1" t="s">
        <v>249</v>
      </c>
      <c r="L174" s="1" t="str">
        <f>VLOOKUP(A174,Folha2!$A$2:$B$2019,2,FALSE)</f>
        <v>Poésies, 1828. Tradução de Lord Strangford passada para francês. Lírica: canções, odes, madrigais, estâncias, fragmento de elegia. Fragmento do Canto VI. Trad. Antologia Paratextos, Trad. Ant. Paratextos vida, Trad. Ant. Paratextos notas.</v>
      </c>
      <c r="M174" s="12" t="str">
        <f>HYPERLINK(J174)</f>
        <v>https://permalinkbnd.bnportugal.gov.pt/viewer/272359/?offset=#page=8&amp;viewer=picture&amp;o=info&amp;n=0&amp;q=</v>
      </c>
      <c r="N174" s="12" t="s">
        <v>1497</v>
      </c>
      <c r="O174" s="12" t="str">
        <f>CONCATENATE(N174,A174,"\",B174,"\",C174,".jpg")</f>
        <v>C:\Users\mbaptista\OneDrive - Biblioteca Nacional de Portugal\Documentos\python\camoniana\imagens\capas\788850\1\8.jpg</v>
      </c>
      <c r="P174" s="12" t="str">
        <f>HYPERLINK(O174)</f>
        <v>C:\Users\mbaptista\OneDrive - Biblioteca Nacional de Portugal\Documentos\python\camoniana\imagens\capas\788850\1\8.jpg</v>
      </c>
      <c r="Q174" s="12"/>
      <c r="R174" s="6" t="s">
        <v>250</v>
      </c>
      <c r="S174" s="12"/>
      <c r="T174" s="1">
        <v>8</v>
      </c>
      <c r="U174" s="13"/>
      <c r="V174" s="13"/>
      <c r="W174" s="5" t="s">
        <v>1491</v>
      </c>
    </row>
    <row r="175" spans="1:23" ht="225">
      <c r="A175" s="1">
        <v>788850</v>
      </c>
      <c r="B175" s="1">
        <v>1</v>
      </c>
      <c r="C175" s="1">
        <v>9</v>
      </c>
      <c r="D175" s="2" t="s">
        <v>248</v>
      </c>
      <c r="E175" s="11" t="s">
        <v>248</v>
      </c>
      <c r="F175" s="11">
        <v>272359</v>
      </c>
      <c r="G175" s="2" t="s">
        <v>1494</v>
      </c>
      <c r="H175" s="2" t="s">
        <v>1495</v>
      </c>
      <c r="I175" s="2" t="s">
        <v>1496</v>
      </c>
      <c r="J175" s="2" t="str">
        <f>CONCATENATE(G175,F175,H175,C175,I175)</f>
        <v>https://permalinkbnd.bnportugal.gov.pt/viewer/272359/?offset=#page=9&amp;viewer=picture&amp;o=info&amp;n=0&amp;q=</v>
      </c>
      <c r="K175" s="1" t="s">
        <v>249</v>
      </c>
      <c r="L175" s="1" t="str">
        <f>VLOOKUP(A175,Folha2!$A$2:$B$2019,2,FALSE)</f>
        <v>Poésies, 1828. Tradução de Lord Strangford passada para francês. Lírica: canções, odes, madrigais, estâncias, fragmento de elegia. Fragmento do Canto VI. Trad. Antologia Paratextos, Trad. Ant. Paratextos vida, Trad. Ant. Paratextos notas.</v>
      </c>
      <c r="M175" s="12" t="str">
        <f>HYPERLINK(J175)</f>
        <v>https://permalinkbnd.bnportugal.gov.pt/viewer/272359/?offset=#page=9&amp;viewer=picture&amp;o=info&amp;n=0&amp;q=</v>
      </c>
      <c r="N175" s="12" t="s">
        <v>1497</v>
      </c>
      <c r="O175" s="12" t="str">
        <f>CONCATENATE(N175,A175,"\",B175,"\",C175,".jpg")</f>
        <v>C:\Users\mbaptista\OneDrive - Biblioteca Nacional de Portugal\Documentos\python\camoniana\imagens\capas\788850\1\9.jpg</v>
      </c>
      <c r="P175" s="12" t="str">
        <f>HYPERLINK(O175)</f>
        <v>C:\Users\mbaptista\OneDrive - Biblioteca Nacional de Portugal\Documentos\python\camoniana\imagens\capas\788850\1\9.jpg</v>
      </c>
      <c r="Q175" s="12"/>
      <c r="R175" s="6"/>
      <c r="S175" s="12"/>
      <c r="T175" s="1"/>
      <c r="U175" s="13"/>
      <c r="V175" s="13"/>
      <c r="W175" s="5"/>
    </row>
    <row r="176" spans="1:23" ht="225">
      <c r="A176" s="1">
        <v>788899</v>
      </c>
      <c r="B176" s="1">
        <v>1</v>
      </c>
      <c r="C176" s="1">
        <v>6</v>
      </c>
      <c r="D176" s="2" t="s">
        <v>251</v>
      </c>
      <c r="E176" s="5" t="s">
        <v>251</v>
      </c>
      <c r="F176" s="5">
        <v>272367</v>
      </c>
      <c r="G176" s="2" t="s">
        <v>1494</v>
      </c>
      <c r="H176" s="2" t="s">
        <v>1495</v>
      </c>
      <c r="I176" s="2" t="s">
        <v>1496</v>
      </c>
      <c r="J176" s="2" t="str">
        <f>CONCATENATE(G176,F176,H176,C176,I176)</f>
        <v>https://permalinkbnd.bnportugal.gov.pt/viewer/272367/?offset=#page=6&amp;viewer=picture&amp;o=info&amp;n=0&amp;q=</v>
      </c>
      <c r="K176" s="1" t="s">
        <v>252</v>
      </c>
      <c r="L176" s="1" t="str">
        <f>VLOOKUP(A176,Folha2!$A$2:$B$2019,2,FALSE)</f>
        <v>Classical descriptions of love. Versão livre, em ordem refeita, dos episódios da Ilha Namorada e de Inês de Castro, 1809. Trad. do original francês de M. P. Grandmaison.  Trad. Paratextos gerais.</v>
      </c>
      <c r="M176" s="12" t="str">
        <f>HYPERLINK(J176)</f>
        <v>https://permalinkbnd.bnportugal.gov.pt/viewer/272367/?offset=#page=6&amp;viewer=picture&amp;o=info&amp;n=0&amp;q=</v>
      </c>
      <c r="N176" s="12" t="s">
        <v>1497</v>
      </c>
      <c r="O176" s="12" t="str">
        <f>CONCATENATE(N176,A176,"\",B176,"\",C176,".jpg")</f>
        <v>C:\Users\mbaptista\OneDrive - Biblioteca Nacional de Portugal\Documentos\python\camoniana\imagens\capas\788899\1\6.jpg</v>
      </c>
      <c r="P176" s="12" t="str">
        <f>HYPERLINK(O176)</f>
        <v>C:\Users\mbaptista\OneDrive - Biblioteca Nacional de Portugal\Documentos\python\camoniana\imagens\capas\788899\1\6.jpg</v>
      </c>
      <c r="Q176" s="12"/>
      <c r="R176" s="6"/>
      <c r="S176" s="12"/>
      <c r="T176" s="1">
        <v>216</v>
      </c>
      <c r="U176" s="13"/>
      <c r="V176" s="13"/>
      <c r="W176" s="5"/>
    </row>
    <row r="177" spans="1:23" ht="225">
      <c r="A177" s="1">
        <v>788899</v>
      </c>
      <c r="B177" s="1">
        <v>1</v>
      </c>
      <c r="C177" s="1">
        <v>50</v>
      </c>
      <c r="D177" s="2" t="s">
        <v>251</v>
      </c>
      <c r="E177" s="11" t="s">
        <v>251</v>
      </c>
      <c r="F177" s="11">
        <v>272367</v>
      </c>
      <c r="G177" s="2" t="s">
        <v>1494</v>
      </c>
      <c r="H177" s="2" t="s">
        <v>1495</v>
      </c>
      <c r="I177" s="2" t="s">
        <v>1496</v>
      </c>
      <c r="J177" s="2" t="str">
        <f>CONCATENATE(G177,F177,H177,C177,I177)</f>
        <v>https://permalinkbnd.bnportugal.gov.pt/viewer/272367/?offset=#page=50&amp;viewer=picture&amp;o=info&amp;n=0&amp;q=</v>
      </c>
      <c r="K177" s="1" t="s">
        <v>252</v>
      </c>
      <c r="L177" s="1" t="str">
        <f>VLOOKUP(A177,Folha2!$A$2:$B$2019,2,FALSE)</f>
        <v>Classical descriptions of love. Versão livre, em ordem refeita, dos episódios da Ilha Namorada e de Inês de Castro, 1809. Trad. do original francês de M. P. Grandmaison.  Trad. Paratextos gerais.</v>
      </c>
      <c r="M177" s="12" t="str">
        <f>HYPERLINK(J177)</f>
        <v>https://permalinkbnd.bnportugal.gov.pt/viewer/272367/?offset=#page=50&amp;viewer=picture&amp;o=info&amp;n=0&amp;q=</v>
      </c>
      <c r="N177" s="12" t="s">
        <v>1497</v>
      </c>
      <c r="O177" s="12" t="str">
        <f>CONCATENATE(N177,A177,"\",B177,"\",C177,".jpg")</f>
        <v>C:\Users\mbaptista\OneDrive - Biblioteca Nacional de Portugal\Documentos\python\camoniana\imagens\capas\788899\1\50.jpg</v>
      </c>
      <c r="P177" s="12" t="str">
        <f>HYPERLINK(O177)</f>
        <v>C:\Users\mbaptista\OneDrive - Biblioteca Nacional de Portugal\Documentos\python\camoniana\imagens\capas\788899\1\50.jpg</v>
      </c>
      <c r="Q177" s="12"/>
      <c r="R177" s="6"/>
      <c r="S177" s="12"/>
      <c r="T177" s="1">
        <v>216</v>
      </c>
      <c r="U177" s="13"/>
      <c r="V177" s="13"/>
      <c r="W177" s="5"/>
    </row>
    <row r="178" spans="1:23" ht="225">
      <c r="A178" s="1">
        <v>788899</v>
      </c>
      <c r="B178" s="1">
        <v>1</v>
      </c>
      <c r="C178" s="1">
        <v>100</v>
      </c>
      <c r="D178" s="2" t="s">
        <v>251</v>
      </c>
      <c r="E178" s="5" t="s">
        <v>251</v>
      </c>
      <c r="F178" s="5">
        <v>272367</v>
      </c>
      <c r="G178" s="2" t="s">
        <v>1494</v>
      </c>
      <c r="H178" s="2" t="s">
        <v>1495</v>
      </c>
      <c r="I178" s="2" t="s">
        <v>1496</v>
      </c>
      <c r="J178" s="2" t="str">
        <f>CONCATENATE(G178,F178,H178,C178,I178)</f>
        <v>https://permalinkbnd.bnportugal.gov.pt/viewer/272367/?offset=#page=100&amp;viewer=picture&amp;o=info&amp;n=0&amp;q=</v>
      </c>
      <c r="K178" s="1" t="s">
        <v>252</v>
      </c>
      <c r="L178" s="1" t="str">
        <f>VLOOKUP(A178,Folha2!$A$2:$B$2019,2,FALSE)</f>
        <v>Classical descriptions of love. Versão livre, em ordem refeita, dos episódios da Ilha Namorada e de Inês de Castro, 1809. Trad. do original francês de M. P. Grandmaison.  Trad. Paratextos gerais.</v>
      </c>
      <c r="M178" s="12" t="str">
        <f>HYPERLINK(J178)</f>
        <v>https://permalinkbnd.bnportugal.gov.pt/viewer/272367/?offset=#page=100&amp;viewer=picture&amp;o=info&amp;n=0&amp;q=</v>
      </c>
      <c r="N178" s="12" t="s">
        <v>1497</v>
      </c>
      <c r="O178" s="12" t="str">
        <f>CONCATENATE(N178,A178,"\",B178,"\",C178,".jpg")</f>
        <v>C:\Users\mbaptista\OneDrive - Biblioteca Nacional de Portugal\Documentos\python\camoniana\imagens\capas\788899\1\100.jpg</v>
      </c>
      <c r="P178" s="12" t="str">
        <f>HYPERLINK(O178)</f>
        <v>C:\Users\mbaptista\OneDrive - Biblioteca Nacional de Portugal\Documentos\python\camoniana\imagens\capas\788899\1\100.jpg</v>
      </c>
      <c r="Q178" s="12"/>
      <c r="R178" s="6"/>
      <c r="S178" s="12"/>
      <c r="T178" s="1">
        <v>216</v>
      </c>
      <c r="U178" s="13"/>
      <c r="V178" s="13"/>
      <c r="W178" s="5"/>
    </row>
    <row r="179" spans="1:23" ht="225">
      <c r="A179" s="1">
        <v>788899</v>
      </c>
      <c r="B179" s="1">
        <v>1</v>
      </c>
      <c r="C179" s="1">
        <v>138</v>
      </c>
      <c r="D179" s="2" t="s">
        <v>251</v>
      </c>
      <c r="E179" s="11" t="s">
        <v>251</v>
      </c>
      <c r="F179" s="11">
        <v>272367</v>
      </c>
      <c r="G179" s="2" t="s">
        <v>1494</v>
      </c>
      <c r="H179" s="2" t="s">
        <v>1495</v>
      </c>
      <c r="I179" s="2" t="s">
        <v>1496</v>
      </c>
      <c r="J179" s="2" t="str">
        <f>CONCATENATE(G179,F179,H179,C179,I179)</f>
        <v>https://permalinkbnd.bnportugal.gov.pt/viewer/272367/?offset=#page=138&amp;viewer=picture&amp;o=info&amp;n=0&amp;q=</v>
      </c>
      <c r="K179" s="1" t="s">
        <v>252</v>
      </c>
      <c r="L179" s="1" t="str">
        <f>VLOOKUP(A179,Folha2!$A$2:$B$2019,2,FALSE)</f>
        <v>Classical descriptions of love. Versão livre, em ordem refeita, dos episódios da Ilha Namorada e de Inês de Castro, 1809. Trad. do original francês de M. P. Grandmaison.  Trad. Paratextos gerais.</v>
      </c>
      <c r="M179" s="12" t="str">
        <f>HYPERLINK(J179)</f>
        <v>https://permalinkbnd.bnportugal.gov.pt/viewer/272367/?offset=#page=138&amp;viewer=picture&amp;o=info&amp;n=0&amp;q=</v>
      </c>
      <c r="N179" s="12" t="s">
        <v>1497</v>
      </c>
      <c r="O179" s="12" t="str">
        <f>CONCATENATE(N179,A179,"\",B179,"\",C179,".jpg")</f>
        <v>C:\Users\mbaptista\OneDrive - Biblioteca Nacional de Portugal\Documentos\python\camoniana\imagens\capas\788899\1\138.jpg</v>
      </c>
      <c r="P179" s="12" t="str">
        <f>HYPERLINK(O179)</f>
        <v>C:\Users\mbaptista\OneDrive - Biblioteca Nacional de Portugal\Documentos\python\camoniana\imagens\capas\788899\1\138.jpg</v>
      </c>
      <c r="Q179" s="12"/>
      <c r="R179" s="6"/>
      <c r="S179" s="12"/>
      <c r="T179" s="1">
        <v>216</v>
      </c>
      <c r="U179" s="13"/>
      <c r="V179" s="13"/>
      <c r="W179" s="5"/>
    </row>
    <row r="180" spans="1:23" ht="225">
      <c r="A180" s="1">
        <v>788899</v>
      </c>
      <c r="B180" s="1">
        <v>1</v>
      </c>
      <c r="C180" s="1">
        <v>166</v>
      </c>
      <c r="D180" s="2" t="s">
        <v>251</v>
      </c>
      <c r="E180" s="5" t="s">
        <v>251</v>
      </c>
      <c r="F180" s="5">
        <v>272367</v>
      </c>
      <c r="G180" s="2" t="s">
        <v>1494</v>
      </c>
      <c r="H180" s="2" t="s">
        <v>1495</v>
      </c>
      <c r="I180" s="2" t="s">
        <v>1496</v>
      </c>
      <c r="J180" s="2" t="str">
        <f>CONCATENATE(G180,F180,H180,C180,I180)</f>
        <v>https://permalinkbnd.bnportugal.gov.pt/viewer/272367/?offset=#page=166&amp;viewer=picture&amp;o=info&amp;n=0&amp;q=</v>
      </c>
      <c r="K180" s="1" t="s">
        <v>252</v>
      </c>
      <c r="L180" s="1" t="str">
        <f>VLOOKUP(A180,Folha2!$A$2:$B$2019,2,FALSE)</f>
        <v>Classical descriptions of love. Versão livre, em ordem refeita, dos episódios da Ilha Namorada e de Inês de Castro, 1809. Trad. do original francês de M. P. Grandmaison.  Trad. Paratextos gerais.</v>
      </c>
      <c r="M180" s="12" t="str">
        <f>HYPERLINK(J180)</f>
        <v>https://permalinkbnd.bnportugal.gov.pt/viewer/272367/?offset=#page=166&amp;viewer=picture&amp;o=info&amp;n=0&amp;q=</v>
      </c>
      <c r="N180" s="12" t="s">
        <v>1497</v>
      </c>
      <c r="O180" s="12" t="str">
        <f>CONCATENATE(N180,A180,"\",B180,"\",C180,".jpg")</f>
        <v>C:\Users\mbaptista\OneDrive - Biblioteca Nacional de Portugal\Documentos\python\camoniana\imagens\capas\788899\1\166.jpg</v>
      </c>
      <c r="P180" s="12" t="str">
        <f>HYPERLINK(O180)</f>
        <v>C:\Users\mbaptista\OneDrive - Biblioteca Nacional de Portugal\Documentos\python\camoniana\imagens\capas\788899\1\166.jpg</v>
      </c>
      <c r="Q180" s="12"/>
      <c r="R180" s="6"/>
      <c r="S180" s="12"/>
      <c r="T180" s="1">
        <v>216</v>
      </c>
      <c r="U180" s="13"/>
      <c r="V180" s="13"/>
      <c r="W180" s="5"/>
    </row>
    <row r="181" spans="1:23" ht="225">
      <c r="A181" s="1">
        <v>788899</v>
      </c>
      <c r="B181" s="1">
        <v>1</v>
      </c>
      <c r="C181" s="1">
        <v>216</v>
      </c>
      <c r="D181" s="2" t="s">
        <v>251</v>
      </c>
      <c r="E181" s="11" t="s">
        <v>251</v>
      </c>
      <c r="F181" s="11">
        <v>272367</v>
      </c>
      <c r="G181" s="2" t="s">
        <v>1494</v>
      </c>
      <c r="H181" s="2" t="s">
        <v>1495</v>
      </c>
      <c r="I181" s="2" t="s">
        <v>1496</v>
      </c>
      <c r="J181" s="2" t="str">
        <f>CONCATENATE(G181,F181,H181,C181,I181)</f>
        <v>https://permalinkbnd.bnportugal.gov.pt/viewer/272367/?offset=#page=216&amp;viewer=picture&amp;o=info&amp;n=0&amp;q=</v>
      </c>
      <c r="K181" s="1" t="s">
        <v>252</v>
      </c>
      <c r="L181" s="1" t="str">
        <f>VLOOKUP(A181,Folha2!$A$2:$B$2019,2,FALSE)</f>
        <v>Classical descriptions of love. Versão livre, em ordem refeita, dos episódios da Ilha Namorada e de Inês de Castro, 1809. Trad. do original francês de M. P. Grandmaison.  Trad. Paratextos gerais.</v>
      </c>
      <c r="M181" s="12" t="str">
        <f>HYPERLINK(J181)</f>
        <v>https://permalinkbnd.bnportugal.gov.pt/viewer/272367/?offset=#page=216&amp;viewer=picture&amp;o=info&amp;n=0&amp;q=</v>
      </c>
      <c r="N181" s="12" t="s">
        <v>1497</v>
      </c>
      <c r="O181" s="12" t="str">
        <f>CONCATENATE(N181,A181,"\",B181,"\",C181,".jpg")</f>
        <v>C:\Users\mbaptista\OneDrive - Biblioteca Nacional de Portugal\Documentos\python\camoniana\imagens\capas\788899\1\216.jpg</v>
      </c>
      <c r="P181" s="12" t="str">
        <f>HYPERLINK(O181)</f>
        <v>C:\Users\mbaptista\OneDrive - Biblioteca Nacional de Portugal\Documentos\python\camoniana\imagens\capas\788899\1\216.jpg</v>
      </c>
      <c r="Q181" s="12"/>
      <c r="R181" s="6" t="s">
        <v>253</v>
      </c>
      <c r="S181" s="12"/>
      <c r="T181" s="1">
        <v>216</v>
      </c>
      <c r="U181" s="13"/>
      <c r="V181" s="13"/>
      <c r="W181" s="5" t="s">
        <v>1491</v>
      </c>
    </row>
    <row r="182" spans="1:23" ht="225">
      <c r="A182" s="1">
        <v>798614</v>
      </c>
      <c r="B182" s="1">
        <v>1</v>
      </c>
      <c r="C182" s="1">
        <v>10</v>
      </c>
      <c r="D182" s="2" t="s">
        <v>254</v>
      </c>
      <c r="E182" s="5" t="s">
        <v>254</v>
      </c>
      <c r="F182" s="5">
        <v>272379</v>
      </c>
      <c r="G182" s="2" t="s">
        <v>1494</v>
      </c>
      <c r="H182" s="2" t="s">
        <v>1495</v>
      </c>
      <c r="I182" s="2" t="s">
        <v>1496</v>
      </c>
      <c r="J182" s="2" t="str">
        <f>CONCATENATE(G182,F182,H182,C182,I182)</f>
        <v>https://permalinkbnd.bnportugal.gov.pt/viewer/272379/?offset=#page=10&amp;viewer=picture&amp;o=info&amp;n=0&amp;q=</v>
      </c>
      <c r="K182" s="1" t="s">
        <v>255</v>
      </c>
      <c r="L182" s="1" t="str">
        <f>VLOOKUP(A182,Folha2!$A$2:$B$2019,2,FALSE)</f>
        <v>The Lusiad. Mitchell, 1854, sem argumentos. Trad. Paratextos, Trad. Paratextos vida, Trad. Paratextos notas.</v>
      </c>
      <c r="M182" s="12" t="str">
        <f>HYPERLINK(J182)</f>
        <v>https://permalinkbnd.bnportugal.gov.pt/viewer/272379/?offset=#page=10&amp;viewer=picture&amp;o=info&amp;n=0&amp;q=</v>
      </c>
      <c r="N182" s="12" t="s">
        <v>1497</v>
      </c>
      <c r="O182" s="12" t="str">
        <f>CONCATENATE(N182,A182,"\",B182,"\",C182,".jpg")</f>
        <v>C:\Users\mbaptista\OneDrive - Biblioteca Nacional de Portugal\Documentos\python\camoniana\imagens\capas\798614\1\10.jpg</v>
      </c>
      <c r="P182" s="12" t="str">
        <f>HYPERLINK(O182)</f>
        <v>C:\Users\mbaptista\OneDrive - Biblioteca Nacional de Portugal\Documentos\python\camoniana\imagens\capas\798614\1\10.jpg</v>
      </c>
      <c r="Q182" s="12"/>
      <c r="R182" s="6" t="s">
        <v>256</v>
      </c>
      <c r="S182" s="12"/>
      <c r="T182" s="1">
        <v>10</v>
      </c>
      <c r="U182" s="13"/>
      <c r="V182" s="13"/>
      <c r="W182" s="5" t="s">
        <v>1491</v>
      </c>
    </row>
    <row r="183" spans="1:23" ht="225">
      <c r="A183" s="1">
        <v>798623</v>
      </c>
      <c r="B183" s="1">
        <v>1</v>
      </c>
      <c r="C183" s="1">
        <v>8</v>
      </c>
      <c r="D183" s="2" t="s">
        <v>257</v>
      </c>
      <c r="E183" s="11" t="s">
        <v>257</v>
      </c>
      <c r="F183" s="11">
        <v>272383</v>
      </c>
      <c r="G183" s="2" t="s">
        <v>1494</v>
      </c>
      <c r="H183" s="2" t="s">
        <v>1495</v>
      </c>
      <c r="I183" s="2" t="s">
        <v>1496</v>
      </c>
      <c r="J183" s="2" t="str">
        <f>CONCATENATE(G183,F183,H183,C183,I183)</f>
        <v>https://permalinkbnd.bnportugal.gov.pt/viewer/272383/?offset=#page=8&amp;viewer=picture&amp;o=info&amp;n=0&amp;q=</v>
      </c>
      <c r="K183" s="1" t="s">
        <v>258</v>
      </c>
      <c r="L183" s="1" t="str">
        <f>VLOOKUP(A183,Folha2!$A$2:$B$2019,2,FALSE)</f>
        <v>Poems from the Portuguese, 1803. By Lord Strangford. Retrato+ Lírica (canção, madrigais, estâncias, fragmento elegia, sonetos) +parte do episódio dos Doze de Inglaterra. Trad. Paratextos vida e Trad. Paratextos notas, apenas à lírica.</v>
      </c>
      <c r="M183" s="12" t="str">
        <f>HYPERLINK(J183)</f>
        <v>https://permalinkbnd.bnportugal.gov.pt/viewer/272383/?offset=#page=8&amp;viewer=picture&amp;o=info&amp;n=0&amp;q=</v>
      </c>
      <c r="N183" s="12" t="s">
        <v>1497</v>
      </c>
      <c r="O183" s="12" t="str">
        <f>CONCATENATE(N183,A183,"\",B183,"\",C183,".jpg")</f>
        <v>C:\Users\mbaptista\OneDrive - Biblioteca Nacional de Portugal\Documentos\python\camoniana\imagens\capas\798623\1\8.jpg</v>
      </c>
      <c r="P183" s="12" t="str">
        <f>HYPERLINK(O183)</f>
        <v>C:\Users\mbaptista\OneDrive - Biblioteca Nacional de Portugal\Documentos\python\camoniana\imagens\capas\798623\1\8.jpg</v>
      </c>
      <c r="Q183" s="12"/>
      <c r="R183" s="6" t="s">
        <v>259</v>
      </c>
      <c r="S183" s="12"/>
      <c r="T183" s="1">
        <v>8</v>
      </c>
      <c r="U183" s="13"/>
      <c r="V183" s="13"/>
      <c r="W183" s="5" t="s">
        <v>1491</v>
      </c>
    </row>
    <row r="184" spans="1:23" ht="225">
      <c r="A184" s="1">
        <v>798623</v>
      </c>
      <c r="B184" s="1">
        <v>1</v>
      </c>
      <c r="C184" s="1">
        <v>11</v>
      </c>
      <c r="D184" s="2" t="s">
        <v>257</v>
      </c>
      <c r="E184" s="5" t="s">
        <v>257</v>
      </c>
      <c r="F184" s="5">
        <v>272383</v>
      </c>
      <c r="G184" s="2" t="s">
        <v>1494</v>
      </c>
      <c r="H184" s="2" t="s">
        <v>1495</v>
      </c>
      <c r="I184" s="2" t="s">
        <v>1496</v>
      </c>
      <c r="J184" s="2" t="str">
        <f>CONCATENATE(G184,F184,H184,C184,I184)</f>
        <v>https://permalinkbnd.bnportugal.gov.pt/viewer/272383/?offset=#page=11&amp;viewer=picture&amp;o=info&amp;n=0&amp;q=</v>
      </c>
      <c r="K184" s="1" t="s">
        <v>258</v>
      </c>
      <c r="L184" s="1" t="str">
        <f>VLOOKUP(A184,Folha2!$A$2:$B$2019,2,FALSE)</f>
        <v>Poems from the Portuguese, 1803. By Lord Strangford. Retrato+ Lírica (canção, madrigais, estâncias, fragmento elegia, sonetos) +parte do episódio dos Doze de Inglaterra. Trad. Paratextos vida e Trad. Paratextos notas, apenas à lírica.</v>
      </c>
      <c r="M184" s="12" t="str">
        <f>HYPERLINK(J184)</f>
        <v>https://permalinkbnd.bnportugal.gov.pt/viewer/272383/?offset=#page=11&amp;viewer=picture&amp;o=info&amp;n=0&amp;q=</v>
      </c>
      <c r="N184" s="12" t="s">
        <v>1497</v>
      </c>
      <c r="O184" s="12" t="str">
        <f>CONCATENATE(N184,A184,"\",B184,"\",C184,".jpg")</f>
        <v>C:\Users\mbaptista\OneDrive - Biblioteca Nacional de Portugal\Documentos\python\camoniana\imagens\capas\798623\1\11.jpg</v>
      </c>
      <c r="P184" s="12" t="str">
        <f>HYPERLINK(O184)</f>
        <v>C:\Users\mbaptista\OneDrive - Biblioteca Nacional de Portugal\Documentos\python\camoniana\imagens\capas\798623\1\11.jpg</v>
      </c>
      <c r="Q184" s="12"/>
      <c r="R184" s="6"/>
      <c r="S184" s="12"/>
      <c r="T184" s="1"/>
      <c r="U184" s="13"/>
      <c r="V184" s="13"/>
      <c r="W184" s="5"/>
    </row>
    <row r="185" spans="1:23" ht="225">
      <c r="A185" s="1">
        <v>798863</v>
      </c>
      <c r="B185" s="1">
        <v>1</v>
      </c>
      <c r="C185" s="13">
        <v>5</v>
      </c>
      <c r="D185" s="2" t="s">
        <v>260</v>
      </c>
      <c r="E185" s="11" t="s">
        <v>260</v>
      </c>
      <c r="F185" s="11">
        <v>272376</v>
      </c>
      <c r="G185" s="2" t="s">
        <v>1494</v>
      </c>
      <c r="H185" s="2" t="s">
        <v>1495</v>
      </c>
      <c r="I185" s="2" t="s">
        <v>1496</v>
      </c>
      <c r="J185" s="2" t="str">
        <f>CONCATENATE(G185,F185,H185,C185,I185)</f>
        <v>https://permalinkbnd.bnportugal.gov.pt/viewer/272376/?offset=#page=5&amp;viewer=picture&amp;o=info&amp;n=0&amp;q=</v>
      </c>
      <c r="K185" s="1" t="s">
        <v>261</v>
      </c>
      <c r="L185" s="1" t="str">
        <f>VLOOKUP(A185,Folha2!$A$2:$B$2019,2,FALSE)</f>
        <v>Os Lusíadas, 1843. Paratextos argumentos.</v>
      </c>
      <c r="M185" s="12" t="str">
        <f>HYPERLINK(J185)</f>
        <v>https://permalinkbnd.bnportugal.gov.pt/viewer/272376/?offset=#page=5&amp;viewer=picture&amp;o=info&amp;n=0&amp;q=</v>
      </c>
      <c r="N185" s="12" t="s">
        <v>1497</v>
      </c>
      <c r="O185" s="12" t="str">
        <f>CONCATENATE(N185,A185,"\",B185,"\",C185,".jpg")</f>
        <v>C:\Users\mbaptista\OneDrive - Biblioteca Nacional de Portugal\Documentos\python\camoniana\imagens\capas\798863\1\5.jpg</v>
      </c>
      <c r="P185" s="12" t="str">
        <f>HYPERLINK(O185)</f>
        <v>C:\Users\mbaptista\OneDrive - Biblioteca Nacional de Portugal\Documentos\python\camoniana\imagens\capas\798863\1\5.jpg</v>
      </c>
      <c r="Q185" s="12"/>
      <c r="R185" s="6" t="s">
        <v>262</v>
      </c>
      <c r="S185" s="12"/>
      <c r="T185" s="1"/>
      <c r="U185" s="13" t="s">
        <v>148</v>
      </c>
      <c r="V185" s="13"/>
      <c r="W185" s="5" t="s">
        <v>1491</v>
      </c>
    </row>
    <row r="186" spans="1:23" ht="225">
      <c r="A186" s="1">
        <v>798864</v>
      </c>
      <c r="B186" s="1">
        <v>1</v>
      </c>
      <c r="C186" s="13">
        <v>2</v>
      </c>
      <c r="D186" s="2" t="s">
        <v>263</v>
      </c>
      <c r="E186" s="5" t="s">
        <v>263</v>
      </c>
      <c r="F186" s="5">
        <v>272380</v>
      </c>
      <c r="G186" s="2" t="s">
        <v>1494</v>
      </c>
      <c r="H186" s="2" t="s">
        <v>1495</v>
      </c>
      <c r="I186" s="2" t="s">
        <v>1496</v>
      </c>
      <c r="J186" s="2" t="str">
        <f>CONCATENATE(G186,F186,H186,C186,I186)</f>
        <v>https://permalinkbnd.bnportugal.gov.pt/viewer/272380/?offset=#page=2&amp;viewer=picture&amp;o=info&amp;n=0&amp;q=</v>
      </c>
      <c r="K186" s="1" t="s">
        <v>264</v>
      </c>
      <c r="L186" s="1" t="str">
        <f>VLOOKUP(A186,Folha2!$A$2:$B$2019,2,FALSE)</f>
        <v>Os Lusíadas, 1870. Paratextos vida [Camões histórico] e Paratextos argumentos.</v>
      </c>
      <c r="M186" s="12" t="str">
        <f>HYPERLINK(J186)</f>
        <v>https://permalinkbnd.bnportugal.gov.pt/viewer/272380/?offset=#page=2&amp;viewer=picture&amp;o=info&amp;n=0&amp;q=</v>
      </c>
      <c r="N186" s="12" t="s">
        <v>1497</v>
      </c>
      <c r="O186" s="12" t="str">
        <f>CONCATENATE(N186,A186,"\",B186,"\",C186,".jpg")</f>
        <v>C:\Users\mbaptista\OneDrive - Biblioteca Nacional de Portugal\Documentos\python\camoniana\imagens\capas\798864\1\2.jpg</v>
      </c>
      <c r="P186" s="12" t="str">
        <f>HYPERLINK(O186)</f>
        <v>C:\Users\mbaptista\OneDrive - Biblioteca Nacional de Portugal\Documentos\python\camoniana\imagens\capas\798864\1\2.jpg</v>
      </c>
      <c r="Q186" s="12"/>
      <c r="R186" s="6" t="s">
        <v>266</v>
      </c>
      <c r="S186" s="12"/>
      <c r="T186" s="1"/>
      <c r="U186" s="13" t="s">
        <v>265</v>
      </c>
      <c r="V186" s="13"/>
      <c r="W186" s="5" t="s">
        <v>1491</v>
      </c>
    </row>
    <row r="187" spans="1:23" ht="225">
      <c r="A187" s="1">
        <v>798881</v>
      </c>
      <c r="B187" s="1">
        <v>1</v>
      </c>
      <c r="C187" s="13">
        <v>5</v>
      </c>
      <c r="D187" s="2" t="s">
        <v>267</v>
      </c>
      <c r="E187" s="11" t="s">
        <v>267</v>
      </c>
      <c r="F187" s="11">
        <v>272389</v>
      </c>
      <c r="G187" s="2" t="s">
        <v>1494</v>
      </c>
      <c r="H187" s="2" t="s">
        <v>1495</v>
      </c>
      <c r="I187" s="2" t="s">
        <v>1496</v>
      </c>
      <c r="J187" s="2" t="str">
        <f>CONCATENATE(G187,F187,H187,C187,I187)</f>
        <v>https://permalinkbnd.bnportugal.gov.pt/viewer/272389/?offset=#page=5&amp;viewer=picture&amp;o=info&amp;n=0&amp;q=</v>
      </c>
      <c r="K187" s="1" t="s">
        <v>261</v>
      </c>
      <c r="L187" s="1" t="str">
        <f>VLOOKUP(A187,Folha2!$A$2:$B$2019,2,FALSE)</f>
        <v xml:space="preserve">Ariosto Machado, A lira de Camões, 1883. Glosas em sonetos </v>
      </c>
      <c r="M187" s="12" t="str">
        <f>HYPERLINK(J187)</f>
        <v>https://permalinkbnd.bnportugal.gov.pt/viewer/272389/?offset=#page=5&amp;viewer=picture&amp;o=info&amp;n=0&amp;q=</v>
      </c>
      <c r="N187" s="12" t="s">
        <v>1497</v>
      </c>
      <c r="O187" s="12" t="str">
        <f>CONCATENATE(N187,A187,"\",B187,"\",C187,".jpg")</f>
        <v>C:\Users\mbaptista\OneDrive - Biblioteca Nacional de Portugal\Documentos\python\camoniana\imagens\capas\798881\1\5.jpg</v>
      </c>
      <c r="P187" s="12" t="str">
        <f>HYPERLINK(O187)</f>
        <v>C:\Users\mbaptista\OneDrive - Biblioteca Nacional de Portugal\Documentos\python\camoniana\imagens\capas\798881\1\5.jpg</v>
      </c>
      <c r="Q187" s="12"/>
      <c r="R187" s="6" t="s">
        <v>268</v>
      </c>
      <c r="S187" s="12"/>
      <c r="T187" s="1"/>
      <c r="U187" s="13" t="s">
        <v>148</v>
      </c>
      <c r="V187" s="13"/>
      <c r="W187" s="5" t="s">
        <v>1491</v>
      </c>
    </row>
    <row r="188" spans="1:23" ht="225">
      <c r="A188" s="1">
        <v>800848</v>
      </c>
      <c r="B188" s="1">
        <v>1</v>
      </c>
      <c r="C188" s="1">
        <v>5</v>
      </c>
      <c r="D188" s="2" t="s">
        <v>269</v>
      </c>
      <c r="E188" s="5" t="s">
        <v>269</v>
      </c>
      <c r="F188" s="5">
        <v>272392</v>
      </c>
      <c r="G188" s="2" t="s">
        <v>1494</v>
      </c>
      <c r="H188" s="2" t="s">
        <v>1495</v>
      </c>
      <c r="I188" s="2" t="s">
        <v>1496</v>
      </c>
      <c r="J188" s="2" t="str">
        <f>CONCATENATE(G188,F188,H188,C188,I188)</f>
        <v>https://permalinkbnd.bnportugal.gov.pt/viewer/272392/?offset=#page=5&amp;viewer=picture&amp;o=info&amp;n=0&amp;q=</v>
      </c>
      <c r="K188" s="1" t="s">
        <v>270</v>
      </c>
      <c r="L188" s="1" t="str">
        <f>VLOOKUP(A188,Folha2!$A$2:$B$2019,2,FALSE)</f>
        <v>Alma minha gentil, 1883, com tradução em alemão da autoria de Storck. Refere o terceiro aniversário do Tricentenário. Celebrações (1880), traduções.</v>
      </c>
      <c r="M188" s="12" t="str">
        <f>HYPERLINK(J188)</f>
        <v>https://permalinkbnd.bnportugal.gov.pt/viewer/272392/?offset=#page=5&amp;viewer=picture&amp;o=info&amp;n=0&amp;q=</v>
      </c>
      <c r="N188" s="12" t="s">
        <v>1497</v>
      </c>
      <c r="O188" s="12" t="str">
        <f>CONCATENATE(N188,A188,"\",B188,"\",C188,".jpg")</f>
        <v>C:\Users\mbaptista\OneDrive - Biblioteca Nacional de Portugal\Documentos\python\camoniana\imagens\capas\800848\1\5.jpg</v>
      </c>
      <c r="P188" s="12" t="str">
        <f>HYPERLINK(O188)</f>
        <v>C:\Users\mbaptista\OneDrive - Biblioteca Nacional de Portugal\Documentos\python\camoniana\imagens\capas\800848\1\5.jpg</v>
      </c>
      <c r="Q188" s="12"/>
      <c r="R188" s="6" t="s">
        <v>271</v>
      </c>
      <c r="S188" s="12"/>
      <c r="T188" s="1">
        <v>5</v>
      </c>
      <c r="U188" s="13"/>
      <c r="V188" s="13"/>
      <c r="W188" s="5" t="s">
        <v>1491</v>
      </c>
    </row>
    <row r="189" spans="1:23" ht="225">
      <c r="A189" s="1">
        <v>800848</v>
      </c>
      <c r="B189" s="1">
        <v>1</v>
      </c>
      <c r="C189" s="1">
        <v>12</v>
      </c>
      <c r="D189" s="2" t="s">
        <v>269</v>
      </c>
      <c r="E189" s="11" t="s">
        <v>269</v>
      </c>
      <c r="F189" s="11">
        <v>272392</v>
      </c>
      <c r="G189" s="2" t="s">
        <v>1494</v>
      </c>
      <c r="H189" s="2" t="s">
        <v>1495</v>
      </c>
      <c r="I189" s="2" t="s">
        <v>1496</v>
      </c>
      <c r="J189" s="2" t="str">
        <f>CONCATENATE(G189,F189,H189,C189,I189)</f>
        <v>https://permalinkbnd.bnportugal.gov.pt/viewer/272392/?offset=#page=12&amp;viewer=picture&amp;o=info&amp;n=0&amp;q=</v>
      </c>
      <c r="K189" s="1" t="s">
        <v>270</v>
      </c>
      <c r="L189" s="1" t="str">
        <f>VLOOKUP(A189,Folha2!$A$2:$B$2019,2,FALSE)</f>
        <v>Alma minha gentil, 1883, com tradução em alemão da autoria de Storck. Refere o terceiro aniversário do Tricentenário. Celebrações (1880), traduções.</v>
      </c>
      <c r="M189" s="12" t="str">
        <f>HYPERLINK(J189)</f>
        <v>https://permalinkbnd.bnportugal.gov.pt/viewer/272392/?offset=#page=12&amp;viewer=picture&amp;o=info&amp;n=0&amp;q=</v>
      </c>
      <c r="N189" s="12" t="s">
        <v>1497</v>
      </c>
      <c r="O189" s="12" t="str">
        <f>CONCATENATE(N189,A189,"\",B189,"\",C189,".jpg")</f>
        <v>C:\Users\mbaptista\OneDrive - Biblioteca Nacional de Portugal\Documentos\python\camoniana\imagens\capas\800848\1\12.jpg</v>
      </c>
      <c r="P189" s="12" t="str">
        <f>HYPERLINK(O189)</f>
        <v>C:\Users\mbaptista\OneDrive - Biblioteca Nacional de Portugal\Documentos\python\camoniana\imagens\capas\800848\1\12.jpg</v>
      </c>
      <c r="Q189" s="12"/>
      <c r="R189" s="6"/>
      <c r="S189" s="12"/>
      <c r="T189" s="1"/>
      <c r="U189" s="13"/>
      <c r="V189" s="13"/>
      <c r="W189" s="5"/>
    </row>
    <row r="190" spans="1:23" ht="225">
      <c r="A190" s="1">
        <v>800863</v>
      </c>
      <c r="B190" s="1">
        <v>1</v>
      </c>
      <c r="C190" s="13">
        <v>7</v>
      </c>
      <c r="D190" s="2" t="s">
        <v>272</v>
      </c>
      <c r="E190" s="5" t="s">
        <v>272</v>
      </c>
      <c r="F190" s="5">
        <v>270350</v>
      </c>
      <c r="G190" s="2" t="s">
        <v>1494</v>
      </c>
      <c r="H190" s="2" t="s">
        <v>1495</v>
      </c>
      <c r="I190" s="2" t="s">
        <v>1496</v>
      </c>
      <c r="J190" s="2" t="str">
        <f>CONCATENATE(G190,F190,H190,C190,I190)</f>
        <v>https://permalinkbnd.bnportugal.gov.pt/viewer/270350/?offset=#page=7&amp;viewer=picture&amp;o=info&amp;n=0&amp;q=</v>
      </c>
      <c r="K190" s="1" t="s">
        <v>273</v>
      </c>
      <c r="L190" s="1" t="str">
        <f>VLOOKUP(A190,Folha2!$A$2:$B$2019,2,FALSE)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0" s="12" t="str">
        <f>HYPERLINK(J190)</f>
        <v>https://permalinkbnd.bnportugal.gov.pt/viewer/270350/?offset=#page=7&amp;viewer=picture&amp;o=info&amp;n=0&amp;q=</v>
      </c>
      <c r="N190" s="12" t="s">
        <v>1497</v>
      </c>
      <c r="O190" s="12" t="str">
        <f>CONCATENATE(N190,A190,"\",B190,"\",C190,".jpg")</f>
        <v>C:\Users\mbaptista\OneDrive - Biblioteca Nacional de Portugal\Documentos\python\camoniana\imagens\capas\800863\1\7.jpg</v>
      </c>
      <c r="P190" s="12" t="str">
        <f>HYPERLINK(O190)</f>
        <v>C:\Users\mbaptista\OneDrive - Biblioteca Nacional de Portugal\Documentos\python\camoniana\imagens\capas\800863\1\7.jpg</v>
      </c>
      <c r="Q190" s="12"/>
      <c r="R190" s="6" t="s">
        <v>274</v>
      </c>
      <c r="S190" s="12"/>
      <c r="T190" s="1"/>
      <c r="U190" s="13" t="s">
        <v>73</v>
      </c>
      <c r="V190" s="13"/>
      <c r="W190" s="5" t="s">
        <v>1491</v>
      </c>
    </row>
    <row r="191" spans="1:23" ht="225">
      <c r="A191" s="1">
        <v>800863</v>
      </c>
      <c r="B191" s="1">
        <v>1</v>
      </c>
      <c r="C191" s="13">
        <v>11</v>
      </c>
      <c r="D191" s="2" t="s">
        <v>272</v>
      </c>
      <c r="E191" s="11" t="s">
        <v>272</v>
      </c>
      <c r="F191" s="11">
        <v>270350</v>
      </c>
      <c r="G191" s="2" t="s">
        <v>1494</v>
      </c>
      <c r="H191" s="2" t="s">
        <v>1495</v>
      </c>
      <c r="I191" s="2" t="s">
        <v>1496</v>
      </c>
      <c r="J191" s="2" t="str">
        <f>CONCATENATE(G191,F191,H191,C191,I191)</f>
        <v>https://permalinkbnd.bnportugal.gov.pt/viewer/270350/?offset=#page=11&amp;viewer=picture&amp;o=info&amp;n=0&amp;q=</v>
      </c>
      <c r="K191" s="1" t="s">
        <v>273</v>
      </c>
      <c r="L191" s="1" t="str">
        <f>VLOOKUP(A191,Folha2!$A$2:$B$2019,2,FALSE)</f>
        <v>Rimas de Xavier de Matos, dedicadas à memória de Camões, 1800-1801. [1.º vol.: sonetos; odes; motes/glosas em sonetos entram em Centão?; éclogas; epístolas, tercetos, Belisa, idílio, sonho; 2.º: sonetos, odes, canções, idílios, epicédios, tragédias, miscelânea: motes alheios glosados pelo autor; colcheias, endechas e sonetos acrescentados]. Celebrações (1880), recepção criativa, tematização.</v>
      </c>
      <c r="M191" s="12" t="str">
        <f>HYPERLINK(J191)</f>
        <v>https://permalinkbnd.bnportugal.gov.pt/viewer/270350/?offset=#page=11&amp;viewer=picture&amp;o=info&amp;n=0&amp;q=</v>
      </c>
      <c r="N191" s="12" t="s">
        <v>1497</v>
      </c>
      <c r="O191" s="12" t="str">
        <f>CONCATENATE(N191,A191,"\",B191,"\",C191,".jpg")</f>
        <v>C:\Users\mbaptista\OneDrive - Biblioteca Nacional de Portugal\Documentos\python\camoniana\imagens\capas\800863\1\11.jpg</v>
      </c>
      <c r="P191" s="12" t="str">
        <f>HYPERLINK(O191)</f>
        <v>C:\Users\mbaptista\OneDrive - Biblioteca Nacional de Portugal\Documentos\python\camoniana\imagens\capas\800863\1\11.jpg</v>
      </c>
      <c r="Q191" s="12"/>
      <c r="R191" s="6"/>
      <c r="S191" s="12"/>
      <c r="T191" s="1"/>
      <c r="U191" s="13"/>
      <c r="V191" s="13"/>
      <c r="W191" s="5"/>
    </row>
    <row r="192" spans="1:23" ht="225">
      <c r="A192" s="1">
        <v>800870</v>
      </c>
      <c r="B192" s="1">
        <v>1</v>
      </c>
      <c r="C192" s="13">
        <v>13</v>
      </c>
      <c r="D192" s="2" t="s">
        <v>275</v>
      </c>
      <c r="E192" s="5" t="s">
        <v>275</v>
      </c>
      <c r="F192" s="5">
        <v>274038</v>
      </c>
      <c r="G192" s="2" t="s">
        <v>1494</v>
      </c>
      <c r="H192" s="2" t="s">
        <v>1495</v>
      </c>
      <c r="I192" s="2" t="s">
        <v>1496</v>
      </c>
      <c r="J192" s="2" t="str">
        <f>CONCATENATE(G192,F192,H192,C192,I192)</f>
        <v>https://permalinkbnd.bnportugal.gov.pt/viewer/274038/?offset=#page=13&amp;viewer=picture&amp;o=info&amp;n=0&amp;q=</v>
      </c>
      <c r="K192" s="1" t="s">
        <v>276</v>
      </c>
      <c r="L192" s="1" t="str">
        <f>VLOOKUP(A192,Folha2!$A$2:$B$2019,2,FALSE)</f>
        <v>António Ribeiro dos Santos, Sonetos a D. Inês de Castro, 1784</v>
      </c>
      <c r="M192" s="12" t="str">
        <f>HYPERLINK(J192)</f>
        <v>https://permalinkbnd.bnportugal.gov.pt/viewer/274038/?offset=#page=13&amp;viewer=picture&amp;o=info&amp;n=0&amp;q=</v>
      </c>
      <c r="N192" s="12" t="s">
        <v>1497</v>
      </c>
      <c r="O192" s="12" t="str">
        <f>CONCATENATE(N192,A192,"\",B192,"\",C192,".jpg")</f>
        <v>C:\Users\mbaptista\OneDrive - Biblioteca Nacional de Portugal\Documentos\python\camoniana\imagens\capas\800870\1\13.jpg</v>
      </c>
      <c r="P192" s="12" t="str">
        <f>HYPERLINK(O192)</f>
        <v>C:\Users\mbaptista\OneDrive - Biblioteca Nacional de Portugal\Documentos\python\camoniana\imagens\capas\800870\1\13.jpg</v>
      </c>
      <c r="Q192" s="12"/>
      <c r="R192" s="6" t="s">
        <v>278</v>
      </c>
      <c r="S192" s="12"/>
      <c r="T192" s="1"/>
      <c r="U192" s="13" t="s">
        <v>277</v>
      </c>
      <c r="V192" s="13"/>
      <c r="W192" s="5" t="s">
        <v>1491</v>
      </c>
    </row>
    <row r="193" spans="1:23" ht="225">
      <c r="A193" s="1">
        <v>801047</v>
      </c>
      <c r="B193" s="1">
        <v>1</v>
      </c>
      <c r="C193" s="1">
        <v>3</v>
      </c>
      <c r="D193" s="2" t="s">
        <v>279</v>
      </c>
      <c r="E193" s="11" t="s">
        <v>279</v>
      </c>
      <c r="F193" s="11">
        <v>272399</v>
      </c>
      <c r="G193" s="2" t="s">
        <v>1494</v>
      </c>
      <c r="H193" s="2" t="s">
        <v>1495</v>
      </c>
      <c r="I193" s="2" t="s">
        <v>1496</v>
      </c>
      <c r="J193" s="2" t="str">
        <f>CONCATENATE(G193,F193,H193,C193,I193)</f>
        <v>https://permalinkbnd.bnportugal.gov.pt/viewer/272399/?offset=#page=3&amp;viewer=picture&amp;o=info&amp;n=0&amp;q=</v>
      </c>
      <c r="K193" s="1">
        <v>3</v>
      </c>
      <c r="L193" s="1" t="str">
        <f>VLOOKUP(A193,Folha2!$A$2:$B$2019,2,FALSE)</f>
        <v>João Estêvão de Azevedo, Homenagem a Luís de Camões, 1880</v>
      </c>
      <c r="M193" s="12" t="str">
        <f>HYPERLINK(J193)</f>
        <v>https://permalinkbnd.bnportugal.gov.pt/viewer/272399/?offset=#page=3&amp;viewer=picture&amp;o=info&amp;n=0&amp;q=</v>
      </c>
      <c r="N193" s="12" t="s">
        <v>1497</v>
      </c>
      <c r="O193" s="12" t="str">
        <f>CONCATENATE(N193,A193,"\",B193,"\",C193,".jpg")</f>
        <v>C:\Users\mbaptista\OneDrive - Biblioteca Nacional de Portugal\Documentos\python\camoniana\imagens\capas\801047\1\3.jpg</v>
      </c>
      <c r="P193" s="12" t="str">
        <f>HYPERLINK(O193)</f>
        <v>C:\Users\mbaptista\OneDrive - Biblioteca Nacional de Portugal\Documentos\python\camoniana\imagens\capas\801047\1\3.jpg</v>
      </c>
      <c r="Q193" s="12"/>
      <c r="R193" s="6" t="s">
        <v>280</v>
      </c>
      <c r="S193" s="12"/>
      <c r="T193" s="1">
        <v>3</v>
      </c>
      <c r="U193" s="13"/>
      <c r="V193" s="13"/>
      <c r="W193" s="5" t="s">
        <v>1491</v>
      </c>
    </row>
    <row r="194" spans="1:23" ht="225">
      <c r="A194" s="1">
        <v>804699</v>
      </c>
      <c r="B194" s="1">
        <v>1</v>
      </c>
      <c r="C194" s="1">
        <v>8</v>
      </c>
      <c r="D194" s="2" t="s">
        <v>281</v>
      </c>
      <c r="E194" s="5" t="s">
        <v>281</v>
      </c>
      <c r="F194" s="5">
        <v>274084</v>
      </c>
      <c r="G194" s="2" t="s">
        <v>1494</v>
      </c>
      <c r="H194" s="2" t="s">
        <v>1495</v>
      </c>
      <c r="I194" s="2" t="s">
        <v>1496</v>
      </c>
      <c r="J194" s="2" t="str">
        <f>CONCATENATE(G194,F194,H194,C194,I194)</f>
        <v>https://permalinkbnd.bnportugal.gov.pt/viewer/274084/?offset=#page=8&amp;viewer=picture&amp;o=info&amp;n=0&amp;q=</v>
      </c>
      <c r="K194" s="1" t="s">
        <v>282</v>
      </c>
      <c r="L194" s="1" t="str">
        <f>VLOOKUP(A194,Folha2!$A$2:$B$2019,2,FALSE)</f>
        <v>Os Lusíadas, segundo a edição do Morgado de Mateus, 1836, sem argumentos. Paratextos vida e Paratextos notas.</v>
      </c>
      <c r="M194" s="12" t="str">
        <f>HYPERLINK(J194)</f>
        <v>https://permalinkbnd.bnportugal.gov.pt/viewer/274084/?offset=#page=8&amp;viewer=picture&amp;o=info&amp;n=0&amp;q=</v>
      </c>
      <c r="N194" s="12" t="s">
        <v>1497</v>
      </c>
      <c r="O194" s="12" t="str">
        <f>CONCATENATE(N194,A194,"\",B194,"\",C194,".jpg")</f>
        <v>C:\Users\mbaptista\OneDrive - Biblioteca Nacional de Portugal\Documentos\python\camoniana\imagens\capas\804699\1\8.jpg</v>
      </c>
      <c r="P194" s="12" t="str">
        <f>HYPERLINK(O194)</f>
        <v>C:\Users\mbaptista\OneDrive - Biblioteca Nacional de Portugal\Documentos\python\camoniana\imagens\capas\804699\1\8.jpg</v>
      </c>
      <c r="Q194" s="12"/>
      <c r="R194" s="6" t="s">
        <v>283</v>
      </c>
      <c r="S194" s="12"/>
      <c r="T194" s="1">
        <v>8</v>
      </c>
      <c r="U194" s="13"/>
      <c r="V194" s="13"/>
      <c r="W194" s="5" t="s">
        <v>1491</v>
      </c>
    </row>
    <row r="195" spans="1:23" ht="225">
      <c r="A195" s="1">
        <v>804707</v>
      </c>
      <c r="B195" s="1">
        <v>1</v>
      </c>
      <c r="C195" s="1">
        <v>8</v>
      </c>
      <c r="D195" s="2" t="s">
        <v>284</v>
      </c>
      <c r="E195" s="11" t="s">
        <v>284</v>
      </c>
      <c r="F195" s="11">
        <v>272355</v>
      </c>
      <c r="G195" s="2" t="s">
        <v>1494</v>
      </c>
      <c r="H195" s="2" t="s">
        <v>1495</v>
      </c>
      <c r="I195" s="2" t="s">
        <v>1496</v>
      </c>
      <c r="J195" s="2" t="str">
        <f>CONCATENATE(G195,F195,H195,C195,I195)</f>
        <v>https://permalinkbnd.bnportugal.gov.pt/viewer/272355/?offset=#page=8&amp;viewer=picture&amp;o=info&amp;n=0&amp;q=</v>
      </c>
      <c r="K195" s="1" t="s">
        <v>285</v>
      </c>
      <c r="L195" s="1" t="str">
        <f>VLOOKUP(A195,Folha2!$A$2:$B$2019,2,FALSE)</f>
        <v>Os Lusíadas, 1846, sem argumentos. Paratextos vida; Paratextos notas; Iconografia figuras históricas.</v>
      </c>
      <c r="M195" s="12" t="str">
        <f>HYPERLINK(J195)</f>
        <v>https://permalinkbnd.bnportugal.gov.pt/viewer/272355/?offset=#page=8&amp;viewer=picture&amp;o=info&amp;n=0&amp;q=</v>
      </c>
      <c r="N195" s="12" t="s">
        <v>1497</v>
      </c>
      <c r="O195" s="12" t="str">
        <f>CONCATENATE(N195,A195,"\",B195,"\",C195,".jpg")</f>
        <v>C:\Users\mbaptista\OneDrive - Biblioteca Nacional de Portugal\Documentos\python\camoniana\imagens\capas\804707\1\8.jpg</v>
      </c>
      <c r="P195" s="12" t="str">
        <f>HYPERLINK(O195)</f>
        <v>C:\Users\mbaptista\OneDrive - Biblioteca Nacional de Portugal\Documentos\python\camoniana\imagens\capas\804707\1\8.jpg</v>
      </c>
      <c r="Q195" s="12"/>
      <c r="R195" s="6" t="s">
        <v>287</v>
      </c>
      <c r="S195" s="12"/>
      <c r="T195" s="1" t="s">
        <v>286</v>
      </c>
      <c r="U195" s="13"/>
      <c r="V195" s="13"/>
      <c r="W195" s="5" t="s">
        <v>1491</v>
      </c>
    </row>
    <row r="196" spans="1:23" ht="225">
      <c r="A196" s="1">
        <v>804707</v>
      </c>
      <c r="B196" s="1">
        <v>1</v>
      </c>
      <c r="C196" s="1">
        <v>42</v>
      </c>
      <c r="D196" s="2" t="s">
        <v>284</v>
      </c>
      <c r="E196" s="5" t="s">
        <v>284</v>
      </c>
      <c r="F196" s="5">
        <v>272355</v>
      </c>
      <c r="G196" s="2" t="s">
        <v>1494</v>
      </c>
      <c r="H196" s="2" t="s">
        <v>1495</v>
      </c>
      <c r="I196" s="2" t="s">
        <v>1496</v>
      </c>
      <c r="J196" s="2" t="str">
        <f>CONCATENATE(G196,F196,H196,C196,I196)</f>
        <v>https://permalinkbnd.bnportugal.gov.pt/viewer/272355/?offset=#page=42&amp;viewer=picture&amp;o=info&amp;n=0&amp;q=</v>
      </c>
      <c r="K196" s="1" t="s">
        <v>285</v>
      </c>
      <c r="L196" s="1" t="str">
        <f>VLOOKUP(A196,Folha2!$A$2:$B$2019,2,FALSE)</f>
        <v>Os Lusíadas, 1846, sem argumentos. Paratextos vida; Paratextos notas; Iconografia figuras históricas.</v>
      </c>
      <c r="M196" s="12" t="str">
        <f>HYPERLINK(J196)</f>
        <v>https://permalinkbnd.bnportugal.gov.pt/viewer/272355/?offset=#page=42&amp;viewer=picture&amp;o=info&amp;n=0&amp;q=</v>
      </c>
      <c r="N196" s="12" t="s">
        <v>1497</v>
      </c>
      <c r="O196" s="12" t="str">
        <f>CONCATENATE(N196,A196,"\",B196,"\",C196,".jpg")</f>
        <v>C:\Users\mbaptista\OneDrive - Biblioteca Nacional de Portugal\Documentos\python\camoniana\imagens\capas\804707\1\42.jpg</v>
      </c>
      <c r="P196" s="12" t="str">
        <f>HYPERLINK(O196)</f>
        <v>C:\Users\mbaptista\OneDrive - Biblioteca Nacional de Portugal\Documentos\python\camoniana\imagens\capas\804707\1\42.jpg</v>
      </c>
      <c r="Q196" s="12"/>
      <c r="R196" s="6" t="s">
        <v>288</v>
      </c>
      <c r="S196" s="12"/>
      <c r="T196" s="1" t="s">
        <v>286</v>
      </c>
      <c r="U196" s="13"/>
      <c r="V196" s="13"/>
      <c r="W196" s="5" t="s">
        <v>1491</v>
      </c>
    </row>
    <row r="197" spans="1:23" ht="225">
      <c r="A197" s="1">
        <v>804731</v>
      </c>
      <c r="B197" s="1">
        <v>1</v>
      </c>
      <c r="C197" s="1">
        <v>10</v>
      </c>
      <c r="D197" s="2" t="s">
        <v>289</v>
      </c>
      <c r="E197" s="11" t="s">
        <v>289</v>
      </c>
      <c r="F197" s="11">
        <v>270138</v>
      </c>
      <c r="G197" s="2" t="s">
        <v>1494</v>
      </c>
      <c r="H197" s="2" t="s">
        <v>1495</v>
      </c>
      <c r="I197" s="2" t="s">
        <v>1496</v>
      </c>
      <c r="J197" s="2" t="str">
        <f>CONCATENATE(G197,F197,H197,C197,I197)</f>
        <v>https://permalinkbnd.bnportugal.gov.pt/viewer/270138/?offset=#page=10&amp;viewer=picture&amp;o=info&amp;n=0&amp;q=</v>
      </c>
      <c r="K197" s="1" t="s">
        <v>290</v>
      </c>
      <c r="L197" s="1" t="str">
        <f>VLOOKUP(A197,Folha2!$A$2:$B$2019,2,FALSE)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7" s="12" t="s">
        <v>1517</v>
      </c>
      <c r="N197" s="12" t="s">
        <v>1497</v>
      </c>
      <c r="O197" s="12" t="str">
        <f>CONCATENATE(N197,A197,"\",B197,"\",C197,".jpg")</f>
        <v>C:\Users\mbaptista\OneDrive - Biblioteca Nacional de Portugal\Documentos\python\camoniana\imagens\capas\804731\1\10.jpg</v>
      </c>
      <c r="P197" s="12" t="str">
        <f>HYPERLINK(O197)</f>
        <v>C:\Users\mbaptista\OneDrive - Biblioteca Nacional de Portugal\Documentos\python\camoniana\imagens\capas\804731\1\10.jpg</v>
      </c>
      <c r="Q197" s="12"/>
      <c r="R197" s="6" t="s">
        <v>292</v>
      </c>
      <c r="S197" s="12"/>
      <c r="T197" s="1" t="s">
        <v>291</v>
      </c>
      <c r="U197" s="13"/>
      <c r="V197" s="13"/>
      <c r="W197" s="5" t="s">
        <v>1491</v>
      </c>
    </row>
    <row r="198" spans="1:23" ht="225">
      <c r="A198" s="1">
        <v>804731</v>
      </c>
      <c r="B198" s="1">
        <v>6</v>
      </c>
      <c r="C198" s="1">
        <v>10</v>
      </c>
      <c r="D198" s="2" t="s">
        <v>289</v>
      </c>
      <c r="E198" s="5" t="s">
        <v>289</v>
      </c>
      <c r="F198" s="5">
        <v>270138</v>
      </c>
      <c r="G198" s="2" t="s">
        <v>1494</v>
      </c>
      <c r="H198" s="2" t="s">
        <v>1495</v>
      </c>
      <c r="I198" s="2" t="s">
        <v>1496</v>
      </c>
      <c r="J198" s="2" t="str">
        <f>CONCATENATE(G198,F198,H198,C198,I198)</f>
        <v>https://permalinkbnd.bnportugal.gov.pt/viewer/270138/?offset=#page=10&amp;viewer=picture&amp;o=info&amp;n=0&amp;q=</v>
      </c>
      <c r="K198" s="1" t="s">
        <v>290</v>
      </c>
      <c r="L198" s="1" t="str">
        <f>VLOOKUP(A198,Folha2!$A$2:$B$2019,2,FALSE)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8" s="12" t="s">
        <v>1522</v>
      </c>
      <c r="N198" s="12" t="s">
        <v>1497</v>
      </c>
      <c r="O198" s="12" t="str">
        <f>CONCATENATE(N198,A198,"\",B198,"\",C198,".jpg")</f>
        <v>C:\Users\mbaptista\OneDrive - Biblioteca Nacional de Portugal\Documentos\python\camoniana\imagens\capas\804731\6\10.jpg</v>
      </c>
      <c r="P198" s="12" t="str">
        <f>HYPERLINK(O198)</f>
        <v>C:\Users\mbaptista\OneDrive - Biblioteca Nacional de Portugal\Documentos\python\camoniana\imagens\capas\804731\6\10.jpg</v>
      </c>
      <c r="Q198" s="12"/>
      <c r="R198" s="6" t="s">
        <v>292</v>
      </c>
      <c r="S198" s="12"/>
      <c r="T198" s="1" t="s">
        <v>291</v>
      </c>
      <c r="U198" s="13" t="s">
        <v>293</v>
      </c>
      <c r="V198" s="13"/>
      <c r="W198" s="5" t="s">
        <v>1491</v>
      </c>
    </row>
    <row r="199" spans="1:23" ht="225">
      <c r="A199" s="1">
        <v>804731</v>
      </c>
      <c r="B199" s="1">
        <v>6</v>
      </c>
      <c r="C199" s="1">
        <v>43</v>
      </c>
      <c r="D199" s="2" t="s">
        <v>289</v>
      </c>
      <c r="E199" s="11" t="s">
        <v>289</v>
      </c>
      <c r="F199" s="11">
        <v>270138</v>
      </c>
      <c r="G199" s="2" t="s">
        <v>1494</v>
      </c>
      <c r="H199" s="2" t="s">
        <v>1495</v>
      </c>
      <c r="I199" s="2" t="s">
        <v>1496</v>
      </c>
      <c r="J199" s="2" t="str">
        <f>CONCATENATE(G199,F199,H199,C199,I199)</f>
        <v>https://permalinkbnd.bnportugal.gov.pt/viewer/270138/?offset=#page=43&amp;viewer=picture&amp;o=info&amp;n=0&amp;q=</v>
      </c>
      <c r="K199" s="1" t="s">
        <v>290</v>
      </c>
      <c r="L199" s="1" t="str">
        <f>VLOOKUP(A199,Folha2!$A$2:$B$2019,2,FALSE)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199" s="12" t="s">
        <v>1523</v>
      </c>
      <c r="N199" s="12" t="s">
        <v>1497</v>
      </c>
      <c r="O199" s="12" t="str">
        <f>CONCATENATE(N199,A199,"\",B199,"\",C199,".jpg")</f>
        <v>C:\Users\mbaptista\OneDrive - Biblioteca Nacional de Portugal\Documentos\python\camoniana\imagens\capas\804731\6\43.jpg</v>
      </c>
      <c r="P199" s="12" t="str">
        <f>HYPERLINK(O199)</f>
        <v>C:\Users\mbaptista\OneDrive - Biblioteca Nacional de Portugal\Documentos\python\camoniana\imagens\capas\804731\6\43.jpg</v>
      </c>
      <c r="Q199" s="12"/>
      <c r="R199" s="6" t="s">
        <v>294</v>
      </c>
      <c r="S199" s="12"/>
      <c r="T199" s="1" t="s">
        <v>291</v>
      </c>
      <c r="U199" s="13" t="s">
        <v>142</v>
      </c>
      <c r="V199" s="13"/>
      <c r="W199" s="5" t="s">
        <v>1491</v>
      </c>
    </row>
    <row r="200" spans="1:23" ht="225">
      <c r="A200" s="1">
        <v>804731</v>
      </c>
      <c r="B200" s="1">
        <v>6</v>
      </c>
      <c r="C200" s="1">
        <v>174</v>
      </c>
      <c r="D200" s="2" t="s">
        <v>289</v>
      </c>
      <c r="E200" s="5" t="s">
        <v>289</v>
      </c>
      <c r="F200" s="5">
        <v>270138</v>
      </c>
      <c r="G200" s="2" t="s">
        <v>1494</v>
      </c>
      <c r="H200" s="2" t="s">
        <v>1495</v>
      </c>
      <c r="I200" s="2" t="s">
        <v>1496</v>
      </c>
      <c r="J200" s="2" t="str">
        <f>CONCATENATE(G200,F200,H200,C200,I200)</f>
        <v>https://permalinkbnd.bnportugal.gov.pt/viewer/270138/?offset=#page=174&amp;viewer=picture&amp;o=info&amp;n=0&amp;q=</v>
      </c>
      <c r="K200" s="1" t="s">
        <v>290</v>
      </c>
      <c r="L200" s="1" t="str">
        <f>VLOOKUP(A200,Folha2!$A$2:$B$2019,2,FALSE)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0" s="12" t="s">
        <v>1518</v>
      </c>
      <c r="N200" s="12" t="s">
        <v>1497</v>
      </c>
      <c r="O200" s="12" t="str">
        <f>CONCATENATE(N200,A200,"\",B200,"\",C200,".jpg")</f>
        <v>C:\Users\mbaptista\OneDrive - Biblioteca Nacional de Portugal\Documentos\python\camoniana\imagens\capas\804731\6\174.jpg</v>
      </c>
      <c r="P200" s="12" t="str">
        <f>HYPERLINK(O200)</f>
        <v>C:\Users\mbaptista\OneDrive - Biblioteca Nacional de Portugal\Documentos\python\camoniana\imagens\capas\804731\6\174.jpg</v>
      </c>
      <c r="Q200" s="12"/>
      <c r="R200" s="6" t="s">
        <v>295</v>
      </c>
      <c r="S200" s="12"/>
      <c r="T200" s="1" t="s">
        <v>291</v>
      </c>
      <c r="U200" s="13" t="s">
        <v>142</v>
      </c>
      <c r="V200" s="13"/>
      <c r="W200" s="5" t="s">
        <v>1491</v>
      </c>
    </row>
    <row r="201" spans="1:23" ht="225">
      <c r="A201" s="1">
        <v>804731</v>
      </c>
      <c r="B201" s="1">
        <v>6</v>
      </c>
      <c r="C201" s="1">
        <v>388</v>
      </c>
      <c r="D201" s="2" t="s">
        <v>289</v>
      </c>
      <c r="E201" s="11" t="s">
        <v>289</v>
      </c>
      <c r="F201" s="11">
        <v>270138</v>
      </c>
      <c r="G201" s="2" t="s">
        <v>1494</v>
      </c>
      <c r="H201" s="2" t="s">
        <v>1495</v>
      </c>
      <c r="I201" s="2" t="s">
        <v>1496</v>
      </c>
      <c r="J201" s="2" t="str">
        <f>CONCATENATE(G201,F201,H201,C201,I201)</f>
        <v>https://permalinkbnd.bnportugal.gov.pt/viewer/270138/?offset=#page=388&amp;viewer=picture&amp;o=info&amp;n=0&amp;q=</v>
      </c>
      <c r="K201" s="1" t="s">
        <v>290</v>
      </c>
      <c r="L201" s="1" t="str">
        <f>VLOOKUP(A201,Folha2!$A$2:$B$2019,2,FALSE)</f>
        <v>Obras de Luís de Camões, Visconde de Juromenha,1860-1869. 1.º vol. não diz fim. Paratextos vida, com descrição de vida documentos, a partir da Im. 183, e notas finais à biografia, Paratextos gerais, que inclui breve recensão sobre cada tradução e edição, mais referências a autores e artistas;  2.º Vol. com partes manuscritas iniciais,  Paratextos notas lírica e épica; Lírica: 2.º vol.: sonetos, canções,  sextinas, oitavas, com notas, Outros: Fábula de Narciso; Martírio ou oitava a Santa Úrsula; 3.º Vol.: éclogas, elegias, Canto da Criação e Composição do Homem, com notas explicativas e peças relativas ao Canto da Criação; 4.º Vol. termina na pag. 103, estará truncado ou assim no original?: redondilhas (sôbolos rios que vão) e esparsas, cartas-poemas, labirinto, convite, voltas, mote, disparates, cantiga velha, ao desconcerto, trovas, vilancete; 5.º Vol.: traduções do Poeta (Triunfos do Amor, Castidade, Morte, Sonho do Poeta, com comentários), 7 Cartas; Sátira do Tornéu; Recepção criativa. Tematização: écloga Cintra e outras, vida, documentação, tradução Lusíadas e outras obras, artistas, medalhas, monumentos a Camões, com documentos e artigos relativos aos projectos, edições, com índice cronológico, considerações sobre os triunfos, tradução de Petrarca, listas de vocábulos introduzidos por Camões; 6.º Vol.:  Épica, sem argumentos; estrofes desprezadas, lições várias, Apotegmas, tabelas das edições, traduções, cotejamento de duas edições; estrofes extraídas da Ulisseia, fac-símile reis e família real: 575, 577, 579, 581, 583, 585, 587, 589, 591, 593, 595, 597, 599, 601, 603; 605, 607, 609, notas aos Cantos; 1.º vol. vários poemas em homenagem ao Poeta; odes feitas em honra do Poeta, no 5.º Vol. uma é da autoria de José Maria da Costa e Silva; Mulheres [1.º Vol: Maria Emília de Macedo, tradutora; Felicia Heemans, tradutora, cf. Im. 294, M. Staël, Madame Gautier, Émile Boulard, tradutora, M.me M. M.; 5.º Vol.: Émile Albert, tradutora] Iconografia figuras históricas [1.º vol.: lista de contas com a edição de Camões; artistas que produziram peças sobre o Poeta;  Celebrações (1860), edições.</v>
      </c>
      <c r="M201" s="12" t="s">
        <v>1519</v>
      </c>
      <c r="N201" s="12" t="s">
        <v>1497</v>
      </c>
      <c r="O201" s="12" t="str">
        <f>CONCATENATE(N201,A201,"\",B201,"\",C201,".jpg")</f>
        <v>C:\Users\mbaptista\OneDrive - Biblioteca Nacional de Portugal\Documentos\python\camoniana\imagens\capas\804731\6\388.jpg</v>
      </c>
      <c r="P201" s="12" t="str">
        <f>HYPERLINK(O201)</f>
        <v>C:\Users\mbaptista\OneDrive - Biblioteca Nacional de Portugal\Documentos\python\camoniana\imagens\capas\804731\6\388.jpg</v>
      </c>
      <c r="Q201" s="12"/>
      <c r="R201" s="6" t="s">
        <v>296</v>
      </c>
      <c r="S201" s="12"/>
      <c r="T201" s="1" t="s">
        <v>291</v>
      </c>
      <c r="U201" s="13" t="s">
        <v>142</v>
      </c>
      <c r="V201" s="13"/>
      <c r="W201" s="5" t="s">
        <v>1491</v>
      </c>
    </row>
    <row r="202" spans="1:23" ht="225">
      <c r="A202" s="1">
        <v>805036</v>
      </c>
      <c r="B202" s="1">
        <v>1</v>
      </c>
      <c r="C202" s="1">
        <v>7</v>
      </c>
      <c r="D202" s="2" t="s">
        <v>297</v>
      </c>
      <c r="E202" s="5" t="s">
        <v>297</v>
      </c>
      <c r="F202" s="5">
        <v>270047</v>
      </c>
      <c r="G202" s="2" t="s">
        <v>1494</v>
      </c>
      <c r="H202" s="2" t="s">
        <v>1495</v>
      </c>
      <c r="I202" s="2" t="s">
        <v>1496</v>
      </c>
      <c r="J202" s="2" t="str">
        <f>CONCATENATE(G202,F202,H202,C202,I202)</f>
        <v>https://permalinkbnd.bnportugal.gov.pt/viewer/270047/?offset=#page=7&amp;viewer=picture&amp;o=info&amp;n=0&amp;q=</v>
      </c>
      <c r="K202" s="1">
        <v>7</v>
      </c>
      <c r="L202" s="1" t="str">
        <f>VLOOKUP(A202,Folha2!$A$2:$B$2019,2,FALSE)</f>
        <v xml:space="preserve">Os Lusíadas. Edição fac-similada, 1886, sem argumentos. Só o fascículo 1 tem conteúdo [até ao C.III, E. 5], os restantes fascículos encontram-se vazios.  </v>
      </c>
      <c r="M202" s="12" t="str">
        <f>HYPERLINK(J202)</f>
        <v>https://permalinkbnd.bnportugal.gov.pt/viewer/270047/?offset=#page=7&amp;viewer=picture&amp;o=info&amp;n=0&amp;q=</v>
      </c>
      <c r="N202" s="12" t="s">
        <v>1497</v>
      </c>
      <c r="O202" s="12" t="str">
        <f>CONCATENATE(N202,A202,"\",B202,"\",C202,".jpg")</f>
        <v>C:\Users\mbaptista\OneDrive - Biblioteca Nacional de Portugal\Documentos\python\camoniana\imagens\capas\805036\1\7.jpg</v>
      </c>
      <c r="P202" s="12" t="str">
        <f>HYPERLINK(O202)</f>
        <v>C:\Users\mbaptista\OneDrive - Biblioteca Nacional de Portugal\Documentos\python\camoniana\imagens\capas\805036\1\7.jpg</v>
      </c>
      <c r="Q202" s="12"/>
      <c r="R202" s="6" t="s">
        <v>299</v>
      </c>
      <c r="S202" s="12"/>
      <c r="T202" s="1">
        <v>7</v>
      </c>
      <c r="U202" s="13" t="s">
        <v>298</v>
      </c>
      <c r="V202" s="13"/>
      <c r="W202" s="5" t="s">
        <v>1491</v>
      </c>
    </row>
    <row r="203" spans="1:23" ht="225">
      <c r="A203" s="1">
        <v>807561</v>
      </c>
      <c r="B203" s="1">
        <v>1</v>
      </c>
      <c r="C203" s="13">
        <v>8</v>
      </c>
      <c r="D203" s="2" t="s">
        <v>300</v>
      </c>
      <c r="E203" s="11" t="s">
        <v>300</v>
      </c>
      <c r="F203" s="11">
        <v>274169</v>
      </c>
      <c r="G203" s="2" t="s">
        <v>1494</v>
      </c>
      <c r="H203" s="2" t="s">
        <v>1495</v>
      </c>
      <c r="I203" s="2" t="s">
        <v>1496</v>
      </c>
      <c r="J203" s="2" t="str">
        <f>CONCATENATE(G203,F203,H203,C203,I203)</f>
        <v>https://permalinkbnd.bnportugal.gov.pt/viewer/274169/?offset=#page=8&amp;viewer=picture&amp;o=info&amp;n=0&amp;q=</v>
      </c>
      <c r="K203" s="1" t="s">
        <v>301</v>
      </c>
      <c r="L203" s="1" t="str">
        <f>VLOOKUP(A203,Folha2!$A$2:$B$2019,2,FALSE)</f>
        <v>I Lusiadi, Felice Belotti, 1862. Trad. Paratextos gerais; Trad. Paratextos vida; Trad. Paratextos notas; Trad. Paratextos argumentos. Iconografia: tradutor.</v>
      </c>
      <c r="M203" s="12" t="str">
        <f>HYPERLINK(J203)</f>
        <v>https://permalinkbnd.bnportugal.gov.pt/viewer/274169/?offset=#page=8&amp;viewer=picture&amp;o=info&amp;n=0&amp;q=</v>
      </c>
      <c r="N203" s="12" t="s">
        <v>1497</v>
      </c>
      <c r="O203" s="12" t="str">
        <f>CONCATENATE(N203,A203,"\",B203,"\",C203,".jpg")</f>
        <v>C:\Users\mbaptista\OneDrive - Biblioteca Nacional de Portugal\Documentos\python\camoniana\imagens\capas\807561\1\8.jpg</v>
      </c>
      <c r="P203" s="12" t="str">
        <f>HYPERLINK(O203)</f>
        <v>C:\Users\mbaptista\OneDrive - Biblioteca Nacional de Portugal\Documentos\python\camoniana\imagens\capas\807561\1\8.jpg</v>
      </c>
      <c r="Q203" s="12"/>
      <c r="R203" s="6" t="s">
        <v>303</v>
      </c>
      <c r="S203" s="12"/>
      <c r="T203" s="1"/>
      <c r="U203" s="13" t="s">
        <v>302</v>
      </c>
      <c r="V203" s="13"/>
      <c r="W203" s="5" t="s">
        <v>1491</v>
      </c>
    </row>
    <row r="204" spans="1:23" ht="225">
      <c r="A204" s="1">
        <v>807567</v>
      </c>
      <c r="B204" s="1">
        <v>1</v>
      </c>
      <c r="C204" s="1">
        <v>10</v>
      </c>
      <c r="D204" s="2" t="s">
        <v>304</v>
      </c>
      <c r="E204" s="5" t="s">
        <v>304</v>
      </c>
      <c r="F204" s="5">
        <v>270089</v>
      </c>
      <c r="G204" s="2" t="s">
        <v>1494</v>
      </c>
      <c r="H204" s="2" t="s">
        <v>1495</v>
      </c>
      <c r="I204" s="2" t="s">
        <v>1496</v>
      </c>
      <c r="J204" s="2" t="str">
        <f>CONCATENATE(G204,F204,H204,C204,I204)</f>
        <v>https://permalinkbnd.bnportugal.gov.pt/viewer/270089/?offset=#page=10&amp;viewer=picture&amp;o=info&amp;n=0&amp;q=</v>
      </c>
      <c r="K204" s="1" t="s">
        <v>305</v>
      </c>
      <c r="L204" s="1" t="str">
        <f>VLOOKUP(A204,Folha2!$A$2:$B$2019,2,FALSE)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4" s="12" t="str">
        <f>HYPERLINK(J204)</f>
        <v>https://permalinkbnd.bnportugal.gov.pt/viewer/270089/?offset=#page=10&amp;viewer=picture&amp;o=info&amp;n=0&amp;q=</v>
      </c>
      <c r="N204" s="12" t="s">
        <v>1497</v>
      </c>
      <c r="O204" s="12" t="str">
        <f>CONCATENATE(N204,A204,"\",B204,"\",C204,".jpg")</f>
        <v>C:\Users\mbaptista\OneDrive - Biblioteca Nacional de Portugal\Documentos\python\camoniana\imagens\capas\807567\1\10.jpg</v>
      </c>
      <c r="P204" s="12" t="str">
        <f>HYPERLINK(O204)</f>
        <v>C:\Users\mbaptista\OneDrive - Biblioteca Nacional de Portugal\Documentos\python\camoniana\imagens\capas\807567\1\10.jpg</v>
      </c>
      <c r="Q204" s="12"/>
      <c r="R204" s="6"/>
      <c r="S204" s="12"/>
      <c r="T204" s="1"/>
      <c r="U204" s="13"/>
      <c r="V204" s="13"/>
      <c r="W204" s="5"/>
    </row>
    <row r="205" spans="1:23" ht="225">
      <c r="A205" s="1">
        <v>807567</v>
      </c>
      <c r="B205" s="1">
        <v>1</v>
      </c>
      <c r="C205" s="1">
        <v>54</v>
      </c>
      <c r="D205" s="2" t="s">
        <v>304</v>
      </c>
      <c r="E205" s="11" t="s">
        <v>304</v>
      </c>
      <c r="F205" s="11">
        <v>270089</v>
      </c>
      <c r="G205" s="2" t="s">
        <v>1494</v>
      </c>
      <c r="H205" s="2" t="s">
        <v>1495</v>
      </c>
      <c r="I205" s="2" t="s">
        <v>1496</v>
      </c>
      <c r="J205" s="2" t="str">
        <f>CONCATENATE(G205,F205,H205,C205,I205)</f>
        <v>https://permalinkbnd.bnportugal.gov.pt/viewer/270089/?offset=#page=54&amp;viewer=picture&amp;o=info&amp;n=0&amp;q=</v>
      </c>
      <c r="K205" s="1" t="s">
        <v>305</v>
      </c>
      <c r="L205" s="1" t="str">
        <f>VLOOKUP(A205,Folha2!$A$2:$B$2019,2,FALSE)</f>
        <v>The Lusiad, Mickle, Dublin, 1791. 2 Vols, sem argumentos.  Trad. Paratextos gerais; Trad. Paratextos vida; Trad. paratextos notas [contém ainda dissertações sobre a Índia, o Império Português, Brâmanes, Ilha de Vénus, entra em Paratextos]; Figuras Femininas  [subscritoras/leitoras: Miss Chetwynd; Mrs. Eliz. Carter; Lady Ann Fitzgerald e Miss Mary East]; Iconografia, mapa rota e outro [tradutor]</v>
      </c>
      <c r="M205" s="12" t="str">
        <f>HYPERLINK(J205)</f>
        <v>https://permalinkbnd.bnportugal.gov.pt/viewer/270089/?offset=#page=54&amp;viewer=picture&amp;o=info&amp;n=0&amp;q=</v>
      </c>
      <c r="N205" s="12" t="s">
        <v>1497</v>
      </c>
      <c r="O205" s="12" t="str">
        <f>CONCATENATE(N205,A205,"\",B205,"\",C205,".jpg")</f>
        <v>C:\Users\mbaptista\OneDrive - Biblioteca Nacional de Portugal\Documentos\python\camoniana\imagens\capas\807567\1\54.jpg</v>
      </c>
      <c r="P205" s="12" t="str">
        <f>HYPERLINK(O205)</f>
        <v>C:\Users\mbaptista\OneDrive - Biblioteca Nacional de Portugal\Documentos\python\camoniana\imagens\capas\807567\1\54.jpg</v>
      </c>
      <c r="Q205" s="12"/>
      <c r="R205" s="6" t="s">
        <v>306</v>
      </c>
      <c r="S205" s="12"/>
      <c r="T205" s="1">
        <v>54</v>
      </c>
      <c r="U205" s="13"/>
      <c r="V205" s="13"/>
      <c r="W205" s="5" t="s">
        <v>1491</v>
      </c>
    </row>
    <row r="206" spans="1:23" ht="225">
      <c r="A206" s="1">
        <v>807675</v>
      </c>
      <c r="B206" s="1">
        <v>1</v>
      </c>
      <c r="C206" s="13" t="s">
        <v>307</v>
      </c>
      <c r="D206" s="2" t="s">
        <v>308</v>
      </c>
      <c r="E206" s="5" t="s">
        <v>308</v>
      </c>
      <c r="F206" s="5">
        <v>281023</v>
      </c>
      <c r="G206" s="2" t="s">
        <v>1494</v>
      </c>
      <c r="H206" s="2" t="s">
        <v>1495</v>
      </c>
      <c r="I206" s="2" t="s">
        <v>1496</v>
      </c>
      <c r="J206" s="2" t="str">
        <f>CONCATENATE(G206,F206,H206,C206,I206)</f>
        <v>https://permalinkbnd.bnportugal.gov.pt/viewer/281023/?offset=#page=1 vs. 9&amp;viewer=picture&amp;o=info&amp;n=0&amp;q=</v>
      </c>
      <c r="K206" s="1" t="s">
        <v>309</v>
      </c>
      <c r="L206" s="1" t="str">
        <f>VLOOKUP(A206,Folha2!$A$2:$B$2019,2,FALSE)</f>
        <v xml:space="preserve">Dois sonetos de Camões [para celebrar o Tricentenário do Poeta]. Trad. Soneto Alma minha gentil, com variantes aos tercetos, truncada, cf. Imagem 20, não está paginada. Prospero Peragallo, onde está 1884 deve estar 1883. Inclui ainda Tradução latina: António José Viale, Alguns excertos dos Lusíadas do grande Luís de Camões, com uma traslacção em versos latinos, Lisboa, Imprensa Nacional, 1878, sem argumentos [Proposição, Episódios: Inês de Castro, Adamastor, Descrição da Ilha dos Amores]. Trad. Paratextos gerais e Trad. Paratextos notas. </v>
      </c>
      <c r="M206" s="12" t="str">
        <f>HYPERLINK(J206)</f>
        <v>https://permalinkbnd.bnportugal.gov.pt/viewer/281023/?offset=#page=1 vs. 9&amp;viewer=picture&amp;o=info&amp;n=0&amp;q=</v>
      </c>
      <c r="N206" s="12" t="s">
        <v>1497</v>
      </c>
      <c r="O206" s="12" t="str">
        <f>CONCATENATE(N206,A206,"\",B206,"\",C206,".jpg")</f>
        <v>C:\Users\mbaptista\OneDrive - Biblioteca Nacional de Portugal\Documentos\python\camoniana\imagens\capas\807675\1\1 vs. 9.jpg</v>
      </c>
      <c r="P206" s="12" t="str">
        <f>HYPERLINK(O206)</f>
        <v>C:\Users\mbaptista\OneDrive - Biblioteca Nacional de Portugal\Documentos\python\camoniana\imagens\capas\807675\1\1 vs. 9.jpg</v>
      </c>
      <c r="Q206" s="12"/>
      <c r="R206" s="6" t="s">
        <v>310</v>
      </c>
      <c r="S206" s="12"/>
      <c r="T206" s="1"/>
      <c r="U206" s="13" t="s">
        <v>113</v>
      </c>
      <c r="V206" s="13"/>
      <c r="W206" s="5" t="s">
        <v>1491</v>
      </c>
    </row>
    <row r="207" spans="1:23" ht="225">
      <c r="A207" s="1">
        <v>808481</v>
      </c>
      <c r="B207" s="1">
        <v>1</v>
      </c>
      <c r="C207" s="1">
        <v>17</v>
      </c>
      <c r="D207" s="2" t="s">
        <v>311</v>
      </c>
      <c r="E207" s="11" t="s">
        <v>311</v>
      </c>
      <c r="F207" s="11">
        <v>274252</v>
      </c>
      <c r="G207" s="2" t="s">
        <v>1494</v>
      </c>
      <c r="H207" s="2" t="s">
        <v>1495</v>
      </c>
      <c r="I207" s="2" t="s">
        <v>1496</v>
      </c>
      <c r="J207" s="2" t="str">
        <f>CONCATENATE(G207,F207,H207,C207,I207)</f>
        <v>https://permalinkbnd.bnportugal.gov.pt/viewer/274252/?offset=#page=17&amp;viewer=picture&amp;o=info&amp;n=0&amp;q=</v>
      </c>
      <c r="K207" s="1" t="s">
        <v>312</v>
      </c>
      <c r="L207" s="1" t="str">
        <f>VLOOKUP(A207,Folha2!$A$2:$B$2019,2,FALSE)</f>
        <v>A primeira poesia impressa de Camões. Com um estudo de T. Braga sobre a ode de Camões ao conde de Redondo, 1887. [episódio fac-símile Inês de Castro]. Bibliografia crítica, estudos.</v>
      </c>
      <c r="M207" s="12" t="str">
        <f>HYPERLINK(J207)</f>
        <v>https://permalinkbnd.bnportugal.gov.pt/viewer/274252/?offset=#page=17&amp;viewer=picture&amp;o=info&amp;n=0&amp;q=</v>
      </c>
      <c r="N207" s="12" t="s">
        <v>1497</v>
      </c>
      <c r="O207" s="12" t="str">
        <f>CONCATENATE(N207,A207,"\",B207,"\",C207,".jpg")</f>
        <v>C:\Users\mbaptista\OneDrive - Biblioteca Nacional de Portugal\Documentos\python\camoniana\imagens\capas\808481\1\17.jpg</v>
      </c>
      <c r="P207" s="12" t="str">
        <f>HYPERLINK(O207)</f>
        <v>C:\Users\mbaptista\OneDrive - Biblioteca Nacional de Portugal\Documentos\python\camoniana\imagens\capas\808481\1\17.jpg</v>
      </c>
      <c r="Q207" s="12"/>
      <c r="R207" s="6" t="s">
        <v>314</v>
      </c>
      <c r="S207" s="12"/>
      <c r="T207" s="1"/>
      <c r="U207" s="13" t="s">
        <v>313</v>
      </c>
      <c r="V207" s="13"/>
      <c r="W207" s="5" t="s">
        <v>1491</v>
      </c>
    </row>
    <row r="208" spans="1:23" ht="225">
      <c r="A208" s="1">
        <v>808481</v>
      </c>
      <c r="B208" s="1">
        <v>1</v>
      </c>
      <c r="C208" s="1">
        <v>26</v>
      </c>
      <c r="D208" s="2" t="s">
        <v>311</v>
      </c>
      <c r="E208" s="5" t="s">
        <v>311</v>
      </c>
      <c r="F208" s="5">
        <v>274252</v>
      </c>
      <c r="G208" s="2" t="s">
        <v>1494</v>
      </c>
      <c r="H208" s="2" t="s">
        <v>1495</v>
      </c>
      <c r="I208" s="2" t="s">
        <v>1496</v>
      </c>
      <c r="J208" s="2" t="str">
        <f>CONCATENATE(G208,F208,H208,C208,I208)</f>
        <v>https://permalinkbnd.bnportugal.gov.pt/viewer/274252/?offset=#page=26&amp;viewer=picture&amp;o=info&amp;n=0&amp;q=</v>
      </c>
      <c r="K208" s="1" t="s">
        <v>312</v>
      </c>
      <c r="L208" s="1" t="str">
        <f>VLOOKUP(A208,Folha2!$A$2:$B$2019,2,FALSE)</f>
        <v>A primeira poesia impressa de Camões. Com um estudo de T. Braga sobre a ode de Camões ao conde de Redondo, 1887. [episódio fac-símile Inês de Castro]. Bibliografia crítica, estudos.</v>
      </c>
      <c r="M208" s="12" t="str">
        <f>HYPERLINK(J208)</f>
        <v>https://permalinkbnd.bnportugal.gov.pt/viewer/274252/?offset=#page=26&amp;viewer=picture&amp;o=info&amp;n=0&amp;q=</v>
      </c>
      <c r="N208" s="12" t="s">
        <v>1497</v>
      </c>
      <c r="O208" s="12" t="str">
        <f>CONCATENATE(N208,A208,"\",B208,"\",C208,".jpg")</f>
        <v>C:\Users\mbaptista\OneDrive - Biblioteca Nacional de Portugal\Documentos\python\camoniana\imagens\capas\808481\1\26.jpg</v>
      </c>
      <c r="P208" s="12" t="str">
        <f>HYPERLINK(O208)</f>
        <v>C:\Users\mbaptista\OneDrive - Biblioteca Nacional de Portugal\Documentos\python\camoniana\imagens\capas\808481\1\26.jpg</v>
      </c>
      <c r="Q208" s="12"/>
      <c r="R208" s="6" t="s">
        <v>315</v>
      </c>
      <c r="S208" s="12"/>
      <c r="T208" s="1"/>
      <c r="U208" s="13"/>
      <c r="V208" s="13"/>
      <c r="W208" s="5" t="s">
        <v>1491</v>
      </c>
    </row>
    <row r="209" spans="1:23" ht="225">
      <c r="A209" s="1">
        <v>808481</v>
      </c>
      <c r="B209" s="1">
        <v>1</v>
      </c>
      <c r="C209" s="1">
        <v>29</v>
      </c>
      <c r="D209" s="2" t="s">
        <v>311</v>
      </c>
      <c r="E209" s="11" t="s">
        <v>311</v>
      </c>
      <c r="F209" s="11">
        <v>274252</v>
      </c>
      <c r="G209" s="2" t="s">
        <v>1494</v>
      </c>
      <c r="H209" s="2" t="s">
        <v>1495</v>
      </c>
      <c r="I209" s="2" t="s">
        <v>1496</v>
      </c>
      <c r="J209" s="2" t="str">
        <f>CONCATENATE(G209,F209,H209,C209,I209)</f>
        <v>https://permalinkbnd.bnportugal.gov.pt/viewer/274252/?offset=#page=29&amp;viewer=picture&amp;o=info&amp;n=0&amp;q=</v>
      </c>
      <c r="K209" s="1" t="s">
        <v>312</v>
      </c>
      <c r="L209" s="1" t="str">
        <f>VLOOKUP(A209,Folha2!$A$2:$B$2019,2,FALSE)</f>
        <v>A primeira poesia impressa de Camões. Com um estudo de T. Braga sobre a ode de Camões ao conde de Redondo, 1887. [episódio fac-símile Inês de Castro]. Bibliografia crítica, estudos.</v>
      </c>
      <c r="M209" s="12" t="str">
        <f>HYPERLINK(J209)</f>
        <v>https://permalinkbnd.bnportugal.gov.pt/viewer/274252/?offset=#page=29&amp;viewer=picture&amp;o=info&amp;n=0&amp;q=</v>
      </c>
      <c r="N209" s="12" t="s">
        <v>1497</v>
      </c>
      <c r="O209" s="12" t="str">
        <f>CONCATENATE(N209,A209,"\",B209,"\",C209,".jpg")</f>
        <v>C:\Users\mbaptista\OneDrive - Biblioteca Nacional de Portugal\Documentos\python\camoniana\imagens\capas\808481\1\29.jpg</v>
      </c>
      <c r="P209" s="12" t="str">
        <f>HYPERLINK(O209)</f>
        <v>C:\Users\mbaptista\OneDrive - Biblioteca Nacional de Portugal\Documentos\python\camoniana\imagens\capas\808481\1\29.jpg</v>
      </c>
      <c r="Q209" s="12"/>
      <c r="R209" s="6" t="s">
        <v>316</v>
      </c>
      <c r="S209" s="12"/>
      <c r="T209" s="1"/>
      <c r="U209" s="13" t="s">
        <v>313</v>
      </c>
      <c r="V209" s="13"/>
      <c r="W209" s="5" t="s">
        <v>1491</v>
      </c>
    </row>
    <row r="210" spans="1:23" ht="225">
      <c r="A210" s="1">
        <v>808497</v>
      </c>
      <c r="B210" s="1">
        <v>1</v>
      </c>
      <c r="C210" s="1">
        <v>7</v>
      </c>
      <c r="D210" s="2" t="s">
        <v>317</v>
      </c>
      <c r="E210" s="5" t="s">
        <v>317</v>
      </c>
      <c r="F210" s="5">
        <v>273233</v>
      </c>
      <c r="G210" s="2" t="s">
        <v>1494</v>
      </c>
      <c r="H210" s="2" t="s">
        <v>1495</v>
      </c>
      <c r="I210" s="2" t="s">
        <v>1496</v>
      </c>
      <c r="J210" s="2" t="str">
        <f>CONCATENATE(G210,F210,H210,C210,I210)</f>
        <v>https://permalinkbnd.bnportugal.gov.pt/viewer/273233/?offset=#page=7&amp;viewer=picture&amp;o=info&amp;n=0&amp;q=</v>
      </c>
      <c r="K210" s="1" t="s">
        <v>318</v>
      </c>
      <c r="L210" s="1" t="str">
        <f>VLOOKUP(A210,Folha2!$A$2:$B$2019,2,FALSE)</f>
        <v>Flores da poesia portuguesa. Prospero Peragallo, 1893. Lírica. Trad. Frag. Paratextos gerais.</v>
      </c>
      <c r="M210" s="12" t="str">
        <f>HYPERLINK(J210)</f>
        <v>https://permalinkbnd.bnportugal.gov.pt/viewer/273233/?offset=#page=7&amp;viewer=picture&amp;o=info&amp;n=0&amp;q=</v>
      </c>
      <c r="N210" s="12" t="s">
        <v>1497</v>
      </c>
      <c r="O210" s="12" t="str">
        <f>CONCATENATE(N210,A210,"\",B210,"\",C210,".jpg")</f>
        <v>C:\Users\mbaptista\OneDrive - Biblioteca Nacional de Portugal\Documentos\python\camoniana\imagens\capas\808497\1\7.jpg</v>
      </c>
      <c r="P210" s="12" t="str">
        <f>HYPERLINK(O210)</f>
        <v>C:\Users\mbaptista\OneDrive - Biblioteca Nacional de Portugal\Documentos\python\camoniana\imagens\capas\808497\1\7.jpg</v>
      </c>
      <c r="Q210" s="12"/>
      <c r="R210" s="6" t="s">
        <v>319</v>
      </c>
      <c r="S210" s="12"/>
      <c r="T210" s="1"/>
      <c r="U210" s="13"/>
      <c r="V210" s="13"/>
      <c r="W210" s="5" t="s">
        <v>1491</v>
      </c>
    </row>
    <row r="211" spans="1:23" ht="225">
      <c r="A211" s="1">
        <v>808502</v>
      </c>
      <c r="B211" s="1">
        <v>1</v>
      </c>
      <c r="C211" s="1">
        <v>12</v>
      </c>
      <c r="D211" s="2" t="s">
        <v>320</v>
      </c>
      <c r="E211" s="11" t="s">
        <v>320</v>
      </c>
      <c r="F211" s="11">
        <v>270086</v>
      </c>
      <c r="G211" s="2" t="s">
        <v>1494</v>
      </c>
      <c r="H211" s="2" t="s">
        <v>1495</v>
      </c>
      <c r="I211" s="2" t="s">
        <v>1496</v>
      </c>
      <c r="J211" s="2" t="str">
        <f>CONCATENATE(G211,F211,H211,C211,I211)</f>
        <v>https://permalinkbnd.bnportugal.gov.pt/viewer/270086/?offset=#page=12&amp;viewer=picture&amp;o=info&amp;n=0&amp;q=</v>
      </c>
      <c r="K211" s="1" t="s">
        <v>321</v>
      </c>
      <c r="L211" s="1" t="str">
        <f>VLOOKUP(A211,Folha2!$A$2:$B$2019,2,FALSE)</f>
        <v>Poesia de Camões e outros. Prospero Peragallo, 1890-1892. Bilingue. 2 Vols. Inclui de Camões Trad. Fragmentos Épica: Episódio Inês de Castro, sem argumento  e Trad. Antologia Lírica: sonetos, com variantes. Poemas de diversos autores: Recepção criativa. Tematização. Trad. Paratextos gerais, Iconografia, outros: tradutor.</v>
      </c>
      <c r="M211" s="12" t="str">
        <f>HYPERLINK(J211)</f>
        <v>https://permalinkbnd.bnportugal.gov.pt/viewer/270086/?offset=#page=12&amp;viewer=picture&amp;o=info&amp;n=0&amp;q=</v>
      </c>
      <c r="N211" s="12" t="s">
        <v>1497</v>
      </c>
      <c r="O211" s="12" t="str">
        <f>CONCATENATE(N211,A211,"\",B211,"\",C211,".jpg")</f>
        <v>C:\Users\mbaptista\OneDrive - Biblioteca Nacional de Portugal\Documentos\python\camoniana\imagens\capas\808502\1\12.jpg</v>
      </c>
      <c r="P211" s="12" t="str">
        <f>HYPERLINK(O211)</f>
        <v>C:\Users\mbaptista\OneDrive - Biblioteca Nacional de Portugal\Documentos\python\camoniana\imagens\capas\808502\1\12.jpg</v>
      </c>
      <c r="Q211" s="12"/>
      <c r="R211" s="6" t="s">
        <v>322</v>
      </c>
      <c r="S211" s="12"/>
      <c r="T211" s="1"/>
      <c r="U211" s="13"/>
      <c r="V211" s="13"/>
      <c r="W211" s="5" t="s">
        <v>1491</v>
      </c>
    </row>
    <row r="212" spans="1:23" ht="225">
      <c r="A212" s="1">
        <v>808536</v>
      </c>
      <c r="B212" s="1">
        <v>1</v>
      </c>
      <c r="C212" s="1">
        <v>7</v>
      </c>
      <c r="D212" s="2" t="s">
        <v>323</v>
      </c>
      <c r="E212" s="5" t="s">
        <v>323</v>
      </c>
      <c r="F212" s="5">
        <v>270087</v>
      </c>
      <c r="G212" s="2" t="s">
        <v>1494</v>
      </c>
      <c r="H212" s="2" t="s">
        <v>1495</v>
      </c>
      <c r="I212" s="2" t="s">
        <v>1496</v>
      </c>
      <c r="J212" s="2" t="str">
        <f>CONCATENATE(G212,F212,H212,C212,I212)</f>
        <v>https://permalinkbnd.bnportugal.gov.pt/viewer/270087/?offset=#page=7&amp;viewer=picture&amp;o=info&amp;n=0&amp;q=</v>
      </c>
      <c r="K212" s="1" t="s">
        <v>324</v>
      </c>
      <c r="L212" s="1" t="str">
        <f>VLOOKUP(A212,Folha2!$A$2:$B$2019,2,FALSE)</f>
        <v>Poesie portoghese e sivigliane. 1899-1900. Prospero Peragallo. 2 Vols. Bilingue. [1.º: episódio Adamastor, sem argumento; Lírica: mote, sonetos, voltas e poema sobre Camões de Garrett] Trad. Paratextos gerais. Recepção criativa, Tematização.</v>
      </c>
      <c r="M212" s="12" t="str">
        <f>HYPERLINK(J212)</f>
        <v>https://permalinkbnd.bnportugal.gov.pt/viewer/270087/?offset=#page=7&amp;viewer=picture&amp;o=info&amp;n=0&amp;q=</v>
      </c>
      <c r="N212" s="12" t="s">
        <v>1497</v>
      </c>
      <c r="O212" s="12" t="str">
        <f>CONCATENATE(N212,A212,"\",B212,"\",C212,".jpg")</f>
        <v>C:\Users\mbaptista\OneDrive - Biblioteca Nacional de Portugal\Documentos\python\camoniana\imagens\capas\808536\1\7.jpg</v>
      </c>
      <c r="P212" s="12" t="str">
        <f>HYPERLINK(O212)</f>
        <v>C:\Users\mbaptista\OneDrive - Biblioteca Nacional de Portugal\Documentos\python\camoniana\imagens\capas\808536\1\7.jpg</v>
      </c>
      <c r="Q212" s="12"/>
      <c r="R212" s="6" t="s">
        <v>325</v>
      </c>
      <c r="S212" s="12"/>
      <c r="T212" s="1"/>
      <c r="U212" s="13"/>
      <c r="V212" s="13"/>
      <c r="W212" s="5" t="s">
        <v>1491</v>
      </c>
    </row>
    <row r="213" spans="1:23" ht="225">
      <c r="A213" s="1">
        <v>808536</v>
      </c>
      <c r="B213" s="1">
        <v>1</v>
      </c>
      <c r="C213" s="1">
        <v>17</v>
      </c>
      <c r="D213" s="2" t="s">
        <v>323</v>
      </c>
      <c r="E213" s="11" t="s">
        <v>323</v>
      </c>
      <c r="F213" s="11">
        <v>270087</v>
      </c>
      <c r="G213" s="2" t="s">
        <v>1494</v>
      </c>
      <c r="H213" s="2" t="s">
        <v>1495</v>
      </c>
      <c r="I213" s="2" t="s">
        <v>1496</v>
      </c>
      <c r="J213" s="2" t="str">
        <f>CONCATENATE(G213,F213,H213,C213,I213)</f>
        <v>https://permalinkbnd.bnportugal.gov.pt/viewer/270087/?offset=#page=17&amp;viewer=picture&amp;o=info&amp;n=0&amp;q=</v>
      </c>
      <c r="K213" s="1" t="s">
        <v>324</v>
      </c>
      <c r="L213" s="1" t="str">
        <f>VLOOKUP(A213,Folha2!$A$2:$B$2019,2,FALSE)</f>
        <v>Poesie portoghese e sivigliane. 1899-1900. Prospero Peragallo. 2 Vols. Bilingue. [1.º: episódio Adamastor, sem argumento; Lírica: mote, sonetos, voltas e poema sobre Camões de Garrett] Trad. Paratextos gerais. Recepção criativa, Tematização.</v>
      </c>
      <c r="M213" s="12" t="str">
        <f>HYPERLINK(J213)</f>
        <v>https://permalinkbnd.bnportugal.gov.pt/viewer/270087/?offset=#page=17&amp;viewer=picture&amp;o=info&amp;n=0&amp;q=</v>
      </c>
      <c r="N213" s="12" t="s">
        <v>1497</v>
      </c>
      <c r="O213" s="12" t="str">
        <f>CONCATENATE(N213,A213,"\",B213,"\",C213,".jpg")</f>
        <v>C:\Users\mbaptista\OneDrive - Biblioteca Nacional de Portugal\Documentos\python\camoniana\imagens\capas\808536\1\17.jpg</v>
      </c>
      <c r="P213" s="12" t="str">
        <f>HYPERLINK(O213)</f>
        <v>C:\Users\mbaptista\OneDrive - Biblioteca Nacional de Portugal\Documentos\python\camoniana\imagens\capas\808536\1\17.jpg</v>
      </c>
      <c r="Q213" s="12"/>
      <c r="R213" s="6" t="s">
        <v>326</v>
      </c>
      <c r="S213" s="12"/>
      <c r="T213" s="1"/>
      <c r="U213" s="13"/>
      <c r="V213" s="13"/>
      <c r="W213" s="5" t="s">
        <v>1491</v>
      </c>
    </row>
    <row r="214" spans="1:23" ht="225">
      <c r="A214" s="1">
        <v>808536</v>
      </c>
      <c r="B214" s="1">
        <v>1</v>
      </c>
      <c r="C214" s="1">
        <v>79</v>
      </c>
      <c r="D214" s="2" t="s">
        <v>323</v>
      </c>
      <c r="E214" s="5" t="s">
        <v>323</v>
      </c>
      <c r="F214" s="5">
        <v>270087</v>
      </c>
      <c r="G214" s="2" t="s">
        <v>1494</v>
      </c>
      <c r="H214" s="2" t="s">
        <v>1495</v>
      </c>
      <c r="I214" s="2" t="s">
        <v>1496</v>
      </c>
      <c r="J214" s="2" t="str">
        <f>CONCATENATE(G214,F214,H214,C214,I214)</f>
        <v>https://permalinkbnd.bnportugal.gov.pt/viewer/270087/?offset=#page=79&amp;viewer=picture&amp;o=info&amp;n=0&amp;q=</v>
      </c>
      <c r="K214" s="1" t="s">
        <v>324</v>
      </c>
      <c r="L214" s="1" t="str">
        <f>VLOOKUP(A214,Folha2!$A$2:$B$2019,2,FALSE)</f>
        <v>Poesie portoghese e sivigliane. 1899-1900. Prospero Peragallo. 2 Vols. Bilingue. [1.º: episódio Adamastor, sem argumento; Lírica: mote, sonetos, voltas e poema sobre Camões de Garrett] Trad. Paratextos gerais. Recepção criativa, Tematização.</v>
      </c>
      <c r="M214" s="12" t="str">
        <f>HYPERLINK(J214)</f>
        <v>https://permalinkbnd.bnportugal.gov.pt/viewer/270087/?offset=#page=79&amp;viewer=picture&amp;o=info&amp;n=0&amp;q=</v>
      </c>
      <c r="N214" s="12" t="s">
        <v>1497</v>
      </c>
      <c r="O214" s="12" t="str">
        <f>CONCATENATE(N214,A214,"\",B214,"\",C214,".jpg")</f>
        <v>C:\Users\mbaptista\OneDrive - Biblioteca Nacional de Portugal\Documentos\python\camoniana\imagens\capas\808536\1\79.jpg</v>
      </c>
      <c r="P214" s="12" t="str">
        <f>HYPERLINK(O214)</f>
        <v>C:\Users\mbaptista\OneDrive - Biblioteca Nacional de Portugal\Documentos\python\camoniana\imagens\capas\808536\1\79.jpg</v>
      </c>
      <c r="Q214" s="12"/>
      <c r="R214" s="6" t="s">
        <v>327</v>
      </c>
      <c r="S214" s="12"/>
      <c r="T214" s="1"/>
      <c r="U214" s="13"/>
      <c r="V214" s="13"/>
      <c r="W214" s="5" t="s">
        <v>1491</v>
      </c>
    </row>
    <row r="215" spans="1:23" ht="225">
      <c r="A215" s="1">
        <v>808536</v>
      </c>
      <c r="B215" s="1">
        <v>1</v>
      </c>
      <c r="C215" s="1">
        <v>89</v>
      </c>
      <c r="D215" s="2" t="s">
        <v>323</v>
      </c>
      <c r="E215" s="11" t="s">
        <v>323</v>
      </c>
      <c r="F215" s="11">
        <v>270087</v>
      </c>
      <c r="G215" s="2" t="s">
        <v>1494</v>
      </c>
      <c r="H215" s="2" t="s">
        <v>1495</v>
      </c>
      <c r="I215" s="2" t="s">
        <v>1496</v>
      </c>
      <c r="J215" s="2" t="str">
        <f>CONCATENATE(G215,F215,H215,C215,I215)</f>
        <v>https://permalinkbnd.bnportugal.gov.pt/viewer/270087/?offset=#page=89&amp;viewer=picture&amp;o=info&amp;n=0&amp;q=</v>
      </c>
      <c r="K215" s="1" t="s">
        <v>324</v>
      </c>
      <c r="L215" s="1" t="str">
        <f>VLOOKUP(A215,Folha2!$A$2:$B$2019,2,FALSE)</f>
        <v>Poesie portoghese e sivigliane. 1899-1900. Prospero Peragallo. 2 Vols. Bilingue. [1.º: episódio Adamastor, sem argumento; Lírica: mote, sonetos, voltas e poema sobre Camões de Garrett] Trad. Paratextos gerais. Recepção criativa, Tematização.</v>
      </c>
      <c r="M215" s="12" t="str">
        <f>HYPERLINK(J215)</f>
        <v>https://permalinkbnd.bnportugal.gov.pt/viewer/270087/?offset=#page=89&amp;viewer=picture&amp;o=info&amp;n=0&amp;q=</v>
      </c>
      <c r="N215" s="12" t="s">
        <v>1497</v>
      </c>
      <c r="O215" s="12" t="str">
        <f>CONCATENATE(N215,A215,"\",B215,"\",C215,".jpg")</f>
        <v>C:\Users\mbaptista\OneDrive - Biblioteca Nacional de Portugal\Documentos\python\camoniana\imagens\capas\808536\1\89.jpg</v>
      </c>
      <c r="P215" s="12" t="str">
        <f>HYPERLINK(O215)</f>
        <v>C:\Users\mbaptista\OneDrive - Biblioteca Nacional de Portugal\Documentos\python\camoniana\imagens\capas\808536\1\89.jpg</v>
      </c>
      <c r="Q215" s="12"/>
      <c r="R215" s="6" t="s">
        <v>328</v>
      </c>
      <c r="S215" s="12"/>
      <c r="T215" s="1"/>
      <c r="U215" s="13"/>
      <c r="V215" s="13"/>
      <c r="W215" s="5" t="s">
        <v>1491</v>
      </c>
    </row>
    <row r="216" spans="1:23" ht="225">
      <c r="A216" s="1">
        <v>808536</v>
      </c>
      <c r="B216" s="1">
        <v>1</v>
      </c>
      <c r="C216" s="1">
        <v>97</v>
      </c>
      <c r="D216" s="2" t="s">
        <v>323</v>
      </c>
      <c r="E216" s="5" t="s">
        <v>323</v>
      </c>
      <c r="F216" s="5">
        <v>270087</v>
      </c>
      <c r="G216" s="2" t="s">
        <v>1494</v>
      </c>
      <c r="H216" s="2" t="s">
        <v>1495</v>
      </c>
      <c r="I216" s="2" t="s">
        <v>1496</v>
      </c>
      <c r="J216" s="2" t="str">
        <f>CONCATENATE(G216,F216,H216,C216,I216)</f>
        <v>https://permalinkbnd.bnportugal.gov.pt/viewer/270087/?offset=#page=97&amp;viewer=picture&amp;o=info&amp;n=0&amp;q=</v>
      </c>
      <c r="K216" s="1" t="s">
        <v>324</v>
      </c>
      <c r="L216" s="1" t="str">
        <f>VLOOKUP(A216,Folha2!$A$2:$B$2019,2,FALSE)</f>
        <v>Poesie portoghese e sivigliane. 1899-1900. Prospero Peragallo. 2 Vols. Bilingue. [1.º: episódio Adamastor, sem argumento; Lírica: mote, sonetos, voltas e poema sobre Camões de Garrett] Trad. Paratextos gerais. Recepção criativa, Tematização.</v>
      </c>
      <c r="M216" s="12" t="str">
        <f>HYPERLINK(J216)</f>
        <v>https://permalinkbnd.bnportugal.gov.pt/viewer/270087/?offset=#page=97&amp;viewer=picture&amp;o=info&amp;n=0&amp;q=</v>
      </c>
      <c r="N216" s="12" t="s">
        <v>1497</v>
      </c>
      <c r="O216" s="12" t="str">
        <f>CONCATENATE(N216,A216,"\",B216,"\",C216,".jpg")</f>
        <v>C:\Users\mbaptista\OneDrive - Biblioteca Nacional de Portugal\Documentos\python\camoniana\imagens\capas\808536\1\97.jpg</v>
      </c>
      <c r="P216" s="12" t="str">
        <f>HYPERLINK(O216)</f>
        <v>C:\Users\mbaptista\OneDrive - Biblioteca Nacional de Portugal\Documentos\python\camoniana\imagens\capas\808536\1\97.jpg</v>
      </c>
      <c r="Q216" s="12"/>
      <c r="R216" s="6" t="s">
        <v>329</v>
      </c>
      <c r="S216" s="12"/>
      <c r="T216" s="1"/>
      <c r="U216" s="13"/>
      <c r="V216" s="13"/>
      <c r="W216" s="5" t="s">
        <v>1491</v>
      </c>
    </row>
    <row r="217" spans="1:23" ht="225">
      <c r="A217" s="1">
        <v>808536</v>
      </c>
      <c r="B217" s="1">
        <v>1</v>
      </c>
      <c r="C217" s="1">
        <v>104</v>
      </c>
      <c r="D217" s="2" t="s">
        <v>323</v>
      </c>
      <c r="E217" s="11" t="s">
        <v>323</v>
      </c>
      <c r="F217" s="11">
        <v>270087</v>
      </c>
      <c r="G217" s="2" t="s">
        <v>1494</v>
      </c>
      <c r="H217" s="2" t="s">
        <v>1495</v>
      </c>
      <c r="I217" s="2" t="s">
        <v>1496</v>
      </c>
      <c r="J217" s="2" t="str">
        <f>CONCATENATE(G217,F217,H217,C217,I217)</f>
        <v>https://permalinkbnd.bnportugal.gov.pt/viewer/270087/?offset=#page=104&amp;viewer=picture&amp;o=info&amp;n=0&amp;q=</v>
      </c>
      <c r="K217" s="1" t="s">
        <v>324</v>
      </c>
      <c r="L217" s="1" t="str">
        <f>VLOOKUP(A217,Folha2!$A$2:$B$2019,2,FALSE)</f>
        <v>Poesie portoghese e sivigliane. 1899-1900. Prospero Peragallo. 2 Vols. Bilingue. [1.º: episódio Adamastor, sem argumento; Lírica: mote, sonetos, voltas e poema sobre Camões de Garrett] Trad. Paratextos gerais. Recepção criativa, Tematização.</v>
      </c>
      <c r="M217" s="12" t="str">
        <f>HYPERLINK(J217)</f>
        <v>https://permalinkbnd.bnportugal.gov.pt/viewer/270087/?offset=#page=104&amp;viewer=picture&amp;o=info&amp;n=0&amp;q=</v>
      </c>
      <c r="N217" s="12" t="s">
        <v>1497</v>
      </c>
      <c r="O217" s="12" t="str">
        <f>CONCATENATE(N217,A217,"\",B217,"\",C217,".jpg")</f>
        <v>C:\Users\mbaptista\OneDrive - Biblioteca Nacional de Portugal\Documentos\python\camoniana\imagens\capas\808536\1\104.jpg</v>
      </c>
      <c r="P217" s="12" t="str">
        <f>HYPERLINK(O217)</f>
        <v>C:\Users\mbaptista\OneDrive - Biblioteca Nacional de Portugal\Documentos\python\camoniana\imagens\capas\808536\1\104.jpg</v>
      </c>
      <c r="Q217" s="12"/>
      <c r="R217" s="6" t="s">
        <v>330</v>
      </c>
      <c r="S217" s="12"/>
      <c r="T217" s="1"/>
      <c r="U217" s="13"/>
      <c r="V217" s="13"/>
      <c r="W217" s="5" t="s">
        <v>1491</v>
      </c>
    </row>
    <row r="218" spans="1:23" ht="225">
      <c r="A218" s="1">
        <v>808536</v>
      </c>
      <c r="B218" s="1">
        <v>1</v>
      </c>
      <c r="C218" s="1">
        <v>105</v>
      </c>
      <c r="D218" s="2" t="s">
        <v>323</v>
      </c>
      <c r="E218" s="5" t="s">
        <v>323</v>
      </c>
      <c r="F218" s="5">
        <v>270087</v>
      </c>
      <c r="G218" s="2" t="s">
        <v>1494</v>
      </c>
      <c r="H218" s="2" t="s">
        <v>1495</v>
      </c>
      <c r="I218" s="2" t="s">
        <v>1496</v>
      </c>
      <c r="J218" s="2" t="str">
        <f>CONCATENATE(G218,F218,H218,C218,I218)</f>
        <v>https://permalinkbnd.bnportugal.gov.pt/viewer/270087/?offset=#page=105&amp;viewer=picture&amp;o=info&amp;n=0&amp;q=</v>
      </c>
      <c r="K218" s="1" t="s">
        <v>324</v>
      </c>
      <c r="L218" s="1" t="str">
        <f>VLOOKUP(A218,Folha2!$A$2:$B$2019,2,FALSE)</f>
        <v>Poesie portoghese e sivigliane. 1899-1900. Prospero Peragallo. 2 Vols. Bilingue. [1.º: episódio Adamastor, sem argumento; Lírica: mote, sonetos, voltas e poema sobre Camões de Garrett] Trad. Paratextos gerais. Recepção criativa, Tematização.</v>
      </c>
      <c r="M218" s="12" t="str">
        <f>HYPERLINK(J218)</f>
        <v>https://permalinkbnd.bnportugal.gov.pt/viewer/270087/?offset=#page=105&amp;viewer=picture&amp;o=info&amp;n=0&amp;q=</v>
      </c>
      <c r="N218" s="12" t="s">
        <v>1497</v>
      </c>
      <c r="O218" s="12" t="str">
        <f>CONCATENATE(N218,A218,"\",B218,"\",C218,".jpg")</f>
        <v>C:\Users\mbaptista\OneDrive - Biblioteca Nacional de Portugal\Documentos\python\camoniana\imagens\capas\808536\1\105.jpg</v>
      </c>
      <c r="P218" s="12" t="str">
        <f>HYPERLINK(O218)</f>
        <v>C:\Users\mbaptista\OneDrive - Biblioteca Nacional de Portugal\Documentos\python\camoniana\imagens\capas\808536\1\105.jpg</v>
      </c>
      <c r="Q218" s="12"/>
      <c r="R218" s="6" t="s">
        <v>331</v>
      </c>
      <c r="S218" s="12"/>
      <c r="T218" s="1"/>
      <c r="U218" s="13"/>
      <c r="V218" s="13"/>
      <c r="W218" s="5" t="s">
        <v>1491</v>
      </c>
    </row>
    <row r="219" spans="1:23" ht="225">
      <c r="A219" s="1">
        <v>808766</v>
      </c>
      <c r="B219" s="1">
        <v>1</v>
      </c>
      <c r="C219" s="1">
        <v>10</v>
      </c>
      <c r="D219" s="2" t="s">
        <v>332</v>
      </c>
      <c r="E219" s="11" t="s">
        <v>332</v>
      </c>
      <c r="F219" s="11">
        <v>273350</v>
      </c>
      <c r="G219" s="2" t="s">
        <v>1494</v>
      </c>
      <c r="H219" s="2" t="s">
        <v>1495</v>
      </c>
      <c r="I219" s="2" t="s">
        <v>1496</v>
      </c>
      <c r="J219" s="2" t="str">
        <f>CONCATENATE(G219,F219,H219,C219,I219)</f>
        <v>https://permalinkbnd.bnportugal.gov.pt/viewer/273350/?offset=#page=10&amp;viewer=picture&amp;o=info&amp;n=0&amp;q=</v>
      </c>
      <c r="K219" s="1" t="s">
        <v>333</v>
      </c>
      <c r="L219" s="1" t="str">
        <f>VLOOKUP(A219,Folha2!$A$2:$B$2019,2,FALSE)</f>
        <v>Nagra Dikter. Tradução sueca. Lírica, 1899 [ sonetos, endechas a Bárbara]. [cópia digital não abre, consultei PDF cedido por Miguel]. Trad. Antologia paratextos gerais.</v>
      </c>
      <c r="M219" s="12" t="str">
        <f>HYPERLINK(J219)</f>
        <v>https://permalinkbnd.bnportugal.gov.pt/viewer/273350/?offset=#page=10&amp;viewer=picture&amp;o=info&amp;n=0&amp;q=</v>
      </c>
      <c r="N219" s="12" t="s">
        <v>1497</v>
      </c>
      <c r="O219" s="12" t="str">
        <f>CONCATENATE(N219,A219,"\",B219,"\",C219,".jpg")</f>
        <v>C:\Users\mbaptista\OneDrive - Biblioteca Nacional de Portugal\Documentos\python\camoniana\imagens\capas\808766\1\10.jpg</v>
      </c>
      <c r="P219" s="12" t="str">
        <f>HYPERLINK(O219)</f>
        <v>C:\Users\mbaptista\OneDrive - Biblioteca Nacional de Portugal\Documentos\python\camoniana\imagens\capas\808766\1\10.jpg</v>
      </c>
      <c r="Q219" s="12"/>
      <c r="R219" s="6" t="s">
        <v>334</v>
      </c>
      <c r="S219" s="12"/>
      <c r="T219" s="1">
        <v>10</v>
      </c>
      <c r="U219" s="13"/>
      <c r="V219" s="13"/>
      <c r="W219" s="5" t="s">
        <v>1491</v>
      </c>
    </row>
    <row r="220" spans="1:23" ht="225">
      <c r="A220" s="1">
        <v>810040</v>
      </c>
      <c r="B220" s="1">
        <v>1</v>
      </c>
      <c r="C220" s="1">
        <v>5</v>
      </c>
      <c r="D220" s="2" t="s">
        <v>34</v>
      </c>
      <c r="E220" s="5" t="s">
        <v>34</v>
      </c>
      <c r="F220" s="5">
        <v>273316</v>
      </c>
      <c r="G220" s="2" t="s">
        <v>1494</v>
      </c>
      <c r="H220" s="2" t="s">
        <v>1495</v>
      </c>
      <c r="I220" s="2" t="s">
        <v>1496</v>
      </c>
      <c r="J220" s="2" t="str">
        <f>CONCATENATE(G220,F220,H220,C220,I220)</f>
        <v>https://permalinkbnd.bnportugal.gov.pt/viewer/273316/?offset=#page=5&amp;viewer=picture&amp;o=info&amp;n=0&amp;q=</v>
      </c>
      <c r="K220" s="1" t="s">
        <v>335</v>
      </c>
      <c r="L220" s="1" t="str">
        <f>VLOOKUP(A220,Folha2!$A$2:$B$2019,2,FALSE)</f>
        <v>O episódio do Adamastor. Estudo Crítico de Benoliel, 1898</v>
      </c>
      <c r="M220" s="12" t="str">
        <f>HYPERLINK(J220)</f>
        <v>https://permalinkbnd.bnportugal.gov.pt/viewer/273316/?offset=#page=5&amp;viewer=picture&amp;o=info&amp;n=0&amp;q=</v>
      </c>
      <c r="N220" s="12" t="s">
        <v>1497</v>
      </c>
      <c r="O220" s="12" t="str">
        <f>CONCATENATE(N220,A220,"\",B220,"\",C220,".jpg")</f>
        <v>C:\Users\mbaptista\OneDrive - Biblioteca Nacional de Portugal\Documentos\python\camoniana\imagens\capas\810040\1\5.jpg</v>
      </c>
      <c r="P220" s="12" t="str">
        <f>HYPERLINK(O220)</f>
        <v>C:\Users\mbaptista\OneDrive - Biblioteca Nacional de Portugal\Documentos\python\camoniana\imagens\capas\810040\1\5.jpg</v>
      </c>
      <c r="Q220" s="12"/>
      <c r="R220" s="6"/>
      <c r="S220" s="12"/>
      <c r="T220" s="1"/>
      <c r="U220" s="13"/>
      <c r="V220" s="13"/>
      <c r="W220" s="5"/>
    </row>
    <row r="221" spans="1:23" ht="225">
      <c r="A221" s="1">
        <v>810040</v>
      </c>
      <c r="B221" s="1">
        <v>1</v>
      </c>
      <c r="C221" s="1">
        <v>11</v>
      </c>
      <c r="D221" s="2" t="s">
        <v>34</v>
      </c>
      <c r="E221" s="11" t="s">
        <v>34</v>
      </c>
      <c r="F221" s="11">
        <v>273316</v>
      </c>
      <c r="G221" s="2" t="s">
        <v>1494</v>
      </c>
      <c r="H221" s="2" t="s">
        <v>1495</v>
      </c>
      <c r="I221" s="2" t="s">
        <v>1496</v>
      </c>
      <c r="J221" s="2" t="str">
        <f>CONCATENATE(G221,F221,H221,C221,I221)</f>
        <v>https://permalinkbnd.bnportugal.gov.pt/viewer/273316/?offset=#page=11&amp;viewer=picture&amp;o=info&amp;n=0&amp;q=</v>
      </c>
      <c r="K221" s="1" t="s">
        <v>335</v>
      </c>
      <c r="L221" s="1" t="str">
        <f>VLOOKUP(A221,Folha2!$A$2:$B$2019,2,FALSE)</f>
        <v>O episódio do Adamastor. Estudo Crítico de Benoliel, 1898</v>
      </c>
      <c r="M221" s="12" t="str">
        <f>HYPERLINK(J221)</f>
        <v>https://permalinkbnd.bnportugal.gov.pt/viewer/273316/?offset=#page=11&amp;viewer=picture&amp;o=info&amp;n=0&amp;q=</v>
      </c>
      <c r="N221" s="12" t="s">
        <v>1497</v>
      </c>
      <c r="O221" s="12" t="str">
        <f>CONCATENATE(N221,A221,"\",B221,"\",C221,".jpg")</f>
        <v>C:\Users\mbaptista\OneDrive - Biblioteca Nacional de Portugal\Documentos\python\camoniana\imagens\capas\810040\1\11.jpg</v>
      </c>
      <c r="P221" s="12" t="str">
        <f>HYPERLINK(O221)</f>
        <v>C:\Users\mbaptista\OneDrive - Biblioteca Nacional de Portugal\Documentos\python\camoniana\imagens\capas\810040\1\11.jpg</v>
      </c>
      <c r="Q221" s="12"/>
      <c r="R221" s="6" t="s">
        <v>36</v>
      </c>
      <c r="S221" s="12"/>
      <c r="T221" s="1">
        <v>11</v>
      </c>
      <c r="U221" s="13"/>
      <c r="V221" s="13"/>
      <c r="W221" s="5" t="s">
        <v>1491</v>
      </c>
    </row>
    <row r="222" spans="1:23" ht="225">
      <c r="A222" s="1">
        <v>810055</v>
      </c>
      <c r="B222" s="1">
        <v>1</v>
      </c>
      <c r="C222" s="1">
        <v>1</v>
      </c>
      <c r="D222" s="2" t="s">
        <v>336</v>
      </c>
      <c r="E222" s="5" t="s">
        <v>336</v>
      </c>
      <c r="F222" s="5">
        <v>273346</v>
      </c>
      <c r="G222" s="2" t="s">
        <v>1494</v>
      </c>
      <c r="H222" s="2" t="s">
        <v>1495</v>
      </c>
      <c r="I222" s="2" t="s">
        <v>1496</v>
      </c>
      <c r="J222" s="2" t="str">
        <f>CONCATENATE(G222,F222,H222,C222,I222)</f>
        <v>https://permalinkbnd.bnportugal.gov.pt/viewer/273346/?offset=#page=1&amp;viewer=picture&amp;o=info&amp;n=0&amp;q=</v>
      </c>
      <c r="K222" s="1" t="s">
        <v>337</v>
      </c>
      <c r="L222" s="1" t="str">
        <f>VLOOKUP(A222,Folha2!$A$2:$B$2019,2,FALSE)</f>
        <v>A epopeia das navegações portuguesas, poema por Xavier da Cunha, traduzido em várias línguas, 1898. Celebração da viagem de Gama.</v>
      </c>
      <c r="M222" s="12" t="str">
        <f>HYPERLINK(J222)</f>
        <v>https://permalinkbnd.bnportugal.gov.pt/viewer/273346/?offset=#page=1&amp;viewer=picture&amp;o=info&amp;n=0&amp;q=</v>
      </c>
      <c r="N222" s="12" t="s">
        <v>1497</v>
      </c>
      <c r="O222" s="12" t="str">
        <f>CONCATENATE(N222,A222,"\",B222,"\",C222,".jpg")</f>
        <v>C:\Users\mbaptista\OneDrive - Biblioteca Nacional de Portugal\Documentos\python\camoniana\imagens\capas\810055\1\1.jpg</v>
      </c>
      <c r="P222" s="12" t="str">
        <f>HYPERLINK(O222)</f>
        <v>C:\Users\mbaptista\OneDrive - Biblioteca Nacional de Portugal\Documentos\python\camoniana\imagens\capas\810055\1\1.jpg</v>
      </c>
      <c r="Q222" s="12"/>
      <c r="R222" s="6" t="s">
        <v>338</v>
      </c>
      <c r="S222" s="12"/>
      <c r="T222" s="1"/>
      <c r="U222" s="13"/>
      <c r="V222" s="13"/>
      <c r="W222" s="5" t="s">
        <v>1491</v>
      </c>
    </row>
    <row r="223" spans="1:23" ht="225">
      <c r="A223" s="1">
        <v>810055</v>
      </c>
      <c r="B223" s="1">
        <v>1</v>
      </c>
      <c r="C223" s="1">
        <v>5</v>
      </c>
      <c r="D223" s="2" t="s">
        <v>336</v>
      </c>
      <c r="E223" s="11" t="s">
        <v>336</v>
      </c>
      <c r="F223" s="11">
        <v>273346</v>
      </c>
      <c r="G223" s="2" t="s">
        <v>1494</v>
      </c>
      <c r="H223" s="2" t="s">
        <v>1495</v>
      </c>
      <c r="I223" s="2" t="s">
        <v>1496</v>
      </c>
      <c r="J223" s="2" t="str">
        <f>CONCATENATE(G223,F223,H223,C223,I223)</f>
        <v>https://permalinkbnd.bnportugal.gov.pt/viewer/273346/?offset=#page=5&amp;viewer=picture&amp;o=info&amp;n=0&amp;q=</v>
      </c>
      <c r="K223" s="1" t="s">
        <v>339</v>
      </c>
      <c r="L223" s="1" t="str">
        <f>VLOOKUP(A223,Folha2!$A$2:$B$2019,2,FALSE)</f>
        <v>A epopeia das navegações portuguesas, poema por Xavier da Cunha, traduzido em várias línguas, 1898. Celebração da viagem de Gama.</v>
      </c>
      <c r="M223" s="12" t="str">
        <f>HYPERLINK(J223)</f>
        <v>https://permalinkbnd.bnportugal.gov.pt/viewer/273346/?offset=#page=5&amp;viewer=picture&amp;o=info&amp;n=0&amp;q=</v>
      </c>
      <c r="N223" s="12" t="s">
        <v>1497</v>
      </c>
      <c r="O223" s="12" t="str">
        <f>CONCATENATE(N223,A223,"\",B223,"\",C223,".jpg")</f>
        <v>C:\Users\mbaptista\OneDrive - Biblioteca Nacional de Portugal\Documentos\python\camoniana\imagens\capas\810055\1\5.jpg</v>
      </c>
      <c r="P223" s="12" t="str">
        <f>HYPERLINK(O223)</f>
        <v>C:\Users\mbaptista\OneDrive - Biblioteca Nacional de Portugal\Documentos\python\camoniana\imagens\capas\810055\1\5.jpg</v>
      </c>
      <c r="Q223" s="12"/>
      <c r="R223" s="6" t="s">
        <v>340</v>
      </c>
      <c r="S223" s="12"/>
      <c r="T223" s="1"/>
      <c r="U223" s="13"/>
      <c r="V223" s="13"/>
      <c r="W223" s="5" t="s">
        <v>1491</v>
      </c>
    </row>
    <row r="224" spans="1:23" ht="225">
      <c r="A224" s="1">
        <v>810381</v>
      </c>
      <c r="B224" s="1">
        <v>1</v>
      </c>
      <c r="C224" s="13">
        <v>7</v>
      </c>
      <c r="D224" s="2" t="s">
        <v>341</v>
      </c>
      <c r="E224" s="5" t="s">
        <v>341</v>
      </c>
      <c r="F224" s="5">
        <v>274342</v>
      </c>
      <c r="G224" s="2" t="s">
        <v>1494</v>
      </c>
      <c r="H224" s="2" t="s">
        <v>1495</v>
      </c>
      <c r="I224" s="2" t="s">
        <v>1496</v>
      </c>
      <c r="J224" s="2" t="str">
        <f>CONCATENATE(G224,F224,H224,C224,I224)</f>
        <v>https://permalinkbnd.bnportugal.gov.pt/viewer/274342/?offset=#page=7&amp;viewer=picture&amp;o=info&amp;n=0&amp;q=</v>
      </c>
      <c r="K224" s="1">
        <v>7</v>
      </c>
      <c r="L224" s="1" t="str">
        <f>VLOOKUP(A224,Folha2!$A$2:$B$2019,2,FALSE)</f>
        <v>Tradução do Conde de Cheste, canto III d'Os Lusíadas. Lida numa sessão da Real Academia Española, 1873.  Trad. Paratextos Argumentos.</v>
      </c>
      <c r="M224" s="12" t="str">
        <f>HYPERLINK(J224)</f>
        <v>https://permalinkbnd.bnportugal.gov.pt/viewer/274342/?offset=#page=7&amp;viewer=picture&amp;o=info&amp;n=0&amp;q=</v>
      </c>
      <c r="N224" s="12" t="s">
        <v>1497</v>
      </c>
      <c r="O224" s="12" t="str">
        <f>CONCATENATE(N224,A224,"\",B224,"\",C224,".jpg")</f>
        <v>C:\Users\mbaptista\OneDrive - Biblioteca Nacional de Portugal\Documentos\python\camoniana\imagens\capas\810381\1\7.jpg</v>
      </c>
      <c r="P224" s="12" t="str">
        <f>HYPERLINK(O224)</f>
        <v>C:\Users\mbaptista\OneDrive - Biblioteca Nacional de Portugal\Documentos\python\camoniana\imagens\capas\810381\1\7.jpg</v>
      </c>
      <c r="Q224" s="12"/>
      <c r="R224" s="6" t="s">
        <v>342</v>
      </c>
      <c r="S224" s="12"/>
      <c r="T224" s="1"/>
      <c r="U224" s="13" t="s">
        <v>73</v>
      </c>
      <c r="V224" s="13"/>
      <c r="W224" s="5" t="s">
        <v>1491</v>
      </c>
    </row>
    <row r="225" spans="1:23" ht="225">
      <c r="A225" s="1">
        <v>847196</v>
      </c>
      <c r="B225" s="1">
        <v>1</v>
      </c>
      <c r="C225" s="1">
        <v>3</v>
      </c>
      <c r="D225" s="2" t="s">
        <v>343</v>
      </c>
      <c r="E225" s="11" t="s">
        <v>343</v>
      </c>
      <c r="F225" s="11">
        <v>273439</v>
      </c>
      <c r="G225" s="2" t="s">
        <v>1494</v>
      </c>
      <c r="H225" s="2" t="s">
        <v>1495</v>
      </c>
      <c r="I225" s="2" t="s">
        <v>1496</v>
      </c>
      <c r="J225" s="2" t="str">
        <f>CONCATENATE(G225,F225,H225,C225,I225)</f>
        <v>https://permalinkbnd.bnportugal.gov.pt/viewer/273439/?offset=#page=3&amp;viewer=picture&amp;o=info&amp;n=0&amp;q=</v>
      </c>
      <c r="K225" s="1">
        <v>3</v>
      </c>
      <c r="L225" s="1" t="str">
        <f>VLOOKUP(A225,Folha2!$A$2:$B$2019,2,FALSE)</f>
        <v>Roslino de Brito, Camões: homenagem aos antigos heróis portugueses e sobre todos ao seu divino cantor Luís de Camões, 1880. Celebrações (1880), recepção criativa, tematização e centão.</v>
      </c>
      <c r="M225" s="12" t="str">
        <f>HYPERLINK(J225)</f>
        <v>https://permalinkbnd.bnportugal.gov.pt/viewer/273439/?offset=#page=3&amp;viewer=picture&amp;o=info&amp;n=0&amp;q=</v>
      </c>
      <c r="N225" s="12" t="s">
        <v>1497</v>
      </c>
      <c r="O225" s="12" t="str">
        <f>CONCATENATE(N225,A225,"\",B225,"\",C225,".jpg")</f>
        <v>C:\Users\mbaptista\OneDrive - Biblioteca Nacional de Portugal\Documentos\python\camoniana\imagens\capas\847196\1\3.jpg</v>
      </c>
      <c r="P225" s="12" t="str">
        <f>HYPERLINK(O225)</f>
        <v>C:\Users\mbaptista\OneDrive - Biblioteca Nacional de Portugal\Documentos\python\camoniana\imagens\capas\847196\1\3.jpg</v>
      </c>
      <c r="Q225" s="12"/>
      <c r="R225" s="6" t="s">
        <v>344</v>
      </c>
      <c r="S225" s="12"/>
      <c r="T225" s="1">
        <v>3</v>
      </c>
      <c r="U225" s="13"/>
      <c r="V225" s="13"/>
      <c r="W225" s="5" t="s">
        <v>1491</v>
      </c>
    </row>
    <row r="226" spans="1:23" ht="225">
      <c r="A226" s="1">
        <v>851350</v>
      </c>
      <c r="B226" s="1">
        <v>1</v>
      </c>
      <c r="C226" s="13">
        <v>5</v>
      </c>
      <c r="D226" s="2" t="s">
        <v>345</v>
      </c>
      <c r="E226" s="5" t="s">
        <v>345</v>
      </c>
      <c r="F226" s="5">
        <v>273527</v>
      </c>
      <c r="G226" s="2" t="s">
        <v>1494</v>
      </c>
      <c r="H226" s="2" t="s">
        <v>1495</v>
      </c>
      <c r="I226" s="2" t="s">
        <v>1496</v>
      </c>
      <c r="J226" s="2" t="str">
        <f>CONCATENATE(G226,F226,H226,C226,I226)</f>
        <v>https://permalinkbnd.bnportugal.gov.pt/viewer/273527/?offset=#page=5&amp;viewer=picture&amp;o=info&amp;n=0&amp;q=</v>
      </c>
      <c r="K226" s="1" t="s">
        <v>346</v>
      </c>
      <c r="L226" s="1" t="str">
        <f>VLOOKUP(A226,Folha2!$A$2:$B$2019,2,FALSE)</f>
        <v>Alfredo Campos, A leitura d'Os Lusíadas: aquarelas. 1880. Dois sonetos. Celebrações (1880), recepção criativa, tematização.</v>
      </c>
      <c r="M226" s="12" t="str">
        <f>HYPERLINK(J226)</f>
        <v>https://permalinkbnd.bnportugal.gov.pt/viewer/273527/?offset=#page=5&amp;viewer=picture&amp;o=info&amp;n=0&amp;q=</v>
      </c>
      <c r="N226" s="12" t="s">
        <v>1497</v>
      </c>
      <c r="O226" s="12" t="str">
        <f>CONCATENATE(N226,A226,"\",B226,"\",C226,".jpg")</f>
        <v>C:\Users\mbaptista\OneDrive - Biblioteca Nacional de Portugal\Documentos\python\camoniana\imagens\capas\851350\1\5.jpg</v>
      </c>
      <c r="P226" s="12" t="str">
        <f>HYPERLINK(O226)</f>
        <v>C:\Users\mbaptista\OneDrive - Biblioteca Nacional de Portugal\Documentos\python\camoniana\imagens\capas\851350\1\5.jpg</v>
      </c>
      <c r="Q226" s="12"/>
      <c r="R226" s="6" t="s">
        <v>347</v>
      </c>
      <c r="S226" s="12"/>
      <c r="T226" s="1"/>
      <c r="U226" s="13" t="s">
        <v>148</v>
      </c>
      <c r="V226" s="13"/>
      <c r="W226" s="5" t="s">
        <v>1491</v>
      </c>
    </row>
    <row r="227" spans="1:23" ht="225">
      <c r="A227" s="1">
        <v>852833</v>
      </c>
      <c r="B227" s="1">
        <v>1</v>
      </c>
      <c r="C227" s="13">
        <v>11</v>
      </c>
      <c r="D227" s="2" t="s">
        <v>348</v>
      </c>
      <c r="E227" s="11" t="s">
        <v>348</v>
      </c>
      <c r="F227" s="11">
        <v>273731</v>
      </c>
      <c r="G227" s="2" t="s">
        <v>1494</v>
      </c>
      <c r="H227" s="2" t="s">
        <v>1495</v>
      </c>
      <c r="I227" s="2" t="s">
        <v>1496</v>
      </c>
      <c r="J227" s="2" t="str">
        <f>CONCATENATE(G227,F227,H227,C227,I227)</f>
        <v>https://permalinkbnd.bnportugal.gov.pt/viewer/273731/?offset=#page=11&amp;viewer=picture&amp;o=info&amp;n=0&amp;q=</v>
      </c>
      <c r="K227" s="1">
        <v>11</v>
      </c>
      <c r="L227" s="1" t="str">
        <f>VLOOKUP(A227,Folha2!$A$2:$B$2019,2,FALSE)</f>
        <v xml:space="preserve">Horácio de Araújo, O pranto de Camões, 1891. </v>
      </c>
      <c r="M227" s="12" t="str">
        <f>HYPERLINK(J227)</f>
        <v>https://permalinkbnd.bnportugal.gov.pt/viewer/273731/?offset=#page=11&amp;viewer=picture&amp;o=info&amp;n=0&amp;q=</v>
      </c>
      <c r="N227" s="12" t="s">
        <v>1497</v>
      </c>
      <c r="O227" s="12" t="str">
        <f>CONCATENATE(N227,A227,"\",B227,"\",C227,".jpg")</f>
        <v>C:\Users\mbaptista\OneDrive - Biblioteca Nacional de Portugal\Documentos\python\camoniana\imagens\capas\852833\1\11.jpg</v>
      </c>
      <c r="P227" s="12" t="str">
        <f>HYPERLINK(O227)</f>
        <v>C:\Users\mbaptista\OneDrive - Biblioteca Nacional de Portugal\Documentos\python\camoniana\imagens\capas\852833\1\11.jpg</v>
      </c>
      <c r="Q227" s="12"/>
      <c r="R227" s="6" t="s">
        <v>349</v>
      </c>
      <c r="S227" s="12"/>
      <c r="T227" s="1"/>
      <c r="U227" s="13" t="s">
        <v>66</v>
      </c>
      <c r="V227" s="13"/>
      <c r="W227" s="5" t="s">
        <v>1491</v>
      </c>
    </row>
    <row r="228" spans="1:23" ht="225">
      <c r="A228" s="1">
        <v>859037</v>
      </c>
      <c r="B228" s="1">
        <v>1</v>
      </c>
      <c r="C228" s="13">
        <v>3</v>
      </c>
      <c r="D228" s="2" t="s">
        <v>350</v>
      </c>
      <c r="E228" s="5" t="s">
        <v>350</v>
      </c>
      <c r="F228" s="5">
        <v>272628</v>
      </c>
      <c r="G228" s="2" t="s">
        <v>1494</v>
      </c>
      <c r="H228" s="2" t="s">
        <v>1495</v>
      </c>
      <c r="I228" s="2" t="s">
        <v>1496</v>
      </c>
      <c r="J228" s="2" t="str">
        <f>CONCATENATE(G228,F228,H228,C228,I228)</f>
        <v>https://permalinkbnd.bnportugal.gov.pt/viewer/272628/?offset=#page=3&amp;viewer=picture&amp;o=info&amp;n=0&amp;q=</v>
      </c>
      <c r="K228" s="1" t="s">
        <v>351</v>
      </c>
      <c r="L228" s="1" t="str">
        <f>VLOOKUP(A228,Folha2!$A$2:$B$2019,2,FALSE)</f>
        <v>José Maria Rodrigues, Notas para uma edição comentada d'Os Lusíadas, 1920</v>
      </c>
      <c r="M228" s="12" t="str">
        <f>HYPERLINK(J228)</f>
        <v>https://permalinkbnd.bnportugal.gov.pt/viewer/272628/?offset=#page=3&amp;viewer=picture&amp;o=info&amp;n=0&amp;q=</v>
      </c>
      <c r="N228" s="12" t="s">
        <v>1497</v>
      </c>
      <c r="O228" s="12" t="str">
        <f>CONCATENATE(N228,A228,"\",B228,"\",C228,".jpg")</f>
        <v>C:\Users\mbaptista\OneDrive - Biblioteca Nacional de Portugal\Documentos\python\camoniana\imagens\capas\859037\1\3.jpg</v>
      </c>
      <c r="P228" s="12" t="str">
        <f>HYPERLINK(O228)</f>
        <v>C:\Users\mbaptista\OneDrive - Biblioteca Nacional de Portugal\Documentos\python\camoniana\imagens\capas\859037\1\3.jpg</v>
      </c>
      <c r="Q228" s="12"/>
      <c r="R228" s="6" t="s">
        <v>352</v>
      </c>
      <c r="S228" s="12"/>
      <c r="T228" s="1"/>
      <c r="U228" s="13" t="s">
        <v>145</v>
      </c>
      <c r="V228" s="13"/>
      <c r="W228" s="5" t="s">
        <v>1491</v>
      </c>
    </row>
    <row r="229" spans="1:23" ht="225">
      <c r="A229" s="1">
        <v>865410</v>
      </c>
      <c r="B229" s="1">
        <v>1</v>
      </c>
      <c r="C229" s="1">
        <v>1</v>
      </c>
      <c r="D229" s="2" t="s">
        <v>353</v>
      </c>
      <c r="E229" s="11" t="s">
        <v>353</v>
      </c>
      <c r="F229" s="11">
        <v>281130</v>
      </c>
      <c r="G229" s="2" t="s">
        <v>1494</v>
      </c>
      <c r="H229" s="2" t="s">
        <v>1495</v>
      </c>
      <c r="I229" s="2" t="s">
        <v>1496</v>
      </c>
      <c r="J229" s="2" t="str">
        <f>CONCATENATE(G229,F229,H229,C229,I229)</f>
        <v>https://permalinkbnd.bnportugal.gov.pt/viewer/281130/?offset=#page=1&amp;viewer=picture&amp;o=info&amp;n=0&amp;q=</v>
      </c>
      <c r="K229" s="1">
        <v>1</v>
      </c>
      <c r="L229" s="1" t="str">
        <f>VLOOKUP(A229,Folha2!$A$2:$B$2019,2,FALSE)</f>
        <v>O brasão do apelido de Camões, 1880</v>
      </c>
      <c r="M229" s="12" t="str">
        <f>HYPERLINK(J229)</f>
        <v>https://permalinkbnd.bnportugal.gov.pt/viewer/281130/?offset=#page=1&amp;viewer=picture&amp;o=info&amp;n=0&amp;q=</v>
      </c>
      <c r="N229" s="12" t="s">
        <v>1497</v>
      </c>
      <c r="O229" s="12" t="str">
        <f>CONCATENATE(N229,A229,"\",B229,"\",C229,".jpg")</f>
        <v>C:\Users\mbaptista\OneDrive - Biblioteca Nacional de Portugal\Documentos\python\camoniana\imagens\capas\865410\1\1.jpg</v>
      </c>
      <c r="P229" s="12" t="str">
        <f>HYPERLINK(O229)</f>
        <v>C:\Users\mbaptista\OneDrive - Biblioteca Nacional de Portugal\Documentos\python\camoniana\imagens\capas\865410\1\1.jpg</v>
      </c>
      <c r="Q229" s="12"/>
      <c r="R229" s="6" t="s">
        <v>354</v>
      </c>
      <c r="S229" s="12"/>
      <c r="T229" s="1">
        <v>1</v>
      </c>
      <c r="U229" s="13"/>
      <c r="V229" s="13"/>
      <c r="W229" s="5" t="s">
        <v>1491</v>
      </c>
    </row>
    <row r="230" spans="1:23" ht="225">
      <c r="A230" s="1">
        <v>874327</v>
      </c>
      <c r="B230" s="1">
        <v>1</v>
      </c>
      <c r="C230" s="1"/>
      <c r="D230" s="2" t="s">
        <v>355</v>
      </c>
      <c r="E230" s="5" t="s">
        <v>355</v>
      </c>
      <c r="F230" s="5">
        <v>273183</v>
      </c>
      <c r="G230" s="2" t="s">
        <v>1494</v>
      </c>
      <c r="H230" s="2" t="s">
        <v>1495</v>
      </c>
      <c r="I230" s="2" t="s">
        <v>1496</v>
      </c>
      <c r="J230" s="2" t="str">
        <f>CONCATENATE(G230,F230,H230,C230,I230)</f>
        <v>https://permalinkbnd.bnportugal.gov.pt/viewer/273183/?offset=#page=&amp;viewer=picture&amp;o=info&amp;n=0&amp;q=</v>
      </c>
      <c r="K230" s="1" t="s">
        <v>356</v>
      </c>
      <c r="L230" s="1" t="str">
        <f>VLOOKUP(A230,Folha2!$A$2:$B$2019,2,FALSE)</f>
        <v>Antoine de Cournand, Épisode de Inès de Castro, imité du portugais de Camões, 1890. Trad. Paratextos gerais: surgem truncados ou em falta, pois só surge a partir da p. 4.</v>
      </c>
      <c r="M230" s="12" t="str">
        <f>HYPERLINK(J230)</f>
        <v>https://permalinkbnd.bnportugal.gov.pt/viewer/273183/?offset=#page=&amp;viewer=picture&amp;o=info&amp;n=0&amp;q=</v>
      </c>
      <c r="N230" s="12" t="s">
        <v>1497</v>
      </c>
      <c r="O230" s="12" t="str">
        <f>CONCATENATE(N230,A230,"\",B230,"\",C230,".jpg")</f>
        <v>C:\Users\mbaptista\OneDrive - Biblioteca Nacional de Portugal\Documentos\python\camoniana\imagens\capas\874327\1\.jpg</v>
      </c>
      <c r="P230" s="12" t="str">
        <f>HYPERLINK(O230)</f>
        <v>C:\Users\mbaptista\OneDrive - Biblioteca Nacional de Portugal\Documentos\python\camoniana\imagens\capas\874327\1\.jpg</v>
      </c>
      <c r="Q230" s="12"/>
      <c r="R230" s="6" t="s">
        <v>357</v>
      </c>
      <c r="S230" s="12"/>
      <c r="T230" s="1"/>
      <c r="U230" s="13" t="s">
        <v>145</v>
      </c>
      <c r="V230" s="13"/>
      <c r="W230" s="5" t="s">
        <v>1491</v>
      </c>
    </row>
    <row r="231" spans="1:23" ht="225">
      <c r="A231" s="1">
        <v>917387</v>
      </c>
      <c r="B231" s="1">
        <v>1</v>
      </c>
      <c r="C231" s="1">
        <v>1</v>
      </c>
      <c r="D231" s="2" t="s">
        <v>358</v>
      </c>
      <c r="E231" s="11" t="s">
        <v>358</v>
      </c>
      <c r="F231" s="11">
        <v>272728</v>
      </c>
      <c r="G231" s="2" t="s">
        <v>1494</v>
      </c>
      <c r="H231" s="2" t="s">
        <v>1495</v>
      </c>
      <c r="I231" s="2" t="s">
        <v>1496</v>
      </c>
      <c r="J231" s="2" t="str">
        <f>CONCATENATE(G231,F231,H231,C231,I231)</f>
        <v>https://permalinkbnd.bnportugal.gov.pt/viewer/272728/?offset=#page=1&amp;viewer=picture&amp;o=info&amp;n=0&amp;q=</v>
      </c>
      <c r="K231" s="1">
        <v>1</v>
      </c>
      <c r="L231" s="1" t="str">
        <f>VLOOKUP(A231,Folha2!$A$2:$B$2019,2,FALSE)</f>
        <v>Terceiro centenário de Camões. Rio de Janeiro, Botafogo, 1880. Surge a figura de um Poeta laureado: Camões?</v>
      </c>
      <c r="M231" s="12" t="str">
        <f>HYPERLINK(J231)</f>
        <v>https://permalinkbnd.bnportugal.gov.pt/viewer/272728/?offset=#page=1&amp;viewer=picture&amp;o=info&amp;n=0&amp;q=</v>
      </c>
      <c r="N231" s="12" t="s">
        <v>1497</v>
      </c>
      <c r="O231" s="12" t="str">
        <f>CONCATENATE(N231,A231,"\",B231,"\",C231,".jpg")</f>
        <v>C:\Users\mbaptista\OneDrive - Biblioteca Nacional de Portugal\Documentos\python\camoniana\imagens\capas\917387\1\1.jpg</v>
      </c>
      <c r="P231" s="12" t="str">
        <f>HYPERLINK(O231)</f>
        <v>C:\Users\mbaptista\OneDrive - Biblioteca Nacional de Portugal\Documentos\python\camoniana\imagens\capas\917387\1\1.jpg</v>
      </c>
      <c r="Q231" s="12"/>
      <c r="R231" s="6" t="s">
        <v>359</v>
      </c>
      <c r="S231" s="12"/>
      <c r="T231" s="1">
        <v>1</v>
      </c>
      <c r="U231" s="13"/>
      <c r="V231" s="13"/>
      <c r="W231" s="5" t="s">
        <v>1491</v>
      </c>
    </row>
    <row r="232" spans="1:23" ht="225">
      <c r="A232" s="1">
        <v>931586</v>
      </c>
      <c r="B232" s="1">
        <v>1</v>
      </c>
      <c r="C232" s="1">
        <v>1</v>
      </c>
      <c r="D232" s="2" t="s">
        <v>360</v>
      </c>
      <c r="E232" s="5" t="s">
        <v>360</v>
      </c>
      <c r="F232" s="5">
        <v>272733</v>
      </c>
      <c r="G232" s="2" t="s">
        <v>1494</v>
      </c>
      <c r="H232" s="2" t="s">
        <v>1495</v>
      </c>
      <c r="I232" s="2" t="s">
        <v>1496</v>
      </c>
      <c r="J232" s="2" t="str">
        <f>CONCATENATE(G232,F232,H232,C232,I232)</f>
        <v>https://permalinkbnd.bnportugal.gov.pt/viewer/272733/?offset=#page=1&amp;viewer=picture&amp;o=info&amp;n=0&amp;q=</v>
      </c>
      <c r="K232" s="1" t="s">
        <v>120</v>
      </c>
      <c r="L232" s="1" t="str">
        <f>VLOOKUP(A232,Folha2!$A$2:$B$2019,2,FALSE)</f>
        <v>Retrato de Camões, 1900</v>
      </c>
      <c r="M232" s="12" t="str">
        <f>HYPERLINK(J232)</f>
        <v>https://permalinkbnd.bnportugal.gov.pt/viewer/272733/?offset=#page=1&amp;viewer=picture&amp;o=info&amp;n=0&amp;q=</v>
      </c>
      <c r="N232" s="12" t="s">
        <v>1497</v>
      </c>
      <c r="O232" s="12" t="str">
        <f>CONCATENATE(N232,A232,"\",B232,"\",C232,".jpg")</f>
        <v>C:\Users\mbaptista\OneDrive - Biblioteca Nacional de Portugal\Documentos\python\camoniana\imagens\capas\931586\1\1.jpg</v>
      </c>
      <c r="P232" s="12" t="str">
        <f>HYPERLINK(O232)</f>
        <v>C:\Users\mbaptista\OneDrive - Biblioteca Nacional de Portugal\Documentos\python\camoniana\imagens\capas\931586\1\1.jpg</v>
      </c>
      <c r="Q232" s="12"/>
      <c r="R232" s="6" t="s">
        <v>361</v>
      </c>
      <c r="S232" s="12"/>
      <c r="T232" s="1">
        <v>1</v>
      </c>
      <c r="U232" s="13"/>
      <c r="V232" s="13"/>
      <c r="W232" s="5" t="s">
        <v>1491</v>
      </c>
    </row>
    <row r="233" spans="1:23" ht="225">
      <c r="A233" s="1">
        <v>950676</v>
      </c>
      <c r="B233" s="1">
        <v>1</v>
      </c>
      <c r="C233" s="1">
        <v>1</v>
      </c>
      <c r="D233" s="2" t="s">
        <v>362</v>
      </c>
      <c r="E233" s="11" t="s">
        <v>362</v>
      </c>
      <c r="F233" s="11">
        <v>33718</v>
      </c>
      <c r="G233" s="2" t="s">
        <v>1494</v>
      </c>
      <c r="H233" s="2" t="s">
        <v>1495</v>
      </c>
      <c r="I233" s="2" t="s">
        <v>1496</v>
      </c>
      <c r="J233" s="2" t="str">
        <f>CONCATENATE(G233,F233,H233,C233,I233)</f>
        <v>https://permalinkbnd.bnportugal.gov.pt/viewer/33718/?offset=#page=1&amp;viewer=picture&amp;o=info&amp;n=0&amp;q=</v>
      </c>
      <c r="K233" s="1">
        <v>1</v>
      </c>
      <c r="L233" s="1" t="str">
        <f>VLOOKUP(A233,Folha2!$A$2:$B$2019,2,FALSE)</f>
        <v>Lustrel Dulong, Derniers moments de Camões, 1845?</v>
      </c>
      <c r="M233" s="12" t="str">
        <f>HYPERLINK(J233)</f>
        <v>https://permalinkbnd.bnportugal.gov.pt/viewer/33718/?offset=#page=1&amp;viewer=picture&amp;o=info&amp;n=0&amp;q=</v>
      </c>
      <c r="N233" s="12" t="s">
        <v>1497</v>
      </c>
      <c r="O233" s="12" t="str">
        <f>CONCATENATE(N233,A233,"\",B233,"\",C233,".jpg")</f>
        <v>C:\Users\mbaptista\OneDrive - Biblioteca Nacional de Portugal\Documentos\python\camoniana\imagens\capas\950676\1\1.jpg</v>
      </c>
      <c r="P233" s="12" t="str">
        <f>HYPERLINK(O233)</f>
        <v>C:\Users\mbaptista\OneDrive - Biblioteca Nacional de Portugal\Documentos\python\camoniana\imagens\capas\950676\1\1.jpg</v>
      </c>
      <c r="Q233" s="12"/>
      <c r="R233" s="6" t="s">
        <v>363</v>
      </c>
      <c r="S233" s="12"/>
      <c r="T233" s="1">
        <v>1</v>
      </c>
      <c r="U233" s="13"/>
      <c r="V233" s="13"/>
      <c r="W233" s="5" t="s">
        <v>1491</v>
      </c>
    </row>
    <row r="234" spans="1:23" ht="225">
      <c r="A234" s="1">
        <v>950691</v>
      </c>
      <c r="B234" s="1">
        <v>1</v>
      </c>
      <c r="C234" s="1">
        <v>1</v>
      </c>
      <c r="D234" s="2" t="s">
        <v>364</v>
      </c>
      <c r="E234" s="5" t="s">
        <v>364</v>
      </c>
      <c r="F234" s="5">
        <v>33721</v>
      </c>
      <c r="G234" s="2" t="s">
        <v>1494</v>
      </c>
      <c r="H234" s="2" t="s">
        <v>1495</v>
      </c>
      <c r="I234" s="2" t="s">
        <v>1496</v>
      </c>
      <c r="J234" s="2" t="str">
        <f>CONCATENATE(G234,F234,H234,C234,I234)</f>
        <v>https://permalinkbnd.bnportugal.gov.pt/viewer/33721/?offset=#page=1&amp;viewer=picture&amp;o=info&amp;n=0&amp;q=</v>
      </c>
      <c r="K234" s="1">
        <v>1</v>
      </c>
      <c r="L234" s="1" t="str">
        <f>VLOOKUP(A234,Folha2!$A$2:$B$2019,2,FALSE)</f>
        <v>Jean-Baptiste Meunier, Le Camoens, 1880?</v>
      </c>
      <c r="M234" s="12" t="str">
        <f>HYPERLINK(J234)</f>
        <v>https://permalinkbnd.bnportugal.gov.pt/viewer/33721/?offset=#page=1&amp;viewer=picture&amp;o=info&amp;n=0&amp;q=</v>
      </c>
      <c r="N234" s="12" t="s">
        <v>1497</v>
      </c>
      <c r="O234" s="12" t="str">
        <f>CONCATENATE(N234,A234,"\",B234,"\",C234,".jpg")</f>
        <v>C:\Users\mbaptista\OneDrive - Biblioteca Nacional de Portugal\Documentos\python\camoniana\imagens\capas\950691\1\1.jpg</v>
      </c>
      <c r="P234" s="12" t="str">
        <f>HYPERLINK(O234)</f>
        <v>C:\Users\mbaptista\OneDrive - Biblioteca Nacional de Portugal\Documentos\python\camoniana\imagens\capas\950691\1\1.jpg</v>
      </c>
      <c r="Q234" s="12"/>
      <c r="R234" s="6" t="s">
        <v>365</v>
      </c>
      <c r="S234" s="12"/>
      <c r="T234" s="1">
        <v>1</v>
      </c>
      <c r="U234" s="13"/>
      <c r="V234" s="13"/>
      <c r="W234" s="5" t="s">
        <v>1491</v>
      </c>
    </row>
    <row r="235" spans="1:23" ht="225">
      <c r="A235" s="1">
        <v>959409</v>
      </c>
      <c r="B235" s="1">
        <v>1</v>
      </c>
      <c r="C235" s="1">
        <v>1</v>
      </c>
      <c r="D235" s="2" t="s">
        <v>366</v>
      </c>
      <c r="E235" s="11" t="s">
        <v>366</v>
      </c>
      <c r="F235" s="11">
        <v>36775</v>
      </c>
      <c r="G235" s="2" t="s">
        <v>1494</v>
      </c>
      <c r="H235" s="2" t="s">
        <v>1495</v>
      </c>
      <c r="I235" s="2" t="s">
        <v>1496</v>
      </c>
      <c r="J235" s="2" t="str">
        <f>CONCATENATE(G235,F235,H235,C235,I235)</f>
        <v>https://permalinkbnd.bnportugal.gov.pt/viewer/36775/?offset=#page=1&amp;viewer=picture&amp;o=info&amp;n=0&amp;q=</v>
      </c>
      <c r="K235" s="1">
        <v>1</v>
      </c>
      <c r="L235" s="1" t="str">
        <f>VLOOKUP(A235,Folha2!$A$2:$B$2019,2,FALSE)</f>
        <v>Francisco Métrass, Camões na gruta de Macau, litografia, 1866. Celebrações (1860), iconografia.</v>
      </c>
      <c r="M235" s="12" t="str">
        <f>HYPERLINK(J235)</f>
        <v>https://permalinkbnd.bnportugal.gov.pt/viewer/36775/?offset=#page=1&amp;viewer=picture&amp;o=info&amp;n=0&amp;q=</v>
      </c>
      <c r="N235" s="12" t="s">
        <v>1497</v>
      </c>
      <c r="O235" s="12" t="str">
        <f>CONCATENATE(N235,A235,"\",B235,"\",C235,".jpg")</f>
        <v>C:\Users\mbaptista\OneDrive - Biblioteca Nacional de Portugal\Documentos\python\camoniana\imagens\capas\959409\1\1.jpg</v>
      </c>
      <c r="P235" s="12" t="str">
        <f>HYPERLINK(O235)</f>
        <v>C:\Users\mbaptista\OneDrive - Biblioteca Nacional de Portugal\Documentos\python\camoniana\imagens\capas\959409\1\1.jpg</v>
      </c>
      <c r="Q235" s="12"/>
      <c r="R235" s="6" t="s">
        <v>367</v>
      </c>
      <c r="S235" s="12"/>
      <c r="T235" s="1">
        <v>1</v>
      </c>
      <c r="U235" s="13"/>
      <c r="V235" s="13"/>
      <c r="W235" s="5" t="s">
        <v>1491</v>
      </c>
    </row>
    <row r="236" spans="1:23" ht="225">
      <c r="A236" s="1">
        <v>1025381</v>
      </c>
      <c r="B236" s="1">
        <v>1</v>
      </c>
      <c r="C236" s="1">
        <v>3</v>
      </c>
      <c r="D236" s="2" t="s">
        <v>368</v>
      </c>
      <c r="E236" s="5" t="s">
        <v>368</v>
      </c>
      <c r="F236" s="5">
        <v>274123</v>
      </c>
      <c r="G236" s="2" t="s">
        <v>1494</v>
      </c>
      <c r="H236" s="2" t="s">
        <v>1495</v>
      </c>
      <c r="I236" s="2" t="s">
        <v>1496</v>
      </c>
      <c r="J236" s="2" t="str">
        <f>CONCATENATE(G236,F236,H236,C236,I236)</f>
        <v>https://permalinkbnd.bnportugal.gov.pt/viewer/274123/?offset=#page=3&amp;viewer=picture&amp;o=info&amp;n=0&amp;q=</v>
      </c>
      <c r="K236" s="1">
        <v>3</v>
      </c>
      <c r="L236" s="1" t="str">
        <f>VLOOKUP(A236,Folha2!$A$2:$B$2019,2,FALSE)</f>
        <v>Homenagem. Discursos e poesias recitados pelos alunos e alunas da Terceira Ordem do Carmo, 1880. Celebrações (1880), recepção criativa, tematização</v>
      </c>
      <c r="M236" s="12" t="str">
        <f>HYPERLINK(J236)</f>
        <v>https://permalinkbnd.bnportugal.gov.pt/viewer/274123/?offset=#page=3&amp;viewer=picture&amp;o=info&amp;n=0&amp;q=</v>
      </c>
      <c r="N236" s="12" t="s">
        <v>1497</v>
      </c>
      <c r="O236" s="12" t="str">
        <f>CONCATENATE(N236,A236,"\",B236,"\",C236,".jpg")</f>
        <v>C:\Users\mbaptista\OneDrive - Biblioteca Nacional de Portugal\Documentos\python\camoniana\imagens\capas\1025381\1\3.jpg</v>
      </c>
      <c r="P236" s="12" t="str">
        <f>HYPERLINK(O236)</f>
        <v>C:\Users\mbaptista\OneDrive - Biblioteca Nacional de Portugal\Documentos\python\camoniana\imagens\capas\1025381\1\3.jpg</v>
      </c>
      <c r="Q236" s="12"/>
      <c r="R236" s="6" t="s">
        <v>369</v>
      </c>
      <c r="S236" s="12"/>
      <c r="T236" s="1">
        <v>3</v>
      </c>
      <c r="U236" s="13"/>
      <c r="V236" s="13"/>
      <c r="W236" s="5" t="s">
        <v>1491</v>
      </c>
    </row>
    <row r="237" spans="1:23" ht="225">
      <c r="A237" s="1">
        <v>1044776</v>
      </c>
      <c r="B237" s="1">
        <v>1</v>
      </c>
      <c r="C237" s="1">
        <v>1</v>
      </c>
      <c r="D237" s="2" t="s">
        <v>370</v>
      </c>
      <c r="E237" s="11" t="s">
        <v>370</v>
      </c>
      <c r="F237" s="11">
        <v>272738</v>
      </c>
      <c r="G237" s="2" t="s">
        <v>1494</v>
      </c>
      <c r="H237" s="2" t="s">
        <v>1495</v>
      </c>
      <c r="I237" s="2" t="s">
        <v>1496</v>
      </c>
      <c r="J237" s="2" t="str">
        <f>CONCATENATE(G237,F237,H237,C237,I237)</f>
        <v>https://permalinkbnd.bnportugal.gov.pt/viewer/272738/?offset=#page=1&amp;viewer=picture&amp;o=info&amp;n=0&amp;q=</v>
      </c>
      <c r="K237" s="1" t="s">
        <v>120</v>
      </c>
      <c r="L237" s="1" t="str">
        <f>VLOOKUP(A237,Folha2!$A$2:$B$2019,2,FALSE)</f>
        <v>Cartaz. Verol Senior, Os Lusíadas com excerto da obra: dedicado à digna Comissão dos festejos a Camões, 1880</v>
      </c>
      <c r="M237" s="12" t="str">
        <f>HYPERLINK(J237)</f>
        <v>https://permalinkbnd.bnportugal.gov.pt/viewer/272738/?offset=#page=1&amp;viewer=picture&amp;o=info&amp;n=0&amp;q=</v>
      </c>
      <c r="N237" s="12" t="s">
        <v>1497</v>
      </c>
      <c r="O237" s="12" t="str">
        <f>CONCATENATE(N237,A237,"\",B237,"\",C237,".jpg")</f>
        <v>C:\Users\mbaptista\OneDrive - Biblioteca Nacional de Portugal\Documentos\python\camoniana\imagens\capas\1044776\1\1.jpg</v>
      </c>
      <c r="P237" s="12" t="str">
        <f>HYPERLINK(O237)</f>
        <v>C:\Users\mbaptista\OneDrive - Biblioteca Nacional de Portugal\Documentos\python\camoniana\imagens\capas\1044776\1\1.jpg</v>
      </c>
      <c r="Q237" s="12"/>
      <c r="R237" s="6" t="s">
        <v>371</v>
      </c>
      <c r="S237" s="12"/>
      <c r="T237" s="1">
        <v>1</v>
      </c>
      <c r="U237" s="13"/>
      <c r="V237" s="13"/>
      <c r="W237" s="5" t="s">
        <v>1491</v>
      </c>
    </row>
    <row r="238" spans="1:23" ht="225">
      <c r="A238" s="1">
        <v>1066418</v>
      </c>
      <c r="B238" s="1">
        <v>1</v>
      </c>
      <c r="C238" s="1">
        <v>126</v>
      </c>
      <c r="D238" s="2" t="s">
        <v>372</v>
      </c>
      <c r="E238" s="5" t="s">
        <v>372</v>
      </c>
      <c r="F238" s="5">
        <v>274092</v>
      </c>
      <c r="G238" s="2" t="s">
        <v>1494</v>
      </c>
      <c r="H238" s="2" t="s">
        <v>1495</v>
      </c>
      <c r="I238" s="2" t="s">
        <v>1496</v>
      </c>
      <c r="J238" s="2" t="str">
        <f>CONCATENATE(G238,F238,H238,C238,I238)</f>
        <v>https://permalinkbnd.bnportugal.gov.pt/viewer/274092/?offset=#page=126&amp;viewer=picture&amp;o=info&amp;n=0&amp;q=</v>
      </c>
      <c r="K238" s="1" t="s">
        <v>373</v>
      </c>
      <c r="L238" s="1" t="str">
        <f>VLOOKUP(A238,Folha2!$A$2:$B$2019,2,FALSE)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8" s="12" t="str">
        <f>HYPERLINK(J238)</f>
        <v>https://permalinkbnd.bnportugal.gov.pt/viewer/274092/?offset=#page=126&amp;viewer=picture&amp;o=info&amp;n=0&amp;q=</v>
      </c>
      <c r="N238" s="12" t="s">
        <v>1497</v>
      </c>
      <c r="O238" s="12" t="str">
        <f>CONCATENATE(N238,A238,"\",B238,"\",C238,".jpg")</f>
        <v>C:\Users\mbaptista\OneDrive - Biblioteca Nacional de Portugal\Documentos\python\camoniana\imagens\capas\1066418\1\126.jpg</v>
      </c>
      <c r="P238" s="12" t="str">
        <f>HYPERLINK(O238)</f>
        <v>C:\Users\mbaptista\OneDrive - Biblioteca Nacional de Portugal\Documentos\python\camoniana\imagens\capas\1066418\1\126.jpg</v>
      </c>
      <c r="Q238" s="12"/>
      <c r="R238" s="6" t="s">
        <v>374</v>
      </c>
      <c r="S238" s="12"/>
      <c r="T238" s="1"/>
      <c r="U238" s="13" t="s">
        <v>313</v>
      </c>
      <c r="V238" s="13"/>
      <c r="W238" s="5" t="s">
        <v>1491</v>
      </c>
    </row>
    <row r="239" spans="1:23" ht="225">
      <c r="A239" s="1">
        <v>1066418</v>
      </c>
      <c r="B239" s="1">
        <v>1</v>
      </c>
      <c r="C239" s="1">
        <v>217</v>
      </c>
      <c r="D239" s="2" t="s">
        <v>372</v>
      </c>
      <c r="E239" s="11" t="s">
        <v>372</v>
      </c>
      <c r="F239" s="11">
        <v>274092</v>
      </c>
      <c r="G239" s="2" t="s">
        <v>1494</v>
      </c>
      <c r="H239" s="2" t="s">
        <v>1495</v>
      </c>
      <c r="I239" s="2" t="s">
        <v>1496</v>
      </c>
      <c r="J239" s="2" t="str">
        <f>CONCATENATE(G239,F239,H239,C239,I239)</f>
        <v>https://permalinkbnd.bnportugal.gov.pt/viewer/274092/?offset=#page=217&amp;viewer=picture&amp;o=info&amp;n=0&amp;q=</v>
      </c>
      <c r="K239" s="1"/>
      <c r="L239" s="1" t="str">
        <f>VLOOKUP(A239,Folha2!$A$2:$B$2019,2,FALSE)</f>
        <v>Rimas varias / de Luis de Camoens, principe de los poetas heroycos, y lyricos de España ; ofrecidas al muy ilustre Señor Garcia de Melo, Montero Mor del Reyno, Presidente del Dezembargo del Paço, &amp;c. ; commentadas por Manuel de Faria, y Sousa, Cavallero de la Orden de Christo ; Tomo III. IV. y V. Segunda parte ; el Tom. III. contiene las Canciones, las Odas, y las Sextinas ; el Tom. IV. las Elegias, y las Otavas ; el Tom. V. las primeras ocho Eclogas. - Lisboa : en la Imprenta Craesbeeckiana, 1689. Rimas Várias, Faria e Sousa, 1689.  Comentários Outros: Santa Úrsula.</v>
      </c>
      <c r="M239" s="12" t="str">
        <f>HYPERLINK(J239)</f>
        <v>https://permalinkbnd.bnportugal.gov.pt/viewer/274092/?offset=#page=217&amp;viewer=picture&amp;o=info&amp;n=0&amp;q=</v>
      </c>
      <c r="N239" s="12" t="s">
        <v>1497</v>
      </c>
      <c r="O239" s="12" t="str">
        <f>CONCATENATE(N239,A239,"\",B239,"\",C239,".jpg")</f>
        <v>C:\Users\mbaptista\OneDrive - Biblioteca Nacional de Portugal\Documentos\python\camoniana\imagens\capas\1066418\1\217.jpg</v>
      </c>
      <c r="P239" s="12" t="str">
        <f>HYPERLINK(O239)</f>
        <v>C:\Users\mbaptista\OneDrive - Biblioteca Nacional de Portugal\Documentos\python\camoniana\imagens\capas\1066418\1\217.jpg</v>
      </c>
      <c r="Q239" s="12"/>
      <c r="R239" s="6" t="s">
        <v>375</v>
      </c>
      <c r="S239" s="12"/>
      <c r="T239" s="1"/>
      <c r="U239" s="13" t="s">
        <v>313</v>
      </c>
      <c r="V239" s="13"/>
      <c r="W239" s="5" t="s">
        <v>1491</v>
      </c>
    </row>
    <row r="240" spans="1:23" ht="225">
      <c r="A240" s="1">
        <v>1073960</v>
      </c>
      <c r="B240" s="1">
        <v>1</v>
      </c>
      <c r="C240" s="13">
        <v>9</v>
      </c>
      <c r="D240" s="2" t="s">
        <v>376</v>
      </c>
      <c r="E240" s="5" t="s">
        <v>376</v>
      </c>
      <c r="F240" s="5">
        <v>272390</v>
      </c>
      <c r="G240" s="2" t="s">
        <v>1494</v>
      </c>
      <c r="H240" s="2" t="s">
        <v>1495</v>
      </c>
      <c r="I240" s="2" t="s">
        <v>1496</v>
      </c>
      <c r="J240" s="2" t="str">
        <f>CONCATENATE(G240,F240,H240,C240,I240)</f>
        <v>https://permalinkbnd.bnportugal.gov.pt/viewer/272390/?offset=#page=9&amp;viewer=picture&amp;o=info&amp;n=0&amp;q=</v>
      </c>
      <c r="K240" s="1">
        <v>9</v>
      </c>
      <c r="L240" s="1" t="str">
        <f>VLOOKUP(A240,Folha2!$A$2:$B$2019,2,FALSE)</f>
        <v xml:space="preserve">Camoens. Dramma lírico in tre atti. Torino. C. 1852.  </v>
      </c>
      <c r="M240" s="12" t="str">
        <f>HYPERLINK(J240)</f>
        <v>https://permalinkbnd.bnportugal.gov.pt/viewer/272390/?offset=#page=9&amp;viewer=picture&amp;o=info&amp;n=0&amp;q=</v>
      </c>
      <c r="N240" s="12" t="s">
        <v>1497</v>
      </c>
      <c r="O240" s="12" t="str">
        <f>CONCATENATE(N240,A240,"\",B240,"\",C240,".jpg")</f>
        <v>C:\Users\mbaptista\OneDrive - Biblioteca Nacional de Portugal\Documentos\python\camoniana\imagens\capas\1073960\1\9.jpg</v>
      </c>
      <c r="P240" s="12" t="str">
        <f>HYPERLINK(O240)</f>
        <v>C:\Users\mbaptista\OneDrive - Biblioteca Nacional de Portugal\Documentos\python\camoniana\imagens\capas\1073960\1\9.jpg</v>
      </c>
      <c r="Q240" s="12"/>
      <c r="R240" s="6" t="s">
        <v>377</v>
      </c>
      <c r="S240" s="12"/>
      <c r="T240" s="1"/>
      <c r="U240" s="13" t="s">
        <v>83</v>
      </c>
      <c r="V240" s="13"/>
      <c r="W240" s="5" t="s">
        <v>1491</v>
      </c>
    </row>
    <row r="241" spans="1:23" ht="225">
      <c r="A241" s="1">
        <v>1076546</v>
      </c>
      <c r="B241" s="1">
        <v>1</v>
      </c>
      <c r="C241" s="1">
        <v>1</v>
      </c>
      <c r="D241" s="2" t="s">
        <v>378</v>
      </c>
      <c r="E241" s="11" t="s">
        <v>378</v>
      </c>
      <c r="F241" s="11">
        <v>280467</v>
      </c>
      <c r="G241" s="2" t="s">
        <v>1494</v>
      </c>
      <c r="H241" s="2" t="s">
        <v>1495</v>
      </c>
      <c r="I241" s="2" t="s">
        <v>1496</v>
      </c>
      <c r="J241" s="2" t="str">
        <f>CONCATENATE(G241,F241,H241,C241,I241)</f>
        <v>https://permalinkbnd.bnportugal.gov.pt/viewer/280467/?offset=#page=1&amp;viewer=picture&amp;o=info&amp;n=0&amp;q=</v>
      </c>
      <c r="K241" s="1" t="s">
        <v>379</v>
      </c>
      <c r="L241" s="1" t="str">
        <f>VLOOKUP(A241,Folha2!$A$2:$B$2019,2,FALSE)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1" s="12" t="str">
        <f>HYPERLINK(J241)</f>
        <v>https://permalinkbnd.bnportugal.gov.pt/viewer/280467/?offset=#page=1&amp;viewer=picture&amp;o=info&amp;n=0&amp;q=</v>
      </c>
      <c r="N241" s="12" t="s">
        <v>1497</v>
      </c>
      <c r="O241" s="12" t="str">
        <f>CONCATENATE(N241,A241,"\",B241,"\",C241,".jpg")</f>
        <v>C:\Users\mbaptista\OneDrive - Biblioteca Nacional de Portugal\Documentos\python\camoniana\imagens\capas\1076546\1\1.jpg</v>
      </c>
      <c r="P241" s="12" t="str">
        <f>HYPERLINK(O241)</f>
        <v>C:\Users\mbaptista\OneDrive - Biblioteca Nacional de Portugal\Documentos\python\camoniana\imagens\capas\1076546\1\1.jpg</v>
      </c>
      <c r="Q241" s="12"/>
      <c r="R241" s="6" t="s">
        <v>380</v>
      </c>
      <c r="S241" s="12"/>
      <c r="T241" s="1" t="s">
        <v>379</v>
      </c>
      <c r="U241" s="13"/>
      <c r="V241" s="13"/>
      <c r="W241" s="5" t="s">
        <v>1491</v>
      </c>
    </row>
    <row r="242" spans="1:23" ht="225">
      <c r="A242" s="1">
        <v>1076546</v>
      </c>
      <c r="B242" s="1">
        <v>1</v>
      </c>
      <c r="C242" s="1">
        <v>13</v>
      </c>
      <c r="D242" s="2" t="s">
        <v>378</v>
      </c>
      <c r="E242" s="5" t="s">
        <v>378</v>
      </c>
      <c r="F242" s="5">
        <v>280467</v>
      </c>
      <c r="G242" s="2" t="s">
        <v>1494</v>
      </c>
      <c r="H242" s="2" t="s">
        <v>1495</v>
      </c>
      <c r="I242" s="2" t="s">
        <v>1496</v>
      </c>
      <c r="J242" s="2" t="str">
        <f>CONCATENATE(G242,F242,H242,C242,I242)</f>
        <v>https://permalinkbnd.bnportugal.gov.pt/viewer/280467/?offset=#page=13&amp;viewer=picture&amp;o=info&amp;n=0&amp;q=</v>
      </c>
      <c r="K242" s="1" t="s">
        <v>379</v>
      </c>
      <c r="L242" s="1" t="str">
        <f>VLOOKUP(A242,Folha2!$A$2:$B$2019,2,FALSE)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2" s="12" t="str">
        <f>HYPERLINK(J242)</f>
        <v>https://permalinkbnd.bnportugal.gov.pt/viewer/280467/?offset=#page=13&amp;viewer=picture&amp;o=info&amp;n=0&amp;q=</v>
      </c>
      <c r="N242" s="12" t="s">
        <v>1497</v>
      </c>
      <c r="O242" s="12" t="str">
        <f>CONCATENATE(N242,A242,"\",B242,"\",C242,".jpg")</f>
        <v>C:\Users\mbaptista\OneDrive - Biblioteca Nacional de Portugal\Documentos\python\camoniana\imagens\capas\1076546\1\13.jpg</v>
      </c>
      <c r="P242" s="12" t="str">
        <f>HYPERLINK(O242)</f>
        <v>C:\Users\mbaptista\OneDrive - Biblioteca Nacional de Portugal\Documentos\python\camoniana\imagens\capas\1076546\1\13.jpg</v>
      </c>
      <c r="Q242" s="12"/>
      <c r="R242" s="6" t="s">
        <v>381</v>
      </c>
      <c r="S242" s="12"/>
      <c r="T242" s="1" t="s">
        <v>379</v>
      </c>
      <c r="U242" s="13"/>
      <c r="V242" s="13"/>
      <c r="W242" s="5" t="s">
        <v>1491</v>
      </c>
    </row>
    <row r="243" spans="1:23" ht="225">
      <c r="A243" s="1">
        <v>1076546</v>
      </c>
      <c r="B243" s="1">
        <v>1</v>
      </c>
      <c r="C243" s="1">
        <v>35</v>
      </c>
      <c r="D243" s="2" t="s">
        <v>378</v>
      </c>
      <c r="E243" s="11" t="s">
        <v>378</v>
      </c>
      <c r="F243" s="11">
        <v>280467</v>
      </c>
      <c r="G243" s="2" t="s">
        <v>1494</v>
      </c>
      <c r="H243" s="2" t="s">
        <v>1495</v>
      </c>
      <c r="I243" s="2" t="s">
        <v>1496</v>
      </c>
      <c r="J243" s="2" t="str">
        <f>CONCATENATE(G243,F243,H243,C243,I243)</f>
        <v>https://permalinkbnd.bnportugal.gov.pt/viewer/280467/?offset=#page=35&amp;viewer=picture&amp;o=info&amp;n=0&amp;q=</v>
      </c>
      <c r="K243" s="1" t="s">
        <v>379</v>
      </c>
      <c r="L243" s="1" t="str">
        <f>VLOOKUP(A243,Folha2!$A$2:$B$2019,2,FALSE)</f>
        <v>Almanaque Camões para 1883. 1882. [cópia digital não abre, página não encontrada: falei com Miguel que confirmou a não disponibilização do PDF, mas ia tentar saber o que se passava] Consultado nos Reservados: Iconografia, retrato p. 1, 11; várias imagens, outros pp. 2, 3,27, 28, 29, 33, 35, 39, 44, 45, 46, 51, 58, 59, 64 (figuras de soldados e damas); p. 10: recepção criativa, tematização (poema dedicado a Camões de Luiz Osório; Episódio Inês de Castro extraido de Os Lusíadas, pp. 13-16; versão espanhola do episódio pp. 16-19; versão francesa: pp. 20-23; versão italiana: pp. 23-26; Figuras Femininas: Felice Bellotti, traduz a versão italiana e texto intitulado "Natércia" da autoria de Guilhermina J. M. Costa e Silva, p. 52; nota biográfica de Camões: p. 30; novo poema dedicado ao Poeta, p. 31; documento alvará de 15.000 reís de tença por dois anos a Camões depois de ter publicado o poema, p. 32; centão de Inês de Castro, p. 33; Iconog. figuras históricas: p. 33, Inês de Castro, 40, Geraldo sem pavor, com epígrafe de Os LusÍadas, Egas Moniz, p. 41, com epígrafe, Fernão Magalhães, p. 48; Joanna d'Albret, p. 53; Afonso Albuquerque, p. 56, Diogo do Couto, p. 57, Nuno Álvares Pereira, p. 63; texto sobre monumento a Camões 9 de outubro de 1967 de Fonseca Pinto, pp. 36-8; textos sobre Gama e Camões p. 42, poema de João de Deus p. 42, texto sobre infante D. Henrique, p. 43, Camões e Quevedo, p. 46; o poeta saudação parafrástica, p. 49; poema à estátua do Poeta, p. 53, texto sobre camonianistas, pp. 54-56; texto sobre Ariosto e Os Lusíadas, poemas vários em homenagem de Viale, Berard, Guilherme Braga, Tasso, texto de Ortigão, batalha de Aljubarrota, poema improviso de Alberto Carlos.</v>
      </c>
      <c r="M243" s="12" t="str">
        <f>HYPERLINK(J243)</f>
        <v>https://permalinkbnd.bnportugal.gov.pt/viewer/280467/?offset=#page=35&amp;viewer=picture&amp;o=info&amp;n=0&amp;q=</v>
      </c>
      <c r="N243" s="12" t="s">
        <v>1497</v>
      </c>
      <c r="O243" s="12" t="str">
        <f>CONCATENATE(N243,A243,"\",B243,"\",C243,".jpg")</f>
        <v>C:\Users\mbaptista\OneDrive - Biblioteca Nacional de Portugal\Documentos\python\camoniana\imagens\capas\1076546\1\35.jpg</v>
      </c>
      <c r="P243" s="12" t="str">
        <f>HYPERLINK(O243)</f>
        <v>C:\Users\mbaptista\OneDrive - Biblioteca Nacional de Portugal\Documentos\python\camoniana\imagens\capas\1076546\1\35.jpg</v>
      </c>
      <c r="Q243" s="12"/>
      <c r="R243" s="6" t="s">
        <v>382</v>
      </c>
      <c r="S243" s="12"/>
      <c r="T243" s="1" t="s">
        <v>379</v>
      </c>
      <c r="U243" s="13"/>
      <c r="V243" s="13"/>
      <c r="W243" s="5" t="s">
        <v>1491</v>
      </c>
    </row>
    <row r="244" spans="1:23" ht="225">
      <c r="A244" s="1">
        <v>1306834</v>
      </c>
      <c r="B244" s="1">
        <v>1</v>
      </c>
      <c r="C244" s="1">
        <v>1</v>
      </c>
      <c r="D244" s="2" t="s">
        <v>383</v>
      </c>
      <c r="E244" s="5" t="s">
        <v>383</v>
      </c>
      <c r="F244" s="5">
        <v>36160</v>
      </c>
      <c r="G244" s="2" t="s">
        <v>1494</v>
      </c>
      <c r="H244" s="2" t="s">
        <v>1495</v>
      </c>
      <c r="I244" s="2" t="s">
        <v>1496</v>
      </c>
      <c r="J244" s="2" t="str">
        <f>CONCATENATE(G244,F244,H244,C244,I244)</f>
        <v>https://permalinkbnd.bnportugal.gov.pt/viewer/36160/?offset=#page=1&amp;viewer=picture&amp;o=info&amp;n=0&amp;q=</v>
      </c>
      <c r="K244" s="1">
        <v>1</v>
      </c>
      <c r="L244" s="1" t="str">
        <f>VLOOKUP(A244,Folha2!$A$2:$B$2019,2,FALSE)</f>
        <v>Louis-Alphonse Bichebois, Grotte du Camoens, c. 1845. Iconografia, Lugares de memória.</v>
      </c>
      <c r="M244" s="12" t="str">
        <f>HYPERLINK(J244)</f>
        <v>https://permalinkbnd.bnportugal.gov.pt/viewer/36160/?offset=#page=1&amp;viewer=picture&amp;o=info&amp;n=0&amp;q=</v>
      </c>
      <c r="N244" s="12" t="s">
        <v>1497</v>
      </c>
      <c r="O244" s="12" t="str">
        <f>CONCATENATE(N244,A244,"\",B244,"\",C244,".jpg")</f>
        <v>C:\Users\mbaptista\OneDrive - Biblioteca Nacional de Portugal\Documentos\python\camoniana\imagens\capas\1306834\1\1.jpg</v>
      </c>
      <c r="P244" s="12" t="str">
        <f>HYPERLINK(O244)</f>
        <v>C:\Users\mbaptista\OneDrive - Biblioteca Nacional de Portugal\Documentos\python\camoniana\imagens\capas\1306834\1\1.jpg</v>
      </c>
      <c r="Q244" s="12"/>
      <c r="R244" s="6" t="s">
        <v>384</v>
      </c>
      <c r="S244" s="12"/>
      <c r="T244" s="1">
        <v>1</v>
      </c>
      <c r="U244" s="13"/>
      <c r="V244" s="13"/>
      <c r="W244" s="5" t="s">
        <v>1491</v>
      </c>
    </row>
    <row r="245" spans="1:23" ht="225">
      <c r="A245" s="1">
        <v>1313328</v>
      </c>
      <c r="B245" s="1">
        <v>1</v>
      </c>
      <c r="C245" s="1">
        <v>1</v>
      </c>
      <c r="D245" s="2" t="s">
        <v>385</v>
      </c>
      <c r="E245" s="11" t="s">
        <v>385</v>
      </c>
      <c r="F245" s="11">
        <v>272788</v>
      </c>
      <c r="G245" s="2" t="s">
        <v>1494</v>
      </c>
      <c r="H245" s="2" t="s">
        <v>1495</v>
      </c>
      <c r="I245" s="2" t="s">
        <v>1496</v>
      </c>
      <c r="J245" s="2" t="str">
        <f>CONCATENATE(G245,F245,H245,C245,I245)</f>
        <v>https://permalinkbnd.bnportugal.gov.pt/viewer/272788/?offset=#page=1&amp;viewer=picture&amp;o=info&amp;n=0&amp;q=</v>
      </c>
      <c r="K245" s="1">
        <v>1</v>
      </c>
      <c r="L245" s="1" t="str">
        <f>VLOOKUP(A245,Folha2!$A$2:$B$2019,2,FALSE)</f>
        <v>Francisco Pinto, O génio de Camões. Romança. 1850-1857?</v>
      </c>
      <c r="M245" s="12" t="str">
        <f>HYPERLINK(J245)</f>
        <v>https://permalinkbnd.bnportugal.gov.pt/viewer/272788/?offset=#page=1&amp;viewer=picture&amp;o=info&amp;n=0&amp;q=</v>
      </c>
      <c r="N245" s="12" t="s">
        <v>1497</v>
      </c>
      <c r="O245" s="12" t="str">
        <f>CONCATENATE(N245,A245,"\",B245,"\",C245,".jpg")</f>
        <v>C:\Users\mbaptista\OneDrive - Biblioteca Nacional de Portugal\Documentos\python\camoniana\imagens\capas\1313328\1\1.jpg</v>
      </c>
      <c r="P245" s="12" t="str">
        <f>HYPERLINK(O245)</f>
        <v>C:\Users\mbaptista\OneDrive - Biblioteca Nacional de Portugal\Documentos\python\camoniana\imagens\capas\1313328\1\1.jpg</v>
      </c>
      <c r="Q245" s="12"/>
      <c r="R245" s="6" t="s">
        <v>386</v>
      </c>
      <c r="S245" s="12"/>
      <c r="T245" s="1">
        <v>1</v>
      </c>
      <c r="U245" s="13"/>
      <c r="V245" s="13"/>
      <c r="W245" s="5" t="s">
        <v>1491</v>
      </c>
    </row>
    <row r="246" spans="1:23" ht="225">
      <c r="A246" s="1">
        <v>1376687</v>
      </c>
      <c r="B246" s="1">
        <v>1</v>
      </c>
      <c r="C246" s="1">
        <v>1</v>
      </c>
      <c r="D246" s="2" t="s">
        <v>387</v>
      </c>
      <c r="E246" s="5" t="s">
        <v>387</v>
      </c>
      <c r="F246" s="5">
        <v>88185</v>
      </c>
      <c r="G246" s="2" t="s">
        <v>1494</v>
      </c>
      <c r="H246" s="2" t="s">
        <v>1495</v>
      </c>
      <c r="I246" s="2" t="s">
        <v>1496</v>
      </c>
      <c r="J246" s="2" t="str">
        <f>CONCATENATE(G246,F246,H246,C246,I246)</f>
        <v>https://permalinkbnd.bnportugal.gov.pt/viewer/88185/?offset=#page=1&amp;viewer=picture&amp;o=info&amp;n=0&amp;q=</v>
      </c>
      <c r="K246" s="1">
        <v>1</v>
      </c>
      <c r="L246" s="1" t="str">
        <f>VLOOKUP(A246,Folha2!$A$2:$B$2019,2,FALSE)</f>
        <v>Postal Ilustrado. Old Goa. Statue of poet Camões, 193?</v>
      </c>
      <c r="M246" s="12" t="str">
        <f>HYPERLINK(J246)</f>
        <v>https://permalinkbnd.bnportugal.gov.pt/viewer/88185/?offset=#page=1&amp;viewer=picture&amp;o=info&amp;n=0&amp;q=</v>
      </c>
      <c r="N246" s="12" t="s">
        <v>1497</v>
      </c>
      <c r="O246" s="12" t="str">
        <f>CONCATENATE(N246,A246,"\",B246,"\",C246,".jpg")</f>
        <v>C:\Users\mbaptista\OneDrive - Biblioteca Nacional de Portugal\Documentos\python\camoniana\imagens\capas\1376687\1\1.jpg</v>
      </c>
      <c r="P246" s="12" t="str">
        <f>HYPERLINK(O246)</f>
        <v>C:\Users\mbaptista\OneDrive - Biblioteca Nacional de Portugal\Documentos\python\camoniana\imagens\capas\1376687\1\1.jpg</v>
      </c>
      <c r="Q246" s="12"/>
      <c r="R246" s="6" t="s">
        <v>388</v>
      </c>
      <c r="S246" s="12"/>
      <c r="T246" s="1">
        <v>1</v>
      </c>
      <c r="U246" s="13"/>
      <c r="V246" s="13"/>
      <c r="W246" s="5" t="s">
        <v>1491</v>
      </c>
    </row>
    <row r="247" spans="1:23" ht="225">
      <c r="A247" s="1">
        <v>1376717</v>
      </c>
      <c r="B247" s="1">
        <v>1</v>
      </c>
      <c r="C247" s="1">
        <v>1</v>
      </c>
      <c r="D247" s="2" t="s">
        <v>389</v>
      </c>
      <c r="E247" s="11" t="s">
        <v>389</v>
      </c>
      <c r="F247" s="11">
        <v>272785</v>
      </c>
      <c r="G247" s="2" t="s">
        <v>1494</v>
      </c>
      <c r="H247" s="2" t="s">
        <v>1495</v>
      </c>
      <c r="I247" s="2" t="s">
        <v>1496</v>
      </c>
      <c r="J247" s="2" t="str">
        <f>CONCATENATE(G247,F247,H247,C247,I247)</f>
        <v>https://permalinkbnd.bnportugal.gov.pt/viewer/272785/?offset=#page=1&amp;viewer=picture&amp;o=info&amp;n=0&amp;q=</v>
      </c>
      <c r="K247" s="1">
        <v>1</v>
      </c>
      <c r="L247" s="1" t="str">
        <f>VLOOKUP(A247,Folha2!$A$2:$B$2019,2,FALSE)</f>
        <v>Postal ilustrado. Camões Grotto. 191?</v>
      </c>
      <c r="M247" s="12" t="str">
        <f>HYPERLINK(J247)</f>
        <v>https://permalinkbnd.bnportugal.gov.pt/viewer/272785/?offset=#page=1&amp;viewer=picture&amp;o=info&amp;n=0&amp;q=</v>
      </c>
      <c r="N247" s="12" t="s">
        <v>1497</v>
      </c>
      <c r="O247" s="12" t="str">
        <f>CONCATENATE(N247,A247,"\",B247,"\",C247,".jpg")</f>
        <v>C:\Users\mbaptista\OneDrive - Biblioteca Nacional de Portugal\Documentos\python\camoniana\imagens\capas\1376717\1\1.jpg</v>
      </c>
      <c r="P247" s="12" t="str">
        <f>HYPERLINK(O247)</f>
        <v>C:\Users\mbaptista\OneDrive - Biblioteca Nacional de Portugal\Documentos\python\camoniana\imagens\capas\1376717\1\1.jpg</v>
      </c>
      <c r="Q247" s="12"/>
      <c r="R247" s="6" t="s">
        <v>390</v>
      </c>
      <c r="S247" s="12"/>
      <c r="T247" s="1">
        <v>1</v>
      </c>
      <c r="U247" s="13"/>
      <c r="V247" s="13"/>
      <c r="W247" s="5" t="s">
        <v>1491</v>
      </c>
    </row>
    <row r="248" spans="1:23" ht="225">
      <c r="A248" s="1">
        <v>1380949</v>
      </c>
      <c r="B248" s="1">
        <v>1</v>
      </c>
      <c r="C248" s="1">
        <v>1</v>
      </c>
      <c r="D248" s="2" t="s">
        <v>391</v>
      </c>
      <c r="E248" s="5" t="s">
        <v>391</v>
      </c>
      <c r="F248" s="5">
        <v>38463</v>
      </c>
      <c r="G248" s="2" t="s">
        <v>1494</v>
      </c>
      <c r="H248" s="2" t="s">
        <v>1495</v>
      </c>
      <c r="I248" s="2" t="s">
        <v>1496</v>
      </c>
      <c r="J248" s="2" t="str">
        <f>CONCATENATE(G248,F248,H248,C248,I248)</f>
        <v>https://permalinkbnd.bnportugal.gov.pt/viewer/38463/?offset=#page=1&amp;viewer=picture&amp;o=info&amp;n=0&amp;q=</v>
      </c>
      <c r="K248" s="1">
        <v>1</v>
      </c>
      <c r="L248" s="1" t="str">
        <f>VLOOKUP(A248,Folha2!$A$2:$B$2019,2,FALSE)</f>
        <v>Simon Guérin, Mort de Camoens, c. 1840</v>
      </c>
      <c r="M248" s="12" t="str">
        <f>HYPERLINK(J248)</f>
        <v>https://permalinkbnd.bnportugal.gov.pt/viewer/38463/?offset=#page=1&amp;viewer=picture&amp;o=info&amp;n=0&amp;q=</v>
      </c>
      <c r="N248" s="12" t="s">
        <v>1497</v>
      </c>
      <c r="O248" s="12" t="str">
        <f>CONCATENATE(N248,A248,"\",B248,"\",C248,".jpg")</f>
        <v>C:\Users\mbaptista\OneDrive - Biblioteca Nacional de Portugal\Documentos\python\camoniana\imagens\capas\1380949\1\1.jpg</v>
      </c>
      <c r="P248" s="12" t="str">
        <f>HYPERLINK(O248)</f>
        <v>C:\Users\mbaptista\OneDrive - Biblioteca Nacional de Portugal\Documentos\python\camoniana\imagens\capas\1380949\1\1.jpg</v>
      </c>
      <c r="Q248" s="12"/>
      <c r="R248" s="6" t="s">
        <v>392</v>
      </c>
      <c r="S248" s="12"/>
      <c r="T248" s="1">
        <v>1</v>
      </c>
      <c r="U248" s="13"/>
      <c r="V248" s="13"/>
      <c r="W248" s="5" t="s">
        <v>1491</v>
      </c>
    </row>
    <row r="249" spans="1:23" ht="225">
      <c r="A249" s="1">
        <v>1381028</v>
      </c>
      <c r="B249" s="1">
        <v>1</v>
      </c>
      <c r="C249" s="1">
        <v>1</v>
      </c>
      <c r="D249" s="2" t="s">
        <v>393</v>
      </c>
      <c r="E249" s="11" t="s">
        <v>393</v>
      </c>
      <c r="F249" s="11">
        <v>38591</v>
      </c>
      <c r="G249" s="2" t="s">
        <v>1494</v>
      </c>
      <c r="H249" s="2" t="s">
        <v>1495</v>
      </c>
      <c r="I249" s="2" t="s">
        <v>1496</v>
      </c>
      <c r="J249" s="2" t="str">
        <f>CONCATENATE(G249,F249,H249,C249,I249)</f>
        <v>https://permalinkbnd.bnportugal.gov.pt/viewer/38591/?offset=#page=1&amp;viewer=picture&amp;o=info&amp;n=0&amp;q=</v>
      </c>
      <c r="K249" s="1">
        <v>1</v>
      </c>
      <c r="L249" s="1" t="str">
        <f>VLOOKUP(A249,Folha2!$A$2:$B$2019,2,FALSE)</f>
        <v>F. Gérard, Camões. Reprodução da imagem criada para a edição d Morgado de Mateus, 1817, 1900</v>
      </c>
      <c r="M249" s="12" t="str">
        <f>HYPERLINK(J249)</f>
        <v>https://permalinkbnd.bnportugal.gov.pt/viewer/38591/?offset=#page=1&amp;viewer=picture&amp;o=info&amp;n=0&amp;q=</v>
      </c>
      <c r="N249" s="12" t="s">
        <v>1497</v>
      </c>
      <c r="O249" s="12" t="str">
        <f>CONCATENATE(N249,A249,"\",B249,"\",C249,".jpg")</f>
        <v>C:\Users\mbaptista\OneDrive - Biblioteca Nacional de Portugal\Documentos\python\camoniana\imagens\capas\1381028\1\1.jpg</v>
      </c>
      <c r="P249" s="12" t="str">
        <f>HYPERLINK(O249)</f>
        <v>C:\Users\mbaptista\OneDrive - Biblioteca Nacional de Portugal\Documentos\python\camoniana\imagens\capas\1381028\1\1.jpg</v>
      </c>
      <c r="Q249" s="12"/>
      <c r="R249" s="6" t="s">
        <v>394</v>
      </c>
      <c r="S249" s="12"/>
      <c r="T249" s="1">
        <v>1</v>
      </c>
      <c r="U249" s="13"/>
      <c r="V249" s="13"/>
      <c r="W249" s="5" t="s">
        <v>1491</v>
      </c>
    </row>
    <row r="250" spans="1:23" ht="225">
      <c r="A250" s="1">
        <v>1381084</v>
      </c>
      <c r="B250" s="1">
        <v>1</v>
      </c>
      <c r="C250" s="1">
        <v>1</v>
      </c>
      <c r="D250" s="2" t="s">
        <v>395</v>
      </c>
      <c r="E250" s="5" t="s">
        <v>395</v>
      </c>
      <c r="F250" s="5">
        <v>1843</v>
      </c>
      <c r="G250" s="2" t="s">
        <v>1494</v>
      </c>
      <c r="H250" s="2" t="s">
        <v>1495</v>
      </c>
      <c r="I250" s="2" t="s">
        <v>1496</v>
      </c>
      <c r="J250" s="2" t="str">
        <f>CONCATENATE(G250,F250,H250,C250,I250)</f>
        <v>https://permalinkbnd.bnportugal.gov.pt/viewer/1843/?offset=#page=1&amp;viewer=picture&amp;o=info&amp;n=0&amp;q=</v>
      </c>
      <c r="K250" s="1">
        <v>1</v>
      </c>
      <c r="L250" s="1" t="str">
        <f>VLOOKUP(A250,Folha2!$A$2:$B$2019,2,FALSE)</f>
        <v>António da Fonseca, Exposição de 1843. Camões coroado pelo génio da nação, 1843</v>
      </c>
      <c r="M250" s="12" t="str">
        <f>HYPERLINK(J250)</f>
        <v>https://permalinkbnd.bnportugal.gov.pt/viewer/1843/?offset=#page=1&amp;viewer=picture&amp;o=info&amp;n=0&amp;q=</v>
      </c>
      <c r="N250" s="12" t="s">
        <v>1497</v>
      </c>
      <c r="O250" s="12" t="str">
        <f>CONCATENATE(N250,A250,"\",B250,"\",C250,".jpg")</f>
        <v>C:\Users\mbaptista\OneDrive - Biblioteca Nacional de Portugal\Documentos\python\camoniana\imagens\capas\1381084\1\1.jpg</v>
      </c>
      <c r="P250" s="12" t="str">
        <f>HYPERLINK(O250)</f>
        <v>C:\Users\mbaptista\OneDrive - Biblioteca Nacional de Portugal\Documentos\python\camoniana\imagens\capas\1381084\1\1.jpg</v>
      </c>
      <c r="Q250" s="12"/>
      <c r="R250" s="6" t="s">
        <v>396</v>
      </c>
      <c r="S250" s="12"/>
      <c r="T250" s="1">
        <v>1</v>
      </c>
      <c r="U250" s="13"/>
      <c r="V250" s="13"/>
      <c r="W250" s="5" t="s">
        <v>1491</v>
      </c>
    </row>
    <row r="251" spans="1:23" ht="225">
      <c r="A251" s="1">
        <v>1381142</v>
      </c>
      <c r="B251" s="1">
        <v>1</v>
      </c>
      <c r="C251" s="1">
        <v>1</v>
      </c>
      <c r="D251" s="2" t="s">
        <v>397</v>
      </c>
      <c r="E251" s="11" t="s">
        <v>397</v>
      </c>
      <c r="F251" s="11">
        <v>37955</v>
      </c>
      <c r="G251" s="2" t="s">
        <v>1494</v>
      </c>
      <c r="H251" s="2" t="s">
        <v>1495</v>
      </c>
      <c r="I251" s="2" t="s">
        <v>1496</v>
      </c>
      <c r="J251" s="2" t="str">
        <f>CONCATENATE(G251,F251,H251,C251,I251)</f>
        <v>https://permalinkbnd.bnportugal.gov.pt/viewer/37955/?offset=#page=1&amp;viewer=picture&amp;o=info&amp;n=0&amp;q=</v>
      </c>
      <c r="K251" s="1">
        <v>1</v>
      </c>
      <c r="L251" s="1" t="str">
        <f>VLOOKUP(A251,Folha2!$A$2:$B$2019,2,FALSE)</f>
        <v>C.Legrand, Luiz de Camões, 1841</v>
      </c>
      <c r="M251" s="12" t="str">
        <f>HYPERLINK(J251)</f>
        <v>https://permalinkbnd.bnportugal.gov.pt/viewer/37955/?offset=#page=1&amp;viewer=picture&amp;o=info&amp;n=0&amp;q=</v>
      </c>
      <c r="N251" s="12" t="s">
        <v>1497</v>
      </c>
      <c r="O251" s="12" t="str">
        <f>CONCATENATE(N251,A251,"\",B251,"\",C251,".jpg")</f>
        <v>C:\Users\mbaptista\OneDrive - Biblioteca Nacional de Portugal\Documentos\python\camoniana\imagens\capas\1381142\1\1.jpg</v>
      </c>
      <c r="P251" s="12" t="str">
        <f>HYPERLINK(O251)</f>
        <v>C:\Users\mbaptista\OneDrive - Biblioteca Nacional de Portugal\Documentos\python\camoniana\imagens\capas\1381142\1\1.jpg</v>
      </c>
      <c r="Q251" s="12"/>
      <c r="R251" s="6" t="s">
        <v>398</v>
      </c>
      <c r="S251" s="12"/>
      <c r="T251" s="1">
        <v>1</v>
      </c>
      <c r="U251" s="13"/>
      <c r="V251" s="13"/>
      <c r="W251" s="5" t="s">
        <v>1491</v>
      </c>
    </row>
    <row r="252" spans="1:23" ht="225">
      <c r="A252" s="1">
        <v>1381247</v>
      </c>
      <c r="B252" s="1">
        <v>1</v>
      </c>
      <c r="C252" s="1">
        <v>1</v>
      </c>
      <c r="D252" s="2" t="s">
        <v>399</v>
      </c>
      <c r="E252" s="5" t="s">
        <v>399</v>
      </c>
      <c r="F252" s="5">
        <v>38270</v>
      </c>
      <c r="G252" s="2" t="s">
        <v>1494</v>
      </c>
      <c r="H252" s="2" t="s">
        <v>1495</v>
      </c>
      <c r="I252" s="2" t="s">
        <v>1496</v>
      </c>
      <c r="J252" s="2" t="str">
        <f>CONCATENATE(G252,F252,H252,C252,I252)</f>
        <v>https://permalinkbnd.bnportugal.gov.pt/viewer/38270/?offset=#page=1&amp;viewer=picture&amp;o=info&amp;n=0&amp;q=</v>
      </c>
      <c r="K252" s="1">
        <v>1</v>
      </c>
      <c r="L252" s="1" t="str">
        <f>VLOOKUP(A252,Folha2!$A$2:$B$2019,2,FALSE)</f>
        <v>C. Legrand, Para servir-vos braço às armas feito, litografia, 1841</v>
      </c>
      <c r="M252" s="12" t="str">
        <f>HYPERLINK(J252)</f>
        <v>https://permalinkbnd.bnportugal.gov.pt/viewer/38270/?offset=#page=1&amp;viewer=picture&amp;o=info&amp;n=0&amp;q=</v>
      </c>
      <c r="N252" s="12" t="s">
        <v>1497</v>
      </c>
      <c r="O252" s="12" t="str">
        <f>CONCATENATE(N252,A252,"\",B252,"\",C252,".jpg")</f>
        <v>C:\Users\mbaptista\OneDrive - Biblioteca Nacional de Portugal\Documentos\python\camoniana\imagens\capas\1381247\1\1.jpg</v>
      </c>
      <c r="P252" s="12" t="str">
        <f>HYPERLINK(O252)</f>
        <v>C:\Users\mbaptista\OneDrive - Biblioteca Nacional de Portugal\Documentos\python\camoniana\imagens\capas\1381247\1\1.jpg</v>
      </c>
      <c r="Q252" s="12"/>
      <c r="R252" s="6" t="s">
        <v>400</v>
      </c>
      <c r="S252" s="12"/>
      <c r="T252" s="1">
        <v>1</v>
      </c>
      <c r="U252" s="13"/>
      <c r="V252" s="13"/>
      <c r="W252" s="5" t="s">
        <v>1491</v>
      </c>
    </row>
    <row r="253" spans="1:23" ht="225">
      <c r="A253" s="1">
        <v>1384320</v>
      </c>
      <c r="B253" s="1">
        <v>1</v>
      </c>
      <c r="C253" s="1">
        <v>1</v>
      </c>
      <c r="D253" s="2" t="s">
        <v>401</v>
      </c>
      <c r="E253" s="11" t="s">
        <v>401</v>
      </c>
      <c r="F253" s="11">
        <v>39315</v>
      </c>
      <c r="G253" s="2" t="s">
        <v>1494</v>
      </c>
      <c r="H253" s="2" t="s">
        <v>1495</v>
      </c>
      <c r="I253" s="2" t="s">
        <v>1496</v>
      </c>
      <c r="J253" s="2" t="str">
        <f>CONCATENATE(G253,F253,H253,C253,I253)</f>
        <v>https://permalinkbnd.bnportugal.gov.pt/viewer/39315/?offset=#page=1&amp;viewer=picture&amp;o=info&amp;n=0&amp;q=</v>
      </c>
      <c r="K253" s="1">
        <v>1</v>
      </c>
      <c r="L253" s="1" t="str">
        <f>VLOOKUP(A253,Folha2!$A$2:$B$2019,2,FALSE)</f>
        <v>Luís de Camões, 1880</v>
      </c>
      <c r="M253" s="12" t="str">
        <f>HYPERLINK(J253)</f>
        <v>https://permalinkbnd.bnportugal.gov.pt/viewer/39315/?offset=#page=1&amp;viewer=picture&amp;o=info&amp;n=0&amp;q=</v>
      </c>
      <c r="N253" s="12" t="s">
        <v>1497</v>
      </c>
      <c r="O253" s="12" t="str">
        <f>CONCATENATE(N253,A253,"\",B253,"\",C253,".jpg")</f>
        <v>C:\Users\mbaptista\OneDrive - Biblioteca Nacional de Portugal\Documentos\python\camoniana\imagens\capas\1384320\1\1.jpg</v>
      </c>
      <c r="P253" s="12" t="str">
        <f>HYPERLINK(O253)</f>
        <v>C:\Users\mbaptista\OneDrive - Biblioteca Nacional de Portugal\Documentos\python\camoniana\imagens\capas\1384320\1\1.jpg</v>
      </c>
      <c r="Q253" s="12"/>
      <c r="R253" s="6" t="s">
        <v>402</v>
      </c>
      <c r="S253" s="12"/>
      <c r="T253" s="1">
        <v>1</v>
      </c>
      <c r="U253" s="13"/>
      <c r="V253" s="13"/>
      <c r="W253" s="5" t="s">
        <v>1491</v>
      </c>
    </row>
    <row r="254" spans="1:23" ht="225">
      <c r="A254" s="1">
        <v>1651190</v>
      </c>
      <c r="B254" s="1">
        <v>1</v>
      </c>
      <c r="C254" s="1">
        <v>1</v>
      </c>
      <c r="D254" s="2" t="s">
        <v>403</v>
      </c>
      <c r="E254" s="5" t="s">
        <v>403</v>
      </c>
      <c r="F254" s="5">
        <v>272735</v>
      </c>
      <c r="G254" s="2" t="s">
        <v>1494</v>
      </c>
      <c r="H254" s="2" t="s">
        <v>1495</v>
      </c>
      <c r="I254" s="2" t="s">
        <v>1496</v>
      </c>
      <c r="J254" s="2" t="str">
        <f>CONCATENATE(G254,F254,H254,C254,I254)</f>
        <v>https://permalinkbnd.bnportugal.gov.pt/viewer/272735/?offset=#page=1&amp;viewer=picture&amp;o=info&amp;n=0&amp;q=</v>
      </c>
      <c r="K254" s="1">
        <v>1</v>
      </c>
      <c r="L254" s="1" t="str">
        <f>VLOOKUP(A254,Folha2!$A$2:$B$2019,2,FALSE)</f>
        <v>Jean-Charles Allet, In utrunque paratus. 1728. Reprodução c. 1890</v>
      </c>
      <c r="M254" s="12" t="str">
        <f>HYPERLINK(J254)</f>
        <v>https://permalinkbnd.bnportugal.gov.pt/viewer/272735/?offset=#page=1&amp;viewer=picture&amp;o=info&amp;n=0&amp;q=</v>
      </c>
      <c r="N254" s="12" t="s">
        <v>1497</v>
      </c>
      <c r="O254" s="12" t="str">
        <f>CONCATENATE(N254,A254,"\",B254,"\",C254,".jpg")</f>
        <v>C:\Users\mbaptista\OneDrive - Biblioteca Nacional de Portugal\Documentos\python\camoniana\imagens\capas\1651190\1\1.jpg</v>
      </c>
      <c r="P254" s="12" t="str">
        <f>HYPERLINK(O254)</f>
        <v>C:\Users\mbaptista\OneDrive - Biblioteca Nacional de Portugal\Documentos\python\camoniana\imagens\capas\1651190\1\1.jpg</v>
      </c>
      <c r="Q254" s="12"/>
      <c r="R254" s="6" t="s">
        <v>404</v>
      </c>
      <c r="S254" s="12"/>
      <c r="T254" s="1">
        <v>1</v>
      </c>
      <c r="U254" s="13"/>
      <c r="V254" s="13"/>
      <c r="W254" s="5" t="s">
        <v>1491</v>
      </c>
    </row>
    <row r="255" spans="1:23" ht="225">
      <c r="A255" s="1">
        <v>1669786</v>
      </c>
      <c r="B255" s="1">
        <v>1</v>
      </c>
      <c r="C255" s="1">
        <v>1</v>
      </c>
      <c r="D255" s="2" t="s">
        <v>405</v>
      </c>
      <c r="E255" s="11" t="s">
        <v>405</v>
      </c>
      <c r="F255" s="11">
        <v>272737</v>
      </c>
      <c r="G255" s="2" t="s">
        <v>1494</v>
      </c>
      <c r="H255" s="2" t="s">
        <v>1495</v>
      </c>
      <c r="I255" s="2" t="s">
        <v>1496</v>
      </c>
      <c r="J255" s="2" t="str">
        <f>CONCATENATE(G255,F255,H255,C255,I255)</f>
        <v>https://permalinkbnd.bnportugal.gov.pt/viewer/272737/?offset=#page=1&amp;viewer=picture&amp;o=info&amp;n=0&amp;q=</v>
      </c>
      <c r="K255" s="1">
        <v>1</v>
      </c>
      <c r="L255" s="1" t="str">
        <f>VLOOKUP(A255,Folha2!$A$2:$B$2019,2,FALSE)</f>
        <v>Inauguration de la statue de Camoens. Bronze de Victor Bastos, 1880? Iconografia, Lugares de memória</v>
      </c>
      <c r="M255" s="12" t="str">
        <f>HYPERLINK(J255)</f>
        <v>https://permalinkbnd.bnportugal.gov.pt/viewer/272737/?offset=#page=1&amp;viewer=picture&amp;o=info&amp;n=0&amp;q=</v>
      </c>
      <c r="N255" s="12" t="s">
        <v>1497</v>
      </c>
      <c r="O255" s="12" t="str">
        <f>CONCATENATE(N255,A255,"\",B255,"\",C255,".jpg")</f>
        <v>C:\Users\mbaptista\OneDrive - Biblioteca Nacional de Portugal\Documentos\python\camoniana\imagens\capas\1669786\1\1.jpg</v>
      </c>
      <c r="P255" s="12" t="str">
        <f>HYPERLINK(O255)</f>
        <v>C:\Users\mbaptista\OneDrive - Biblioteca Nacional de Portugal\Documentos\python\camoniana\imagens\capas\1669786\1\1.jpg</v>
      </c>
      <c r="Q255" s="12"/>
      <c r="R255" s="6" t="s">
        <v>406</v>
      </c>
      <c r="S255" s="12"/>
      <c r="T255" s="1">
        <v>1</v>
      </c>
      <c r="U255" s="13"/>
      <c r="V255" s="13"/>
      <c r="W255" s="5" t="s">
        <v>1491</v>
      </c>
    </row>
    <row r="256" spans="1:23" ht="225">
      <c r="A256" s="1">
        <v>1671826</v>
      </c>
      <c r="B256" s="1">
        <v>1</v>
      </c>
      <c r="C256" s="1">
        <v>1</v>
      </c>
      <c r="D256" s="2" t="s">
        <v>407</v>
      </c>
      <c r="E256" s="5" t="s">
        <v>407</v>
      </c>
      <c r="F256" s="5">
        <v>272727</v>
      </c>
      <c r="G256" s="2" t="s">
        <v>1494</v>
      </c>
      <c r="H256" s="2" t="s">
        <v>1495</v>
      </c>
      <c r="I256" s="2" t="s">
        <v>1496</v>
      </c>
      <c r="J256" s="2" t="str">
        <f>CONCATENATE(G256,F256,H256,C256,I256)</f>
        <v>https://permalinkbnd.bnportugal.gov.pt/viewer/272727/?offset=#page=1&amp;viewer=picture&amp;o=info&amp;n=0&amp;q=</v>
      </c>
      <c r="K256" s="1">
        <v>1</v>
      </c>
      <c r="L256" s="1" t="str">
        <f>VLOOKUP(A256,Folha2!$A$2:$B$2019,2,FALSE)</f>
        <v>Cartaz. Semana Camoniana. 1524-1924.</v>
      </c>
      <c r="M256" s="12" t="str">
        <f>HYPERLINK(J256)</f>
        <v>https://permalinkbnd.bnportugal.gov.pt/viewer/272727/?offset=#page=1&amp;viewer=picture&amp;o=info&amp;n=0&amp;q=</v>
      </c>
      <c r="N256" s="12" t="s">
        <v>1497</v>
      </c>
      <c r="O256" s="12" t="str">
        <f>CONCATENATE(N256,A256,"\",B256,"\",C256,".jpg")</f>
        <v>C:\Users\mbaptista\OneDrive - Biblioteca Nacional de Portugal\Documentos\python\camoniana\imagens\capas\1671826\1\1.jpg</v>
      </c>
      <c r="P256" s="12" t="str">
        <f>HYPERLINK(O256)</f>
        <v>C:\Users\mbaptista\OneDrive - Biblioteca Nacional de Portugal\Documentos\python\camoniana\imagens\capas\1671826\1\1.jpg</v>
      </c>
      <c r="Q256" s="12"/>
      <c r="R256" s="6" t="s">
        <v>408</v>
      </c>
      <c r="S256" s="12"/>
      <c r="T256" s="1">
        <v>1</v>
      </c>
      <c r="U256" s="13"/>
      <c r="V256" s="13"/>
      <c r="W256" s="5" t="s">
        <v>1491</v>
      </c>
    </row>
    <row r="257" spans="1:23" ht="225">
      <c r="A257" s="1">
        <v>1684166</v>
      </c>
      <c r="B257" s="1">
        <v>1</v>
      </c>
      <c r="C257" s="1">
        <v>1</v>
      </c>
      <c r="D257" s="2" t="s">
        <v>409</v>
      </c>
      <c r="E257" s="11" t="s">
        <v>409</v>
      </c>
      <c r="F257" s="11">
        <v>272736</v>
      </c>
      <c r="G257" s="2" t="s">
        <v>1494</v>
      </c>
      <c r="H257" s="2" t="s">
        <v>1495</v>
      </c>
      <c r="I257" s="2" t="s">
        <v>1496</v>
      </c>
      <c r="J257" s="2" t="str">
        <f>CONCATENATE(G257,F257,H257,C257,I257)</f>
        <v>https://permalinkbnd.bnportugal.gov.pt/viewer/272736/?offset=#page=1&amp;viewer=picture&amp;o=info&amp;n=0&amp;q=</v>
      </c>
      <c r="K257" s="1">
        <v>1</v>
      </c>
      <c r="L257" s="1" t="str">
        <f>VLOOKUP(A257,Folha2!$A$2:$B$2019,2,FALSE)</f>
        <v xml:space="preserve">Os netos dos varões assinalados, 1898. Imagem de Bordalo Pinheiro; texto de Tomás Ribeiro.  </v>
      </c>
      <c r="M257" s="12" t="str">
        <f>HYPERLINK(J257)</f>
        <v>https://permalinkbnd.bnportugal.gov.pt/viewer/272736/?offset=#page=1&amp;viewer=picture&amp;o=info&amp;n=0&amp;q=</v>
      </c>
      <c r="N257" s="12" t="s">
        <v>1497</v>
      </c>
      <c r="O257" s="12" t="str">
        <f>CONCATENATE(N257,A257,"\",B257,"\",C257,".jpg")</f>
        <v>C:\Users\mbaptista\OneDrive - Biblioteca Nacional de Portugal\Documentos\python\camoniana\imagens\capas\1684166\1\1.jpg</v>
      </c>
      <c r="P257" s="12" t="str">
        <f>HYPERLINK(O257)</f>
        <v>C:\Users\mbaptista\OneDrive - Biblioteca Nacional de Portugal\Documentos\python\camoniana\imagens\capas\1684166\1\1.jpg</v>
      </c>
      <c r="Q257" s="12"/>
      <c r="R257" s="6" t="s">
        <v>410</v>
      </c>
      <c r="S257" s="12"/>
      <c r="T257" s="1">
        <v>1</v>
      </c>
      <c r="U257" s="13"/>
      <c r="V257" s="13"/>
      <c r="W257" s="5" t="s">
        <v>1491</v>
      </c>
    </row>
    <row r="258" spans="1:23" ht="225">
      <c r="A258" s="1">
        <v>1718418</v>
      </c>
      <c r="B258" s="1">
        <v>1</v>
      </c>
      <c r="C258" s="1">
        <v>1</v>
      </c>
      <c r="D258" s="2" t="s">
        <v>411</v>
      </c>
      <c r="E258" s="5" t="s">
        <v>411</v>
      </c>
      <c r="F258" s="5">
        <v>16732</v>
      </c>
      <c r="G258" s="2" t="s">
        <v>1494</v>
      </c>
      <c r="H258" s="2" t="s">
        <v>1495</v>
      </c>
      <c r="I258" s="2" t="s">
        <v>1496</v>
      </c>
      <c r="J258" s="2" t="str">
        <f>CONCATENATE(G258,F258,H258,C258,I258)</f>
        <v>https://permalinkbnd.bnportugal.gov.pt/viewer/16732/?offset=#page=1&amp;viewer=picture&amp;o=info&amp;n=0&amp;q=</v>
      </c>
      <c r="K258" s="1" t="s">
        <v>412</v>
      </c>
      <c r="L258" s="1" t="str">
        <f>VLOOKUP(A258,Folha2!$A$2:$B$2019,2,FALSE)</f>
        <v>José Heliodoro Vargas Júnior, Súplica de amor/Alma minha gentil, 187?  [partitura]</v>
      </c>
      <c r="M258" s="12" t="str">
        <f>HYPERLINK(J258)</f>
        <v>https://permalinkbnd.bnportugal.gov.pt/viewer/16732/?offset=#page=1&amp;viewer=picture&amp;o=info&amp;n=0&amp;q=</v>
      </c>
      <c r="N258" s="12" t="s">
        <v>1497</v>
      </c>
      <c r="O258" s="12" t="str">
        <f>CONCATENATE(N258,A258,"\",B258,"\",C258,".jpg")</f>
        <v>C:\Users\mbaptista\OneDrive - Biblioteca Nacional de Portugal\Documentos\python\camoniana\imagens\capas\1718418\1\1.jpg</v>
      </c>
      <c r="P258" s="12" t="str">
        <f>HYPERLINK(O258)</f>
        <v>C:\Users\mbaptista\OneDrive - Biblioteca Nacional de Portugal\Documentos\python\camoniana\imagens\capas\1718418\1\1.jpg</v>
      </c>
      <c r="Q258" s="12"/>
      <c r="R258" s="6" t="s">
        <v>414</v>
      </c>
      <c r="S258" s="12"/>
      <c r="T258" s="1" t="s">
        <v>413</v>
      </c>
      <c r="U258" s="13"/>
      <c r="V258" s="13"/>
      <c r="W258" s="5" t="s">
        <v>1491</v>
      </c>
    </row>
    <row r="259" spans="1:23" ht="225">
      <c r="A259" s="1">
        <v>1718418</v>
      </c>
      <c r="B259" s="1">
        <v>1</v>
      </c>
      <c r="C259" s="1">
        <v>3</v>
      </c>
      <c r="D259" s="2" t="s">
        <v>411</v>
      </c>
      <c r="E259" s="11" t="s">
        <v>411</v>
      </c>
      <c r="F259" s="11">
        <v>16732</v>
      </c>
      <c r="G259" s="2" t="s">
        <v>1494</v>
      </c>
      <c r="H259" s="2" t="s">
        <v>1495</v>
      </c>
      <c r="I259" s="2" t="s">
        <v>1496</v>
      </c>
      <c r="J259" s="2" t="str">
        <f>CONCATENATE(G259,F259,H259,C259,I259)</f>
        <v>https://permalinkbnd.bnportugal.gov.pt/viewer/16732/?offset=#page=3&amp;viewer=picture&amp;o=info&amp;n=0&amp;q=</v>
      </c>
      <c r="K259" s="1" t="s">
        <v>412</v>
      </c>
      <c r="L259" s="1" t="str">
        <f>VLOOKUP(A259,Folha2!$A$2:$B$2019,2,FALSE)</f>
        <v>José Heliodoro Vargas Júnior, Súplica de amor/Alma minha gentil, 187?  [partitura]</v>
      </c>
      <c r="M259" s="12" t="str">
        <f>HYPERLINK(J259)</f>
        <v>https://permalinkbnd.bnportugal.gov.pt/viewer/16732/?offset=#page=3&amp;viewer=picture&amp;o=info&amp;n=0&amp;q=</v>
      </c>
      <c r="N259" s="12" t="s">
        <v>1497</v>
      </c>
      <c r="O259" s="12" t="str">
        <f>CONCATENATE(N259,A259,"\",B259,"\",C259,".jpg")</f>
        <v>C:\Users\mbaptista\OneDrive - Biblioteca Nacional de Portugal\Documentos\python\camoniana\imagens\capas\1718418\1\3.jpg</v>
      </c>
      <c r="P259" s="12" t="str">
        <f>HYPERLINK(O259)</f>
        <v>C:\Users\mbaptista\OneDrive - Biblioteca Nacional de Portugal\Documentos\python\camoniana\imagens\capas\1718418\1\3.jpg</v>
      </c>
      <c r="Q259" s="12"/>
      <c r="R259" s="6" t="s">
        <v>415</v>
      </c>
      <c r="S259" s="12"/>
      <c r="T259" s="1" t="s">
        <v>413</v>
      </c>
      <c r="U259" s="13"/>
      <c r="V259" s="13"/>
      <c r="W259" s="5" t="s">
        <v>1491</v>
      </c>
    </row>
    <row r="260" spans="1:23" ht="225">
      <c r="A260" s="1">
        <v>1724855</v>
      </c>
      <c r="B260" s="1">
        <v>1</v>
      </c>
      <c r="C260" s="1">
        <v>1</v>
      </c>
      <c r="D260" s="2" t="s">
        <v>416</v>
      </c>
      <c r="E260" s="5" t="s">
        <v>416</v>
      </c>
      <c r="F260" s="5">
        <v>268841</v>
      </c>
      <c r="G260" s="2" t="s">
        <v>1494</v>
      </c>
      <c r="H260" s="2" t="s">
        <v>1495</v>
      </c>
      <c r="I260" s="2" t="s">
        <v>1496</v>
      </c>
      <c r="J260" s="2" t="str">
        <f>CONCATENATE(G260,F260,H260,C260,I260)</f>
        <v>https://permalinkbnd.bnportugal.gov.pt/viewer/268841/?offset=#page=1&amp;viewer=picture&amp;o=info&amp;n=0&amp;q=</v>
      </c>
      <c r="K260" s="1">
        <v>1</v>
      </c>
      <c r="L260" s="1" t="str">
        <f>VLOOKUP(A260,Folha2!$A$2:$B$2019,2,FALSE)</f>
        <v>Carlos Braga, Fado Camões. Fado para piano, 1880. [partitura impressa]</v>
      </c>
      <c r="M260" s="12" t="str">
        <f>HYPERLINK(J260)</f>
        <v>https://permalinkbnd.bnportugal.gov.pt/viewer/268841/?offset=#page=1&amp;viewer=picture&amp;o=info&amp;n=0&amp;q=</v>
      </c>
      <c r="N260" s="12" t="s">
        <v>1497</v>
      </c>
      <c r="O260" s="12" t="str">
        <f>CONCATENATE(N260,A260,"\",B260,"\",C260,".jpg")</f>
        <v>C:\Users\mbaptista\OneDrive - Biblioteca Nacional de Portugal\Documentos\python\camoniana\imagens\capas\1724855\1\1.jpg</v>
      </c>
      <c r="P260" s="12" t="str">
        <f>HYPERLINK(O260)</f>
        <v>C:\Users\mbaptista\OneDrive - Biblioteca Nacional de Portugal\Documentos\python\camoniana\imagens\capas\1724855\1\1.jpg</v>
      </c>
      <c r="Q260" s="12"/>
      <c r="R260" s="6" t="s">
        <v>417</v>
      </c>
      <c r="S260" s="12"/>
      <c r="T260" s="1">
        <v>1</v>
      </c>
      <c r="U260" s="13"/>
      <c r="V260" s="13"/>
      <c r="W260" s="5" t="s">
        <v>1491</v>
      </c>
    </row>
    <row r="261" spans="1:23" ht="225">
      <c r="A261" s="1">
        <v>1752559</v>
      </c>
      <c r="B261" s="1">
        <v>1</v>
      </c>
      <c r="C261" s="1">
        <v>1</v>
      </c>
      <c r="D261" s="2" t="s">
        <v>418</v>
      </c>
      <c r="E261" s="11" t="s">
        <v>418</v>
      </c>
      <c r="F261" s="11">
        <v>33216</v>
      </c>
      <c r="G261" s="2" t="s">
        <v>1494</v>
      </c>
      <c r="H261" s="2" t="s">
        <v>1495</v>
      </c>
      <c r="I261" s="2" t="s">
        <v>1496</v>
      </c>
      <c r="J261" s="2" t="str">
        <f>CONCATENATE(G261,F261,H261,C261,I261)</f>
        <v>https://permalinkbnd.bnportugal.gov.pt/viewer/33216/?offset=#page=1&amp;viewer=picture&amp;o=info&amp;n=0&amp;q=</v>
      </c>
      <c r="K261" s="1">
        <v>1</v>
      </c>
      <c r="L261" s="1" t="str">
        <f>VLOOKUP(A261,Folha2!$A$2:$B$2019,2,FALSE)</f>
        <v>Joaquim de Sousa, A morte de Camões, c. 1866. Lápis de grafite</v>
      </c>
      <c r="M261" s="12" t="str">
        <f>HYPERLINK(J261)</f>
        <v>https://permalinkbnd.bnportugal.gov.pt/viewer/33216/?offset=#page=1&amp;viewer=picture&amp;o=info&amp;n=0&amp;q=</v>
      </c>
      <c r="N261" s="12" t="s">
        <v>1497</v>
      </c>
      <c r="O261" s="12" t="str">
        <f>CONCATENATE(N261,A261,"\",B261,"\",C261,".jpg")</f>
        <v>C:\Users\mbaptista\OneDrive - Biblioteca Nacional de Portugal\Documentos\python\camoniana\imagens\capas\1752559\1\1.jpg</v>
      </c>
      <c r="P261" s="12" t="str">
        <f>HYPERLINK(O261)</f>
        <v>C:\Users\mbaptista\OneDrive - Biblioteca Nacional de Portugal\Documentos\python\camoniana\imagens\capas\1752559\1\1.jpg</v>
      </c>
      <c r="Q261" s="12"/>
      <c r="R261" s="6" t="s">
        <v>419</v>
      </c>
      <c r="S261" s="12"/>
      <c r="T261" s="1">
        <v>1</v>
      </c>
      <c r="U261" s="13"/>
      <c r="V261" s="13"/>
      <c r="W261" s="5" t="s">
        <v>1491</v>
      </c>
    </row>
    <row r="262" spans="1:23" ht="225">
      <c r="A262" s="1">
        <v>1779910</v>
      </c>
      <c r="B262" s="1">
        <v>1</v>
      </c>
      <c r="C262" s="1">
        <v>1</v>
      </c>
      <c r="D262" s="2" t="s">
        <v>420</v>
      </c>
      <c r="E262" s="5" t="s">
        <v>420</v>
      </c>
      <c r="F262" s="5">
        <v>272731</v>
      </c>
      <c r="G262" s="2" t="s">
        <v>1494</v>
      </c>
      <c r="H262" s="2" t="s">
        <v>1495</v>
      </c>
      <c r="I262" s="2" t="s">
        <v>1496</v>
      </c>
      <c r="J262" s="2" t="str">
        <f>CONCATENATE(G262,F262,H262,C262,I262)</f>
        <v>https://permalinkbnd.bnportugal.gov.pt/viewer/272731/?offset=#page=1&amp;viewer=picture&amp;o=info&amp;n=0&amp;q=</v>
      </c>
      <c r="K262" s="1" t="s">
        <v>120</v>
      </c>
      <c r="L262" s="1" t="str">
        <f>VLOOKUP(A262,Folha2!$A$2:$B$2019,2,FALSE)</f>
        <v>Camões. 1800-1890. Gravura</v>
      </c>
      <c r="M262" s="12" t="str">
        <f>HYPERLINK(J262)</f>
        <v>https://permalinkbnd.bnportugal.gov.pt/viewer/272731/?offset=#page=1&amp;viewer=picture&amp;o=info&amp;n=0&amp;q=</v>
      </c>
      <c r="N262" s="12" t="s">
        <v>1497</v>
      </c>
      <c r="O262" s="12" t="str">
        <f>CONCATENATE(N262,A262,"\",B262,"\",C262,".jpg")</f>
        <v>C:\Users\mbaptista\OneDrive - Biblioteca Nacional de Portugal\Documentos\python\camoniana\imagens\capas\1779910\1\1.jpg</v>
      </c>
      <c r="P262" s="12" t="str">
        <f>HYPERLINK(O262)</f>
        <v>C:\Users\mbaptista\OneDrive - Biblioteca Nacional de Portugal\Documentos\python\camoniana\imagens\capas\1779910\1\1.jpg</v>
      </c>
      <c r="Q262" s="12"/>
      <c r="R262" s="6" t="s">
        <v>421</v>
      </c>
      <c r="S262" s="12"/>
      <c r="T262" s="1">
        <v>1</v>
      </c>
      <c r="U262" s="13"/>
      <c r="V262" s="13"/>
      <c r="W262" s="5" t="s">
        <v>1491</v>
      </c>
    </row>
    <row r="263" spans="1:23" ht="225">
      <c r="A263" s="1">
        <v>1784317</v>
      </c>
      <c r="B263" s="1">
        <v>1</v>
      </c>
      <c r="C263" s="1">
        <v>1</v>
      </c>
      <c r="D263" s="2" t="s">
        <v>422</v>
      </c>
      <c r="E263" s="11" t="s">
        <v>422</v>
      </c>
      <c r="F263" s="11">
        <v>272732</v>
      </c>
      <c r="G263" s="2" t="s">
        <v>1494</v>
      </c>
      <c r="H263" s="2" t="s">
        <v>1495</v>
      </c>
      <c r="I263" s="2" t="s">
        <v>1496</v>
      </c>
      <c r="J263" s="2" t="str">
        <f>CONCATENATE(G263,F263,H263,C263,I263)</f>
        <v>https://permalinkbnd.bnportugal.gov.pt/viewer/272732/?offset=#page=1&amp;viewer=picture&amp;o=info&amp;n=0&amp;q=</v>
      </c>
      <c r="K263" s="1" t="s">
        <v>120</v>
      </c>
      <c r="L263" s="1" t="str">
        <f>VLOOKUP(A263,Folha2!$A$2:$B$2019,2,FALSE)</f>
        <v>Horace Vernet, Le Camoens appuié sur les débris du vaisseau, 1810-1890</v>
      </c>
      <c r="M263" s="12" t="str">
        <f>HYPERLINK(J263)</f>
        <v>https://permalinkbnd.bnportugal.gov.pt/viewer/272732/?offset=#page=1&amp;viewer=picture&amp;o=info&amp;n=0&amp;q=</v>
      </c>
      <c r="N263" s="12" t="s">
        <v>1497</v>
      </c>
      <c r="O263" s="12" t="str">
        <f>CONCATENATE(N263,A263,"\",B263,"\",C263,".jpg")</f>
        <v>C:\Users\mbaptista\OneDrive - Biblioteca Nacional de Portugal\Documentos\python\camoniana\imagens\capas\1784317\1\1.jpg</v>
      </c>
      <c r="P263" s="12" t="str">
        <f>HYPERLINK(O263)</f>
        <v>C:\Users\mbaptista\OneDrive - Biblioteca Nacional de Portugal\Documentos\python\camoniana\imagens\capas\1784317\1\1.jpg</v>
      </c>
      <c r="Q263" s="12"/>
      <c r="R263" s="6" t="s">
        <v>423</v>
      </c>
      <c r="S263" s="12"/>
      <c r="T263" s="1">
        <v>1</v>
      </c>
      <c r="U263" s="13"/>
      <c r="V263" s="13"/>
      <c r="W263" s="5" t="s">
        <v>1491</v>
      </c>
    </row>
    <row r="264" spans="1:23" ht="225">
      <c r="A264" s="1">
        <v>1790475</v>
      </c>
      <c r="B264" s="1">
        <v>1</v>
      </c>
      <c r="C264" s="1">
        <v>1</v>
      </c>
      <c r="D264" s="2" t="s">
        <v>424</v>
      </c>
      <c r="E264" s="5" t="s">
        <v>424</v>
      </c>
      <c r="F264" s="5">
        <v>272729</v>
      </c>
      <c r="G264" s="2" t="s">
        <v>1494</v>
      </c>
      <c r="H264" s="2" t="s">
        <v>1495</v>
      </c>
      <c r="I264" s="2" t="s">
        <v>1496</v>
      </c>
      <c r="J264" s="2" t="str">
        <f>CONCATENATE(G264,F264,H264,C264,I264)</f>
        <v>https://permalinkbnd.bnportugal.gov.pt/viewer/272729/?offset=#page=1&amp;viewer=picture&amp;o=info&amp;n=0&amp;q=</v>
      </c>
      <c r="K264" s="1">
        <v>1</v>
      </c>
      <c r="L264" s="1" t="str">
        <f>VLOOKUP(A264,Folha2!$A$2:$B$2019,2,FALSE)</f>
        <v>Camões Apolo português, 1793?</v>
      </c>
      <c r="M264" s="12" t="str">
        <f>HYPERLINK(J264)</f>
        <v>https://permalinkbnd.bnportugal.gov.pt/viewer/272729/?offset=#page=1&amp;viewer=picture&amp;o=info&amp;n=0&amp;q=</v>
      </c>
      <c r="N264" s="12" t="s">
        <v>1497</v>
      </c>
      <c r="O264" s="12" t="str">
        <f>CONCATENATE(N264,A264,"\",B264,"\",C264,".jpg")</f>
        <v>C:\Users\mbaptista\OneDrive - Biblioteca Nacional de Portugal\Documentos\python\camoniana\imagens\capas\1790475\1\1.jpg</v>
      </c>
      <c r="P264" s="12" t="str">
        <f>HYPERLINK(O264)</f>
        <v>C:\Users\mbaptista\OneDrive - Biblioteca Nacional de Portugal\Documentos\python\camoniana\imagens\capas\1790475\1\1.jpg</v>
      </c>
      <c r="Q264" s="12"/>
      <c r="R264" s="6" t="s">
        <v>425</v>
      </c>
      <c r="S264" s="12"/>
      <c r="T264" s="1">
        <v>1</v>
      </c>
      <c r="U264" s="13"/>
      <c r="V264" s="13"/>
      <c r="W264" s="5" t="s">
        <v>1491</v>
      </c>
    </row>
    <row r="265" spans="1:23" ht="225">
      <c r="A265" s="1">
        <v>1888900</v>
      </c>
      <c r="B265" s="1">
        <v>1</v>
      </c>
      <c r="C265" s="1">
        <v>1</v>
      </c>
      <c r="D265" s="2" t="s">
        <v>426</v>
      </c>
      <c r="E265" s="11" t="s">
        <v>426</v>
      </c>
      <c r="F265" s="11">
        <v>272786</v>
      </c>
      <c r="G265" s="2" t="s">
        <v>1494</v>
      </c>
      <c r="H265" s="2" t="s">
        <v>1495</v>
      </c>
      <c r="I265" s="2" t="s">
        <v>1496</v>
      </c>
      <c r="J265" s="2" t="str">
        <f>CONCATENATE(G265,F265,H265,C265,I265)</f>
        <v>https://permalinkbnd.bnportugal.gov.pt/viewer/272786/?offset=#page=1&amp;viewer=picture&amp;o=info&amp;n=0&amp;q=</v>
      </c>
      <c r="K265" s="1" t="s">
        <v>427</v>
      </c>
      <c r="L265" s="1" t="str">
        <f>VLOOKUP(A265,Folha2!$A$2:$B$2019,2,FALSE)</f>
        <v xml:space="preserve">Os Lusíadas, Rio de Janeiro, 1958. Edição crítica de F. Silveira Bueno. A inserir Paratextos vida. Paratextos argumentos. Paratextos notas e Celebrações (1860), edições? Iconografia Figuras históricas e outras [sistema planetário]. </v>
      </c>
      <c r="M265" s="12" t="str">
        <f>HYPERLINK(J265)</f>
        <v>https://permalinkbnd.bnportugal.gov.pt/viewer/272786/?offset=#page=1&amp;viewer=picture&amp;o=info&amp;n=0&amp;q=</v>
      </c>
      <c r="N265" s="12" t="s">
        <v>1497</v>
      </c>
      <c r="O265" s="12" t="str">
        <f>CONCATENATE(N265,A265,"\",B265,"\",C265,".jpg")</f>
        <v>C:\Users\mbaptista\OneDrive - Biblioteca Nacional de Portugal\Documentos\python\camoniana\imagens\capas\1888900\1\1.jpg</v>
      </c>
      <c r="P265" s="12" t="str">
        <f>HYPERLINK(O265)</f>
        <v>C:\Users\mbaptista\OneDrive - Biblioteca Nacional de Portugal\Documentos\python\camoniana\imagens\capas\1888900\1\1.jpg</v>
      </c>
      <c r="Q265" s="12"/>
      <c r="R265" s="6" t="s">
        <v>429</v>
      </c>
      <c r="S265" s="12"/>
      <c r="T265" s="1" t="s">
        <v>428</v>
      </c>
      <c r="U265" s="13"/>
      <c r="V265" s="13"/>
      <c r="W265" s="5" t="s">
        <v>1491</v>
      </c>
    </row>
    <row r="266" spans="1:23" ht="225">
      <c r="A266" s="1">
        <v>1888900</v>
      </c>
      <c r="B266" s="1">
        <v>1</v>
      </c>
      <c r="C266" s="1">
        <v>8</v>
      </c>
      <c r="D266" s="2" t="s">
        <v>426</v>
      </c>
      <c r="E266" s="5" t="s">
        <v>426</v>
      </c>
      <c r="F266" s="5">
        <v>272786</v>
      </c>
      <c r="G266" s="2" t="s">
        <v>1494</v>
      </c>
      <c r="H266" s="2" t="s">
        <v>1495</v>
      </c>
      <c r="I266" s="2" t="s">
        <v>1496</v>
      </c>
      <c r="J266" s="2" t="str">
        <f>CONCATENATE(G266,F266,H266,C266,I266)</f>
        <v>https://permalinkbnd.bnportugal.gov.pt/viewer/272786/?offset=#page=8&amp;viewer=picture&amp;o=info&amp;n=0&amp;q=</v>
      </c>
      <c r="K266" s="1" t="s">
        <v>427</v>
      </c>
      <c r="L266" s="1" t="str">
        <f>VLOOKUP(A266,Folha2!$A$2:$B$2019,2,FALSE)</f>
        <v xml:space="preserve">Os Lusíadas, Rio de Janeiro, 1958. Edição crítica de F. Silveira Bueno. A inserir Paratextos vida. Paratextos argumentos. Paratextos notas e Celebrações (1860), edições? Iconografia Figuras históricas e outras [sistema planetário]. </v>
      </c>
      <c r="M266" s="12" t="str">
        <f>HYPERLINK(J266)</f>
        <v>https://permalinkbnd.bnportugal.gov.pt/viewer/272786/?offset=#page=8&amp;viewer=picture&amp;o=info&amp;n=0&amp;q=</v>
      </c>
      <c r="N266" s="12" t="s">
        <v>1497</v>
      </c>
      <c r="O266" s="12" t="str">
        <f>CONCATENATE(N266,A266,"\",B266,"\",C266,".jpg")</f>
        <v>C:\Users\mbaptista\OneDrive - Biblioteca Nacional de Portugal\Documentos\python\camoniana\imagens\capas\1888900\1\8.jpg</v>
      </c>
      <c r="P266" s="12" t="str">
        <f>HYPERLINK(O266)</f>
        <v>C:\Users\mbaptista\OneDrive - Biblioteca Nacional de Portugal\Documentos\python\camoniana\imagens\capas\1888900\1\8.jpg</v>
      </c>
      <c r="Q266" s="12"/>
      <c r="R266" s="6" t="s">
        <v>430</v>
      </c>
      <c r="S266" s="12"/>
      <c r="T266" s="1" t="s">
        <v>428</v>
      </c>
      <c r="U266" s="13"/>
      <c r="V266" s="13"/>
      <c r="W266" s="5" t="s">
        <v>1491</v>
      </c>
    </row>
    <row r="267" spans="1:23" ht="225">
      <c r="A267" s="1">
        <v>1888900</v>
      </c>
      <c r="B267" s="1">
        <v>1</v>
      </c>
      <c r="C267" s="1">
        <v>10</v>
      </c>
      <c r="D267" s="2" t="s">
        <v>426</v>
      </c>
      <c r="E267" s="11" t="s">
        <v>426</v>
      </c>
      <c r="F267" s="11">
        <v>272786</v>
      </c>
      <c r="G267" s="2" t="s">
        <v>1494</v>
      </c>
      <c r="H267" s="2" t="s">
        <v>1495</v>
      </c>
      <c r="I267" s="2" t="s">
        <v>1496</v>
      </c>
      <c r="J267" s="2" t="str">
        <f>CONCATENATE(G267,F267,H267,C267,I267)</f>
        <v>https://permalinkbnd.bnportugal.gov.pt/viewer/272786/?offset=#page=10&amp;viewer=picture&amp;o=info&amp;n=0&amp;q=</v>
      </c>
      <c r="K267" s="1" t="s">
        <v>427</v>
      </c>
      <c r="L267" s="1" t="str">
        <f>VLOOKUP(A267,Folha2!$A$2:$B$2019,2,FALSE)</f>
        <v xml:space="preserve">Os Lusíadas, Rio de Janeiro, 1958. Edição crítica de F. Silveira Bueno. A inserir Paratextos vida. Paratextos argumentos. Paratextos notas e Celebrações (1860), edições? Iconografia Figuras históricas e outras [sistema planetário]. </v>
      </c>
      <c r="M267" s="12" t="str">
        <f>HYPERLINK(J267)</f>
        <v>https://permalinkbnd.bnportugal.gov.pt/viewer/272786/?offset=#page=10&amp;viewer=picture&amp;o=info&amp;n=0&amp;q=</v>
      </c>
      <c r="N267" s="12" t="s">
        <v>1497</v>
      </c>
      <c r="O267" s="12" t="str">
        <f>CONCATENATE(N267,A267,"\",B267,"\",C267,".jpg")</f>
        <v>C:\Users\mbaptista\OneDrive - Biblioteca Nacional de Portugal\Documentos\python\camoniana\imagens\capas\1888900\1\10.jpg</v>
      </c>
      <c r="P267" s="12" t="str">
        <f>HYPERLINK(O267)</f>
        <v>C:\Users\mbaptista\OneDrive - Biblioteca Nacional de Portugal\Documentos\python\camoniana\imagens\capas\1888900\1\10.jpg</v>
      </c>
      <c r="Q267" s="12"/>
      <c r="R267" s="6" t="s">
        <v>431</v>
      </c>
      <c r="S267" s="12"/>
      <c r="T267" s="1" t="s">
        <v>428</v>
      </c>
      <c r="U267" s="13"/>
      <c r="V267" s="13"/>
      <c r="W267" s="5" t="s">
        <v>1491</v>
      </c>
    </row>
    <row r="268" spans="1:23" ht="225">
      <c r="A268" s="1">
        <v>1888900</v>
      </c>
      <c r="B268" s="1">
        <v>1</v>
      </c>
      <c r="C268" s="1">
        <v>12</v>
      </c>
      <c r="D268" s="2" t="s">
        <v>426</v>
      </c>
      <c r="E268" s="5" t="s">
        <v>426</v>
      </c>
      <c r="F268" s="5">
        <v>272786</v>
      </c>
      <c r="G268" s="2" t="s">
        <v>1494</v>
      </c>
      <c r="H268" s="2" t="s">
        <v>1495</v>
      </c>
      <c r="I268" s="2" t="s">
        <v>1496</v>
      </c>
      <c r="J268" s="2" t="str">
        <f>CONCATENATE(G268,F268,H268,C268,I268)</f>
        <v>https://permalinkbnd.bnportugal.gov.pt/viewer/272786/?offset=#page=12&amp;viewer=picture&amp;o=info&amp;n=0&amp;q=</v>
      </c>
      <c r="K268" s="1" t="s">
        <v>427</v>
      </c>
      <c r="L268" s="1" t="str">
        <f>VLOOKUP(A268,Folha2!$A$2:$B$2019,2,FALSE)</f>
        <v xml:space="preserve">Os Lusíadas, Rio de Janeiro, 1958. Edição crítica de F. Silveira Bueno. A inserir Paratextos vida. Paratextos argumentos. Paratextos notas e Celebrações (1860), edições? Iconografia Figuras históricas e outras [sistema planetário]. </v>
      </c>
      <c r="M268" s="12" t="str">
        <f>HYPERLINK(J268)</f>
        <v>https://permalinkbnd.bnportugal.gov.pt/viewer/272786/?offset=#page=12&amp;viewer=picture&amp;o=info&amp;n=0&amp;q=</v>
      </c>
      <c r="N268" s="12" t="s">
        <v>1497</v>
      </c>
      <c r="O268" s="12" t="str">
        <f>CONCATENATE(N268,A268,"\",B268,"\",C268,".jpg")</f>
        <v>C:\Users\mbaptista\OneDrive - Biblioteca Nacional de Portugal\Documentos\python\camoniana\imagens\capas\1888900\1\12.jpg</v>
      </c>
      <c r="P268" s="12" t="str">
        <f>HYPERLINK(O268)</f>
        <v>C:\Users\mbaptista\OneDrive - Biblioteca Nacional de Portugal\Documentos\python\camoniana\imagens\capas\1888900\1\12.jpg</v>
      </c>
      <c r="Q268" s="12"/>
      <c r="R268" s="6" t="s">
        <v>432</v>
      </c>
      <c r="S268" s="12"/>
      <c r="T268" s="1" t="s">
        <v>428</v>
      </c>
      <c r="U268" s="13"/>
      <c r="V268" s="13"/>
      <c r="W268" s="5" t="s">
        <v>1491</v>
      </c>
    </row>
    <row r="269" spans="1:23" ht="225">
      <c r="A269" s="1">
        <v>1888900</v>
      </c>
      <c r="B269" s="1">
        <v>1</v>
      </c>
      <c r="C269" s="1">
        <v>52</v>
      </c>
      <c r="D269" s="2" t="s">
        <v>426</v>
      </c>
      <c r="E269" s="11" t="s">
        <v>426</v>
      </c>
      <c r="F269" s="11">
        <v>272786</v>
      </c>
      <c r="G269" s="2" t="s">
        <v>1494</v>
      </c>
      <c r="H269" s="2" t="s">
        <v>1495</v>
      </c>
      <c r="I269" s="2" t="s">
        <v>1496</v>
      </c>
      <c r="J269" s="2" t="str">
        <f>CONCATENATE(G269,F269,H269,C269,I269)</f>
        <v>https://permalinkbnd.bnportugal.gov.pt/viewer/272786/?offset=#page=52&amp;viewer=picture&amp;o=info&amp;n=0&amp;q=</v>
      </c>
      <c r="K269" s="1" t="s">
        <v>427</v>
      </c>
      <c r="L269" s="1" t="str">
        <f>VLOOKUP(A269,Folha2!$A$2:$B$2019,2,FALSE)</f>
        <v xml:space="preserve">Os Lusíadas, Rio de Janeiro, 1958. Edição crítica de F. Silveira Bueno. A inserir Paratextos vida. Paratextos argumentos. Paratextos notas e Celebrações (1860), edições? Iconografia Figuras históricas e outras [sistema planetário]. </v>
      </c>
      <c r="M269" s="12" t="str">
        <f>HYPERLINK(J269)</f>
        <v>https://permalinkbnd.bnportugal.gov.pt/viewer/272786/?offset=#page=52&amp;viewer=picture&amp;o=info&amp;n=0&amp;q=</v>
      </c>
      <c r="N269" s="12" t="s">
        <v>1497</v>
      </c>
      <c r="O269" s="12" t="str">
        <f>CONCATENATE(N269,A269,"\",B269,"\",C269,".jpg")</f>
        <v>C:\Users\mbaptista\OneDrive - Biblioteca Nacional de Portugal\Documentos\python\camoniana\imagens\capas\1888900\1\52.jpg</v>
      </c>
      <c r="P269" s="12" t="str">
        <f>HYPERLINK(O269)</f>
        <v>C:\Users\mbaptista\OneDrive - Biblioteca Nacional de Portugal\Documentos\python\camoniana\imagens\capas\1888900\1\52.jpg</v>
      </c>
      <c r="Q269" s="12"/>
      <c r="R269" s="6" t="s">
        <v>433</v>
      </c>
      <c r="S269" s="12"/>
      <c r="T269" s="1" t="s">
        <v>428</v>
      </c>
      <c r="U269" s="13"/>
      <c r="V269" s="13"/>
      <c r="W269" s="5" t="s">
        <v>1491</v>
      </c>
    </row>
    <row r="270" spans="1:23" ht="225">
      <c r="A270" s="1">
        <v>1888900</v>
      </c>
      <c r="B270" s="1">
        <v>1</v>
      </c>
      <c r="C270" s="1">
        <v>53</v>
      </c>
      <c r="D270" s="2" t="s">
        <v>426</v>
      </c>
      <c r="E270" s="5" t="s">
        <v>426</v>
      </c>
      <c r="F270" s="5">
        <v>272786</v>
      </c>
      <c r="G270" s="2" t="s">
        <v>1494</v>
      </c>
      <c r="H270" s="2" t="s">
        <v>1495</v>
      </c>
      <c r="I270" s="2" t="s">
        <v>1496</v>
      </c>
      <c r="J270" s="2" t="str">
        <f>CONCATENATE(G270,F270,H270,C270,I270)</f>
        <v>https://permalinkbnd.bnportugal.gov.pt/viewer/272786/?offset=#page=53&amp;viewer=picture&amp;o=info&amp;n=0&amp;q=</v>
      </c>
      <c r="K270" s="1" t="s">
        <v>427</v>
      </c>
      <c r="L270" s="1" t="str">
        <f>VLOOKUP(A270,Folha2!$A$2:$B$2019,2,FALSE)</f>
        <v xml:space="preserve">Os Lusíadas, Rio de Janeiro, 1958. Edição crítica de F. Silveira Bueno. A inserir Paratextos vida. Paratextos argumentos. Paratextos notas e Celebrações (1860), edições? Iconografia Figuras históricas e outras [sistema planetário]. </v>
      </c>
      <c r="M270" s="12" t="str">
        <f>HYPERLINK(J270)</f>
        <v>https://permalinkbnd.bnportugal.gov.pt/viewer/272786/?offset=#page=53&amp;viewer=picture&amp;o=info&amp;n=0&amp;q=</v>
      </c>
      <c r="N270" s="12" t="s">
        <v>1497</v>
      </c>
      <c r="O270" s="12" t="str">
        <f>CONCATENATE(N270,A270,"\",B270,"\",C270,".jpg")</f>
        <v>C:\Users\mbaptista\OneDrive - Biblioteca Nacional de Portugal\Documentos\python\camoniana\imagens\capas\1888900\1\53.jpg</v>
      </c>
      <c r="P270" s="12" t="str">
        <f>HYPERLINK(O270)</f>
        <v>C:\Users\mbaptista\OneDrive - Biblioteca Nacional de Portugal\Documentos\python\camoniana\imagens\capas\1888900\1\53.jpg</v>
      </c>
      <c r="Q270" s="12"/>
      <c r="R270" s="6" t="s">
        <v>434</v>
      </c>
      <c r="S270" s="12"/>
      <c r="T270" s="1" t="s">
        <v>428</v>
      </c>
      <c r="U270" s="13"/>
      <c r="V270" s="13"/>
      <c r="W270" s="5" t="s">
        <v>1491</v>
      </c>
    </row>
    <row r="271" spans="1:23" ht="225">
      <c r="A271" s="1">
        <v>1888900</v>
      </c>
      <c r="B271" s="1">
        <v>1</v>
      </c>
      <c r="C271" s="1">
        <v>86</v>
      </c>
      <c r="D271" s="2" t="s">
        <v>426</v>
      </c>
      <c r="E271" s="11" t="s">
        <v>426</v>
      </c>
      <c r="F271" s="11">
        <v>272786</v>
      </c>
      <c r="G271" s="2" t="s">
        <v>1494</v>
      </c>
      <c r="H271" s="2" t="s">
        <v>1495</v>
      </c>
      <c r="I271" s="2" t="s">
        <v>1496</v>
      </c>
      <c r="J271" s="2" t="str">
        <f>CONCATENATE(G271,F271,H271,C271,I271)</f>
        <v>https://permalinkbnd.bnportugal.gov.pt/viewer/272786/?offset=#page=86&amp;viewer=picture&amp;o=info&amp;n=0&amp;q=</v>
      </c>
      <c r="K271" s="1" t="s">
        <v>427</v>
      </c>
      <c r="L271" s="1" t="str">
        <f>VLOOKUP(A271,Folha2!$A$2:$B$2019,2,FALSE)</f>
        <v xml:space="preserve">Os Lusíadas, Rio de Janeiro, 1958. Edição crítica de F. Silveira Bueno. A inserir Paratextos vida. Paratextos argumentos. Paratextos notas e Celebrações (1860), edições? Iconografia Figuras históricas e outras [sistema planetário]. </v>
      </c>
      <c r="M271" s="12" t="str">
        <f>HYPERLINK(J271)</f>
        <v>https://permalinkbnd.bnportugal.gov.pt/viewer/272786/?offset=#page=86&amp;viewer=picture&amp;o=info&amp;n=0&amp;q=</v>
      </c>
      <c r="N271" s="12" t="s">
        <v>1497</v>
      </c>
      <c r="O271" s="12" t="str">
        <f>CONCATENATE(N271,A271,"\",B271,"\",C271,".jpg")</f>
        <v>C:\Users\mbaptista\OneDrive - Biblioteca Nacional de Portugal\Documentos\python\camoniana\imagens\capas\1888900\1\86.jpg</v>
      </c>
      <c r="P271" s="12" t="str">
        <f>HYPERLINK(O271)</f>
        <v>C:\Users\mbaptista\OneDrive - Biblioteca Nacional de Portugal\Documentos\python\camoniana\imagens\capas\1888900\1\86.jpg</v>
      </c>
      <c r="Q271" s="12"/>
      <c r="R271" s="6" t="s">
        <v>435</v>
      </c>
      <c r="S271" s="12"/>
      <c r="T271" s="1" t="s">
        <v>428</v>
      </c>
      <c r="U271" s="13"/>
      <c r="V271" s="13"/>
      <c r="W271" s="5" t="s">
        <v>1491</v>
      </c>
    </row>
    <row r="272" spans="1:23" ht="225">
      <c r="A272" s="1">
        <v>1888900</v>
      </c>
      <c r="B272" s="1">
        <v>1</v>
      </c>
      <c r="C272" s="1">
        <v>87</v>
      </c>
      <c r="D272" s="2" t="s">
        <v>426</v>
      </c>
      <c r="E272" s="5" t="s">
        <v>426</v>
      </c>
      <c r="F272" s="5">
        <v>272786</v>
      </c>
      <c r="G272" s="2" t="s">
        <v>1494</v>
      </c>
      <c r="H272" s="2" t="s">
        <v>1495</v>
      </c>
      <c r="I272" s="2" t="s">
        <v>1496</v>
      </c>
      <c r="J272" s="2" t="str">
        <f>CONCATENATE(G272,F272,H272,C272,I272)</f>
        <v>https://permalinkbnd.bnportugal.gov.pt/viewer/272786/?offset=#page=87&amp;viewer=picture&amp;o=info&amp;n=0&amp;q=</v>
      </c>
      <c r="K272" s="1" t="s">
        <v>427</v>
      </c>
      <c r="L272" s="1" t="str">
        <f>VLOOKUP(A272,Folha2!$A$2:$B$2019,2,FALSE)</f>
        <v xml:space="preserve">Os Lusíadas, Rio de Janeiro, 1958. Edição crítica de F. Silveira Bueno. A inserir Paratextos vida. Paratextos argumentos. Paratextos notas e Celebrações (1860), edições? Iconografia Figuras históricas e outras [sistema planetário]. </v>
      </c>
      <c r="M272" s="12" t="str">
        <f>HYPERLINK(J272)</f>
        <v>https://permalinkbnd.bnportugal.gov.pt/viewer/272786/?offset=#page=87&amp;viewer=picture&amp;o=info&amp;n=0&amp;q=</v>
      </c>
      <c r="N272" s="12" t="s">
        <v>1497</v>
      </c>
      <c r="O272" s="12" t="str">
        <f>CONCATENATE(N272,A272,"\",B272,"\",C272,".jpg")</f>
        <v>C:\Users\mbaptista\OneDrive - Biblioteca Nacional de Portugal\Documentos\python\camoniana\imagens\capas\1888900\1\87.jpg</v>
      </c>
      <c r="P272" s="12" t="str">
        <f>HYPERLINK(O272)</f>
        <v>C:\Users\mbaptista\OneDrive - Biblioteca Nacional de Portugal\Documentos\python\camoniana\imagens\capas\1888900\1\87.jpg</v>
      </c>
      <c r="Q272" s="12"/>
      <c r="R272" s="6" t="s">
        <v>436</v>
      </c>
      <c r="S272" s="12"/>
      <c r="T272" s="1" t="s">
        <v>428</v>
      </c>
      <c r="U272" s="13"/>
      <c r="V272" s="13"/>
      <c r="W272" s="5" t="s">
        <v>1491</v>
      </c>
    </row>
    <row r="273" spans="1:23" ht="225">
      <c r="A273" s="1">
        <v>1888900</v>
      </c>
      <c r="B273" s="1">
        <v>1</v>
      </c>
      <c r="C273" s="1">
        <v>88</v>
      </c>
      <c r="D273" s="2" t="s">
        <v>426</v>
      </c>
      <c r="E273" s="11" t="s">
        <v>426</v>
      </c>
      <c r="F273" s="11">
        <v>272786</v>
      </c>
      <c r="G273" s="2" t="s">
        <v>1494</v>
      </c>
      <c r="H273" s="2" t="s">
        <v>1495</v>
      </c>
      <c r="I273" s="2" t="s">
        <v>1496</v>
      </c>
      <c r="J273" s="2" t="str">
        <f>CONCATENATE(G273,F273,H273,C273,I273)</f>
        <v>https://permalinkbnd.bnportugal.gov.pt/viewer/272786/?offset=#page=88&amp;viewer=picture&amp;o=info&amp;n=0&amp;q=</v>
      </c>
      <c r="K273" s="1" t="s">
        <v>427</v>
      </c>
      <c r="L273" s="1" t="str">
        <f>VLOOKUP(A273,Folha2!$A$2:$B$2019,2,FALSE)</f>
        <v xml:space="preserve">Os Lusíadas, Rio de Janeiro, 1958. Edição crítica de F. Silveira Bueno. A inserir Paratextos vida. Paratextos argumentos. Paratextos notas e Celebrações (1860), edições? Iconografia Figuras históricas e outras [sistema planetário]. </v>
      </c>
      <c r="M273" s="12" t="str">
        <f>HYPERLINK(J273)</f>
        <v>https://permalinkbnd.bnportugal.gov.pt/viewer/272786/?offset=#page=88&amp;viewer=picture&amp;o=info&amp;n=0&amp;q=</v>
      </c>
      <c r="N273" s="12" t="s">
        <v>1497</v>
      </c>
      <c r="O273" s="12" t="str">
        <f>CONCATENATE(N273,A273,"\",B273,"\",C273,".jpg")</f>
        <v>C:\Users\mbaptista\OneDrive - Biblioteca Nacional de Portugal\Documentos\python\camoniana\imagens\capas\1888900\1\88.jpg</v>
      </c>
      <c r="P273" s="12" t="str">
        <f>HYPERLINK(O273)</f>
        <v>C:\Users\mbaptista\OneDrive - Biblioteca Nacional de Portugal\Documentos\python\camoniana\imagens\capas\1888900\1\88.jpg</v>
      </c>
      <c r="Q273" s="12"/>
      <c r="R273" s="6" t="s">
        <v>437</v>
      </c>
      <c r="S273" s="12"/>
      <c r="T273" s="1" t="s">
        <v>428</v>
      </c>
      <c r="U273" s="13"/>
      <c r="V273" s="13"/>
      <c r="W273" s="5" t="s">
        <v>1491</v>
      </c>
    </row>
    <row r="274" spans="1:23" ht="225">
      <c r="A274" s="1">
        <v>1888900</v>
      </c>
      <c r="B274" s="1">
        <v>1</v>
      </c>
      <c r="C274" s="1">
        <v>166</v>
      </c>
      <c r="D274" s="2" t="s">
        <v>426</v>
      </c>
      <c r="E274" s="5" t="s">
        <v>426</v>
      </c>
      <c r="F274" s="5">
        <v>272786</v>
      </c>
      <c r="G274" s="2" t="s">
        <v>1494</v>
      </c>
      <c r="H274" s="2" t="s">
        <v>1495</v>
      </c>
      <c r="I274" s="2" t="s">
        <v>1496</v>
      </c>
      <c r="J274" s="2" t="str">
        <f>CONCATENATE(G274,F274,H274,C274,I274)</f>
        <v>https://permalinkbnd.bnportugal.gov.pt/viewer/272786/?offset=#page=166&amp;viewer=picture&amp;o=info&amp;n=0&amp;q=</v>
      </c>
      <c r="K274" s="1" t="s">
        <v>427</v>
      </c>
      <c r="L274" s="1" t="str">
        <f>VLOOKUP(A274,Folha2!$A$2:$B$2019,2,FALSE)</f>
        <v xml:space="preserve">Os Lusíadas, Rio de Janeiro, 1958. Edição crítica de F. Silveira Bueno. A inserir Paratextos vida. Paratextos argumentos. Paratextos notas e Celebrações (1860), edições? Iconografia Figuras históricas e outras [sistema planetário]. </v>
      </c>
      <c r="M274" s="12" t="str">
        <f>HYPERLINK(J274)</f>
        <v>https://permalinkbnd.bnportugal.gov.pt/viewer/272786/?offset=#page=166&amp;viewer=picture&amp;o=info&amp;n=0&amp;q=</v>
      </c>
      <c r="N274" s="12" t="s">
        <v>1497</v>
      </c>
      <c r="O274" s="12" t="str">
        <f>CONCATENATE(N274,A274,"\",B274,"\",C274,".jpg")</f>
        <v>C:\Users\mbaptista\OneDrive - Biblioteca Nacional de Portugal\Documentos\python\camoniana\imagens\capas\1888900\1\166.jpg</v>
      </c>
      <c r="P274" s="12" t="str">
        <f>HYPERLINK(O274)</f>
        <v>C:\Users\mbaptista\OneDrive - Biblioteca Nacional de Portugal\Documentos\python\camoniana\imagens\capas\1888900\1\166.jpg</v>
      </c>
      <c r="Q274" s="12"/>
      <c r="R274" s="6" t="s">
        <v>438</v>
      </c>
      <c r="S274" s="12"/>
      <c r="T274" s="1" t="s">
        <v>428</v>
      </c>
      <c r="U274" s="13"/>
      <c r="V274" s="13"/>
      <c r="W274" s="5" t="s">
        <v>1491</v>
      </c>
    </row>
    <row r="275" spans="1:23" ht="225">
      <c r="A275" s="1">
        <v>1888900</v>
      </c>
      <c r="B275" s="1">
        <v>1</v>
      </c>
      <c r="C275" s="1">
        <v>167</v>
      </c>
      <c r="D275" s="2" t="s">
        <v>426</v>
      </c>
      <c r="E275" s="11" t="s">
        <v>426</v>
      </c>
      <c r="F275" s="11">
        <v>272786</v>
      </c>
      <c r="G275" s="2" t="s">
        <v>1494</v>
      </c>
      <c r="H275" s="2" t="s">
        <v>1495</v>
      </c>
      <c r="I275" s="2" t="s">
        <v>1496</v>
      </c>
      <c r="J275" s="2" t="str">
        <f>CONCATENATE(G275,F275,H275,C275,I275)</f>
        <v>https://permalinkbnd.bnportugal.gov.pt/viewer/272786/?offset=#page=167&amp;viewer=picture&amp;o=info&amp;n=0&amp;q=</v>
      </c>
      <c r="K275" s="1" t="s">
        <v>427</v>
      </c>
      <c r="L275" s="1" t="str">
        <f>VLOOKUP(A275,Folha2!$A$2:$B$2019,2,FALSE)</f>
        <v xml:space="preserve">Os Lusíadas, Rio de Janeiro, 1958. Edição crítica de F. Silveira Bueno. A inserir Paratextos vida. Paratextos argumentos. Paratextos notas e Celebrações (1860), edições? Iconografia Figuras históricas e outras [sistema planetário]. </v>
      </c>
      <c r="M275" s="12" t="str">
        <f>HYPERLINK(J275)</f>
        <v>https://permalinkbnd.bnportugal.gov.pt/viewer/272786/?offset=#page=167&amp;viewer=picture&amp;o=info&amp;n=0&amp;q=</v>
      </c>
      <c r="N275" s="12" t="s">
        <v>1497</v>
      </c>
      <c r="O275" s="12" t="str">
        <f>CONCATENATE(N275,A275,"\",B275,"\",C275,".jpg")</f>
        <v>C:\Users\mbaptista\OneDrive - Biblioteca Nacional de Portugal\Documentos\python\camoniana\imagens\capas\1888900\1\167.jpg</v>
      </c>
      <c r="P275" s="12" t="str">
        <f>HYPERLINK(O275)</f>
        <v>C:\Users\mbaptista\OneDrive - Biblioteca Nacional de Portugal\Documentos\python\camoniana\imagens\capas\1888900\1\167.jpg</v>
      </c>
      <c r="Q275" s="12"/>
      <c r="R275" s="6" t="s">
        <v>439</v>
      </c>
      <c r="S275" s="12"/>
      <c r="T275" s="1" t="s">
        <v>428</v>
      </c>
      <c r="U275" s="13"/>
      <c r="V275" s="13"/>
      <c r="W275" s="5" t="s">
        <v>1491</v>
      </c>
    </row>
    <row r="276" spans="1:23" ht="225">
      <c r="A276" s="1">
        <v>1888900</v>
      </c>
      <c r="B276" s="1">
        <v>1</v>
      </c>
      <c r="C276" s="1">
        <v>168</v>
      </c>
      <c r="D276" s="2" t="s">
        <v>426</v>
      </c>
      <c r="E276" s="5" t="s">
        <v>426</v>
      </c>
      <c r="F276" s="5">
        <v>272786</v>
      </c>
      <c r="G276" s="2" t="s">
        <v>1494</v>
      </c>
      <c r="H276" s="2" t="s">
        <v>1495</v>
      </c>
      <c r="I276" s="2" t="s">
        <v>1496</v>
      </c>
      <c r="J276" s="2" t="str">
        <f>CONCATENATE(G276,F276,H276,C276,I276)</f>
        <v>https://permalinkbnd.bnportugal.gov.pt/viewer/272786/?offset=#page=168&amp;viewer=picture&amp;o=info&amp;n=0&amp;q=</v>
      </c>
      <c r="K276" s="1" t="s">
        <v>427</v>
      </c>
      <c r="L276" s="1" t="str">
        <f>VLOOKUP(A276,Folha2!$A$2:$B$2019,2,FALSE)</f>
        <v xml:space="preserve">Os Lusíadas, Rio de Janeiro, 1958. Edição crítica de F. Silveira Bueno. A inserir Paratextos vida. Paratextos argumentos. Paratextos notas e Celebrações (1860), edições? Iconografia Figuras históricas e outras [sistema planetário]. </v>
      </c>
      <c r="M276" s="12" t="str">
        <f>HYPERLINK(J276)</f>
        <v>https://permalinkbnd.bnportugal.gov.pt/viewer/272786/?offset=#page=168&amp;viewer=picture&amp;o=info&amp;n=0&amp;q=</v>
      </c>
      <c r="N276" s="12" t="s">
        <v>1497</v>
      </c>
      <c r="O276" s="12" t="str">
        <f>CONCATENATE(N276,A276,"\",B276,"\",C276,".jpg")</f>
        <v>C:\Users\mbaptista\OneDrive - Biblioteca Nacional de Portugal\Documentos\python\camoniana\imagens\capas\1888900\1\168.jpg</v>
      </c>
      <c r="P276" s="12" t="str">
        <f>HYPERLINK(O276)</f>
        <v>C:\Users\mbaptista\OneDrive - Biblioteca Nacional de Portugal\Documentos\python\camoniana\imagens\capas\1888900\1\168.jpg</v>
      </c>
      <c r="Q276" s="12"/>
      <c r="R276" s="6" t="s">
        <v>440</v>
      </c>
      <c r="S276" s="12"/>
      <c r="T276" s="1" t="s">
        <v>428</v>
      </c>
      <c r="U276" s="13"/>
      <c r="V276" s="13"/>
      <c r="W276" s="5" t="s">
        <v>1491</v>
      </c>
    </row>
    <row r="277" spans="1:23" ht="225">
      <c r="A277" s="1">
        <v>1888900</v>
      </c>
      <c r="B277" s="1">
        <v>1</v>
      </c>
      <c r="C277" s="1">
        <v>241</v>
      </c>
      <c r="D277" s="2" t="s">
        <v>426</v>
      </c>
      <c r="E277" s="11" t="s">
        <v>426</v>
      </c>
      <c r="F277" s="11">
        <v>272786</v>
      </c>
      <c r="G277" s="2" t="s">
        <v>1494</v>
      </c>
      <c r="H277" s="2" t="s">
        <v>1495</v>
      </c>
      <c r="I277" s="2" t="s">
        <v>1496</v>
      </c>
      <c r="J277" s="2" t="str">
        <f>CONCATENATE(G277,F277,H277,C277,I277)</f>
        <v>https://permalinkbnd.bnportugal.gov.pt/viewer/272786/?offset=#page=241&amp;viewer=picture&amp;o=info&amp;n=0&amp;q=</v>
      </c>
      <c r="K277" s="1" t="s">
        <v>427</v>
      </c>
      <c r="L277" s="1" t="str">
        <f>VLOOKUP(A277,Folha2!$A$2:$B$2019,2,FALSE)</f>
        <v xml:space="preserve">Os Lusíadas, Rio de Janeiro, 1958. Edição crítica de F. Silveira Bueno. A inserir Paratextos vida. Paratextos argumentos. Paratextos notas e Celebrações (1860), edições? Iconografia Figuras históricas e outras [sistema planetário]. </v>
      </c>
      <c r="M277" s="12" t="str">
        <f>HYPERLINK(J277)</f>
        <v>https://permalinkbnd.bnportugal.gov.pt/viewer/272786/?offset=#page=241&amp;viewer=picture&amp;o=info&amp;n=0&amp;q=</v>
      </c>
      <c r="N277" s="12" t="s">
        <v>1497</v>
      </c>
      <c r="O277" s="12" t="str">
        <f>CONCATENATE(N277,A277,"\",B277,"\",C277,".jpg")</f>
        <v>C:\Users\mbaptista\OneDrive - Biblioteca Nacional de Portugal\Documentos\python\camoniana\imagens\capas\1888900\1\241.jpg</v>
      </c>
      <c r="P277" s="12" t="str">
        <f>HYPERLINK(O277)</f>
        <v>C:\Users\mbaptista\OneDrive - Biblioteca Nacional de Portugal\Documentos\python\camoniana\imagens\capas\1888900\1\241.jpg</v>
      </c>
      <c r="Q277" s="12"/>
      <c r="R277" s="6" t="s">
        <v>441</v>
      </c>
      <c r="S277" s="12"/>
      <c r="T277" s="1" t="s">
        <v>428</v>
      </c>
      <c r="U277" s="13"/>
      <c r="V277" s="13"/>
      <c r="W277" s="5" t="s">
        <v>1491</v>
      </c>
    </row>
    <row r="278" spans="1:23" ht="225">
      <c r="A278" s="1">
        <v>1888900</v>
      </c>
      <c r="B278" s="1">
        <v>1</v>
      </c>
      <c r="C278" s="1">
        <v>329</v>
      </c>
      <c r="D278" s="2" t="s">
        <v>426</v>
      </c>
      <c r="E278" s="5" t="s">
        <v>426</v>
      </c>
      <c r="F278" s="5">
        <v>272786</v>
      </c>
      <c r="G278" s="2" t="s">
        <v>1494</v>
      </c>
      <c r="H278" s="2" t="s">
        <v>1495</v>
      </c>
      <c r="I278" s="2" t="s">
        <v>1496</v>
      </c>
      <c r="J278" s="2" t="str">
        <f>CONCATENATE(G278,F278,H278,C278,I278)</f>
        <v>https://permalinkbnd.bnportugal.gov.pt/viewer/272786/?offset=#page=329&amp;viewer=picture&amp;o=info&amp;n=0&amp;q=</v>
      </c>
      <c r="K278" s="1" t="s">
        <v>427</v>
      </c>
      <c r="L278" s="1" t="str">
        <f>VLOOKUP(A278,Folha2!$A$2:$B$2019,2,FALSE)</f>
        <v xml:space="preserve">Os Lusíadas, Rio de Janeiro, 1958. Edição crítica de F. Silveira Bueno. A inserir Paratextos vida. Paratextos argumentos. Paratextos notas e Celebrações (1860), edições? Iconografia Figuras históricas e outras [sistema planetário]. </v>
      </c>
      <c r="M278" s="12" t="str">
        <f>HYPERLINK(J278)</f>
        <v>https://permalinkbnd.bnportugal.gov.pt/viewer/272786/?offset=#page=329&amp;viewer=picture&amp;o=info&amp;n=0&amp;q=</v>
      </c>
      <c r="N278" s="12" t="s">
        <v>1497</v>
      </c>
      <c r="O278" s="12" t="str">
        <f>CONCATENATE(N278,A278,"\",B278,"\",C278,".jpg")</f>
        <v>C:\Users\mbaptista\OneDrive - Biblioteca Nacional de Portugal\Documentos\python\camoniana\imagens\capas\1888900\1\329.jpg</v>
      </c>
      <c r="P278" s="12" t="str">
        <f>HYPERLINK(O278)</f>
        <v>C:\Users\mbaptista\OneDrive - Biblioteca Nacional de Portugal\Documentos\python\camoniana\imagens\capas\1888900\1\329.jpg</v>
      </c>
      <c r="Q278" s="12"/>
      <c r="R278" s="6" t="s">
        <v>442</v>
      </c>
      <c r="S278" s="12"/>
      <c r="T278" s="1" t="s">
        <v>428</v>
      </c>
      <c r="U278" s="13"/>
      <c r="V278" s="13"/>
      <c r="W278" s="5" t="s">
        <v>1491</v>
      </c>
    </row>
    <row r="279" spans="1:23" ht="225">
      <c r="A279" s="1">
        <v>1888900</v>
      </c>
      <c r="B279" s="1">
        <v>1</v>
      </c>
      <c r="C279" s="1">
        <v>330</v>
      </c>
      <c r="D279" s="2" t="s">
        <v>426</v>
      </c>
      <c r="E279" s="11" t="s">
        <v>426</v>
      </c>
      <c r="F279" s="11">
        <v>272786</v>
      </c>
      <c r="G279" s="2" t="s">
        <v>1494</v>
      </c>
      <c r="H279" s="2" t="s">
        <v>1495</v>
      </c>
      <c r="I279" s="2" t="s">
        <v>1496</v>
      </c>
      <c r="J279" s="2" t="str">
        <f>CONCATENATE(G279,F279,H279,C279,I279)</f>
        <v>https://permalinkbnd.bnportugal.gov.pt/viewer/272786/?offset=#page=330&amp;viewer=picture&amp;o=info&amp;n=0&amp;q=</v>
      </c>
      <c r="K279" s="1" t="s">
        <v>427</v>
      </c>
      <c r="L279" s="1" t="str">
        <f>VLOOKUP(A279,Folha2!$A$2:$B$2019,2,FALSE)</f>
        <v xml:space="preserve">Os Lusíadas, Rio de Janeiro, 1958. Edição crítica de F. Silveira Bueno. A inserir Paratextos vida. Paratextos argumentos. Paratextos notas e Celebrações (1860), edições? Iconografia Figuras históricas e outras [sistema planetário]. </v>
      </c>
      <c r="M279" s="12" t="str">
        <f>HYPERLINK(J279)</f>
        <v>https://permalinkbnd.bnportugal.gov.pt/viewer/272786/?offset=#page=330&amp;viewer=picture&amp;o=info&amp;n=0&amp;q=</v>
      </c>
      <c r="N279" s="12" t="s">
        <v>1497</v>
      </c>
      <c r="O279" s="12" t="str">
        <f>CONCATENATE(N279,A279,"\",B279,"\",C279,".jpg")</f>
        <v>C:\Users\mbaptista\OneDrive - Biblioteca Nacional de Portugal\Documentos\python\camoniana\imagens\capas\1888900\1\330.jpg</v>
      </c>
      <c r="P279" s="12" t="str">
        <f>HYPERLINK(O279)</f>
        <v>C:\Users\mbaptista\OneDrive - Biblioteca Nacional de Portugal\Documentos\python\camoniana\imagens\capas\1888900\1\330.jpg</v>
      </c>
      <c r="Q279" s="12"/>
      <c r="R279" s="6" t="s">
        <v>443</v>
      </c>
      <c r="S279" s="12"/>
      <c r="T279" s="1" t="s">
        <v>428</v>
      </c>
      <c r="U279" s="13"/>
      <c r="V279" s="13"/>
      <c r="W279" s="5" t="s">
        <v>1491</v>
      </c>
    </row>
    <row r="280" spans="1:23" ht="225">
      <c r="A280" s="1">
        <v>1888900</v>
      </c>
      <c r="B280" s="1">
        <v>1</v>
      </c>
      <c r="C280" s="1">
        <v>389</v>
      </c>
      <c r="D280" s="2" t="s">
        <v>426</v>
      </c>
      <c r="E280" s="5" t="s">
        <v>426</v>
      </c>
      <c r="F280" s="5">
        <v>272786</v>
      </c>
      <c r="G280" s="2" t="s">
        <v>1494</v>
      </c>
      <c r="H280" s="2" t="s">
        <v>1495</v>
      </c>
      <c r="I280" s="2" t="s">
        <v>1496</v>
      </c>
      <c r="J280" s="2" t="str">
        <f>CONCATENATE(G280,F280,H280,C280,I280)</f>
        <v>https://permalinkbnd.bnportugal.gov.pt/viewer/272786/?offset=#page=389&amp;viewer=picture&amp;o=info&amp;n=0&amp;q=</v>
      </c>
      <c r="K280" s="1" t="s">
        <v>427</v>
      </c>
      <c r="L280" s="1" t="str">
        <f>VLOOKUP(A280,Folha2!$A$2:$B$2019,2,FALSE)</f>
        <v xml:space="preserve">Os Lusíadas, Rio de Janeiro, 1958. Edição crítica de F. Silveira Bueno. A inserir Paratextos vida. Paratextos argumentos. Paratextos notas e Celebrações (1860), edições? Iconografia Figuras históricas e outras [sistema planetário]. </v>
      </c>
      <c r="M280" s="12" t="str">
        <f>HYPERLINK(J280)</f>
        <v>https://permalinkbnd.bnportugal.gov.pt/viewer/272786/?offset=#page=389&amp;viewer=picture&amp;o=info&amp;n=0&amp;q=</v>
      </c>
      <c r="N280" s="12" t="s">
        <v>1497</v>
      </c>
      <c r="O280" s="12" t="str">
        <f>CONCATENATE(N280,A280,"\",B280,"\",C280,".jpg")</f>
        <v>C:\Users\mbaptista\OneDrive - Biblioteca Nacional de Portugal\Documentos\python\camoniana\imagens\capas\1888900\1\389.jpg</v>
      </c>
      <c r="P280" s="12" t="str">
        <f>HYPERLINK(O280)</f>
        <v>C:\Users\mbaptista\OneDrive - Biblioteca Nacional de Portugal\Documentos\python\camoniana\imagens\capas\1888900\1\389.jpg</v>
      </c>
      <c r="Q280" s="12"/>
      <c r="R280" s="6" t="s">
        <v>444</v>
      </c>
      <c r="S280" s="12"/>
      <c r="T280" s="1" t="s">
        <v>428</v>
      </c>
      <c r="U280" s="13"/>
      <c r="V280" s="13"/>
      <c r="W280" s="5" t="s">
        <v>1491</v>
      </c>
    </row>
    <row r="281" spans="1:23" ht="225">
      <c r="A281" s="1">
        <v>1888900</v>
      </c>
      <c r="B281" s="1">
        <v>1</v>
      </c>
      <c r="C281" s="1">
        <v>390</v>
      </c>
      <c r="D281" s="2" t="s">
        <v>426</v>
      </c>
      <c r="E281" s="11" t="s">
        <v>426</v>
      </c>
      <c r="F281" s="11">
        <v>272786</v>
      </c>
      <c r="G281" s="2" t="s">
        <v>1494</v>
      </c>
      <c r="H281" s="2" t="s">
        <v>1495</v>
      </c>
      <c r="I281" s="2" t="s">
        <v>1496</v>
      </c>
      <c r="J281" s="2" t="str">
        <f>CONCATENATE(G281,F281,H281,C281,I281)</f>
        <v>https://permalinkbnd.bnportugal.gov.pt/viewer/272786/?offset=#page=390&amp;viewer=picture&amp;o=info&amp;n=0&amp;q=</v>
      </c>
      <c r="K281" s="1" t="s">
        <v>427</v>
      </c>
      <c r="L281" s="1" t="str">
        <f>VLOOKUP(A281,Folha2!$A$2:$B$2019,2,FALSE)</f>
        <v xml:space="preserve">Os Lusíadas, Rio de Janeiro, 1958. Edição crítica de F. Silveira Bueno. A inserir Paratextos vida. Paratextos argumentos. Paratextos notas e Celebrações (1860), edições? Iconografia Figuras históricas e outras [sistema planetário]. </v>
      </c>
      <c r="M281" s="12" t="str">
        <f>HYPERLINK(J281)</f>
        <v>https://permalinkbnd.bnportugal.gov.pt/viewer/272786/?offset=#page=390&amp;viewer=picture&amp;o=info&amp;n=0&amp;q=</v>
      </c>
      <c r="N281" s="12" t="s">
        <v>1497</v>
      </c>
      <c r="O281" s="12" t="str">
        <f>CONCATENATE(N281,A281,"\",B281,"\",C281,".jpg")</f>
        <v>C:\Users\mbaptista\OneDrive - Biblioteca Nacional de Portugal\Documentos\python\camoniana\imagens\capas\1888900\1\390.jpg</v>
      </c>
      <c r="P281" s="12" t="str">
        <f>HYPERLINK(O281)</f>
        <v>C:\Users\mbaptista\OneDrive - Biblioteca Nacional de Portugal\Documentos\python\camoniana\imagens\capas\1888900\1\390.jpg</v>
      </c>
      <c r="Q281" s="12"/>
      <c r="R281" s="6" t="s">
        <v>445</v>
      </c>
      <c r="S281" s="12"/>
      <c r="T281" s="1" t="s">
        <v>428</v>
      </c>
      <c r="U281" s="13"/>
      <c r="V281" s="13"/>
      <c r="W281" s="5" t="s">
        <v>1491</v>
      </c>
    </row>
    <row r="282" spans="1:23" ht="225">
      <c r="A282" s="1">
        <v>1888900</v>
      </c>
      <c r="B282" s="1">
        <v>1</v>
      </c>
      <c r="C282" s="1">
        <v>449</v>
      </c>
      <c r="D282" s="2" t="s">
        <v>426</v>
      </c>
      <c r="E282" s="5" t="s">
        <v>426</v>
      </c>
      <c r="F282" s="5">
        <v>272786</v>
      </c>
      <c r="G282" s="2" t="s">
        <v>1494</v>
      </c>
      <c r="H282" s="2" t="s">
        <v>1495</v>
      </c>
      <c r="I282" s="2" t="s">
        <v>1496</v>
      </c>
      <c r="J282" s="2" t="str">
        <f>CONCATENATE(G282,F282,H282,C282,I282)</f>
        <v>https://permalinkbnd.bnportugal.gov.pt/viewer/272786/?offset=#page=449&amp;viewer=picture&amp;o=info&amp;n=0&amp;q=</v>
      </c>
      <c r="K282" s="1" t="s">
        <v>427</v>
      </c>
      <c r="L282" s="1" t="str">
        <f>VLOOKUP(A282,Folha2!$A$2:$B$2019,2,FALSE)</f>
        <v xml:space="preserve">Os Lusíadas, Rio de Janeiro, 1958. Edição crítica de F. Silveira Bueno. A inserir Paratextos vida. Paratextos argumentos. Paratextos notas e Celebrações (1860), edições? Iconografia Figuras históricas e outras [sistema planetário]. </v>
      </c>
      <c r="M282" s="12" t="str">
        <f>HYPERLINK(J282)</f>
        <v>https://permalinkbnd.bnportugal.gov.pt/viewer/272786/?offset=#page=449&amp;viewer=picture&amp;o=info&amp;n=0&amp;q=</v>
      </c>
      <c r="N282" s="12" t="s">
        <v>1497</v>
      </c>
      <c r="O282" s="12" t="str">
        <f>CONCATENATE(N282,A282,"\",B282,"\",C282,".jpg")</f>
        <v>C:\Users\mbaptista\OneDrive - Biblioteca Nacional de Portugal\Documentos\python\camoniana\imagens\capas\1888900\1\449.jpg</v>
      </c>
      <c r="P282" s="12" t="str">
        <f>HYPERLINK(O282)</f>
        <v>C:\Users\mbaptista\OneDrive - Biblioteca Nacional de Portugal\Documentos\python\camoniana\imagens\capas\1888900\1\449.jpg</v>
      </c>
      <c r="Q282" s="12"/>
      <c r="R282" s="6" t="s">
        <v>446</v>
      </c>
      <c r="S282" s="12"/>
      <c r="T282" s="1" t="s">
        <v>428</v>
      </c>
      <c r="U282" s="13"/>
      <c r="V282" s="13"/>
      <c r="W282" s="5" t="s">
        <v>1491</v>
      </c>
    </row>
    <row r="283" spans="1:23" ht="225">
      <c r="A283" s="1">
        <v>1888900</v>
      </c>
      <c r="B283" s="1">
        <v>1</v>
      </c>
      <c r="C283" s="1">
        <v>450</v>
      </c>
      <c r="D283" s="2" t="s">
        <v>426</v>
      </c>
      <c r="E283" s="11" t="s">
        <v>426</v>
      </c>
      <c r="F283" s="11">
        <v>272786</v>
      </c>
      <c r="G283" s="2" t="s">
        <v>1494</v>
      </c>
      <c r="H283" s="2" t="s">
        <v>1495</v>
      </c>
      <c r="I283" s="2" t="s">
        <v>1496</v>
      </c>
      <c r="J283" s="2" t="str">
        <f>CONCATENATE(G283,F283,H283,C283,I283)</f>
        <v>https://permalinkbnd.bnportugal.gov.pt/viewer/272786/?offset=#page=450&amp;viewer=picture&amp;o=info&amp;n=0&amp;q=</v>
      </c>
      <c r="K283" s="1" t="s">
        <v>427</v>
      </c>
      <c r="L283" s="1" t="str">
        <f>VLOOKUP(A283,Folha2!$A$2:$B$2019,2,FALSE)</f>
        <v xml:space="preserve">Os Lusíadas, Rio de Janeiro, 1958. Edição crítica de F. Silveira Bueno. A inserir Paratextos vida. Paratextos argumentos. Paratextos notas e Celebrações (1860), edições? Iconografia Figuras históricas e outras [sistema planetário]. </v>
      </c>
      <c r="M283" s="12" t="str">
        <f>HYPERLINK(J283)</f>
        <v>https://permalinkbnd.bnportugal.gov.pt/viewer/272786/?offset=#page=450&amp;viewer=picture&amp;o=info&amp;n=0&amp;q=</v>
      </c>
      <c r="N283" s="12" t="s">
        <v>1497</v>
      </c>
      <c r="O283" s="12" t="str">
        <f>CONCATENATE(N283,A283,"\",B283,"\",C283,".jpg")</f>
        <v>C:\Users\mbaptista\OneDrive - Biblioteca Nacional de Portugal\Documentos\python\camoniana\imagens\capas\1888900\1\450.jpg</v>
      </c>
      <c r="P283" s="12" t="str">
        <f>HYPERLINK(O283)</f>
        <v>C:\Users\mbaptista\OneDrive - Biblioteca Nacional de Portugal\Documentos\python\camoniana\imagens\capas\1888900\1\450.jpg</v>
      </c>
      <c r="Q283" s="12"/>
      <c r="R283" s="6" t="s">
        <v>447</v>
      </c>
      <c r="S283" s="12"/>
      <c r="T283" s="1" t="s">
        <v>428</v>
      </c>
      <c r="U283" s="13"/>
      <c r="V283" s="13"/>
      <c r="W283" s="5" t="s">
        <v>1491</v>
      </c>
    </row>
    <row r="284" spans="1:23" ht="225">
      <c r="A284" s="1">
        <v>1888900</v>
      </c>
      <c r="B284" s="1">
        <v>1</v>
      </c>
      <c r="C284" s="1">
        <v>505</v>
      </c>
      <c r="D284" s="2" t="s">
        <v>426</v>
      </c>
      <c r="E284" s="5" t="s">
        <v>426</v>
      </c>
      <c r="F284" s="5">
        <v>272786</v>
      </c>
      <c r="G284" s="2" t="s">
        <v>1494</v>
      </c>
      <c r="H284" s="2" t="s">
        <v>1495</v>
      </c>
      <c r="I284" s="2" t="s">
        <v>1496</v>
      </c>
      <c r="J284" s="2" t="str">
        <f>CONCATENATE(G284,F284,H284,C284,I284)</f>
        <v>https://permalinkbnd.bnportugal.gov.pt/viewer/272786/?offset=#page=505&amp;viewer=picture&amp;o=info&amp;n=0&amp;q=</v>
      </c>
      <c r="K284" s="1" t="s">
        <v>427</v>
      </c>
      <c r="L284" s="1" t="str">
        <f>VLOOKUP(A284,Folha2!$A$2:$B$2019,2,FALSE)</f>
        <v xml:space="preserve">Os Lusíadas, Rio de Janeiro, 1958. Edição crítica de F. Silveira Bueno. A inserir Paratextos vida. Paratextos argumentos. Paratextos notas e Celebrações (1860), edições? Iconografia Figuras históricas e outras [sistema planetário]. </v>
      </c>
      <c r="M284" s="12" t="str">
        <f>HYPERLINK(J284)</f>
        <v>https://permalinkbnd.bnportugal.gov.pt/viewer/272786/?offset=#page=505&amp;viewer=picture&amp;o=info&amp;n=0&amp;q=</v>
      </c>
      <c r="N284" s="12" t="s">
        <v>1497</v>
      </c>
      <c r="O284" s="12" t="str">
        <f>CONCATENATE(N284,A284,"\",B284,"\",C284,".jpg")</f>
        <v>C:\Users\mbaptista\OneDrive - Biblioteca Nacional de Portugal\Documentos\python\camoniana\imagens\capas\1888900\1\505.jpg</v>
      </c>
      <c r="P284" s="12" t="str">
        <f>HYPERLINK(O284)</f>
        <v>C:\Users\mbaptista\OneDrive - Biblioteca Nacional de Portugal\Documentos\python\camoniana\imagens\capas\1888900\1\505.jpg</v>
      </c>
      <c r="Q284" s="12"/>
      <c r="R284" s="6" t="s">
        <v>448</v>
      </c>
      <c r="S284" s="12"/>
      <c r="T284" s="1" t="s">
        <v>428</v>
      </c>
      <c r="U284" s="13"/>
      <c r="V284" s="13"/>
      <c r="W284" s="5" t="s">
        <v>1491</v>
      </c>
    </row>
    <row r="285" spans="1:23" ht="225">
      <c r="A285" s="1">
        <v>1888900</v>
      </c>
      <c r="B285" s="1">
        <v>1</v>
      </c>
      <c r="C285" s="1">
        <v>506</v>
      </c>
      <c r="D285" s="2" t="s">
        <v>426</v>
      </c>
      <c r="E285" s="11" t="s">
        <v>426</v>
      </c>
      <c r="F285" s="11">
        <v>272786</v>
      </c>
      <c r="G285" s="2" t="s">
        <v>1494</v>
      </c>
      <c r="H285" s="2" t="s">
        <v>1495</v>
      </c>
      <c r="I285" s="2" t="s">
        <v>1496</v>
      </c>
      <c r="J285" s="2" t="str">
        <f>CONCATENATE(G285,F285,H285,C285,I285)</f>
        <v>https://permalinkbnd.bnportugal.gov.pt/viewer/272786/?offset=#page=506&amp;viewer=picture&amp;o=info&amp;n=0&amp;q=</v>
      </c>
      <c r="K285" s="1" t="s">
        <v>427</v>
      </c>
      <c r="L285" s="1" t="str">
        <f>VLOOKUP(A285,Folha2!$A$2:$B$2019,2,FALSE)</f>
        <v xml:space="preserve">Os Lusíadas, Rio de Janeiro, 1958. Edição crítica de F. Silveira Bueno. A inserir Paratextos vida. Paratextos argumentos. Paratextos notas e Celebrações (1860), edições? Iconografia Figuras históricas e outras [sistema planetário]. </v>
      </c>
      <c r="M285" s="12" t="str">
        <f>HYPERLINK(J285)</f>
        <v>https://permalinkbnd.bnportugal.gov.pt/viewer/272786/?offset=#page=506&amp;viewer=picture&amp;o=info&amp;n=0&amp;q=</v>
      </c>
      <c r="N285" s="12" t="s">
        <v>1497</v>
      </c>
      <c r="O285" s="12" t="str">
        <f>CONCATENATE(N285,A285,"\",B285,"\",C285,".jpg")</f>
        <v>C:\Users\mbaptista\OneDrive - Biblioteca Nacional de Portugal\Documentos\python\camoniana\imagens\capas\1888900\1\506.jpg</v>
      </c>
      <c r="P285" s="12" t="str">
        <f>HYPERLINK(O285)</f>
        <v>C:\Users\mbaptista\OneDrive - Biblioteca Nacional de Portugal\Documentos\python\camoniana\imagens\capas\1888900\1\506.jpg</v>
      </c>
      <c r="Q285" s="12"/>
      <c r="R285" s="6" t="s">
        <v>449</v>
      </c>
      <c r="S285" s="12"/>
      <c r="T285" s="1" t="s">
        <v>428</v>
      </c>
      <c r="U285" s="13"/>
      <c r="V285" s="13"/>
      <c r="W285" s="5" t="s">
        <v>1491</v>
      </c>
    </row>
    <row r="286" spans="1:23" ht="225">
      <c r="A286" s="1">
        <v>1888900</v>
      </c>
      <c r="B286" s="1">
        <v>1</v>
      </c>
      <c r="C286" s="1">
        <v>559</v>
      </c>
      <c r="D286" s="2" t="s">
        <v>426</v>
      </c>
      <c r="E286" s="5" t="s">
        <v>426</v>
      </c>
      <c r="F286" s="5">
        <v>272786</v>
      </c>
      <c r="G286" s="2" t="s">
        <v>1494</v>
      </c>
      <c r="H286" s="2" t="s">
        <v>1495</v>
      </c>
      <c r="I286" s="2" t="s">
        <v>1496</v>
      </c>
      <c r="J286" s="2" t="str">
        <f>CONCATENATE(G286,F286,H286,C286,I286)</f>
        <v>https://permalinkbnd.bnportugal.gov.pt/viewer/272786/?offset=#page=559&amp;viewer=picture&amp;o=info&amp;n=0&amp;q=</v>
      </c>
      <c r="K286" s="1" t="s">
        <v>427</v>
      </c>
      <c r="L286" s="1" t="str">
        <f>VLOOKUP(A286,Folha2!$A$2:$B$2019,2,FALSE)</f>
        <v xml:space="preserve">Os Lusíadas, Rio de Janeiro, 1958. Edição crítica de F. Silveira Bueno. A inserir Paratextos vida. Paratextos argumentos. Paratextos notas e Celebrações (1860), edições? Iconografia Figuras históricas e outras [sistema planetário]. </v>
      </c>
      <c r="M286" s="12" t="str">
        <f>HYPERLINK(J286)</f>
        <v>https://permalinkbnd.bnportugal.gov.pt/viewer/272786/?offset=#page=559&amp;viewer=picture&amp;o=info&amp;n=0&amp;q=</v>
      </c>
      <c r="N286" s="12" t="s">
        <v>1497</v>
      </c>
      <c r="O286" s="12" t="str">
        <f>CONCATENATE(N286,A286,"\",B286,"\",C286,".jpg")</f>
        <v>C:\Users\mbaptista\OneDrive - Biblioteca Nacional de Portugal\Documentos\python\camoniana\imagens\capas\1888900\1\559.jpg</v>
      </c>
      <c r="P286" s="12" t="str">
        <f>HYPERLINK(O286)</f>
        <v>C:\Users\mbaptista\OneDrive - Biblioteca Nacional de Portugal\Documentos\python\camoniana\imagens\capas\1888900\1\559.jpg</v>
      </c>
      <c r="Q286" s="12"/>
      <c r="R286" s="6" t="s">
        <v>450</v>
      </c>
      <c r="S286" s="12"/>
      <c r="T286" s="1" t="s">
        <v>428</v>
      </c>
      <c r="U286" s="13"/>
      <c r="V286" s="13"/>
      <c r="W286" s="5" t="s">
        <v>1491</v>
      </c>
    </row>
    <row r="287" spans="1:23" ht="225">
      <c r="A287" s="1">
        <v>1888900</v>
      </c>
      <c r="B287" s="1">
        <v>1</v>
      </c>
      <c r="C287" s="1">
        <v>560</v>
      </c>
      <c r="D287" s="2" t="s">
        <v>426</v>
      </c>
      <c r="E287" s="11" t="s">
        <v>426</v>
      </c>
      <c r="F287" s="11">
        <v>272786</v>
      </c>
      <c r="G287" s="2" t="s">
        <v>1494</v>
      </c>
      <c r="H287" s="2" t="s">
        <v>1495</v>
      </c>
      <c r="I287" s="2" t="s">
        <v>1496</v>
      </c>
      <c r="J287" s="2" t="str">
        <f>CONCATENATE(G287,F287,H287,C287,I287)</f>
        <v>https://permalinkbnd.bnportugal.gov.pt/viewer/272786/?offset=#page=560&amp;viewer=picture&amp;o=info&amp;n=0&amp;q=</v>
      </c>
      <c r="K287" s="1" t="s">
        <v>427</v>
      </c>
      <c r="L287" s="1" t="str">
        <f>VLOOKUP(A287,Folha2!$A$2:$B$2019,2,FALSE)</f>
        <v xml:space="preserve">Os Lusíadas, Rio de Janeiro, 1958. Edição crítica de F. Silveira Bueno. A inserir Paratextos vida. Paratextos argumentos. Paratextos notas e Celebrações (1860), edições? Iconografia Figuras históricas e outras [sistema planetário]. </v>
      </c>
      <c r="M287" s="12" t="str">
        <f>HYPERLINK(J287)</f>
        <v>https://permalinkbnd.bnportugal.gov.pt/viewer/272786/?offset=#page=560&amp;viewer=picture&amp;o=info&amp;n=0&amp;q=</v>
      </c>
      <c r="N287" s="12" t="s">
        <v>1497</v>
      </c>
      <c r="O287" s="12" t="str">
        <f>CONCATENATE(N287,A287,"\",B287,"\",C287,".jpg")</f>
        <v>C:\Users\mbaptista\OneDrive - Biblioteca Nacional de Portugal\Documentos\python\camoniana\imagens\capas\1888900\1\560.jpg</v>
      </c>
      <c r="P287" s="12" t="str">
        <f>HYPERLINK(O287)</f>
        <v>C:\Users\mbaptista\OneDrive - Biblioteca Nacional de Portugal\Documentos\python\camoniana\imagens\capas\1888900\1\560.jpg</v>
      </c>
      <c r="Q287" s="12"/>
      <c r="R287" s="6" t="s">
        <v>451</v>
      </c>
      <c r="S287" s="12"/>
      <c r="T287" s="1" t="s">
        <v>428</v>
      </c>
      <c r="U287" s="13"/>
      <c r="V287" s="13"/>
      <c r="W287" s="5" t="s">
        <v>1491</v>
      </c>
    </row>
    <row r="288" spans="1:23" ht="225">
      <c r="A288" s="1">
        <v>1888900</v>
      </c>
      <c r="B288" s="1">
        <v>1</v>
      </c>
      <c r="C288" s="1">
        <v>615</v>
      </c>
      <c r="D288" s="2" t="s">
        <v>426</v>
      </c>
      <c r="E288" s="5" t="s">
        <v>426</v>
      </c>
      <c r="F288" s="5">
        <v>272786</v>
      </c>
      <c r="G288" s="2" t="s">
        <v>1494</v>
      </c>
      <c r="H288" s="2" t="s">
        <v>1495</v>
      </c>
      <c r="I288" s="2" t="s">
        <v>1496</v>
      </c>
      <c r="J288" s="2" t="str">
        <f>CONCATENATE(G288,F288,H288,C288,I288)</f>
        <v>https://permalinkbnd.bnportugal.gov.pt/viewer/272786/?offset=#page=615&amp;viewer=picture&amp;o=info&amp;n=0&amp;q=</v>
      </c>
      <c r="K288" s="1" t="s">
        <v>427</v>
      </c>
      <c r="L288" s="1" t="str">
        <f>VLOOKUP(A288,Folha2!$A$2:$B$2019,2,FALSE)</f>
        <v xml:space="preserve">Os Lusíadas, Rio de Janeiro, 1958. Edição crítica de F. Silveira Bueno. A inserir Paratextos vida. Paratextos argumentos. Paratextos notas e Celebrações (1860), edições? Iconografia Figuras históricas e outras [sistema planetário]. </v>
      </c>
      <c r="M288" s="12" t="str">
        <f>HYPERLINK(J288)</f>
        <v>https://permalinkbnd.bnportugal.gov.pt/viewer/272786/?offset=#page=615&amp;viewer=picture&amp;o=info&amp;n=0&amp;q=</v>
      </c>
      <c r="N288" s="12" t="s">
        <v>1497</v>
      </c>
      <c r="O288" s="12" t="str">
        <f>CONCATENATE(N288,A288,"\",B288,"\",C288,".jpg")</f>
        <v>C:\Users\mbaptista\OneDrive - Biblioteca Nacional de Portugal\Documentos\python\camoniana\imagens\capas\1888900\1\615.jpg</v>
      </c>
      <c r="P288" s="12" t="str">
        <f>HYPERLINK(O288)</f>
        <v>C:\Users\mbaptista\OneDrive - Biblioteca Nacional de Portugal\Documentos\python\camoniana\imagens\capas\1888900\1\615.jpg</v>
      </c>
      <c r="Q288" s="12"/>
      <c r="R288" s="6" t="s">
        <v>452</v>
      </c>
      <c r="S288" s="12"/>
      <c r="T288" s="1" t="s">
        <v>428</v>
      </c>
      <c r="U288" s="13"/>
      <c r="V288" s="13"/>
      <c r="W288" s="5" t="s">
        <v>1491</v>
      </c>
    </row>
    <row r="289" spans="1:23" ht="225">
      <c r="A289" s="1">
        <v>1888900</v>
      </c>
      <c r="B289" s="1">
        <v>1</v>
      </c>
      <c r="C289" s="1">
        <v>616</v>
      </c>
      <c r="D289" s="2" t="s">
        <v>426</v>
      </c>
      <c r="E289" s="11" t="s">
        <v>426</v>
      </c>
      <c r="F289" s="11">
        <v>272786</v>
      </c>
      <c r="G289" s="2" t="s">
        <v>1494</v>
      </c>
      <c r="H289" s="2" t="s">
        <v>1495</v>
      </c>
      <c r="I289" s="2" t="s">
        <v>1496</v>
      </c>
      <c r="J289" s="2" t="str">
        <f>CONCATENATE(G289,F289,H289,C289,I289)</f>
        <v>https://permalinkbnd.bnportugal.gov.pt/viewer/272786/?offset=#page=616&amp;viewer=picture&amp;o=info&amp;n=0&amp;q=</v>
      </c>
      <c r="K289" s="1" t="s">
        <v>427</v>
      </c>
      <c r="L289" s="1" t="str">
        <f>VLOOKUP(A289,Folha2!$A$2:$B$2019,2,FALSE)</f>
        <v xml:space="preserve">Os Lusíadas, Rio de Janeiro, 1958. Edição crítica de F. Silveira Bueno. A inserir Paratextos vida. Paratextos argumentos. Paratextos notas e Celebrações (1860), edições? Iconografia Figuras históricas e outras [sistema planetário]. </v>
      </c>
      <c r="M289" s="12" t="str">
        <f>HYPERLINK(J289)</f>
        <v>https://permalinkbnd.bnportugal.gov.pt/viewer/272786/?offset=#page=616&amp;viewer=picture&amp;o=info&amp;n=0&amp;q=</v>
      </c>
      <c r="N289" s="12" t="s">
        <v>1497</v>
      </c>
      <c r="O289" s="12" t="str">
        <f>CONCATENATE(N289,A289,"\",B289,"\",C289,".jpg")</f>
        <v>C:\Users\mbaptista\OneDrive - Biblioteca Nacional de Portugal\Documentos\python\camoniana\imagens\capas\1888900\1\616.jpg</v>
      </c>
      <c r="P289" s="12" t="str">
        <f>HYPERLINK(O289)</f>
        <v>C:\Users\mbaptista\OneDrive - Biblioteca Nacional de Portugal\Documentos\python\camoniana\imagens\capas\1888900\1\616.jpg</v>
      </c>
      <c r="Q289" s="12"/>
      <c r="R289" s="6" t="s">
        <v>453</v>
      </c>
      <c r="S289" s="12"/>
      <c r="T289" s="1" t="s">
        <v>428</v>
      </c>
      <c r="U289" s="13"/>
      <c r="V289" s="13"/>
      <c r="W289" s="5" t="s">
        <v>1491</v>
      </c>
    </row>
    <row r="290" spans="1:23" ht="225">
      <c r="A290" s="1">
        <v>1888900</v>
      </c>
      <c r="B290" s="1">
        <v>1</v>
      </c>
      <c r="C290" s="1">
        <v>670</v>
      </c>
      <c r="D290" s="2" t="s">
        <v>426</v>
      </c>
      <c r="E290" s="5" t="s">
        <v>426</v>
      </c>
      <c r="F290" s="5">
        <v>272786</v>
      </c>
      <c r="G290" s="2" t="s">
        <v>1494</v>
      </c>
      <c r="H290" s="2" t="s">
        <v>1495</v>
      </c>
      <c r="I290" s="2" t="s">
        <v>1496</v>
      </c>
      <c r="J290" s="2" t="str">
        <f>CONCATENATE(G290,F290,H290,C290,I290)</f>
        <v>https://permalinkbnd.bnportugal.gov.pt/viewer/272786/?offset=#page=670&amp;viewer=picture&amp;o=info&amp;n=0&amp;q=</v>
      </c>
      <c r="K290" s="1" t="s">
        <v>427</v>
      </c>
      <c r="L290" s="1" t="str">
        <f>VLOOKUP(A290,Folha2!$A$2:$B$2019,2,FALSE)</f>
        <v xml:space="preserve">Os Lusíadas, Rio de Janeiro, 1958. Edição crítica de F. Silveira Bueno. A inserir Paratextos vida. Paratextos argumentos. Paratextos notas e Celebrações (1860), edições? Iconografia Figuras históricas e outras [sistema planetário]. </v>
      </c>
      <c r="M290" s="12" t="str">
        <f>HYPERLINK(J290)</f>
        <v>https://permalinkbnd.bnportugal.gov.pt/viewer/272786/?offset=#page=670&amp;viewer=picture&amp;o=info&amp;n=0&amp;q=</v>
      </c>
      <c r="N290" s="12" t="s">
        <v>1497</v>
      </c>
      <c r="O290" s="12" t="str">
        <f>CONCATENATE(N290,A290,"\",B290,"\",C290,".jpg")</f>
        <v>C:\Users\mbaptista\OneDrive - Biblioteca Nacional de Portugal\Documentos\python\camoniana\imagens\capas\1888900\1\670.jpg</v>
      </c>
      <c r="P290" s="12" t="str">
        <f>HYPERLINK(O290)</f>
        <v>C:\Users\mbaptista\OneDrive - Biblioteca Nacional de Portugal\Documentos\python\camoniana\imagens\capas\1888900\1\670.jpg</v>
      </c>
      <c r="Q290" s="12"/>
      <c r="R290" s="6" t="s">
        <v>454</v>
      </c>
      <c r="S290" s="12"/>
      <c r="T290" s="1" t="s">
        <v>428</v>
      </c>
      <c r="U290" s="13"/>
      <c r="V290" s="13"/>
      <c r="W290" s="5" t="s">
        <v>1491</v>
      </c>
    </row>
    <row r="291" spans="1:23" ht="225">
      <c r="A291" s="1">
        <v>1888900</v>
      </c>
      <c r="B291" s="1">
        <v>1</v>
      </c>
      <c r="C291" s="1">
        <v>671</v>
      </c>
      <c r="D291" s="2" t="s">
        <v>426</v>
      </c>
      <c r="E291" s="11" t="s">
        <v>426</v>
      </c>
      <c r="F291" s="11">
        <v>272786</v>
      </c>
      <c r="G291" s="2" t="s">
        <v>1494</v>
      </c>
      <c r="H291" s="2" t="s">
        <v>1495</v>
      </c>
      <c r="I291" s="2" t="s">
        <v>1496</v>
      </c>
      <c r="J291" s="2" t="str">
        <f>CONCATENATE(G291,F291,H291,C291,I291)</f>
        <v>https://permalinkbnd.bnportugal.gov.pt/viewer/272786/?offset=#page=671&amp;viewer=picture&amp;o=info&amp;n=0&amp;q=</v>
      </c>
      <c r="K291" s="1" t="s">
        <v>427</v>
      </c>
      <c r="L291" s="1" t="str">
        <f>VLOOKUP(A291,Folha2!$A$2:$B$2019,2,FALSE)</f>
        <v xml:space="preserve">Os Lusíadas, Rio de Janeiro, 1958. Edição crítica de F. Silveira Bueno. A inserir Paratextos vida. Paratextos argumentos. Paratextos notas e Celebrações (1860), edições? Iconografia Figuras históricas e outras [sistema planetário]. </v>
      </c>
      <c r="M291" s="12" t="str">
        <f>HYPERLINK(J291)</f>
        <v>https://permalinkbnd.bnportugal.gov.pt/viewer/272786/?offset=#page=671&amp;viewer=picture&amp;o=info&amp;n=0&amp;q=</v>
      </c>
      <c r="N291" s="12" t="s">
        <v>1497</v>
      </c>
      <c r="O291" s="12" t="str">
        <f>CONCATENATE(N291,A291,"\",B291,"\",C291,".jpg")</f>
        <v>C:\Users\mbaptista\OneDrive - Biblioteca Nacional de Portugal\Documentos\python\camoniana\imagens\capas\1888900\1\671.jpg</v>
      </c>
      <c r="P291" s="12" t="str">
        <f>HYPERLINK(O291)</f>
        <v>C:\Users\mbaptista\OneDrive - Biblioteca Nacional de Portugal\Documentos\python\camoniana\imagens\capas\1888900\1\671.jpg</v>
      </c>
      <c r="Q291" s="12"/>
      <c r="R291" s="6" t="s">
        <v>455</v>
      </c>
      <c r="S291" s="12"/>
      <c r="T291" s="1" t="s">
        <v>428</v>
      </c>
      <c r="U291" s="13"/>
      <c r="V291" s="13"/>
      <c r="W291" s="5" t="s">
        <v>1491</v>
      </c>
    </row>
    <row r="292" spans="1:23" ht="225">
      <c r="A292" s="1">
        <v>1888900</v>
      </c>
      <c r="B292" s="1">
        <v>1</v>
      </c>
      <c r="C292" s="1">
        <v>672</v>
      </c>
      <c r="D292" s="2" t="s">
        <v>426</v>
      </c>
      <c r="E292" s="5" t="s">
        <v>426</v>
      </c>
      <c r="F292" s="5">
        <v>272786</v>
      </c>
      <c r="G292" s="2" t="s">
        <v>1494</v>
      </c>
      <c r="H292" s="2" t="s">
        <v>1495</v>
      </c>
      <c r="I292" s="2" t="s">
        <v>1496</v>
      </c>
      <c r="J292" s="2" t="str">
        <f>CONCATENATE(G292,F292,H292,C292,I292)</f>
        <v>https://permalinkbnd.bnportugal.gov.pt/viewer/272786/?offset=#page=672&amp;viewer=picture&amp;o=info&amp;n=0&amp;q=</v>
      </c>
      <c r="K292" s="1" t="s">
        <v>427</v>
      </c>
      <c r="L292" s="1" t="str">
        <f>VLOOKUP(A292,Folha2!$A$2:$B$2019,2,FALSE)</f>
        <v xml:space="preserve">Os Lusíadas, Rio de Janeiro, 1958. Edição crítica de F. Silveira Bueno. A inserir Paratextos vida. Paratextos argumentos. Paratextos notas e Celebrações (1860), edições? Iconografia Figuras históricas e outras [sistema planetário]. </v>
      </c>
      <c r="M292" s="12" t="str">
        <f>HYPERLINK(J292)</f>
        <v>https://permalinkbnd.bnportugal.gov.pt/viewer/272786/?offset=#page=672&amp;viewer=picture&amp;o=info&amp;n=0&amp;q=</v>
      </c>
      <c r="N292" s="12" t="s">
        <v>1497</v>
      </c>
      <c r="O292" s="12" t="str">
        <f>CONCATENATE(N292,A292,"\",B292,"\",C292,".jpg")</f>
        <v>C:\Users\mbaptista\OneDrive - Biblioteca Nacional de Portugal\Documentos\python\camoniana\imagens\capas\1888900\1\672.jpg</v>
      </c>
      <c r="P292" s="12" t="str">
        <f>HYPERLINK(O292)</f>
        <v>C:\Users\mbaptista\OneDrive - Biblioteca Nacional de Portugal\Documentos\python\camoniana\imagens\capas\1888900\1\672.jpg</v>
      </c>
      <c r="Q292" s="12"/>
      <c r="R292" s="6" t="s">
        <v>456</v>
      </c>
      <c r="S292" s="12"/>
      <c r="T292" s="1" t="s">
        <v>428</v>
      </c>
      <c r="U292" s="13"/>
      <c r="V292" s="13"/>
      <c r="W292" s="5" t="s">
        <v>1491</v>
      </c>
    </row>
    <row r="293" spans="1:23" ht="225">
      <c r="A293" s="1">
        <v>1888900</v>
      </c>
      <c r="B293" s="1">
        <v>1</v>
      </c>
      <c r="C293" s="1">
        <v>792</v>
      </c>
      <c r="D293" s="2" t="s">
        <v>426</v>
      </c>
      <c r="E293" s="11" t="s">
        <v>426</v>
      </c>
      <c r="F293" s="11">
        <v>272786</v>
      </c>
      <c r="G293" s="2" t="s">
        <v>1494</v>
      </c>
      <c r="H293" s="2" t="s">
        <v>1495</v>
      </c>
      <c r="I293" s="2" t="s">
        <v>1496</v>
      </c>
      <c r="J293" s="2" t="str">
        <f>CONCATENATE(G293,F293,H293,C293,I293)</f>
        <v>https://permalinkbnd.bnportugal.gov.pt/viewer/272786/?offset=#page=792&amp;viewer=picture&amp;o=info&amp;n=0&amp;q=</v>
      </c>
      <c r="K293" s="1" t="s">
        <v>427</v>
      </c>
      <c r="L293" s="1" t="str">
        <f>VLOOKUP(A293,Folha2!$A$2:$B$2019,2,FALSE)</f>
        <v xml:space="preserve">Os Lusíadas, Rio de Janeiro, 1958. Edição crítica de F. Silveira Bueno. A inserir Paratextos vida. Paratextos argumentos. Paratextos notas e Celebrações (1860), edições? Iconografia Figuras históricas e outras [sistema planetário]. </v>
      </c>
      <c r="M293" s="12" t="str">
        <f>HYPERLINK(J293)</f>
        <v>https://permalinkbnd.bnportugal.gov.pt/viewer/272786/?offset=#page=792&amp;viewer=picture&amp;o=info&amp;n=0&amp;q=</v>
      </c>
      <c r="N293" s="12" t="s">
        <v>1497</v>
      </c>
      <c r="O293" s="12" t="str">
        <f>CONCATENATE(N293,A293,"\",B293,"\",C293,".jpg")</f>
        <v>C:\Users\mbaptista\OneDrive - Biblioteca Nacional de Portugal\Documentos\python\camoniana\imagens\capas\1888900\1\792.jpg</v>
      </c>
      <c r="P293" s="12" t="str">
        <f>HYPERLINK(O293)</f>
        <v>C:\Users\mbaptista\OneDrive - Biblioteca Nacional de Portugal\Documentos\python\camoniana\imagens\capas\1888900\1\792.jpg</v>
      </c>
      <c r="Q293" s="12"/>
      <c r="R293" s="6" t="s">
        <v>457</v>
      </c>
      <c r="S293" s="12"/>
      <c r="T293" s="1" t="s">
        <v>428</v>
      </c>
      <c r="U293" s="13"/>
      <c r="V293" s="13"/>
      <c r="W293" s="5" t="s">
        <v>1491</v>
      </c>
    </row>
    <row r="294" spans="1:23" ht="225">
      <c r="A294" s="1">
        <v>1888900</v>
      </c>
      <c r="B294" s="1">
        <v>1</v>
      </c>
      <c r="C294" s="1">
        <v>793</v>
      </c>
      <c r="D294" s="2" t="s">
        <v>426</v>
      </c>
      <c r="E294" s="5" t="s">
        <v>426</v>
      </c>
      <c r="F294" s="5">
        <v>272786</v>
      </c>
      <c r="G294" s="2" t="s">
        <v>1494</v>
      </c>
      <c r="H294" s="2" t="s">
        <v>1495</v>
      </c>
      <c r="I294" s="2" t="s">
        <v>1496</v>
      </c>
      <c r="J294" s="2" t="str">
        <f>CONCATENATE(G294,F294,H294,C294,I294)</f>
        <v>https://permalinkbnd.bnportugal.gov.pt/viewer/272786/?offset=#page=793&amp;viewer=picture&amp;o=info&amp;n=0&amp;q=</v>
      </c>
      <c r="K294" s="1" t="s">
        <v>427</v>
      </c>
      <c r="L294" s="1" t="str">
        <f>VLOOKUP(A294,Folha2!$A$2:$B$2019,2,FALSE)</f>
        <v xml:space="preserve">Os Lusíadas, Rio de Janeiro, 1958. Edição crítica de F. Silveira Bueno. A inserir Paratextos vida. Paratextos argumentos. Paratextos notas e Celebrações (1860), edições? Iconografia Figuras históricas e outras [sistema planetário]. </v>
      </c>
      <c r="M294" s="12" t="str">
        <f>HYPERLINK(J294)</f>
        <v>https://permalinkbnd.bnportugal.gov.pt/viewer/272786/?offset=#page=793&amp;viewer=picture&amp;o=info&amp;n=0&amp;q=</v>
      </c>
      <c r="N294" s="12" t="s">
        <v>1497</v>
      </c>
      <c r="O294" s="12" t="str">
        <f>CONCATENATE(N294,A294,"\",B294,"\",C294,".jpg")</f>
        <v>C:\Users\mbaptista\OneDrive - Biblioteca Nacional de Portugal\Documentos\python\camoniana\imagens\capas\1888900\1\793.jpg</v>
      </c>
      <c r="P294" s="12" t="str">
        <f>HYPERLINK(O294)</f>
        <v>C:\Users\mbaptista\OneDrive - Biblioteca Nacional de Portugal\Documentos\python\camoniana\imagens\capas\1888900\1\793.jpg</v>
      </c>
      <c r="Q294" s="12"/>
      <c r="R294" s="6" t="s">
        <v>458</v>
      </c>
      <c r="S294" s="12"/>
      <c r="T294" s="1" t="s">
        <v>428</v>
      </c>
      <c r="U294" s="13"/>
      <c r="V294" s="13"/>
      <c r="W294" s="5" t="s">
        <v>1491</v>
      </c>
    </row>
    <row r="295" spans="1:23" ht="225">
      <c r="A295" s="1">
        <v>1888900</v>
      </c>
      <c r="B295" s="1">
        <v>1</v>
      </c>
      <c r="C295" s="1">
        <v>794</v>
      </c>
      <c r="D295" s="2" t="s">
        <v>426</v>
      </c>
      <c r="E295" s="11" t="s">
        <v>426</v>
      </c>
      <c r="F295" s="11">
        <v>272786</v>
      </c>
      <c r="G295" s="2" t="s">
        <v>1494</v>
      </c>
      <c r="H295" s="2" t="s">
        <v>1495</v>
      </c>
      <c r="I295" s="2" t="s">
        <v>1496</v>
      </c>
      <c r="J295" s="2" t="str">
        <f>CONCATENATE(G295,F295,H295,C295,I295)</f>
        <v>https://permalinkbnd.bnportugal.gov.pt/viewer/272786/?offset=#page=794&amp;viewer=picture&amp;o=info&amp;n=0&amp;q=</v>
      </c>
      <c r="K295" s="1" t="s">
        <v>427</v>
      </c>
      <c r="L295" s="1" t="str">
        <f>VLOOKUP(A295,Folha2!$A$2:$B$2019,2,FALSE)</f>
        <v xml:space="preserve">Os Lusíadas, Rio de Janeiro, 1958. Edição crítica de F. Silveira Bueno. A inserir Paratextos vida. Paratextos argumentos. Paratextos notas e Celebrações (1860), edições? Iconografia Figuras históricas e outras [sistema planetário]. </v>
      </c>
      <c r="M295" s="12" t="str">
        <f>HYPERLINK(J295)</f>
        <v>https://permalinkbnd.bnportugal.gov.pt/viewer/272786/?offset=#page=794&amp;viewer=picture&amp;o=info&amp;n=0&amp;q=</v>
      </c>
      <c r="N295" s="12" t="s">
        <v>1497</v>
      </c>
      <c r="O295" s="12" t="str">
        <f>CONCATENATE(N295,A295,"\",B295,"\",C295,".jpg")</f>
        <v>C:\Users\mbaptista\OneDrive - Biblioteca Nacional de Portugal\Documentos\python\camoniana\imagens\capas\1888900\1\794.jpg</v>
      </c>
      <c r="P295" s="12" t="str">
        <f>HYPERLINK(O295)</f>
        <v>C:\Users\mbaptista\OneDrive - Biblioteca Nacional de Portugal\Documentos\python\camoniana\imagens\capas\1888900\1\794.jpg</v>
      </c>
      <c r="Q295" s="12"/>
      <c r="R295" s="6" t="s">
        <v>459</v>
      </c>
      <c r="S295" s="12"/>
      <c r="T295" s="1" t="s">
        <v>428</v>
      </c>
      <c r="U295" s="13"/>
      <c r="V295" s="13"/>
      <c r="W295" s="5" t="s">
        <v>1491</v>
      </c>
    </row>
    <row r="296" spans="1:23" ht="225">
      <c r="A296" s="1">
        <v>1888900</v>
      </c>
      <c r="B296" s="1">
        <v>1</v>
      </c>
      <c r="C296" s="1">
        <v>795</v>
      </c>
      <c r="D296" s="2" t="s">
        <v>426</v>
      </c>
      <c r="E296" s="5" t="s">
        <v>426</v>
      </c>
      <c r="F296" s="5">
        <v>272786</v>
      </c>
      <c r="G296" s="2" t="s">
        <v>1494</v>
      </c>
      <c r="H296" s="2" t="s">
        <v>1495</v>
      </c>
      <c r="I296" s="2" t="s">
        <v>1496</v>
      </c>
      <c r="J296" s="2" t="str">
        <f>CONCATENATE(G296,F296,H296,C296,I296)</f>
        <v>https://permalinkbnd.bnportugal.gov.pt/viewer/272786/?offset=#page=795&amp;viewer=picture&amp;o=info&amp;n=0&amp;q=</v>
      </c>
      <c r="K296" s="1" t="s">
        <v>427</v>
      </c>
      <c r="L296" s="1" t="str">
        <f>VLOOKUP(A296,Folha2!$A$2:$B$2019,2,FALSE)</f>
        <v xml:space="preserve">Os Lusíadas, Rio de Janeiro, 1958. Edição crítica de F. Silveira Bueno. A inserir Paratextos vida. Paratextos argumentos. Paratextos notas e Celebrações (1860), edições? Iconografia Figuras históricas e outras [sistema planetário]. </v>
      </c>
      <c r="M296" s="12" t="str">
        <f>HYPERLINK(J296)</f>
        <v>https://permalinkbnd.bnportugal.gov.pt/viewer/272786/?offset=#page=795&amp;viewer=picture&amp;o=info&amp;n=0&amp;q=</v>
      </c>
      <c r="N296" s="12" t="s">
        <v>1497</v>
      </c>
      <c r="O296" s="12" t="str">
        <f>CONCATENATE(N296,A296,"\",B296,"\",C296,".jpg")</f>
        <v>C:\Users\mbaptista\OneDrive - Biblioteca Nacional de Portugal\Documentos\python\camoniana\imagens\capas\1888900\1\795.jpg</v>
      </c>
      <c r="P296" s="12" t="str">
        <f>HYPERLINK(O296)</f>
        <v>C:\Users\mbaptista\OneDrive - Biblioteca Nacional de Portugal\Documentos\python\camoniana\imagens\capas\1888900\1\795.jpg</v>
      </c>
      <c r="Q296" s="12"/>
      <c r="R296" s="6" t="s">
        <v>460</v>
      </c>
      <c r="S296" s="12"/>
      <c r="T296" s="1" t="s">
        <v>428</v>
      </c>
      <c r="U296" s="13"/>
      <c r="V296" s="13"/>
      <c r="W296" s="5" t="s">
        <v>1491</v>
      </c>
    </row>
    <row r="297" spans="1:23" ht="225">
      <c r="A297" s="1">
        <v>1888900</v>
      </c>
      <c r="B297" s="1">
        <v>1</v>
      </c>
      <c r="C297" s="1">
        <v>796</v>
      </c>
      <c r="D297" s="2" t="s">
        <v>426</v>
      </c>
      <c r="E297" s="11" t="s">
        <v>426</v>
      </c>
      <c r="F297" s="11">
        <v>272786</v>
      </c>
      <c r="G297" s="2" t="s">
        <v>1494</v>
      </c>
      <c r="H297" s="2" t="s">
        <v>1495</v>
      </c>
      <c r="I297" s="2" t="s">
        <v>1496</v>
      </c>
      <c r="J297" s="2" t="str">
        <f>CONCATENATE(G297,F297,H297,C297,I297)</f>
        <v>https://permalinkbnd.bnportugal.gov.pt/viewer/272786/?offset=#page=796&amp;viewer=picture&amp;o=info&amp;n=0&amp;q=</v>
      </c>
      <c r="K297" s="1" t="s">
        <v>427</v>
      </c>
      <c r="L297" s="1" t="str">
        <f>VLOOKUP(A297,Folha2!$A$2:$B$2019,2,FALSE)</f>
        <v xml:space="preserve">Os Lusíadas, Rio de Janeiro, 1958. Edição crítica de F. Silveira Bueno. A inserir Paratextos vida. Paratextos argumentos. Paratextos notas e Celebrações (1860), edições? Iconografia Figuras históricas e outras [sistema planetário]. </v>
      </c>
      <c r="M297" s="12" t="str">
        <f>HYPERLINK(J297)</f>
        <v>https://permalinkbnd.bnportugal.gov.pt/viewer/272786/?offset=#page=796&amp;viewer=picture&amp;o=info&amp;n=0&amp;q=</v>
      </c>
      <c r="N297" s="12" t="s">
        <v>1497</v>
      </c>
      <c r="O297" s="12" t="str">
        <f>CONCATENATE(N297,A297,"\",B297,"\",C297,".jpg")</f>
        <v>C:\Users\mbaptista\OneDrive - Biblioteca Nacional de Portugal\Documentos\python\camoniana\imagens\capas\1888900\1\796.jpg</v>
      </c>
      <c r="P297" s="12" t="str">
        <f>HYPERLINK(O297)</f>
        <v>C:\Users\mbaptista\OneDrive - Biblioteca Nacional de Portugal\Documentos\python\camoniana\imagens\capas\1888900\1\796.jpg</v>
      </c>
      <c r="Q297" s="12"/>
      <c r="R297" s="6" t="s">
        <v>461</v>
      </c>
      <c r="S297" s="12"/>
      <c r="T297" s="1" t="s">
        <v>428</v>
      </c>
      <c r="U297" s="13"/>
      <c r="V297" s="13"/>
      <c r="W297" s="5" t="s">
        <v>1491</v>
      </c>
    </row>
    <row r="298" spans="1:23" ht="225">
      <c r="A298" s="1">
        <v>1888900</v>
      </c>
      <c r="B298" s="1">
        <v>1</v>
      </c>
      <c r="C298" s="1">
        <v>797</v>
      </c>
      <c r="D298" s="2" t="s">
        <v>426</v>
      </c>
      <c r="E298" s="5" t="s">
        <v>426</v>
      </c>
      <c r="F298" s="5">
        <v>272786</v>
      </c>
      <c r="G298" s="2" t="s">
        <v>1494</v>
      </c>
      <c r="H298" s="2" t="s">
        <v>1495</v>
      </c>
      <c r="I298" s="2" t="s">
        <v>1496</v>
      </c>
      <c r="J298" s="2" t="str">
        <f>CONCATENATE(G298,F298,H298,C298,I298)</f>
        <v>https://permalinkbnd.bnportugal.gov.pt/viewer/272786/?offset=#page=797&amp;viewer=picture&amp;o=info&amp;n=0&amp;q=</v>
      </c>
      <c r="K298" s="1" t="s">
        <v>427</v>
      </c>
      <c r="L298" s="1" t="str">
        <f>VLOOKUP(A298,Folha2!$A$2:$B$2019,2,FALSE)</f>
        <v xml:space="preserve">Os Lusíadas, Rio de Janeiro, 1958. Edição crítica de F. Silveira Bueno. A inserir Paratextos vida. Paratextos argumentos. Paratextos notas e Celebrações (1860), edições? Iconografia Figuras históricas e outras [sistema planetário]. </v>
      </c>
      <c r="M298" s="12" t="str">
        <f>HYPERLINK(J298)</f>
        <v>https://permalinkbnd.bnportugal.gov.pt/viewer/272786/?offset=#page=797&amp;viewer=picture&amp;o=info&amp;n=0&amp;q=</v>
      </c>
      <c r="N298" s="12" t="s">
        <v>1497</v>
      </c>
      <c r="O298" s="12" t="str">
        <f>CONCATENATE(N298,A298,"\",B298,"\",C298,".jpg")</f>
        <v>C:\Users\mbaptista\OneDrive - Biblioteca Nacional de Portugal\Documentos\python\camoniana\imagens\capas\1888900\1\797.jpg</v>
      </c>
      <c r="P298" s="12" t="str">
        <f>HYPERLINK(O298)</f>
        <v>C:\Users\mbaptista\OneDrive - Biblioteca Nacional de Portugal\Documentos\python\camoniana\imagens\capas\1888900\1\797.jpg</v>
      </c>
      <c r="Q298" s="12"/>
      <c r="R298" s="6" t="s">
        <v>462</v>
      </c>
      <c r="S298" s="12"/>
      <c r="T298" s="1" t="s">
        <v>428</v>
      </c>
      <c r="U298" s="13"/>
      <c r="V298" s="13"/>
      <c r="W298" s="5" t="s">
        <v>1491</v>
      </c>
    </row>
    <row r="299" spans="1:23" ht="225">
      <c r="A299" s="1">
        <v>1888900</v>
      </c>
      <c r="B299" s="1">
        <v>1</v>
      </c>
      <c r="C299" s="1">
        <v>798</v>
      </c>
      <c r="D299" s="2" t="s">
        <v>426</v>
      </c>
      <c r="E299" s="11" t="s">
        <v>426</v>
      </c>
      <c r="F299" s="11">
        <v>272786</v>
      </c>
      <c r="G299" s="2" t="s">
        <v>1494</v>
      </c>
      <c r="H299" s="2" t="s">
        <v>1495</v>
      </c>
      <c r="I299" s="2" t="s">
        <v>1496</v>
      </c>
      <c r="J299" s="2" t="str">
        <f>CONCATENATE(G299,F299,H299,C299,I299)</f>
        <v>https://permalinkbnd.bnportugal.gov.pt/viewer/272786/?offset=#page=798&amp;viewer=picture&amp;o=info&amp;n=0&amp;q=</v>
      </c>
      <c r="K299" s="1" t="s">
        <v>427</v>
      </c>
      <c r="L299" s="1" t="str">
        <f>VLOOKUP(A299,Folha2!$A$2:$B$2019,2,FALSE)</f>
        <v xml:space="preserve">Os Lusíadas, Rio de Janeiro, 1958. Edição crítica de F. Silveira Bueno. A inserir Paratextos vida. Paratextos argumentos. Paratextos notas e Celebrações (1860), edições? Iconografia Figuras históricas e outras [sistema planetário]. </v>
      </c>
      <c r="M299" s="12" t="str">
        <f>HYPERLINK(J299)</f>
        <v>https://permalinkbnd.bnportugal.gov.pt/viewer/272786/?offset=#page=798&amp;viewer=picture&amp;o=info&amp;n=0&amp;q=</v>
      </c>
      <c r="N299" s="12" t="s">
        <v>1497</v>
      </c>
      <c r="O299" s="12" t="str">
        <f>CONCATENATE(N299,A299,"\",B299,"\",C299,".jpg")</f>
        <v>C:\Users\mbaptista\OneDrive - Biblioteca Nacional de Portugal\Documentos\python\camoniana\imagens\capas\1888900\1\798.jpg</v>
      </c>
      <c r="P299" s="12" t="str">
        <f>HYPERLINK(O299)</f>
        <v>C:\Users\mbaptista\OneDrive - Biblioteca Nacional de Portugal\Documentos\python\camoniana\imagens\capas\1888900\1\798.jpg</v>
      </c>
      <c r="Q299" s="12"/>
      <c r="R299" s="6" t="s">
        <v>463</v>
      </c>
      <c r="S299" s="12"/>
      <c r="T299" s="1" t="s">
        <v>428</v>
      </c>
      <c r="U299" s="13"/>
      <c r="V299" s="13"/>
      <c r="W299" s="5" t="s">
        <v>1491</v>
      </c>
    </row>
    <row r="300" spans="1:23" ht="225">
      <c r="A300" s="1">
        <v>1888900</v>
      </c>
      <c r="B300" s="1">
        <v>1</v>
      </c>
      <c r="C300" s="1">
        <v>799</v>
      </c>
      <c r="D300" s="2" t="s">
        <v>426</v>
      </c>
      <c r="E300" s="5" t="s">
        <v>426</v>
      </c>
      <c r="F300" s="5">
        <v>272786</v>
      </c>
      <c r="G300" s="2" t="s">
        <v>1494</v>
      </c>
      <c r="H300" s="2" t="s">
        <v>1495</v>
      </c>
      <c r="I300" s="2" t="s">
        <v>1496</v>
      </c>
      <c r="J300" s="2" t="str">
        <f>CONCATENATE(G300,F300,H300,C300,I300)</f>
        <v>https://permalinkbnd.bnportugal.gov.pt/viewer/272786/?offset=#page=799&amp;viewer=picture&amp;o=info&amp;n=0&amp;q=</v>
      </c>
      <c r="K300" s="1" t="s">
        <v>427</v>
      </c>
      <c r="L300" s="1" t="str">
        <f>VLOOKUP(A300,Folha2!$A$2:$B$2019,2,FALSE)</f>
        <v xml:space="preserve">Os Lusíadas, Rio de Janeiro, 1958. Edição crítica de F. Silveira Bueno. A inserir Paratextos vida. Paratextos argumentos. Paratextos notas e Celebrações (1860), edições? Iconografia Figuras históricas e outras [sistema planetário]. </v>
      </c>
      <c r="M300" s="12" t="str">
        <f>HYPERLINK(J300)</f>
        <v>https://permalinkbnd.bnportugal.gov.pt/viewer/272786/?offset=#page=799&amp;viewer=picture&amp;o=info&amp;n=0&amp;q=</v>
      </c>
      <c r="N300" s="12" t="s">
        <v>1497</v>
      </c>
      <c r="O300" s="12" t="str">
        <f>CONCATENATE(N300,A300,"\",B300,"\",C300,".jpg")</f>
        <v>C:\Users\mbaptista\OneDrive - Biblioteca Nacional de Portugal\Documentos\python\camoniana\imagens\capas\1888900\1\799.jpg</v>
      </c>
      <c r="P300" s="12" t="str">
        <f>HYPERLINK(O300)</f>
        <v>C:\Users\mbaptista\OneDrive - Biblioteca Nacional de Portugal\Documentos\python\camoniana\imagens\capas\1888900\1\799.jpg</v>
      </c>
      <c r="Q300" s="12"/>
      <c r="R300" s="6" t="s">
        <v>464</v>
      </c>
      <c r="S300" s="12"/>
      <c r="T300" s="1" t="s">
        <v>428</v>
      </c>
      <c r="U300" s="13"/>
      <c r="V300" s="13"/>
      <c r="W300" s="5" t="s">
        <v>1491</v>
      </c>
    </row>
    <row r="301" spans="1:23" ht="225">
      <c r="A301" s="1">
        <v>1888900</v>
      </c>
      <c r="B301" s="1">
        <v>1</v>
      </c>
      <c r="C301" s="1">
        <v>800</v>
      </c>
      <c r="D301" s="2" t="s">
        <v>426</v>
      </c>
      <c r="E301" s="11" t="s">
        <v>426</v>
      </c>
      <c r="F301" s="11">
        <v>272786</v>
      </c>
      <c r="G301" s="2" t="s">
        <v>1494</v>
      </c>
      <c r="H301" s="2" t="s">
        <v>1495</v>
      </c>
      <c r="I301" s="2" t="s">
        <v>1496</v>
      </c>
      <c r="J301" s="2" t="str">
        <f>CONCATENATE(G301,F301,H301,C301,I301)</f>
        <v>https://permalinkbnd.bnportugal.gov.pt/viewer/272786/?offset=#page=800&amp;viewer=picture&amp;o=info&amp;n=0&amp;q=</v>
      </c>
      <c r="K301" s="1" t="s">
        <v>427</v>
      </c>
      <c r="L301" s="1" t="str">
        <f>VLOOKUP(A301,Folha2!$A$2:$B$2019,2,FALSE)</f>
        <v xml:space="preserve">Os Lusíadas, Rio de Janeiro, 1958. Edição crítica de F. Silveira Bueno. A inserir Paratextos vida. Paratextos argumentos. Paratextos notas e Celebrações (1860), edições? Iconografia Figuras históricas e outras [sistema planetário]. </v>
      </c>
      <c r="M301" s="12" t="str">
        <f>HYPERLINK(J301)</f>
        <v>https://permalinkbnd.bnportugal.gov.pt/viewer/272786/?offset=#page=800&amp;viewer=picture&amp;o=info&amp;n=0&amp;q=</v>
      </c>
      <c r="N301" s="12" t="s">
        <v>1497</v>
      </c>
      <c r="O301" s="12" t="str">
        <f>CONCATENATE(N301,A301,"\",B301,"\",C301,".jpg")</f>
        <v>C:\Users\mbaptista\OneDrive - Biblioteca Nacional de Portugal\Documentos\python\camoniana\imagens\capas\1888900\1\800.jpg</v>
      </c>
      <c r="P301" s="12" t="str">
        <f>HYPERLINK(O301)</f>
        <v>C:\Users\mbaptista\OneDrive - Biblioteca Nacional de Portugal\Documentos\python\camoniana\imagens\capas\1888900\1\800.jpg</v>
      </c>
      <c r="Q301" s="12"/>
      <c r="R301" s="6" t="s">
        <v>465</v>
      </c>
      <c r="S301" s="12"/>
      <c r="T301" s="1" t="s">
        <v>428</v>
      </c>
      <c r="U301" s="13"/>
      <c r="V301" s="13"/>
      <c r="W301" s="5" t="s">
        <v>1491</v>
      </c>
    </row>
    <row r="302" spans="1:23" ht="225">
      <c r="A302" s="1">
        <v>1888900</v>
      </c>
      <c r="B302" s="1">
        <v>1</v>
      </c>
      <c r="C302" s="1">
        <v>804</v>
      </c>
      <c r="D302" s="2" t="s">
        <v>426</v>
      </c>
      <c r="E302" s="5" t="s">
        <v>426</v>
      </c>
      <c r="F302" s="5">
        <v>272786</v>
      </c>
      <c r="G302" s="2" t="s">
        <v>1494</v>
      </c>
      <c r="H302" s="2" t="s">
        <v>1495</v>
      </c>
      <c r="I302" s="2" t="s">
        <v>1496</v>
      </c>
      <c r="J302" s="2" t="str">
        <f>CONCATENATE(G302,F302,H302,C302,I302)</f>
        <v>https://permalinkbnd.bnportugal.gov.pt/viewer/272786/?offset=#page=804&amp;viewer=picture&amp;o=info&amp;n=0&amp;q=</v>
      </c>
      <c r="K302" s="1" t="s">
        <v>427</v>
      </c>
      <c r="L302" s="1" t="str">
        <f>VLOOKUP(A302,Folha2!$A$2:$B$2019,2,FALSE)</f>
        <v xml:space="preserve">Os Lusíadas, Rio de Janeiro, 1958. Edição crítica de F. Silveira Bueno. A inserir Paratextos vida. Paratextos argumentos. Paratextos notas e Celebrações (1860), edições? Iconografia Figuras históricas e outras [sistema planetário]. </v>
      </c>
      <c r="M302" s="12" t="str">
        <f>HYPERLINK(J302)</f>
        <v>https://permalinkbnd.bnportugal.gov.pt/viewer/272786/?offset=#page=804&amp;viewer=picture&amp;o=info&amp;n=0&amp;q=</v>
      </c>
      <c r="N302" s="12" t="s">
        <v>1497</v>
      </c>
      <c r="O302" s="12" t="str">
        <f>CONCATENATE(N302,A302,"\",B302,"\",C302,".jpg")</f>
        <v>C:\Users\mbaptista\OneDrive - Biblioteca Nacional de Portugal\Documentos\python\camoniana\imagens\capas\1888900\1\804.jpg</v>
      </c>
      <c r="P302" s="12" t="str">
        <f>HYPERLINK(O302)</f>
        <v>C:\Users\mbaptista\OneDrive - Biblioteca Nacional de Portugal\Documentos\python\camoniana\imagens\capas\1888900\1\804.jpg</v>
      </c>
      <c r="Q302" s="12"/>
      <c r="R302" s="6" t="s">
        <v>466</v>
      </c>
      <c r="S302" s="12"/>
      <c r="T302" s="1" t="s">
        <v>428</v>
      </c>
      <c r="U302" s="13"/>
      <c r="V302" s="13"/>
      <c r="W302" s="5" t="s">
        <v>1491</v>
      </c>
    </row>
    <row r="303" spans="1:23" ht="225">
      <c r="A303" s="1">
        <v>1891325</v>
      </c>
      <c r="B303" s="1">
        <v>1</v>
      </c>
      <c r="C303" s="1">
        <v>1</v>
      </c>
      <c r="D303" s="2" t="s">
        <v>467</v>
      </c>
      <c r="E303" s="11" t="s">
        <v>467</v>
      </c>
      <c r="F303" s="11">
        <v>272730</v>
      </c>
      <c r="G303" s="2" t="s">
        <v>1494</v>
      </c>
      <c r="H303" s="2" t="s">
        <v>1495</v>
      </c>
      <c r="I303" s="2" t="s">
        <v>1496</v>
      </c>
      <c r="J303" s="2" t="str">
        <f>CONCATENATE(G303,F303,H303,C303,I303)</f>
        <v>https://permalinkbnd.bnportugal.gov.pt/viewer/272730/?offset=#page=1&amp;viewer=picture&amp;o=info&amp;n=0&amp;q=</v>
      </c>
      <c r="K303" s="1">
        <v>1</v>
      </c>
      <c r="L303" s="1" t="str">
        <f>VLOOKUP(A303,Folha2!$A$2:$B$2019,2,FALSE)</f>
        <v>Roque Gameiro, A leitura d'Os Lusíadas a fr. B. Ferreira. Aguarela, 1890-1916</v>
      </c>
      <c r="M303" s="12" t="str">
        <f>HYPERLINK(J303)</f>
        <v>https://permalinkbnd.bnportugal.gov.pt/viewer/272730/?offset=#page=1&amp;viewer=picture&amp;o=info&amp;n=0&amp;q=</v>
      </c>
      <c r="N303" s="12" t="s">
        <v>1497</v>
      </c>
      <c r="O303" s="12" t="str">
        <f>CONCATENATE(N303,A303,"\",B303,"\",C303,".jpg")</f>
        <v>C:\Users\mbaptista\OneDrive - Biblioteca Nacional de Portugal\Documentos\python\camoniana\imagens\capas\1891325\1\1.jpg</v>
      </c>
      <c r="P303" s="12" t="str">
        <f>HYPERLINK(O303)</f>
        <v>C:\Users\mbaptista\OneDrive - Biblioteca Nacional de Portugal\Documentos\python\camoniana\imagens\capas\1891325\1\1.jpg</v>
      </c>
      <c r="Q303" s="12"/>
      <c r="R303" s="6" t="s">
        <v>468</v>
      </c>
      <c r="S303" s="12"/>
      <c r="T303" s="1">
        <v>1</v>
      </c>
      <c r="U303" s="13"/>
      <c r="V303" s="13"/>
      <c r="W303" s="5" t="s">
        <v>1491</v>
      </c>
    </row>
    <row r="304" spans="1:23" ht="225">
      <c r="A304" s="1">
        <v>1915110</v>
      </c>
      <c r="B304" s="1">
        <v>1</v>
      </c>
      <c r="C304" s="1">
        <v>3</v>
      </c>
      <c r="D304" s="2" t="s">
        <v>469</v>
      </c>
      <c r="E304" s="5" t="s">
        <v>469</v>
      </c>
      <c r="F304" s="5">
        <v>67153</v>
      </c>
      <c r="G304" s="2" t="s">
        <v>1494</v>
      </c>
      <c r="H304" s="2" t="s">
        <v>1495</v>
      </c>
      <c r="I304" s="2" t="s">
        <v>1496</v>
      </c>
      <c r="J304" s="2" t="str">
        <f>CONCATENATE(G304,F304,H304,C304,I304)</f>
        <v>https://permalinkbnd.bnportugal.gov.pt/viewer/67153/?offset=#page=3&amp;viewer=picture&amp;o=info&amp;n=0&amp;q=</v>
      </c>
      <c r="K304" s="1">
        <v>3</v>
      </c>
      <c r="L304" s="1" t="str">
        <f>VLOOKUP(A304,Folha2!$A$2:$B$2019,2,FALSE)</f>
        <v>Manoel Marti, Souvenir de Camões. Suite de valses pour piano,1867. suite de valsa para piano dedicada à Comissão do Monumento [partitura impressa] Celebrações (1860), iconografia</v>
      </c>
      <c r="M304" s="12" t="str">
        <f>HYPERLINK(J304)</f>
        <v>https://permalinkbnd.bnportugal.gov.pt/viewer/67153/?offset=#page=3&amp;viewer=picture&amp;o=info&amp;n=0&amp;q=</v>
      </c>
      <c r="N304" s="12" t="s">
        <v>1497</v>
      </c>
      <c r="O304" s="12" t="str">
        <f>CONCATENATE(N304,A304,"\",B304,"\",C304,".jpg")</f>
        <v>C:\Users\mbaptista\OneDrive - Biblioteca Nacional de Portugal\Documentos\python\camoniana\imagens\capas\1915110\1\3.jpg</v>
      </c>
      <c r="P304" s="12" t="str">
        <f>HYPERLINK(O304)</f>
        <v>C:\Users\mbaptista\OneDrive - Biblioteca Nacional de Portugal\Documentos\python\camoniana\imagens\capas\1915110\1\3.jpg</v>
      </c>
      <c r="Q304" s="12"/>
      <c r="R304" s="6" t="s">
        <v>470</v>
      </c>
      <c r="S304" s="12"/>
      <c r="T304" s="1">
        <v>3</v>
      </c>
      <c r="U304" s="13"/>
      <c r="V304" s="13"/>
      <c r="W304" s="5" t="s">
        <v>1491</v>
      </c>
    </row>
    <row r="305" spans="1:23" ht="225">
      <c r="A305" s="1">
        <v>1976927</v>
      </c>
      <c r="B305" s="1">
        <v>1</v>
      </c>
      <c r="C305" s="1">
        <v>1</v>
      </c>
      <c r="D305" s="2" t="s">
        <v>471</v>
      </c>
      <c r="E305" s="11" t="s">
        <v>471</v>
      </c>
      <c r="F305" s="11">
        <v>272792</v>
      </c>
      <c r="G305" s="2" t="s">
        <v>1494</v>
      </c>
      <c r="H305" s="2" t="s">
        <v>1495</v>
      </c>
      <c r="I305" s="2" t="s">
        <v>1496</v>
      </c>
      <c r="J305" s="2" t="str">
        <f>CONCATENATE(G305,F305,H305,C305,I305)</f>
        <v>https://permalinkbnd.bnportugal.gov.pt/viewer/272792/?offset=#page=1&amp;viewer=picture&amp;o=info&amp;n=0&amp;q=</v>
      </c>
      <c r="K305" s="1">
        <v>1</v>
      </c>
      <c r="L305" s="1" t="str">
        <f>VLOOKUP(A305,Folha2!$A$2:$B$2019,2,FALSE)</f>
        <v>Camões e as Tágides. Quadro de Columbano. Postal ilustrado. 1903</v>
      </c>
      <c r="M305" s="12" t="str">
        <f>HYPERLINK(J305)</f>
        <v>https://permalinkbnd.bnportugal.gov.pt/viewer/272792/?offset=#page=1&amp;viewer=picture&amp;o=info&amp;n=0&amp;q=</v>
      </c>
      <c r="N305" s="12" t="s">
        <v>1497</v>
      </c>
      <c r="O305" s="12" t="str">
        <f>CONCATENATE(N305,A305,"\",B305,"\",C305,".jpg")</f>
        <v>C:\Users\mbaptista\OneDrive - Biblioteca Nacional de Portugal\Documentos\python\camoniana\imagens\capas\1976927\1\1.jpg</v>
      </c>
      <c r="P305" s="12" t="str">
        <f>HYPERLINK(O305)</f>
        <v>C:\Users\mbaptista\OneDrive - Biblioteca Nacional de Portugal\Documentos\python\camoniana\imagens\capas\1976927\1\1.jpg</v>
      </c>
      <c r="Q305" s="12"/>
      <c r="R305" s="6" t="s">
        <v>472</v>
      </c>
      <c r="S305" s="12"/>
      <c r="T305" s="1">
        <v>1</v>
      </c>
      <c r="U305" s="13"/>
      <c r="V305" s="13"/>
      <c r="W305" s="5" t="s">
        <v>1491</v>
      </c>
    </row>
    <row r="306" spans="1:23" ht="225">
      <c r="A306" s="1">
        <v>1979399</v>
      </c>
      <c r="B306" s="1">
        <v>1</v>
      </c>
      <c r="C306" s="1">
        <v>1</v>
      </c>
      <c r="D306" s="2" t="s">
        <v>473</v>
      </c>
      <c r="E306" s="5" t="s">
        <v>473</v>
      </c>
      <c r="F306" s="5">
        <v>272811</v>
      </c>
      <c r="G306" s="2" t="s">
        <v>1494</v>
      </c>
      <c r="H306" s="2" t="s">
        <v>1495</v>
      </c>
      <c r="I306" s="2" t="s">
        <v>1496</v>
      </c>
      <c r="J306" s="2" t="str">
        <f>CONCATENATE(G306,F306,H306,C306,I306)</f>
        <v>https://permalinkbnd.bnportugal.gov.pt/viewer/272811/?offset=#page=1&amp;viewer=picture&amp;o=info&amp;n=0&amp;q=</v>
      </c>
      <c r="K306" s="1">
        <v>1</v>
      </c>
      <c r="L306" s="1" t="str">
        <f>VLOOKUP(A306,Folha2!$A$2:$B$2019,2,FALSE)</f>
        <v>Camões náufrago. Ex libris da BN?</v>
      </c>
      <c r="M306" s="12" t="str">
        <f>HYPERLINK(J306)</f>
        <v>https://permalinkbnd.bnportugal.gov.pt/viewer/272811/?offset=#page=1&amp;viewer=picture&amp;o=info&amp;n=0&amp;q=</v>
      </c>
      <c r="N306" s="12" t="s">
        <v>1497</v>
      </c>
      <c r="O306" s="12" t="str">
        <f>CONCATENATE(N306,A306,"\",B306,"\",C306,".jpg")</f>
        <v>C:\Users\mbaptista\OneDrive - Biblioteca Nacional de Portugal\Documentos\python\camoniana\imagens\capas\1979399\1\1.jpg</v>
      </c>
      <c r="P306" s="12" t="str">
        <f>HYPERLINK(O306)</f>
        <v>C:\Users\mbaptista\OneDrive - Biblioteca Nacional de Portugal\Documentos\python\camoniana\imagens\capas\1979399\1\1.jpg</v>
      </c>
      <c r="Q306" s="12"/>
      <c r="R306" s="6" t="s">
        <v>474</v>
      </c>
      <c r="S306" s="12"/>
      <c r="T306" s="1">
        <v>1</v>
      </c>
      <c r="U306" s="13"/>
      <c r="V306" s="13"/>
      <c r="W306" s="5" t="s">
        <v>1491</v>
      </c>
    </row>
    <row r="307" spans="1:23" ht="225">
      <c r="A307" s="1">
        <v>1979400</v>
      </c>
      <c r="B307" s="1">
        <v>1</v>
      </c>
      <c r="C307" s="1">
        <v>1</v>
      </c>
      <c r="D307" s="2" t="s">
        <v>475</v>
      </c>
      <c r="E307" s="11" t="s">
        <v>475</v>
      </c>
      <c r="F307" s="11">
        <v>272812</v>
      </c>
      <c r="G307" s="2" t="s">
        <v>1494</v>
      </c>
      <c r="H307" s="2" t="s">
        <v>1495</v>
      </c>
      <c r="I307" s="2" t="s">
        <v>1496</v>
      </c>
      <c r="J307" s="2" t="str">
        <f>CONCATENATE(G307,F307,H307,C307,I307)</f>
        <v>https://permalinkbnd.bnportugal.gov.pt/viewer/272812/?offset=#page=1&amp;viewer=picture&amp;o=info&amp;n=0&amp;q=</v>
      </c>
      <c r="K307" s="1">
        <v>1</v>
      </c>
      <c r="L307" s="1" t="str">
        <f>VLOOKUP(A307,Folha2!$A$2:$B$2019,2,FALSE)</f>
        <v>Camões náufrago. Ex libris da BN?</v>
      </c>
      <c r="M307" s="12" t="str">
        <f>HYPERLINK(J307)</f>
        <v>https://permalinkbnd.bnportugal.gov.pt/viewer/272812/?offset=#page=1&amp;viewer=picture&amp;o=info&amp;n=0&amp;q=</v>
      </c>
      <c r="N307" s="12" t="s">
        <v>1497</v>
      </c>
      <c r="O307" s="12" t="str">
        <f>CONCATENATE(N307,A307,"\",B307,"\",C307,".jpg")</f>
        <v>C:\Users\mbaptista\OneDrive - Biblioteca Nacional de Portugal\Documentos\python\camoniana\imagens\capas\1979400\1\1.jpg</v>
      </c>
      <c r="P307" s="12" t="str">
        <f>HYPERLINK(O307)</f>
        <v>C:\Users\mbaptista\OneDrive - Biblioteca Nacional de Portugal\Documentos\python\camoniana\imagens\capas\1979400\1\1.jpg</v>
      </c>
      <c r="Q307" s="12"/>
      <c r="R307" s="6" t="s">
        <v>476</v>
      </c>
      <c r="S307" s="12"/>
      <c r="T307" s="1">
        <v>1</v>
      </c>
      <c r="U307" s="13"/>
      <c r="V307" s="13"/>
      <c r="W307" s="5" t="s">
        <v>1491</v>
      </c>
    </row>
    <row r="308" spans="1:23" ht="225">
      <c r="A308" s="1">
        <v>2129622</v>
      </c>
      <c r="B308" s="1">
        <v>1</v>
      </c>
      <c r="C308" s="1">
        <v>7</v>
      </c>
      <c r="D308" s="2" t="s">
        <v>477</v>
      </c>
      <c r="E308" s="5" t="s">
        <v>477</v>
      </c>
      <c r="F308" s="5">
        <v>281142</v>
      </c>
      <c r="G308" s="2" t="s">
        <v>1494</v>
      </c>
      <c r="H308" s="2" t="s">
        <v>1495</v>
      </c>
      <c r="I308" s="2" t="s">
        <v>1496</v>
      </c>
      <c r="J308" s="2" t="str">
        <f>CONCATENATE(G308,F308,H308,C308,I308)</f>
        <v>https://permalinkbnd.bnportugal.gov.pt/viewer/281142/?offset=#page=7&amp;viewer=picture&amp;o=info&amp;n=0&amp;q=</v>
      </c>
      <c r="K308" s="1" t="s">
        <v>478</v>
      </c>
      <c r="L308" s="1" t="str">
        <f>VLOOKUP(A308,Folha2!$A$2:$B$2019,2,FALSE)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8" s="12" t="str">
        <f>HYPERLINK(J308)</f>
        <v>https://permalinkbnd.bnportugal.gov.pt/viewer/281142/?offset=#page=7&amp;viewer=picture&amp;o=info&amp;n=0&amp;q=</v>
      </c>
      <c r="N308" s="12" t="s">
        <v>1497</v>
      </c>
      <c r="O308" s="12" t="str">
        <f>CONCATENATE(N308,A308,"\",B308,"\",C308,".jpg")</f>
        <v>C:\Users\mbaptista\OneDrive - Biblioteca Nacional de Portugal\Documentos\python\camoniana\imagens\capas\2129622\1\7.jpg</v>
      </c>
      <c r="P308" s="12" t="str">
        <f>HYPERLINK(O308)</f>
        <v>C:\Users\mbaptista\OneDrive - Biblioteca Nacional de Portugal\Documentos\python\camoniana\imagens\capas\2129622\1\7.jpg</v>
      </c>
      <c r="Q308" s="12"/>
      <c r="R308" s="6" t="s">
        <v>480</v>
      </c>
      <c r="S308" s="12"/>
      <c r="T308" s="1" t="s">
        <v>479</v>
      </c>
      <c r="U308" s="13"/>
      <c r="V308" s="13"/>
      <c r="W308" s="5" t="s">
        <v>1491</v>
      </c>
    </row>
    <row r="309" spans="1:23" ht="225">
      <c r="A309" s="1">
        <v>2129622</v>
      </c>
      <c r="B309" s="1">
        <v>1</v>
      </c>
      <c r="C309" s="1">
        <v>9</v>
      </c>
      <c r="D309" s="2" t="s">
        <v>477</v>
      </c>
      <c r="E309" s="11" t="s">
        <v>477</v>
      </c>
      <c r="F309" s="11">
        <v>281142</v>
      </c>
      <c r="G309" s="2" t="s">
        <v>1494</v>
      </c>
      <c r="H309" s="2" t="s">
        <v>1495</v>
      </c>
      <c r="I309" s="2" t="s">
        <v>1496</v>
      </c>
      <c r="J309" s="2" t="str">
        <f>CONCATENATE(G309,F309,H309,C309,I309)</f>
        <v>https://permalinkbnd.bnportugal.gov.pt/viewer/281142/?offset=#page=9&amp;viewer=picture&amp;o=info&amp;n=0&amp;q=</v>
      </c>
      <c r="K309" s="1" t="s">
        <v>478</v>
      </c>
      <c r="L309" s="1" t="str">
        <f>VLOOKUP(A309,Folha2!$A$2:$B$2019,2,FALSE)</f>
        <v>Ramilhete [consultado via PDF enviado por Miguel, cod. 3785: 6/6/2025], cf. exemplos "Ao desengano do mundo", Im. 70; soneto "Ao Tejo": "Fermoso Tejo meu, quão diferente. Te vejo e vi, me vês agora e viste", diz ser de Camões, cf. Im. 96; "A morte de Rainha Maria Sofia", diz ser de Camões, cf. 98; oitavas: "Sentimento de Inês de Castro na ausência do príncipe D. Pedro", cf. Im. 240; "Sentimentos segundos de D. Inês de Castro", cf. Im. 263; "Exclamação do príncipe D. Pedro, à vista de D. Inês de Castro defunta", cf. Im. 287; Glosa ao soneto de Camões "Fermoso Tejo", cf. Im. 353, outra glosa, cf. Im. 357; glosa ao soneto "Alegre passarinho flor d'Oriente", cf. Im. 362; Manuscrito. Alguns sonetos têm um tom paródico [Tomás de Noronha, entre outros]; sonetos e oitavas sem identificação de autor.</v>
      </c>
      <c r="M309" s="12" t="str">
        <f>HYPERLINK(J309)</f>
        <v>https://permalinkbnd.bnportugal.gov.pt/viewer/281142/?offset=#page=9&amp;viewer=picture&amp;o=info&amp;n=0&amp;q=</v>
      </c>
      <c r="N309" s="12" t="s">
        <v>1497</v>
      </c>
      <c r="O309" s="12" t="str">
        <f>CONCATENATE(N309,A309,"\",B309,"\",C309,".jpg")</f>
        <v>C:\Users\mbaptista\OneDrive - Biblioteca Nacional de Portugal\Documentos\python\camoniana\imagens\capas\2129622\1\9.jpg</v>
      </c>
      <c r="P309" s="12" t="str">
        <f>HYPERLINK(O309)</f>
        <v>C:\Users\mbaptista\OneDrive - Biblioteca Nacional de Portugal\Documentos\python\camoniana\imagens\capas\2129622\1\9.jpg</v>
      </c>
      <c r="Q309" s="12"/>
      <c r="R309" s="6" t="s">
        <v>481</v>
      </c>
      <c r="S309" s="12"/>
      <c r="T309" s="1" t="s">
        <v>479</v>
      </c>
      <c r="U309" s="13"/>
      <c r="V309" s="13"/>
      <c r="W309" s="5" t="s">
        <v>1491</v>
      </c>
    </row>
    <row r="310" spans="1:23" ht="225">
      <c r="A310" s="1">
        <v>586409</v>
      </c>
      <c r="B310" s="1">
        <v>1</v>
      </c>
      <c r="C310" s="1">
        <v>1</v>
      </c>
      <c r="D310" s="2" t="s">
        <v>482</v>
      </c>
      <c r="E310" s="5" t="s">
        <v>482</v>
      </c>
      <c r="F310" s="5">
        <v>276786</v>
      </c>
      <c r="G310" s="2" t="s">
        <v>1494</v>
      </c>
      <c r="H310" s="2" t="s">
        <v>1495</v>
      </c>
      <c r="I310" s="2" t="s">
        <v>1496</v>
      </c>
      <c r="J310" s="2" t="str">
        <f>CONCATENATE(G310,F310,H310,C310,I310)</f>
        <v>https://permalinkbnd.bnportugal.gov.pt/viewer/276786/?offset=#page=1&amp;viewer=picture&amp;o=info&amp;n=0&amp;q=</v>
      </c>
      <c r="K310" s="1">
        <v>1</v>
      </c>
      <c r="L310" s="1" t="str">
        <f>VLOOKUP(A310,Folha2!$A$2:$B$2019,2,FALSE)</f>
        <v>Homenagem a Camoes : Marcha Triunfal para piano : Op. 30 / por Jacopo Carli.185?</v>
      </c>
      <c r="M310" s="12" t="str">
        <f>HYPERLINK(J310)</f>
        <v>https://permalinkbnd.bnportugal.gov.pt/viewer/276786/?offset=#page=1&amp;viewer=picture&amp;o=info&amp;n=0&amp;q=</v>
      </c>
      <c r="N310" s="12" t="s">
        <v>1497</v>
      </c>
      <c r="O310" s="12" t="str">
        <f>CONCATENATE(N310,A310,"\",B310,"\",C310,".jpg")</f>
        <v>C:\Users\mbaptista\OneDrive - Biblioteca Nacional de Portugal\Documentos\python\camoniana\imagens\capas\586409\1\1.jpg</v>
      </c>
      <c r="P310" s="12" t="str">
        <f>HYPERLINK(O310)</f>
        <v>C:\Users\mbaptista\OneDrive - Biblioteca Nacional de Portugal\Documentos\python\camoniana\imagens\capas\586409\1\1.jpg</v>
      </c>
      <c r="Q310" s="12"/>
      <c r="R310" s="6" t="s">
        <v>483</v>
      </c>
      <c r="S310" s="12"/>
      <c r="T310" s="1">
        <v>1</v>
      </c>
      <c r="U310" s="13"/>
      <c r="V310" s="13"/>
      <c r="W310" s="5" t="s">
        <v>1491</v>
      </c>
    </row>
    <row r="311" spans="1:23" ht="225">
      <c r="A311" s="1">
        <v>811645</v>
      </c>
      <c r="B311" s="1">
        <v>1</v>
      </c>
      <c r="C311" s="1">
        <v>1</v>
      </c>
      <c r="D311" s="2" t="s">
        <v>484</v>
      </c>
      <c r="E311" s="11" t="s">
        <v>484</v>
      </c>
      <c r="F311" s="11">
        <v>274457</v>
      </c>
      <c r="G311" s="2" t="s">
        <v>1494</v>
      </c>
      <c r="H311" s="2" t="s">
        <v>1495</v>
      </c>
      <c r="I311" s="2" t="s">
        <v>1496</v>
      </c>
      <c r="J311" s="2" t="str">
        <f>CONCATENATE(G311,F311,H311,C311,I311)</f>
        <v>https://permalinkbnd.bnportugal.gov.pt/viewer/274457/?offset=#page=1&amp;viewer=picture&amp;o=info&amp;n=0&amp;q=</v>
      </c>
      <c r="K311" s="1">
        <v>1</v>
      </c>
      <c r="L311" s="1" t="str">
        <f>VLOOKUP(A311,Folha2!$A$2:$B$2019,2,FALSE)</f>
        <v>Luiz de Camões ses oeuvres et sa littérature: catalogue d'une collection importante d'éditions originales de ses poésies, de traductions et d'ouvrages rares sur sa vie et ses oeuvres en vente aux prix marqués.1884. Contém obras do tricentenário: Celebrações (1880), catálogo.</v>
      </c>
      <c r="M311" s="12" t="str">
        <f>HYPERLINK(J311)</f>
        <v>https://permalinkbnd.bnportugal.gov.pt/viewer/274457/?offset=#page=1&amp;viewer=picture&amp;o=info&amp;n=0&amp;q=</v>
      </c>
      <c r="N311" s="12" t="s">
        <v>1497</v>
      </c>
      <c r="O311" s="12" t="str">
        <f>CONCATENATE(N311,A311,"\",B311,"\",C311,".jpg")</f>
        <v>C:\Users\mbaptista\OneDrive - Biblioteca Nacional de Portugal\Documentos\python\camoniana\imagens\capas\811645\1\1.jpg</v>
      </c>
      <c r="P311" s="12" t="str">
        <f>HYPERLINK(O311)</f>
        <v>C:\Users\mbaptista\OneDrive - Biblioteca Nacional de Portugal\Documentos\python\camoniana\imagens\capas\811645\1\1.jpg</v>
      </c>
      <c r="Q311" s="12"/>
      <c r="R311" s="6" t="s">
        <v>485</v>
      </c>
      <c r="S311" s="12"/>
      <c r="T311" s="1">
        <v>1</v>
      </c>
      <c r="U311" s="13"/>
      <c r="V311" s="13"/>
      <c r="W311" s="5" t="s">
        <v>1491</v>
      </c>
    </row>
    <row r="312" spans="1:23" ht="225">
      <c r="A312" s="1">
        <v>742175</v>
      </c>
      <c r="B312" s="1">
        <v>1</v>
      </c>
      <c r="C312" s="1">
        <v>7</v>
      </c>
      <c r="D312" s="2" t="s">
        <v>486</v>
      </c>
      <c r="E312" s="5" t="s">
        <v>486</v>
      </c>
      <c r="F312" s="5">
        <v>274458</v>
      </c>
      <c r="G312" s="2" t="s">
        <v>1494</v>
      </c>
      <c r="H312" s="2" t="s">
        <v>1495</v>
      </c>
      <c r="I312" s="2" t="s">
        <v>1496</v>
      </c>
      <c r="J312" s="2" t="str">
        <f>CONCATENATE(G312,F312,H312,C312,I312)</f>
        <v>https://permalinkbnd.bnportugal.gov.pt/viewer/274458/?offset=#page=7&amp;viewer=picture&amp;o=info&amp;n=0&amp;q=</v>
      </c>
      <c r="K312" s="1" t="s">
        <v>318</v>
      </c>
      <c r="L312" s="1" t="str">
        <f>VLOOKUP(A312,Folha2!$A$2:$B$2019,2,FALSE)</f>
        <v>1898 [na referência bibliográfica surge 1890] Corrigido; Trad. Frag. Paratextos gerais e Celebrações (1880), traduções. Em comemoração do quarto centenário do Descobrimento do Caminho Marítimo para a Índia e do 318.º aniversário do passamento de Camões.</v>
      </c>
      <c r="M312" s="12" t="str">
        <f>HYPERLINK(J312)</f>
        <v>https://permalinkbnd.bnportugal.gov.pt/viewer/274458/?offset=#page=7&amp;viewer=picture&amp;o=info&amp;n=0&amp;q=</v>
      </c>
      <c r="N312" s="12" t="s">
        <v>1497</v>
      </c>
      <c r="O312" s="12" t="str">
        <f>CONCATENATE(N312,A312,"\",B312,"\",C312,".jpg")</f>
        <v>C:\Users\mbaptista\OneDrive - Biblioteca Nacional de Portugal\Documentos\python\camoniana\imagens\capas\742175\1\7.jpg</v>
      </c>
      <c r="P312" s="12" t="str">
        <f>HYPERLINK(O312)</f>
        <v>C:\Users\mbaptista\OneDrive - Biblioteca Nacional de Portugal\Documentos\python\camoniana\imagens\capas\742175\1\7.jpg</v>
      </c>
      <c r="Q312" s="12"/>
      <c r="R312" s="6" t="s">
        <v>487</v>
      </c>
      <c r="S312" s="12"/>
      <c r="T312" s="1"/>
      <c r="U312" s="13"/>
      <c r="V312" s="13"/>
      <c r="W312" s="5" t="s">
        <v>1491</v>
      </c>
    </row>
    <row r="313" spans="1:23" ht="225">
      <c r="A313" s="1">
        <v>742176</v>
      </c>
      <c r="B313" s="1">
        <v>1</v>
      </c>
      <c r="C313" s="1">
        <v>3</v>
      </c>
      <c r="D313" s="2" t="s">
        <v>488</v>
      </c>
      <c r="E313" s="11" t="s">
        <v>488</v>
      </c>
      <c r="F313" s="11">
        <v>274459</v>
      </c>
      <c r="G313" s="2" t="s">
        <v>1494</v>
      </c>
      <c r="H313" s="2" t="s">
        <v>1495</v>
      </c>
      <c r="I313" s="2" t="s">
        <v>1496</v>
      </c>
      <c r="J313" s="2" t="str">
        <f>CONCATENATE(G313,F313,H313,C313,I313)</f>
        <v>https://permalinkbnd.bnportugal.gov.pt/viewer/274459/?offset=#page=3&amp;viewer=picture&amp;o=info&amp;n=0&amp;q=</v>
      </c>
      <c r="K313" s="1" t="s">
        <v>351</v>
      </c>
      <c r="L313" s="1" t="str">
        <f>VLOOKUP(A313,Folha2!$A$2:$B$2019,2,FALSE)</f>
        <v>Lisboa: Tipografia Castro Irmão. 1915. [na referência bibliográfica surge: Braga: Tip. Lealdade: 1880]. Corrigido</v>
      </c>
      <c r="M313" s="12" t="str">
        <f>HYPERLINK(J313)</f>
        <v>https://permalinkbnd.bnportugal.gov.pt/viewer/274459/?offset=#page=3&amp;viewer=picture&amp;o=info&amp;n=0&amp;q=</v>
      </c>
      <c r="N313" s="12" t="s">
        <v>1497</v>
      </c>
      <c r="O313" s="12" t="str">
        <f>CONCATENATE(N313,A313,"\",B313,"\",C313,".jpg")</f>
        <v>C:\Users\mbaptista\OneDrive - Biblioteca Nacional de Portugal\Documentos\python\camoniana\imagens\capas\742176\1\3.jpg</v>
      </c>
      <c r="P313" s="12" t="str">
        <f>HYPERLINK(O313)</f>
        <v>C:\Users\mbaptista\OneDrive - Biblioteca Nacional de Portugal\Documentos\python\camoniana\imagens\capas\742176\1\3.jpg</v>
      </c>
      <c r="Q313" s="12"/>
      <c r="R313" s="6" t="s">
        <v>489</v>
      </c>
      <c r="S313" s="12"/>
      <c r="T313" s="1"/>
      <c r="U313" s="13"/>
      <c r="V313" s="13"/>
      <c r="W313" s="5" t="s">
        <v>1491</v>
      </c>
    </row>
    <row r="314" spans="1:23" ht="225">
      <c r="A314" s="1">
        <v>742180</v>
      </c>
      <c r="B314" s="1">
        <v>1</v>
      </c>
      <c r="C314" s="1">
        <v>5</v>
      </c>
      <c r="D314" s="2" t="s">
        <v>490</v>
      </c>
      <c r="E314" s="5" t="s">
        <v>490</v>
      </c>
      <c r="F314" s="5">
        <v>274957</v>
      </c>
      <c r="G314" s="2" t="s">
        <v>1494</v>
      </c>
      <c r="H314" s="2" t="s">
        <v>1495</v>
      </c>
      <c r="I314" s="2" t="s">
        <v>1496</v>
      </c>
      <c r="J314" s="2" t="str">
        <f>CONCATENATE(G314,F314,H314,C314,I314)</f>
        <v>https://permalinkbnd.bnportugal.gov.pt/viewer/274957/?offset=#page=5&amp;viewer=picture&amp;o=info&amp;n=0&amp;q=</v>
      </c>
      <c r="K314" s="1" t="s">
        <v>261</v>
      </c>
      <c r="L314" s="1" t="str">
        <f>VLOOKUP(A314,Folha2!$A$2:$B$2019,2,FALSE)</f>
        <v>Literatura Portuguesa. Camões. Um capítulo da História de Portugal traduzido por Silva Bastos do original inglês de Stephens, corrigido e prefaciado por Oliveira Martins.1892.</v>
      </c>
      <c r="M314" s="12" t="str">
        <f>HYPERLINK(J314)</f>
        <v>https://permalinkbnd.bnportugal.gov.pt/viewer/274957/?offset=#page=5&amp;viewer=picture&amp;o=info&amp;n=0&amp;q=</v>
      </c>
      <c r="N314" s="12" t="s">
        <v>1497</v>
      </c>
      <c r="O314" s="12" t="str">
        <f>CONCATENATE(N314,A314,"\",B314,"\",C314,".jpg")</f>
        <v>C:\Users\mbaptista\OneDrive - Biblioteca Nacional de Portugal\Documentos\python\camoniana\imagens\capas\742180\1\5.jpg</v>
      </c>
      <c r="P314" s="12" t="str">
        <f>HYPERLINK(O314)</f>
        <v>C:\Users\mbaptista\OneDrive - Biblioteca Nacional de Portugal\Documentos\python\camoniana\imagens\capas\742180\1\5.jpg</v>
      </c>
      <c r="Q314" s="12"/>
      <c r="R314" s="6" t="s">
        <v>491</v>
      </c>
      <c r="S314" s="12"/>
      <c r="T314" s="1"/>
      <c r="U314" s="13"/>
      <c r="V314" s="13"/>
      <c r="W314" s="5" t="s">
        <v>1491</v>
      </c>
    </row>
    <row r="315" spans="1:23" ht="225">
      <c r="A315" s="1">
        <v>458243</v>
      </c>
      <c r="B315" s="1">
        <v>1</v>
      </c>
      <c r="C315" s="1">
        <v>11</v>
      </c>
      <c r="D315" s="2" t="s">
        <v>492</v>
      </c>
      <c r="E315" s="11" t="s">
        <v>492</v>
      </c>
      <c r="F315" s="11">
        <v>272626</v>
      </c>
      <c r="G315" s="2" t="s">
        <v>1494</v>
      </c>
      <c r="H315" s="2" t="s">
        <v>1495</v>
      </c>
      <c r="I315" s="2" t="s">
        <v>1496</v>
      </c>
      <c r="J315" s="2" t="str">
        <f>CONCATENATE(G315,F315,H315,C315,I315)</f>
        <v>https://permalinkbnd.bnportugal.gov.pt/viewer/272626/?offset=#page=11&amp;viewer=picture&amp;o=info&amp;n=0&amp;q=</v>
      </c>
      <c r="K315" s="1" t="s">
        <v>493</v>
      </c>
      <c r="L315" s="1" t="str">
        <f>VLOOKUP(A315,Folha2!$A$2:$B$2019,2,FALSE)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5" s="12" t="str">
        <f>HYPERLINK(J315)</f>
        <v>https://permalinkbnd.bnportugal.gov.pt/viewer/272626/?offset=#page=11&amp;viewer=picture&amp;o=info&amp;n=0&amp;q=</v>
      </c>
      <c r="N315" s="12" t="s">
        <v>1497</v>
      </c>
      <c r="O315" s="12" t="str">
        <f>CONCATENATE(N315,A315,"\",B315,"\",C315,".jpg")</f>
        <v>C:\Users\mbaptista\OneDrive - Biblioteca Nacional de Portugal\Documentos\python\camoniana\imagens\capas\458243\1\11.jpg</v>
      </c>
      <c r="P315" s="12" t="str">
        <f>HYPERLINK(O315)</f>
        <v>C:\Users\mbaptista\OneDrive - Biblioteca Nacional de Portugal\Documentos\python\camoniana\imagens\capas\458243\1\11.jpg</v>
      </c>
      <c r="Q315" s="12"/>
      <c r="R315" s="6"/>
      <c r="S315" s="12"/>
      <c r="T315" s="1" t="s">
        <v>494</v>
      </c>
      <c r="U315" s="13"/>
      <c r="V315" s="13"/>
      <c r="W315" s="5"/>
    </row>
    <row r="316" spans="1:23" ht="225">
      <c r="A316" s="1">
        <v>458243</v>
      </c>
      <c r="B316" s="1">
        <v>1</v>
      </c>
      <c r="C316" s="1">
        <v>17</v>
      </c>
      <c r="D316" s="2" t="s">
        <v>492</v>
      </c>
      <c r="E316" s="5" t="s">
        <v>492</v>
      </c>
      <c r="F316" s="5">
        <v>272626</v>
      </c>
      <c r="G316" s="2" t="s">
        <v>1494</v>
      </c>
      <c r="H316" s="2" t="s">
        <v>1495</v>
      </c>
      <c r="I316" s="2" t="s">
        <v>1496</v>
      </c>
      <c r="J316" s="2" t="str">
        <f>CONCATENATE(G316,F316,H316,C316,I316)</f>
        <v>https://permalinkbnd.bnportugal.gov.pt/viewer/272626/?offset=#page=17&amp;viewer=picture&amp;o=info&amp;n=0&amp;q=</v>
      </c>
      <c r="K316" s="1" t="s">
        <v>493</v>
      </c>
      <c r="L316" s="1" t="str">
        <f>VLOOKUP(A316,Folha2!$A$2:$B$2019,2,FALSE)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6" s="12" t="str">
        <f>HYPERLINK(J316)</f>
        <v>https://permalinkbnd.bnportugal.gov.pt/viewer/272626/?offset=#page=17&amp;viewer=picture&amp;o=info&amp;n=0&amp;q=</v>
      </c>
      <c r="N316" s="12" t="s">
        <v>1497</v>
      </c>
      <c r="O316" s="12" t="str">
        <f>CONCATENATE(N316,A316,"\",B316,"\",C316,".jpg")</f>
        <v>C:\Users\mbaptista\OneDrive - Biblioteca Nacional de Portugal\Documentos\python\camoniana\imagens\capas\458243\1\17.jpg</v>
      </c>
      <c r="P316" s="12" t="str">
        <f>HYPERLINK(O316)</f>
        <v>C:\Users\mbaptista\OneDrive - Biblioteca Nacional de Portugal\Documentos\python\camoniana\imagens\capas\458243\1\17.jpg</v>
      </c>
      <c r="Q316" s="12"/>
      <c r="R316" s="6"/>
      <c r="S316" s="12"/>
      <c r="T316" s="1" t="s">
        <v>494</v>
      </c>
      <c r="U316" s="13"/>
      <c r="V316" s="13"/>
      <c r="W316" s="5"/>
    </row>
    <row r="317" spans="1:23" ht="225">
      <c r="A317" s="1">
        <v>458243</v>
      </c>
      <c r="B317" s="1">
        <v>1</v>
      </c>
      <c r="C317" s="1">
        <v>37</v>
      </c>
      <c r="D317" s="2" t="s">
        <v>492</v>
      </c>
      <c r="E317" s="11" t="s">
        <v>492</v>
      </c>
      <c r="F317" s="11">
        <v>272626</v>
      </c>
      <c r="G317" s="2" t="s">
        <v>1494</v>
      </c>
      <c r="H317" s="2" t="s">
        <v>1495</v>
      </c>
      <c r="I317" s="2" t="s">
        <v>1496</v>
      </c>
      <c r="J317" s="2" t="str">
        <f>CONCATENATE(G317,F317,H317,C317,I317)</f>
        <v>https://permalinkbnd.bnportugal.gov.pt/viewer/272626/?offset=#page=37&amp;viewer=picture&amp;o=info&amp;n=0&amp;q=</v>
      </c>
      <c r="K317" s="1" t="s">
        <v>493</v>
      </c>
      <c r="L317" s="1" t="str">
        <f>VLOOKUP(A317,Folha2!$A$2:$B$2019,2,FALSE)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7" s="12" t="str">
        <f>HYPERLINK(J317)</f>
        <v>https://permalinkbnd.bnportugal.gov.pt/viewer/272626/?offset=#page=37&amp;viewer=picture&amp;o=info&amp;n=0&amp;q=</v>
      </c>
      <c r="N317" s="12" t="s">
        <v>1497</v>
      </c>
      <c r="O317" s="12" t="str">
        <f>CONCATENATE(N317,A317,"\",B317,"\",C317,".jpg")</f>
        <v>C:\Users\mbaptista\OneDrive - Biblioteca Nacional de Portugal\Documentos\python\camoniana\imagens\capas\458243\1\37.jpg</v>
      </c>
      <c r="P317" s="12" t="str">
        <f>HYPERLINK(O317)</f>
        <v>C:\Users\mbaptista\OneDrive - Biblioteca Nacional de Portugal\Documentos\python\camoniana\imagens\capas\458243\1\37.jpg</v>
      </c>
      <c r="Q317" s="12"/>
      <c r="R317" s="6"/>
      <c r="S317" s="12"/>
      <c r="T317" s="1" t="s">
        <v>494</v>
      </c>
      <c r="U317" s="13"/>
      <c r="V317" s="13"/>
      <c r="W317" s="5"/>
    </row>
    <row r="318" spans="1:23" ht="225">
      <c r="A318" s="1">
        <v>458243</v>
      </c>
      <c r="B318" s="1">
        <v>1</v>
      </c>
      <c r="C318" s="1">
        <v>68</v>
      </c>
      <c r="D318" s="2" t="s">
        <v>492</v>
      </c>
      <c r="E318" s="5" t="s">
        <v>492</v>
      </c>
      <c r="F318" s="5">
        <v>272626</v>
      </c>
      <c r="G318" s="2" t="s">
        <v>1494</v>
      </c>
      <c r="H318" s="2" t="s">
        <v>1495</v>
      </c>
      <c r="I318" s="2" t="s">
        <v>1496</v>
      </c>
      <c r="J318" s="2" t="str">
        <f>CONCATENATE(G318,F318,H318,C318,I318)</f>
        <v>https://permalinkbnd.bnportugal.gov.pt/viewer/272626/?offset=#page=68&amp;viewer=picture&amp;o=info&amp;n=0&amp;q=</v>
      </c>
      <c r="K318" s="1" t="s">
        <v>493</v>
      </c>
      <c r="L318" s="1" t="str">
        <f>VLOOKUP(A318,Folha2!$A$2:$B$2019,2,FALSE)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8" s="12" t="str">
        <f>HYPERLINK(J318)</f>
        <v>https://permalinkbnd.bnportugal.gov.pt/viewer/272626/?offset=#page=68&amp;viewer=picture&amp;o=info&amp;n=0&amp;q=</v>
      </c>
      <c r="N318" s="12" t="s">
        <v>1497</v>
      </c>
      <c r="O318" s="12" t="str">
        <f>CONCATENATE(N318,A318,"\",B318,"\",C318,".jpg")</f>
        <v>C:\Users\mbaptista\OneDrive - Biblioteca Nacional de Portugal\Documentos\python\camoniana\imagens\capas\458243\1\68.jpg</v>
      </c>
      <c r="P318" s="12" t="str">
        <f>HYPERLINK(O318)</f>
        <v>C:\Users\mbaptista\OneDrive - Biblioteca Nacional de Portugal\Documentos\python\camoniana\imagens\capas\458243\1\68.jpg</v>
      </c>
      <c r="Q318" s="12"/>
      <c r="R318" s="6"/>
      <c r="S318" s="12"/>
      <c r="T318" s="1" t="s">
        <v>494</v>
      </c>
      <c r="U318" s="13"/>
      <c r="V318" s="13"/>
      <c r="W318" s="5"/>
    </row>
    <row r="319" spans="1:23" ht="225">
      <c r="A319" s="1">
        <v>458243</v>
      </c>
      <c r="B319" s="1">
        <v>1</v>
      </c>
      <c r="C319" s="1">
        <v>69</v>
      </c>
      <c r="D319" s="2" t="s">
        <v>492</v>
      </c>
      <c r="E319" s="11" t="s">
        <v>492</v>
      </c>
      <c r="F319" s="11">
        <v>272626</v>
      </c>
      <c r="G319" s="2" t="s">
        <v>1494</v>
      </c>
      <c r="H319" s="2" t="s">
        <v>1495</v>
      </c>
      <c r="I319" s="2" t="s">
        <v>1496</v>
      </c>
      <c r="J319" s="2" t="str">
        <f>CONCATENATE(G319,F319,H319,C319,I319)</f>
        <v>https://permalinkbnd.bnportugal.gov.pt/viewer/272626/?offset=#page=69&amp;viewer=picture&amp;o=info&amp;n=0&amp;q=</v>
      </c>
      <c r="K319" s="1" t="s">
        <v>493</v>
      </c>
      <c r="L319" s="1" t="str">
        <f>VLOOKUP(A319,Folha2!$A$2:$B$2019,2,FALSE)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19" s="12" t="str">
        <f>HYPERLINK(J319)</f>
        <v>https://permalinkbnd.bnportugal.gov.pt/viewer/272626/?offset=#page=69&amp;viewer=picture&amp;o=info&amp;n=0&amp;q=</v>
      </c>
      <c r="N319" s="12" t="s">
        <v>1497</v>
      </c>
      <c r="O319" s="12" t="str">
        <f>CONCATENATE(N319,A319,"\",B319,"\",C319,".jpg")</f>
        <v>C:\Users\mbaptista\OneDrive - Biblioteca Nacional de Portugal\Documentos\python\camoniana\imagens\capas\458243\1\69.jpg</v>
      </c>
      <c r="P319" s="12" t="str">
        <f>HYPERLINK(O319)</f>
        <v>C:\Users\mbaptista\OneDrive - Biblioteca Nacional de Portugal\Documentos\python\camoniana\imagens\capas\458243\1\69.jpg</v>
      </c>
      <c r="Q319" s="12"/>
      <c r="R319" s="6" t="s">
        <v>495</v>
      </c>
      <c r="S319" s="12"/>
      <c r="T319" s="1" t="s">
        <v>494</v>
      </c>
      <c r="U319" s="13"/>
      <c r="V319" s="13"/>
      <c r="W319" s="5" t="s">
        <v>1491</v>
      </c>
    </row>
    <row r="320" spans="1:23" ht="225">
      <c r="A320" s="1">
        <v>458243</v>
      </c>
      <c r="B320" s="1">
        <v>1</v>
      </c>
      <c r="C320" s="1">
        <v>71</v>
      </c>
      <c r="D320" s="2" t="s">
        <v>492</v>
      </c>
      <c r="E320" s="5" t="s">
        <v>492</v>
      </c>
      <c r="F320" s="5">
        <v>272626</v>
      </c>
      <c r="G320" s="2" t="s">
        <v>1494</v>
      </c>
      <c r="H320" s="2" t="s">
        <v>1495</v>
      </c>
      <c r="I320" s="2" t="s">
        <v>1496</v>
      </c>
      <c r="J320" s="2" t="str">
        <f>CONCATENATE(G320,F320,H320,C320,I320)</f>
        <v>https://permalinkbnd.bnportugal.gov.pt/viewer/272626/?offset=#page=71&amp;viewer=picture&amp;o=info&amp;n=0&amp;q=</v>
      </c>
      <c r="K320" s="1" t="s">
        <v>493</v>
      </c>
      <c r="L320" s="1" t="str">
        <f>VLOOKUP(A320,Folha2!$A$2:$B$2019,2,FALSE)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0" s="12" t="str">
        <f>HYPERLINK(J320)</f>
        <v>https://permalinkbnd.bnportugal.gov.pt/viewer/272626/?offset=#page=71&amp;viewer=picture&amp;o=info&amp;n=0&amp;q=</v>
      </c>
      <c r="N320" s="12" t="s">
        <v>1497</v>
      </c>
      <c r="O320" s="12" t="str">
        <f>CONCATENATE(N320,A320,"\",B320,"\",C320,".jpg")</f>
        <v>C:\Users\mbaptista\OneDrive - Biblioteca Nacional de Portugal\Documentos\python\camoniana\imagens\capas\458243\1\71.jpg</v>
      </c>
      <c r="P320" s="12" t="str">
        <f>HYPERLINK(O320)</f>
        <v>C:\Users\mbaptista\OneDrive - Biblioteca Nacional de Portugal\Documentos\python\camoniana\imagens\capas\458243\1\71.jpg</v>
      </c>
      <c r="Q320" s="12"/>
      <c r="R320" s="6" t="s">
        <v>496</v>
      </c>
      <c r="S320" s="12"/>
      <c r="T320" s="1" t="s">
        <v>494</v>
      </c>
      <c r="U320" s="13"/>
      <c r="V320" s="13"/>
      <c r="W320" s="5" t="s">
        <v>1491</v>
      </c>
    </row>
    <row r="321" spans="1:23" ht="225">
      <c r="A321" s="1">
        <v>458243</v>
      </c>
      <c r="B321" s="1">
        <v>1</v>
      </c>
      <c r="C321" s="1">
        <v>73</v>
      </c>
      <c r="D321" s="2" t="s">
        <v>492</v>
      </c>
      <c r="E321" s="11" t="s">
        <v>492</v>
      </c>
      <c r="F321" s="11">
        <v>272626</v>
      </c>
      <c r="G321" s="2" t="s">
        <v>1494</v>
      </c>
      <c r="H321" s="2" t="s">
        <v>1495</v>
      </c>
      <c r="I321" s="2" t="s">
        <v>1496</v>
      </c>
      <c r="J321" s="2" t="str">
        <f>CONCATENATE(G321,F321,H321,C321,I321)</f>
        <v>https://permalinkbnd.bnportugal.gov.pt/viewer/272626/?offset=#page=73&amp;viewer=picture&amp;o=info&amp;n=0&amp;q=</v>
      </c>
      <c r="K321" s="1" t="s">
        <v>493</v>
      </c>
      <c r="L321" s="1" t="str">
        <f>VLOOKUP(A321,Folha2!$A$2:$B$2019,2,FALSE)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1" s="12" t="str">
        <f>HYPERLINK(J321)</f>
        <v>https://permalinkbnd.bnportugal.gov.pt/viewer/272626/?offset=#page=73&amp;viewer=picture&amp;o=info&amp;n=0&amp;q=</v>
      </c>
      <c r="N321" s="12" t="s">
        <v>1497</v>
      </c>
      <c r="O321" s="12" t="str">
        <f>CONCATENATE(N321,A321,"\",B321,"\",C321,".jpg")</f>
        <v>C:\Users\mbaptista\OneDrive - Biblioteca Nacional de Portugal\Documentos\python\camoniana\imagens\capas\458243\1\73.jpg</v>
      </c>
      <c r="P321" s="12" t="str">
        <f>HYPERLINK(O321)</f>
        <v>C:\Users\mbaptista\OneDrive - Biblioteca Nacional de Portugal\Documentos\python\camoniana\imagens\capas\458243\1\73.jpg</v>
      </c>
      <c r="Q321" s="12"/>
      <c r="R321" s="6" t="s">
        <v>497</v>
      </c>
      <c r="S321" s="12"/>
      <c r="T321" s="1" t="s">
        <v>494</v>
      </c>
      <c r="U321" s="13"/>
      <c r="V321" s="13"/>
      <c r="W321" s="5" t="s">
        <v>1491</v>
      </c>
    </row>
    <row r="322" spans="1:23" ht="225">
      <c r="A322" s="1">
        <v>458243</v>
      </c>
      <c r="B322" s="1">
        <v>1</v>
      </c>
      <c r="C322" s="1">
        <v>75</v>
      </c>
      <c r="D322" s="2" t="s">
        <v>492</v>
      </c>
      <c r="E322" s="5" t="s">
        <v>492</v>
      </c>
      <c r="F322" s="5">
        <v>272626</v>
      </c>
      <c r="G322" s="2" t="s">
        <v>1494</v>
      </c>
      <c r="H322" s="2" t="s">
        <v>1495</v>
      </c>
      <c r="I322" s="2" t="s">
        <v>1496</v>
      </c>
      <c r="J322" s="2" t="str">
        <f>CONCATENATE(G322,F322,H322,C322,I322)</f>
        <v>https://permalinkbnd.bnportugal.gov.pt/viewer/272626/?offset=#page=75&amp;viewer=picture&amp;o=info&amp;n=0&amp;q=</v>
      </c>
      <c r="K322" s="1" t="s">
        <v>493</v>
      </c>
      <c r="L322" s="1" t="str">
        <f>VLOOKUP(A322,Folha2!$A$2:$B$2019,2,FALSE)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2" s="12" t="str">
        <f>HYPERLINK(J322)</f>
        <v>https://permalinkbnd.bnportugal.gov.pt/viewer/272626/?offset=#page=75&amp;viewer=picture&amp;o=info&amp;n=0&amp;q=</v>
      </c>
      <c r="N322" s="12" t="s">
        <v>1497</v>
      </c>
      <c r="O322" s="12" t="str">
        <f>CONCATENATE(N322,A322,"\",B322,"\",C322,".jpg")</f>
        <v>C:\Users\mbaptista\OneDrive - Biblioteca Nacional de Portugal\Documentos\python\camoniana\imagens\capas\458243\1\75.jpg</v>
      </c>
      <c r="P322" s="12" t="str">
        <f>HYPERLINK(O322)</f>
        <v>C:\Users\mbaptista\OneDrive - Biblioteca Nacional de Portugal\Documentos\python\camoniana\imagens\capas\458243\1\75.jpg</v>
      </c>
      <c r="Q322" s="12"/>
      <c r="R322" s="6"/>
      <c r="S322" s="12"/>
      <c r="T322" s="1" t="s">
        <v>494</v>
      </c>
      <c r="U322" s="13"/>
      <c r="V322" s="13"/>
      <c r="W322" s="5"/>
    </row>
    <row r="323" spans="1:23" ht="225">
      <c r="A323" s="1">
        <v>458243</v>
      </c>
      <c r="B323" s="1">
        <v>1</v>
      </c>
      <c r="C323" s="1">
        <v>85</v>
      </c>
      <c r="D323" s="2" t="s">
        <v>492</v>
      </c>
      <c r="E323" s="11" t="s">
        <v>492</v>
      </c>
      <c r="F323" s="11">
        <v>272626</v>
      </c>
      <c r="G323" s="2" t="s">
        <v>1494</v>
      </c>
      <c r="H323" s="2" t="s">
        <v>1495</v>
      </c>
      <c r="I323" s="2" t="s">
        <v>1496</v>
      </c>
      <c r="J323" s="2" t="str">
        <f>CONCATENATE(G323,F323,H323,C323,I323)</f>
        <v>https://permalinkbnd.bnportugal.gov.pt/viewer/272626/?offset=#page=85&amp;viewer=picture&amp;o=info&amp;n=0&amp;q=</v>
      </c>
      <c r="K323" s="1" t="s">
        <v>493</v>
      </c>
      <c r="L323" s="1" t="str">
        <f>VLOOKUP(A323,Folha2!$A$2:$B$2019,2,FALSE)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3" s="12" t="str">
        <f>HYPERLINK(J323)</f>
        <v>https://permalinkbnd.bnportugal.gov.pt/viewer/272626/?offset=#page=85&amp;viewer=picture&amp;o=info&amp;n=0&amp;q=</v>
      </c>
      <c r="N323" s="12" t="s">
        <v>1497</v>
      </c>
      <c r="O323" s="12" t="str">
        <f>CONCATENATE(N323,A323,"\",B323,"\",C323,".jpg")</f>
        <v>C:\Users\mbaptista\OneDrive - Biblioteca Nacional de Portugal\Documentos\python\camoniana\imagens\capas\458243\1\85.jpg</v>
      </c>
      <c r="P323" s="12" t="str">
        <f>HYPERLINK(O323)</f>
        <v>C:\Users\mbaptista\OneDrive - Biblioteca Nacional de Portugal\Documentos\python\camoniana\imagens\capas\458243\1\85.jpg</v>
      </c>
      <c r="Q323" s="12"/>
      <c r="R323" s="6"/>
      <c r="S323" s="12"/>
      <c r="T323" s="1" t="s">
        <v>494</v>
      </c>
      <c r="U323" s="13"/>
      <c r="V323" s="13"/>
      <c r="W323" s="5"/>
    </row>
    <row r="324" spans="1:23" ht="225">
      <c r="A324" s="1">
        <v>458243</v>
      </c>
      <c r="B324" s="1">
        <v>1</v>
      </c>
      <c r="C324" s="1">
        <v>102</v>
      </c>
      <c r="D324" s="2" t="s">
        <v>492</v>
      </c>
      <c r="E324" s="5" t="s">
        <v>492</v>
      </c>
      <c r="F324" s="5">
        <v>272626</v>
      </c>
      <c r="G324" s="2" t="s">
        <v>1494</v>
      </c>
      <c r="H324" s="2" t="s">
        <v>1495</v>
      </c>
      <c r="I324" s="2" t="s">
        <v>1496</v>
      </c>
      <c r="J324" s="2" t="str">
        <f>CONCATENATE(G324,F324,H324,C324,I324)</f>
        <v>https://permalinkbnd.bnportugal.gov.pt/viewer/272626/?offset=#page=102&amp;viewer=picture&amp;o=info&amp;n=0&amp;q=</v>
      </c>
      <c r="K324" s="1" t="s">
        <v>493</v>
      </c>
      <c r="L324" s="1" t="str">
        <f>VLOOKUP(A324,Folha2!$A$2:$B$2019,2,FALSE)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4" s="12" t="str">
        <f>HYPERLINK(J324)</f>
        <v>https://permalinkbnd.bnportugal.gov.pt/viewer/272626/?offset=#page=102&amp;viewer=picture&amp;o=info&amp;n=0&amp;q=</v>
      </c>
      <c r="N324" s="12" t="s">
        <v>1497</v>
      </c>
      <c r="O324" s="12" t="str">
        <f>CONCATENATE(N324,A324,"\",B324,"\",C324,".jpg")</f>
        <v>C:\Users\mbaptista\OneDrive - Biblioteca Nacional de Portugal\Documentos\python\camoniana\imagens\capas\458243\1\102.jpg</v>
      </c>
      <c r="P324" s="12" t="str">
        <f>HYPERLINK(O324)</f>
        <v>C:\Users\mbaptista\OneDrive - Biblioteca Nacional de Portugal\Documentos\python\camoniana\imagens\capas\458243\1\102.jpg</v>
      </c>
      <c r="Q324" s="12"/>
      <c r="R324" s="6" t="s">
        <v>498</v>
      </c>
      <c r="S324" s="12"/>
      <c r="T324" s="1" t="s">
        <v>494</v>
      </c>
      <c r="U324" s="13"/>
      <c r="V324" s="13"/>
      <c r="W324" s="5" t="s">
        <v>1491</v>
      </c>
    </row>
    <row r="325" spans="1:23" ht="225">
      <c r="A325" s="1">
        <v>458243</v>
      </c>
      <c r="B325" s="1">
        <v>1</v>
      </c>
      <c r="C325" s="1">
        <v>122</v>
      </c>
      <c r="D325" s="2" t="s">
        <v>492</v>
      </c>
      <c r="E325" s="11" t="s">
        <v>492</v>
      </c>
      <c r="F325" s="11">
        <v>272626</v>
      </c>
      <c r="G325" s="2" t="s">
        <v>1494</v>
      </c>
      <c r="H325" s="2" t="s">
        <v>1495</v>
      </c>
      <c r="I325" s="2" t="s">
        <v>1496</v>
      </c>
      <c r="J325" s="2" t="str">
        <f>CONCATENATE(G325,F325,H325,C325,I325)</f>
        <v>https://permalinkbnd.bnportugal.gov.pt/viewer/272626/?offset=#page=122&amp;viewer=picture&amp;o=info&amp;n=0&amp;q=</v>
      </c>
      <c r="K325" s="1" t="s">
        <v>493</v>
      </c>
      <c r="L325" s="1" t="str">
        <f>VLOOKUP(A325,Folha2!$A$2:$B$2019,2,FALSE)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5" s="12" t="str">
        <f>HYPERLINK(J325)</f>
        <v>https://permalinkbnd.bnportugal.gov.pt/viewer/272626/?offset=#page=122&amp;viewer=picture&amp;o=info&amp;n=0&amp;q=</v>
      </c>
      <c r="N325" s="12" t="s">
        <v>1497</v>
      </c>
      <c r="O325" s="12" t="str">
        <f>CONCATENATE(N325,A325,"\",B325,"\",C325,".jpg")</f>
        <v>C:\Users\mbaptista\OneDrive - Biblioteca Nacional de Portugal\Documentos\python\camoniana\imagens\capas\458243\1\122.jpg</v>
      </c>
      <c r="P325" s="12" t="str">
        <f>HYPERLINK(O325)</f>
        <v>C:\Users\mbaptista\OneDrive - Biblioteca Nacional de Portugal\Documentos\python\camoniana\imagens\capas\458243\1\122.jpg</v>
      </c>
      <c r="Q325" s="12"/>
      <c r="R325" s="6" t="s">
        <v>499</v>
      </c>
      <c r="S325" s="12"/>
      <c r="T325" s="1" t="s">
        <v>494</v>
      </c>
      <c r="U325" s="13"/>
      <c r="V325" s="13"/>
      <c r="W325" s="5" t="s">
        <v>1491</v>
      </c>
    </row>
    <row r="326" spans="1:23" ht="225">
      <c r="A326" s="1">
        <v>458243</v>
      </c>
      <c r="B326" s="13">
        <v>1</v>
      </c>
      <c r="C326" s="1">
        <v>103</v>
      </c>
      <c r="D326" s="2" t="s">
        <v>492</v>
      </c>
      <c r="E326" s="5" t="s">
        <v>492</v>
      </c>
      <c r="F326" s="5">
        <v>272626</v>
      </c>
      <c r="G326" s="2" t="s">
        <v>1494</v>
      </c>
      <c r="H326" s="2" t="s">
        <v>1495</v>
      </c>
      <c r="I326" s="2" t="s">
        <v>1496</v>
      </c>
      <c r="J326" s="2" t="str">
        <f>CONCATENATE(G326,F326,H326,C326,I326)</f>
        <v>https://permalinkbnd.bnportugal.gov.pt/viewer/272626/?offset=#page=103&amp;viewer=picture&amp;o=info&amp;n=0&amp;q=</v>
      </c>
      <c r="K326" s="1" t="s">
        <v>493</v>
      </c>
      <c r="L326" s="1" t="str">
        <f>VLOOKUP(A326,Folha2!$A$2:$B$2019,2,FALSE)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6" s="12" t="str">
        <f>HYPERLINK(J326)</f>
        <v>https://permalinkbnd.bnportugal.gov.pt/viewer/272626/?offset=#page=103&amp;viewer=picture&amp;o=info&amp;n=0&amp;q=</v>
      </c>
      <c r="N326" s="12" t="s">
        <v>1497</v>
      </c>
      <c r="O326" s="12" t="str">
        <f>CONCATENATE(N326,A326,"\",B326,"\",C326,".jpg")</f>
        <v>C:\Users\mbaptista\OneDrive - Biblioteca Nacional de Portugal\Documentos\python\camoniana\imagens\capas\458243\1\103.jpg</v>
      </c>
      <c r="P326" s="12" t="str">
        <f>HYPERLINK(O326)</f>
        <v>C:\Users\mbaptista\OneDrive - Biblioteca Nacional de Portugal\Documentos\python\camoniana\imagens\capas\458243\1\103.jpg</v>
      </c>
      <c r="Q326" s="12"/>
      <c r="R326" s="6" t="s">
        <v>501</v>
      </c>
      <c r="S326" s="12"/>
      <c r="T326" s="1" t="s">
        <v>494</v>
      </c>
      <c r="U326" s="13" t="s">
        <v>500</v>
      </c>
      <c r="V326" s="13"/>
      <c r="W326" s="5" t="s">
        <v>1491</v>
      </c>
    </row>
    <row r="327" spans="1:23" ht="225">
      <c r="A327" s="1">
        <v>458243</v>
      </c>
      <c r="B327" s="13">
        <v>1</v>
      </c>
      <c r="C327" s="1">
        <v>105</v>
      </c>
      <c r="D327" s="2" t="s">
        <v>492</v>
      </c>
      <c r="E327" s="11" t="s">
        <v>492</v>
      </c>
      <c r="F327" s="11">
        <v>272626</v>
      </c>
      <c r="G327" s="2" t="s">
        <v>1494</v>
      </c>
      <c r="H327" s="2" t="s">
        <v>1495</v>
      </c>
      <c r="I327" s="2" t="s">
        <v>1496</v>
      </c>
      <c r="J327" s="2" t="str">
        <f>CONCATENATE(G327,F327,H327,C327,I327)</f>
        <v>https://permalinkbnd.bnportugal.gov.pt/viewer/272626/?offset=#page=105&amp;viewer=picture&amp;o=info&amp;n=0&amp;q=</v>
      </c>
      <c r="K327" s="1" t="s">
        <v>493</v>
      </c>
      <c r="L327" s="1" t="str">
        <f>VLOOKUP(A327,Folha2!$A$2:$B$2019,2,FALSE)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7" s="12" t="str">
        <f>HYPERLINK(J327)</f>
        <v>https://permalinkbnd.bnportugal.gov.pt/viewer/272626/?offset=#page=105&amp;viewer=picture&amp;o=info&amp;n=0&amp;q=</v>
      </c>
      <c r="N327" s="12" t="s">
        <v>1497</v>
      </c>
      <c r="O327" s="12" t="str">
        <f>CONCATENATE(N327,A327,"\",B327,"\",C327,".jpg")</f>
        <v>C:\Users\mbaptista\OneDrive - Biblioteca Nacional de Portugal\Documentos\python\camoniana\imagens\capas\458243\1\105.jpg</v>
      </c>
      <c r="P327" s="12" t="str">
        <f>HYPERLINK(O327)</f>
        <v>C:\Users\mbaptista\OneDrive - Biblioteca Nacional de Portugal\Documentos\python\camoniana\imagens\capas\458243\1\105.jpg</v>
      </c>
      <c r="Q327" s="12"/>
      <c r="R327" s="6"/>
      <c r="S327" s="12"/>
      <c r="T327" s="1" t="s">
        <v>494</v>
      </c>
      <c r="U327" s="13"/>
      <c r="V327" s="13"/>
      <c r="W327" s="5"/>
    </row>
    <row r="328" spans="1:23" ht="225">
      <c r="A328" s="1">
        <v>458243</v>
      </c>
      <c r="B328" s="13">
        <v>1</v>
      </c>
      <c r="C328" s="1">
        <v>135</v>
      </c>
      <c r="D328" s="2" t="s">
        <v>492</v>
      </c>
      <c r="E328" s="5" t="s">
        <v>492</v>
      </c>
      <c r="F328" s="5">
        <v>272626</v>
      </c>
      <c r="G328" s="2" t="s">
        <v>1494</v>
      </c>
      <c r="H328" s="2" t="s">
        <v>1495</v>
      </c>
      <c r="I328" s="2" t="s">
        <v>1496</v>
      </c>
      <c r="J328" s="2" t="str">
        <f>CONCATENATE(G328,F328,H328,C328,I328)</f>
        <v>https://permalinkbnd.bnportugal.gov.pt/viewer/272626/?offset=#page=135&amp;viewer=picture&amp;o=info&amp;n=0&amp;q=</v>
      </c>
      <c r="K328" s="1" t="s">
        <v>493</v>
      </c>
      <c r="L328" s="1" t="str">
        <f>VLOOKUP(A328,Folha2!$A$2:$B$2019,2,FALSE)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8" s="12" t="str">
        <f>HYPERLINK(J328)</f>
        <v>https://permalinkbnd.bnportugal.gov.pt/viewer/272626/?offset=#page=135&amp;viewer=picture&amp;o=info&amp;n=0&amp;q=</v>
      </c>
      <c r="N328" s="12" t="s">
        <v>1497</v>
      </c>
      <c r="O328" s="12" t="str">
        <f>CONCATENATE(N328,A328,"\",B328,"\",C328,".jpg")</f>
        <v>C:\Users\mbaptista\OneDrive - Biblioteca Nacional de Portugal\Documentos\python\camoniana\imagens\capas\458243\1\135.jpg</v>
      </c>
      <c r="P328" s="12" t="str">
        <f>HYPERLINK(O328)</f>
        <v>C:\Users\mbaptista\OneDrive - Biblioteca Nacional de Portugal\Documentos\python\camoniana\imagens\capas\458243\1\135.jpg</v>
      </c>
      <c r="Q328" s="12"/>
      <c r="R328" s="6" t="s">
        <v>502</v>
      </c>
      <c r="S328" s="12"/>
      <c r="T328" s="1" t="s">
        <v>494</v>
      </c>
      <c r="U328" s="13" t="s">
        <v>500</v>
      </c>
      <c r="V328" s="13"/>
      <c r="W328" s="5" t="s">
        <v>1491</v>
      </c>
    </row>
    <row r="329" spans="1:23" ht="225">
      <c r="A329" s="1">
        <v>458243</v>
      </c>
      <c r="B329" s="13">
        <v>1</v>
      </c>
      <c r="C329" s="1">
        <v>137</v>
      </c>
      <c r="D329" s="2" t="s">
        <v>492</v>
      </c>
      <c r="E329" s="11" t="s">
        <v>492</v>
      </c>
      <c r="F329" s="11">
        <v>272626</v>
      </c>
      <c r="G329" s="2" t="s">
        <v>1494</v>
      </c>
      <c r="H329" s="2" t="s">
        <v>1495</v>
      </c>
      <c r="I329" s="2" t="s">
        <v>1496</v>
      </c>
      <c r="J329" s="2" t="str">
        <f>CONCATENATE(G329,F329,H329,C329,I329)</f>
        <v>https://permalinkbnd.bnportugal.gov.pt/viewer/272626/?offset=#page=137&amp;viewer=picture&amp;o=info&amp;n=0&amp;q=</v>
      </c>
      <c r="K329" s="1" t="s">
        <v>493</v>
      </c>
      <c r="L329" s="1" t="str">
        <f>VLOOKUP(A329,Folha2!$A$2:$B$2019,2,FALSE)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29" s="12" t="str">
        <f>HYPERLINK(J329)</f>
        <v>https://permalinkbnd.bnportugal.gov.pt/viewer/272626/?offset=#page=137&amp;viewer=picture&amp;o=info&amp;n=0&amp;q=</v>
      </c>
      <c r="N329" s="12" t="s">
        <v>1497</v>
      </c>
      <c r="O329" s="12" t="str">
        <f>CONCATENATE(N329,A329,"\",B329,"\",C329,".jpg")</f>
        <v>C:\Users\mbaptista\OneDrive - Biblioteca Nacional de Portugal\Documentos\python\camoniana\imagens\capas\458243\1\137.jpg</v>
      </c>
      <c r="P329" s="12" t="str">
        <f>HYPERLINK(O329)</f>
        <v>C:\Users\mbaptista\OneDrive - Biblioteca Nacional de Portugal\Documentos\python\camoniana\imagens\capas\458243\1\137.jpg</v>
      </c>
      <c r="Q329" s="12"/>
      <c r="R329" s="6" t="s">
        <v>503</v>
      </c>
      <c r="S329" s="12"/>
      <c r="T329" s="1" t="s">
        <v>494</v>
      </c>
      <c r="U329" s="13" t="s">
        <v>500</v>
      </c>
      <c r="V329" s="13"/>
      <c r="W329" s="5" t="s">
        <v>1491</v>
      </c>
    </row>
    <row r="330" spans="1:23" ht="225">
      <c r="A330" s="1">
        <v>458243</v>
      </c>
      <c r="B330" s="13">
        <v>1</v>
      </c>
      <c r="C330" s="1">
        <v>175</v>
      </c>
      <c r="D330" s="2" t="s">
        <v>492</v>
      </c>
      <c r="E330" s="5" t="s">
        <v>492</v>
      </c>
      <c r="F330" s="5">
        <v>272626</v>
      </c>
      <c r="G330" s="2" t="s">
        <v>1494</v>
      </c>
      <c r="H330" s="2" t="s">
        <v>1495</v>
      </c>
      <c r="I330" s="2" t="s">
        <v>1496</v>
      </c>
      <c r="J330" s="2" t="str">
        <f>CONCATENATE(G330,F330,H330,C330,I330)</f>
        <v>https://permalinkbnd.bnportugal.gov.pt/viewer/272626/?offset=#page=175&amp;viewer=picture&amp;o=info&amp;n=0&amp;q=</v>
      </c>
      <c r="K330" s="1" t="s">
        <v>493</v>
      </c>
      <c r="L330" s="1" t="str">
        <f>VLOOKUP(A330,Folha2!$A$2:$B$2019,2,FALSE)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0" s="12" t="str">
        <f>HYPERLINK(J330)</f>
        <v>https://permalinkbnd.bnportugal.gov.pt/viewer/272626/?offset=#page=175&amp;viewer=picture&amp;o=info&amp;n=0&amp;q=</v>
      </c>
      <c r="N330" s="12" t="s">
        <v>1497</v>
      </c>
      <c r="O330" s="12" t="str">
        <f>CONCATENATE(N330,A330,"\",B330,"\",C330,".jpg")</f>
        <v>C:\Users\mbaptista\OneDrive - Biblioteca Nacional de Portugal\Documentos\python\camoniana\imagens\capas\458243\1\175.jpg</v>
      </c>
      <c r="P330" s="12" t="str">
        <f>HYPERLINK(O330)</f>
        <v>C:\Users\mbaptista\OneDrive - Biblioteca Nacional de Portugal\Documentos\python\camoniana\imagens\capas\458243\1\175.jpg</v>
      </c>
      <c r="Q330" s="12"/>
      <c r="R330" s="6"/>
      <c r="S330" s="12"/>
      <c r="T330" s="1" t="s">
        <v>494</v>
      </c>
      <c r="U330" s="13"/>
      <c r="V330" s="13"/>
      <c r="W330" s="5"/>
    </row>
    <row r="331" spans="1:23" ht="225">
      <c r="A331" s="1">
        <v>458243</v>
      </c>
      <c r="B331" s="13">
        <v>1</v>
      </c>
      <c r="C331" s="1">
        <v>17</v>
      </c>
      <c r="D331" s="2" t="s">
        <v>492</v>
      </c>
      <c r="E331" s="11" t="s">
        <v>492</v>
      </c>
      <c r="F331" s="11">
        <v>272626</v>
      </c>
      <c r="G331" s="2" t="s">
        <v>1494</v>
      </c>
      <c r="H331" s="2" t="s">
        <v>1495</v>
      </c>
      <c r="I331" s="2" t="s">
        <v>1496</v>
      </c>
      <c r="J331" s="2" t="str">
        <f>CONCATENATE(G331,F331,H331,C331,I331)</f>
        <v>https://permalinkbnd.bnportugal.gov.pt/viewer/272626/?offset=#page=17&amp;viewer=picture&amp;o=info&amp;n=0&amp;q=</v>
      </c>
      <c r="K331" s="1" t="s">
        <v>493</v>
      </c>
      <c r="L331" s="1" t="str">
        <f>VLOOKUP(A331,Folha2!$A$2:$B$2019,2,FALSE)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1" s="12" t="str">
        <f>HYPERLINK(J331)</f>
        <v>https://permalinkbnd.bnportugal.gov.pt/viewer/272626/?offset=#page=17&amp;viewer=picture&amp;o=info&amp;n=0&amp;q=</v>
      </c>
      <c r="N331" s="12" t="s">
        <v>1497</v>
      </c>
      <c r="O331" s="12" t="str">
        <f>CONCATENATE(N331,A331,"\",B331,"\",C331,".jpg")</f>
        <v>C:\Users\mbaptista\OneDrive - Biblioteca Nacional de Portugal\Documentos\python\camoniana\imagens\capas\458243\1\17.jpg</v>
      </c>
      <c r="P331" s="12" t="str">
        <f>HYPERLINK(O331)</f>
        <v>C:\Users\mbaptista\OneDrive - Biblioteca Nacional de Portugal\Documentos\python\camoniana\imagens\capas\458243\1\17.jpg</v>
      </c>
      <c r="Q331" s="12"/>
      <c r="R331" s="6"/>
      <c r="S331" s="12"/>
      <c r="T331" s="1" t="s">
        <v>494</v>
      </c>
      <c r="U331" s="13"/>
      <c r="V331" s="13"/>
      <c r="W331" s="5"/>
    </row>
    <row r="332" spans="1:23" ht="225">
      <c r="A332" s="1">
        <v>458243</v>
      </c>
      <c r="B332" s="13">
        <v>1</v>
      </c>
      <c r="C332" s="1">
        <v>205</v>
      </c>
      <c r="D332" s="2" t="s">
        <v>492</v>
      </c>
      <c r="E332" s="5" t="s">
        <v>492</v>
      </c>
      <c r="F332" s="5">
        <v>272626</v>
      </c>
      <c r="G332" s="2" t="s">
        <v>1494</v>
      </c>
      <c r="H332" s="2" t="s">
        <v>1495</v>
      </c>
      <c r="I332" s="2" t="s">
        <v>1496</v>
      </c>
      <c r="J332" s="2" t="str">
        <f>CONCATENATE(G332,F332,H332,C332,I332)</f>
        <v>https://permalinkbnd.bnportugal.gov.pt/viewer/272626/?offset=#page=205&amp;viewer=picture&amp;o=info&amp;n=0&amp;q=</v>
      </c>
      <c r="K332" s="1" t="s">
        <v>493</v>
      </c>
      <c r="L332" s="1" t="str">
        <f>VLOOKUP(A332,Folha2!$A$2:$B$2019,2,FALSE)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2" s="12" t="str">
        <f>HYPERLINK(J332)</f>
        <v>https://permalinkbnd.bnportugal.gov.pt/viewer/272626/?offset=#page=205&amp;viewer=picture&amp;o=info&amp;n=0&amp;q=</v>
      </c>
      <c r="N332" s="12" t="s">
        <v>1497</v>
      </c>
      <c r="O332" s="12" t="str">
        <f>CONCATENATE(N332,A332,"\",B332,"\",C332,".jpg")</f>
        <v>C:\Users\mbaptista\OneDrive - Biblioteca Nacional de Portugal\Documentos\python\camoniana\imagens\capas\458243\1\205.jpg</v>
      </c>
      <c r="P332" s="12" t="str">
        <f>HYPERLINK(O332)</f>
        <v>C:\Users\mbaptista\OneDrive - Biblioteca Nacional de Portugal\Documentos\python\camoniana\imagens\capas\458243\1\205.jpg</v>
      </c>
      <c r="Q332" s="12"/>
      <c r="R332" s="6" t="s">
        <v>504</v>
      </c>
      <c r="S332" s="12"/>
      <c r="T332" s="1" t="s">
        <v>494</v>
      </c>
      <c r="U332" s="13" t="s">
        <v>500</v>
      </c>
      <c r="V332" s="13"/>
      <c r="W332" s="5" t="s">
        <v>1491</v>
      </c>
    </row>
    <row r="333" spans="1:23" ht="225">
      <c r="A333" s="1">
        <v>458243</v>
      </c>
      <c r="B333" s="13">
        <v>1</v>
      </c>
      <c r="C333" s="1">
        <v>207</v>
      </c>
      <c r="D333" s="2" t="s">
        <v>492</v>
      </c>
      <c r="E333" s="11" t="s">
        <v>492</v>
      </c>
      <c r="F333" s="11">
        <v>272626</v>
      </c>
      <c r="G333" s="2" t="s">
        <v>1494</v>
      </c>
      <c r="H333" s="2" t="s">
        <v>1495</v>
      </c>
      <c r="I333" s="2" t="s">
        <v>1496</v>
      </c>
      <c r="J333" s="2" t="str">
        <f>CONCATENATE(G333,F333,H333,C333,I333)</f>
        <v>https://permalinkbnd.bnportugal.gov.pt/viewer/272626/?offset=#page=207&amp;viewer=picture&amp;o=info&amp;n=0&amp;q=</v>
      </c>
      <c r="K333" s="1" t="s">
        <v>493</v>
      </c>
      <c r="L333" s="1" t="str">
        <f>VLOOKUP(A333,Folha2!$A$2:$B$2019,2,FALSE)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3" s="12" t="str">
        <f>HYPERLINK(J333)</f>
        <v>https://permalinkbnd.bnportugal.gov.pt/viewer/272626/?offset=#page=207&amp;viewer=picture&amp;o=info&amp;n=0&amp;q=</v>
      </c>
      <c r="N333" s="12" t="s">
        <v>1497</v>
      </c>
      <c r="O333" s="12" t="str">
        <f>CONCATENATE(N333,A333,"\",B333,"\",C333,".jpg")</f>
        <v>C:\Users\mbaptista\OneDrive - Biblioteca Nacional de Portugal\Documentos\python\camoniana\imagens\capas\458243\1\207.jpg</v>
      </c>
      <c r="P333" s="12" t="str">
        <f>HYPERLINK(O333)</f>
        <v>C:\Users\mbaptista\OneDrive - Biblioteca Nacional de Portugal\Documentos\python\camoniana\imagens\capas\458243\1\207.jpg</v>
      </c>
      <c r="Q333" s="12"/>
      <c r="R333" s="6"/>
      <c r="S333" s="12"/>
      <c r="T333" s="1" t="s">
        <v>494</v>
      </c>
      <c r="U333" s="13"/>
      <c r="V333" s="13"/>
      <c r="W333" s="5"/>
    </row>
    <row r="334" spans="1:23" ht="225">
      <c r="A334" s="1">
        <v>458243</v>
      </c>
      <c r="B334" s="13">
        <v>1</v>
      </c>
      <c r="C334" s="1">
        <v>233</v>
      </c>
      <c r="D334" s="2" t="s">
        <v>492</v>
      </c>
      <c r="E334" s="5" t="s">
        <v>492</v>
      </c>
      <c r="F334" s="5">
        <v>272626</v>
      </c>
      <c r="G334" s="2" t="s">
        <v>1494</v>
      </c>
      <c r="H334" s="2" t="s">
        <v>1495</v>
      </c>
      <c r="I334" s="2" t="s">
        <v>1496</v>
      </c>
      <c r="J334" s="2" t="str">
        <f>CONCATENATE(G334,F334,H334,C334,I334)</f>
        <v>https://permalinkbnd.bnportugal.gov.pt/viewer/272626/?offset=#page=233&amp;viewer=picture&amp;o=info&amp;n=0&amp;q=</v>
      </c>
      <c r="K334" s="1" t="s">
        <v>493</v>
      </c>
      <c r="L334" s="1" t="str">
        <f>VLOOKUP(A334,Folha2!$A$2:$B$2019,2,FALSE)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4" s="12" t="str">
        <f>HYPERLINK(J334)</f>
        <v>https://permalinkbnd.bnportugal.gov.pt/viewer/272626/?offset=#page=233&amp;viewer=picture&amp;o=info&amp;n=0&amp;q=</v>
      </c>
      <c r="N334" s="12" t="s">
        <v>1497</v>
      </c>
      <c r="O334" s="12" t="str">
        <f>CONCATENATE(N334,A334,"\",B334,"\",C334,".jpg")</f>
        <v>C:\Users\mbaptista\OneDrive - Biblioteca Nacional de Portugal\Documentos\python\camoniana\imagens\capas\458243\1\233.jpg</v>
      </c>
      <c r="P334" s="12" t="str">
        <f>HYPERLINK(O334)</f>
        <v>C:\Users\mbaptista\OneDrive - Biblioteca Nacional de Portugal\Documentos\python\camoniana\imagens\capas\458243\1\233.jpg</v>
      </c>
      <c r="Q334" s="12"/>
      <c r="R334" s="6" t="s">
        <v>505</v>
      </c>
      <c r="S334" s="12"/>
      <c r="T334" s="1" t="s">
        <v>494</v>
      </c>
      <c r="U334" s="13" t="s">
        <v>500</v>
      </c>
      <c r="V334" s="13"/>
      <c r="W334" s="5" t="s">
        <v>1491</v>
      </c>
    </row>
    <row r="335" spans="1:23" ht="225">
      <c r="A335" s="1">
        <v>458243</v>
      </c>
      <c r="B335" s="13">
        <v>1</v>
      </c>
      <c r="C335" s="1">
        <v>235</v>
      </c>
      <c r="D335" s="2" t="s">
        <v>492</v>
      </c>
      <c r="E335" s="11" t="s">
        <v>492</v>
      </c>
      <c r="F335" s="11">
        <v>272626</v>
      </c>
      <c r="G335" s="2" t="s">
        <v>1494</v>
      </c>
      <c r="H335" s="2" t="s">
        <v>1495</v>
      </c>
      <c r="I335" s="2" t="s">
        <v>1496</v>
      </c>
      <c r="J335" s="2" t="str">
        <f>CONCATENATE(G335,F335,H335,C335,I335)</f>
        <v>https://permalinkbnd.bnportugal.gov.pt/viewer/272626/?offset=#page=235&amp;viewer=picture&amp;o=info&amp;n=0&amp;q=</v>
      </c>
      <c r="K335" s="1" t="s">
        <v>493</v>
      </c>
      <c r="L335" s="1" t="str">
        <f>VLOOKUP(A335,Folha2!$A$2:$B$2019,2,FALSE)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5" s="12" t="str">
        <f>HYPERLINK(J335)</f>
        <v>https://permalinkbnd.bnportugal.gov.pt/viewer/272626/?offset=#page=235&amp;viewer=picture&amp;o=info&amp;n=0&amp;q=</v>
      </c>
      <c r="N335" s="12" t="s">
        <v>1497</v>
      </c>
      <c r="O335" s="12" t="str">
        <f>CONCATENATE(N335,A335,"\",B335,"\",C335,".jpg")</f>
        <v>C:\Users\mbaptista\OneDrive - Biblioteca Nacional de Portugal\Documentos\python\camoniana\imagens\capas\458243\1\235.jpg</v>
      </c>
      <c r="P335" s="12" t="str">
        <f>HYPERLINK(O335)</f>
        <v>C:\Users\mbaptista\OneDrive - Biblioteca Nacional de Portugal\Documentos\python\camoniana\imagens\capas\458243\1\235.jpg</v>
      </c>
      <c r="Q335" s="12"/>
      <c r="R335" s="6"/>
      <c r="S335" s="12"/>
      <c r="T335" s="1" t="s">
        <v>494</v>
      </c>
      <c r="U335" s="13"/>
      <c r="V335" s="13"/>
      <c r="W335" s="5"/>
    </row>
    <row r="336" spans="1:23" ht="225">
      <c r="A336" s="1">
        <v>458243</v>
      </c>
      <c r="B336" s="13">
        <v>1</v>
      </c>
      <c r="C336" s="1">
        <v>261</v>
      </c>
      <c r="D336" s="2" t="s">
        <v>492</v>
      </c>
      <c r="E336" s="5" t="s">
        <v>492</v>
      </c>
      <c r="F336" s="5">
        <v>272626</v>
      </c>
      <c r="G336" s="2" t="s">
        <v>1494</v>
      </c>
      <c r="H336" s="2" t="s">
        <v>1495</v>
      </c>
      <c r="I336" s="2" t="s">
        <v>1496</v>
      </c>
      <c r="J336" s="2" t="str">
        <f>CONCATENATE(G336,F336,H336,C336,I336)</f>
        <v>https://permalinkbnd.bnportugal.gov.pt/viewer/272626/?offset=#page=261&amp;viewer=picture&amp;o=info&amp;n=0&amp;q=</v>
      </c>
      <c r="K336" s="1" t="s">
        <v>493</v>
      </c>
      <c r="L336" s="1" t="str">
        <f>VLOOKUP(A336,Folha2!$A$2:$B$2019,2,FALSE)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6" s="12" t="str">
        <f>HYPERLINK(J336)</f>
        <v>https://permalinkbnd.bnportugal.gov.pt/viewer/272626/?offset=#page=261&amp;viewer=picture&amp;o=info&amp;n=0&amp;q=</v>
      </c>
      <c r="N336" s="12" t="s">
        <v>1497</v>
      </c>
      <c r="O336" s="12" t="str">
        <f>CONCATENATE(N336,A336,"\",B336,"\",C336,".jpg")</f>
        <v>C:\Users\mbaptista\OneDrive - Biblioteca Nacional de Portugal\Documentos\python\camoniana\imagens\capas\458243\1\261.jpg</v>
      </c>
      <c r="P336" s="12" t="str">
        <f>HYPERLINK(O336)</f>
        <v>C:\Users\mbaptista\OneDrive - Biblioteca Nacional de Portugal\Documentos\python\camoniana\imagens\capas\458243\1\261.jpg</v>
      </c>
      <c r="Q336" s="12"/>
      <c r="R336" s="6" t="s">
        <v>506</v>
      </c>
      <c r="S336" s="12"/>
      <c r="T336" s="1" t="s">
        <v>494</v>
      </c>
      <c r="U336" s="13" t="s">
        <v>500</v>
      </c>
      <c r="V336" s="13"/>
      <c r="W336" s="5" t="s">
        <v>1491</v>
      </c>
    </row>
    <row r="337" spans="1:23" ht="225">
      <c r="A337" s="1">
        <v>458243</v>
      </c>
      <c r="B337" s="13">
        <v>1</v>
      </c>
      <c r="C337" s="1">
        <v>287</v>
      </c>
      <c r="D337" s="2" t="s">
        <v>492</v>
      </c>
      <c r="E337" s="11" t="s">
        <v>492</v>
      </c>
      <c r="F337" s="11">
        <v>272626</v>
      </c>
      <c r="G337" s="2" t="s">
        <v>1494</v>
      </c>
      <c r="H337" s="2" t="s">
        <v>1495</v>
      </c>
      <c r="I337" s="2" t="s">
        <v>1496</v>
      </c>
      <c r="J337" s="2" t="str">
        <f>CONCATENATE(G337,F337,H337,C337,I337)</f>
        <v>https://permalinkbnd.bnportugal.gov.pt/viewer/272626/?offset=#page=287&amp;viewer=picture&amp;o=info&amp;n=0&amp;q=</v>
      </c>
      <c r="K337" s="1" t="s">
        <v>493</v>
      </c>
      <c r="L337" s="1" t="str">
        <f>VLOOKUP(A337,Folha2!$A$2:$B$2019,2,FALSE)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7" s="12" t="str">
        <f>HYPERLINK(J337)</f>
        <v>https://permalinkbnd.bnportugal.gov.pt/viewer/272626/?offset=#page=287&amp;viewer=picture&amp;o=info&amp;n=0&amp;q=</v>
      </c>
      <c r="N337" s="12" t="s">
        <v>1497</v>
      </c>
      <c r="O337" s="12" t="str">
        <f>CONCATENATE(N337,A337,"\",B337,"\",C337,".jpg")</f>
        <v>C:\Users\mbaptista\OneDrive - Biblioteca Nacional de Portugal\Documentos\python\camoniana\imagens\capas\458243\1\287.jpg</v>
      </c>
      <c r="P337" s="12" t="str">
        <f>HYPERLINK(O337)</f>
        <v>C:\Users\mbaptista\OneDrive - Biblioteca Nacional de Portugal\Documentos\python\camoniana\imagens\capas\458243\1\287.jpg</v>
      </c>
      <c r="Q337" s="12"/>
      <c r="R337" s="6" t="s">
        <v>507</v>
      </c>
      <c r="S337" s="12"/>
      <c r="T337" s="1" t="s">
        <v>494</v>
      </c>
      <c r="U337" s="13" t="s">
        <v>500</v>
      </c>
      <c r="V337" s="13"/>
      <c r="W337" s="5" t="s">
        <v>1491</v>
      </c>
    </row>
    <row r="338" spans="1:23" ht="225">
      <c r="A338" s="1">
        <v>458243</v>
      </c>
      <c r="B338" s="13">
        <v>1</v>
      </c>
      <c r="C338" s="1">
        <v>289</v>
      </c>
      <c r="D338" s="2" t="s">
        <v>492</v>
      </c>
      <c r="E338" s="5" t="s">
        <v>492</v>
      </c>
      <c r="F338" s="5">
        <v>272626</v>
      </c>
      <c r="G338" s="2" t="s">
        <v>1494</v>
      </c>
      <c r="H338" s="2" t="s">
        <v>1495</v>
      </c>
      <c r="I338" s="2" t="s">
        <v>1496</v>
      </c>
      <c r="J338" s="2" t="str">
        <f>CONCATENATE(G338,F338,H338,C338,I338)</f>
        <v>https://permalinkbnd.bnportugal.gov.pt/viewer/272626/?offset=#page=289&amp;viewer=picture&amp;o=info&amp;n=0&amp;q=</v>
      </c>
      <c r="K338" s="1" t="s">
        <v>493</v>
      </c>
      <c r="L338" s="1" t="str">
        <f>VLOOKUP(A338,Folha2!$A$2:$B$2019,2,FALSE)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8" s="12" t="str">
        <f>HYPERLINK(J338)</f>
        <v>https://permalinkbnd.bnportugal.gov.pt/viewer/272626/?offset=#page=289&amp;viewer=picture&amp;o=info&amp;n=0&amp;q=</v>
      </c>
      <c r="N338" s="12" t="s">
        <v>1497</v>
      </c>
      <c r="O338" s="12" t="str">
        <f>CONCATENATE(N338,A338,"\",B338,"\",C338,".jpg")</f>
        <v>C:\Users\mbaptista\OneDrive - Biblioteca Nacional de Portugal\Documentos\python\camoniana\imagens\capas\458243\1\289.jpg</v>
      </c>
      <c r="P338" s="12" t="str">
        <f>HYPERLINK(O338)</f>
        <v>C:\Users\mbaptista\OneDrive - Biblioteca Nacional de Portugal\Documentos\python\camoniana\imagens\capas\458243\1\289.jpg</v>
      </c>
      <c r="Q338" s="12"/>
      <c r="R338" s="6"/>
      <c r="S338" s="12"/>
      <c r="T338" s="1" t="s">
        <v>494</v>
      </c>
      <c r="U338" s="13"/>
      <c r="V338" s="13"/>
      <c r="W338" s="5"/>
    </row>
    <row r="339" spans="1:23" ht="225">
      <c r="A339" s="1">
        <v>458243</v>
      </c>
      <c r="B339" s="13">
        <v>1</v>
      </c>
      <c r="C339" s="1">
        <v>315</v>
      </c>
      <c r="D339" s="2" t="s">
        <v>492</v>
      </c>
      <c r="E339" s="11" t="s">
        <v>492</v>
      </c>
      <c r="F339" s="11">
        <v>272626</v>
      </c>
      <c r="G339" s="2" t="s">
        <v>1494</v>
      </c>
      <c r="H339" s="2" t="s">
        <v>1495</v>
      </c>
      <c r="I339" s="2" t="s">
        <v>1496</v>
      </c>
      <c r="J339" s="2" t="str">
        <f>CONCATENATE(G339,F339,H339,C339,I339)</f>
        <v>https://permalinkbnd.bnportugal.gov.pt/viewer/272626/?offset=#page=315&amp;viewer=picture&amp;o=info&amp;n=0&amp;q=</v>
      </c>
      <c r="K339" s="1" t="s">
        <v>493</v>
      </c>
      <c r="L339" s="1" t="str">
        <f>VLOOKUP(A339,Folha2!$A$2:$B$2019,2,FALSE)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39" s="12" t="str">
        <f>HYPERLINK(J339)</f>
        <v>https://permalinkbnd.bnportugal.gov.pt/viewer/272626/?offset=#page=315&amp;viewer=picture&amp;o=info&amp;n=0&amp;q=</v>
      </c>
      <c r="N339" s="12" t="s">
        <v>1497</v>
      </c>
      <c r="O339" s="12" t="str">
        <f>CONCATENATE(N339,A339,"\",B339,"\",C339,".jpg")</f>
        <v>C:\Users\mbaptista\OneDrive - Biblioteca Nacional de Portugal\Documentos\python\camoniana\imagens\capas\458243\1\315.jpg</v>
      </c>
      <c r="P339" s="12" t="str">
        <f>HYPERLINK(O339)</f>
        <v>C:\Users\mbaptista\OneDrive - Biblioteca Nacional de Portugal\Documentos\python\camoniana\imagens\capas\458243\1\315.jpg</v>
      </c>
      <c r="Q339" s="12"/>
      <c r="R339" s="6" t="s">
        <v>508</v>
      </c>
      <c r="S339" s="12"/>
      <c r="T339" s="1" t="s">
        <v>494</v>
      </c>
      <c r="U339" s="13" t="s">
        <v>500</v>
      </c>
      <c r="V339" s="13"/>
      <c r="W339" s="5" t="s">
        <v>1491</v>
      </c>
    </row>
    <row r="340" spans="1:23" ht="225">
      <c r="A340" s="1">
        <v>458243</v>
      </c>
      <c r="B340" s="13">
        <v>1</v>
      </c>
      <c r="C340" s="1">
        <v>317</v>
      </c>
      <c r="D340" s="2" t="s">
        <v>492</v>
      </c>
      <c r="E340" s="5" t="s">
        <v>492</v>
      </c>
      <c r="F340" s="5">
        <v>272626</v>
      </c>
      <c r="G340" s="2" t="s">
        <v>1494</v>
      </c>
      <c r="H340" s="2" t="s">
        <v>1495</v>
      </c>
      <c r="I340" s="2" t="s">
        <v>1496</v>
      </c>
      <c r="J340" s="2" t="str">
        <f>CONCATENATE(G340,F340,H340,C340,I340)</f>
        <v>https://permalinkbnd.bnportugal.gov.pt/viewer/272626/?offset=#page=317&amp;viewer=picture&amp;o=info&amp;n=0&amp;q=</v>
      </c>
      <c r="K340" s="1" t="s">
        <v>493</v>
      </c>
      <c r="L340" s="1" t="str">
        <f>VLOOKUP(A340,Folha2!$A$2:$B$2019,2,FALSE)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0" s="12" t="str">
        <f>HYPERLINK(J340)</f>
        <v>https://permalinkbnd.bnportugal.gov.pt/viewer/272626/?offset=#page=317&amp;viewer=picture&amp;o=info&amp;n=0&amp;q=</v>
      </c>
      <c r="N340" s="12" t="s">
        <v>1497</v>
      </c>
      <c r="O340" s="12" t="str">
        <f>CONCATENATE(N340,A340,"\",B340,"\",C340,".jpg")</f>
        <v>C:\Users\mbaptista\OneDrive - Biblioteca Nacional de Portugal\Documentos\python\camoniana\imagens\capas\458243\1\317.jpg</v>
      </c>
      <c r="P340" s="12" t="str">
        <f>HYPERLINK(O340)</f>
        <v>C:\Users\mbaptista\OneDrive - Biblioteca Nacional de Portugal\Documentos\python\camoniana\imagens\capas\458243\1\317.jpg</v>
      </c>
      <c r="Q340" s="12"/>
      <c r="R340" s="6"/>
      <c r="S340" s="12"/>
      <c r="T340" s="1" t="s">
        <v>494</v>
      </c>
      <c r="U340" s="13"/>
      <c r="V340" s="13"/>
      <c r="W340" s="5"/>
    </row>
    <row r="341" spans="1:23" ht="225">
      <c r="A341" s="1">
        <v>458243</v>
      </c>
      <c r="B341" s="13">
        <v>1</v>
      </c>
      <c r="C341" s="1">
        <v>343</v>
      </c>
      <c r="D341" s="2" t="s">
        <v>492</v>
      </c>
      <c r="E341" s="11" t="s">
        <v>492</v>
      </c>
      <c r="F341" s="11">
        <v>272626</v>
      </c>
      <c r="G341" s="2" t="s">
        <v>1494</v>
      </c>
      <c r="H341" s="2" t="s">
        <v>1495</v>
      </c>
      <c r="I341" s="2" t="s">
        <v>1496</v>
      </c>
      <c r="J341" s="2" t="str">
        <f>CONCATENATE(G341,F341,H341,C341,I341)</f>
        <v>https://permalinkbnd.bnportugal.gov.pt/viewer/272626/?offset=#page=343&amp;viewer=picture&amp;o=info&amp;n=0&amp;q=</v>
      </c>
      <c r="K341" s="1" t="s">
        <v>493</v>
      </c>
      <c r="L341" s="1" t="str">
        <f>VLOOKUP(A341,Folha2!$A$2:$B$2019,2,FALSE)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1" s="12" t="str">
        <f>HYPERLINK(J341)</f>
        <v>https://permalinkbnd.bnportugal.gov.pt/viewer/272626/?offset=#page=343&amp;viewer=picture&amp;o=info&amp;n=0&amp;q=</v>
      </c>
      <c r="N341" s="12" t="s">
        <v>1497</v>
      </c>
      <c r="O341" s="12" t="str">
        <f>CONCATENATE(N341,A341,"\",B341,"\",C341,".jpg")</f>
        <v>C:\Users\mbaptista\OneDrive - Biblioteca Nacional de Portugal\Documentos\python\camoniana\imagens\capas\458243\1\343.jpg</v>
      </c>
      <c r="P341" s="12" t="str">
        <f>HYPERLINK(O341)</f>
        <v>C:\Users\mbaptista\OneDrive - Biblioteca Nacional de Portugal\Documentos\python\camoniana\imagens\capas\458243\1\343.jpg</v>
      </c>
      <c r="Q341" s="12"/>
      <c r="R341" s="6" t="s">
        <v>509</v>
      </c>
      <c r="S341" s="12"/>
      <c r="T341" s="1" t="s">
        <v>494</v>
      </c>
      <c r="U341" s="13" t="s">
        <v>500</v>
      </c>
      <c r="V341" s="13"/>
      <c r="W341" s="5" t="s">
        <v>1491</v>
      </c>
    </row>
    <row r="342" spans="1:23" ht="225">
      <c r="A342" s="1">
        <v>458243</v>
      </c>
      <c r="B342" s="13">
        <v>1</v>
      </c>
      <c r="C342" s="1">
        <v>345</v>
      </c>
      <c r="D342" s="2" t="s">
        <v>492</v>
      </c>
      <c r="E342" s="5" t="s">
        <v>492</v>
      </c>
      <c r="F342" s="5">
        <v>272626</v>
      </c>
      <c r="G342" s="2" t="s">
        <v>1494</v>
      </c>
      <c r="H342" s="2" t="s">
        <v>1495</v>
      </c>
      <c r="I342" s="2" t="s">
        <v>1496</v>
      </c>
      <c r="J342" s="2" t="str">
        <f>CONCATENATE(G342,F342,H342,C342,I342)</f>
        <v>https://permalinkbnd.bnportugal.gov.pt/viewer/272626/?offset=#page=345&amp;viewer=picture&amp;o=info&amp;n=0&amp;q=</v>
      </c>
      <c r="K342" s="1" t="s">
        <v>493</v>
      </c>
      <c r="L342" s="1" t="str">
        <f>VLOOKUP(A342,Folha2!$A$2:$B$2019,2,FALSE)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2" s="12" t="str">
        <f>HYPERLINK(J342)</f>
        <v>https://permalinkbnd.bnportugal.gov.pt/viewer/272626/?offset=#page=345&amp;viewer=picture&amp;o=info&amp;n=0&amp;q=</v>
      </c>
      <c r="N342" s="12" t="s">
        <v>1497</v>
      </c>
      <c r="O342" s="12" t="str">
        <f>CONCATENATE(N342,A342,"\",B342,"\",C342,".jpg")</f>
        <v>C:\Users\mbaptista\OneDrive - Biblioteca Nacional de Portugal\Documentos\python\camoniana\imagens\capas\458243\1\345.jpg</v>
      </c>
      <c r="P342" s="12" t="str">
        <f>HYPERLINK(O342)</f>
        <v>C:\Users\mbaptista\OneDrive - Biblioteca Nacional de Portugal\Documentos\python\camoniana\imagens\capas\458243\1\345.jpg</v>
      </c>
      <c r="Q342" s="12"/>
      <c r="R342" s="6"/>
      <c r="S342" s="12"/>
      <c r="T342" s="1" t="s">
        <v>494</v>
      </c>
      <c r="U342" s="13"/>
      <c r="V342" s="13"/>
      <c r="W342" s="5"/>
    </row>
    <row r="343" spans="1:23" ht="225">
      <c r="A343" s="1">
        <v>458243</v>
      </c>
      <c r="B343" s="13">
        <v>1</v>
      </c>
      <c r="C343" s="1">
        <v>392</v>
      </c>
      <c r="D343" s="2" t="s">
        <v>492</v>
      </c>
      <c r="E343" s="11" t="s">
        <v>492</v>
      </c>
      <c r="F343" s="11">
        <v>272626</v>
      </c>
      <c r="G343" s="2" t="s">
        <v>1494</v>
      </c>
      <c r="H343" s="2" t="s">
        <v>1495</v>
      </c>
      <c r="I343" s="2" t="s">
        <v>1496</v>
      </c>
      <c r="J343" s="2" t="str">
        <f>CONCATENATE(G343,F343,H343,C343,I343)</f>
        <v>https://permalinkbnd.bnportugal.gov.pt/viewer/272626/?offset=#page=392&amp;viewer=picture&amp;o=info&amp;n=0&amp;q=</v>
      </c>
      <c r="K343" s="1" t="s">
        <v>493</v>
      </c>
      <c r="L343" s="1" t="str">
        <f>VLOOKUP(A343,Folha2!$A$2:$B$2019,2,FALSE)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3" s="12" t="str">
        <f>HYPERLINK(J343)</f>
        <v>https://permalinkbnd.bnportugal.gov.pt/viewer/272626/?offset=#page=392&amp;viewer=picture&amp;o=info&amp;n=0&amp;q=</v>
      </c>
      <c r="N343" s="12" t="s">
        <v>1497</v>
      </c>
      <c r="O343" s="12" t="str">
        <f>CONCATENATE(N343,A343,"\",B343,"\",C343,".jpg")</f>
        <v>C:\Users\mbaptista\OneDrive - Biblioteca Nacional de Portugal\Documentos\python\camoniana\imagens\capas\458243\1\392.jpg</v>
      </c>
      <c r="P343" s="12" t="str">
        <f>HYPERLINK(O343)</f>
        <v>C:\Users\mbaptista\OneDrive - Biblioteca Nacional de Portugal\Documentos\python\camoniana\imagens\capas\458243\1\392.jpg</v>
      </c>
      <c r="Q343" s="12"/>
      <c r="R343" s="6"/>
      <c r="S343" s="12"/>
      <c r="T343" s="1" t="s">
        <v>494</v>
      </c>
      <c r="U343" s="13"/>
      <c r="V343" s="13"/>
      <c r="W343" s="5"/>
    </row>
    <row r="344" spans="1:23" ht="225">
      <c r="A344" s="1">
        <v>458243</v>
      </c>
      <c r="B344" s="13">
        <v>1</v>
      </c>
      <c r="C344" s="1">
        <v>394</v>
      </c>
      <c r="D344" s="2" t="s">
        <v>492</v>
      </c>
      <c r="E344" s="5" t="s">
        <v>492</v>
      </c>
      <c r="F344" s="5">
        <v>272626</v>
      </c>
      <c r="G344" s="2" t="s">
        <v>1494</v>
      </c>
      <c r="H344" s="2" t="s">
        <v>1495</v>
      </c>
      <c r="I344" s="2" t="s">
        <v>1496</v>
      </c>
      <c r="J344" s="2" t="str">
        <f>CONCATENATE(G344,F344,H344,C344,I344)</f>
        <v>https://permalinkbnd.bnportugal.gov.pt/viewer/272626/?offset=#page=394&amp;viewer=picture&amp;o=info&amp;n=0&amp;q=</v>
      </c>
      <c r="K344" s="1" t="s">
        <v>493</v>
      </c>
      <c r="L344" s="1" t="str">
        <f>VLOOKUP(A344,Folha2!$A$2:$B$2019,2,FALSE)</f>
        <v xml:space="preserve">Luís de Camões. Os Lusíadas, sem argumentos. Introd. Hernâni Cidade. Estudo sobre as duas edições datadas de 1572 por Eleutério Cerdeira. Ilustrada com iluminuras e des. de Joaquim Lopes. Ed. artística comemorativa do 3.º centenário da restauração.Barcelos. 1940. </v>
      </c>
      <c r="M344" s="12" t="str">
        <f>HYPERLINK(J344)</f>
        <v>https://permalinkbnd.bnportugal.gov.pt/viewer/272626/?offset=#page=394&amp;viewer=picture&amp;o=info&amp;n=0&amp;q=</v>
      </c>
      <c r="N344" s="12" t="s">
        <v>1497</v>
      </c>
      <c r="O344" s="12" t="str">
        <f>CONCATENATE(N344,A344,"\",B344,"\",C344,".jpg")</f>
        <v>C:\Users\mbaptista\OneDrive - Biblioteca Nacional de Portugal\Documentos\python\camoniana\imagens\capas\458243\1\394.jpg</v>
      </c>
      <c r="P344" s="12" t="str">
        <f>HYPERLINK(O344)</f>
        <v>C:\Users\mbaptista\OneDrive - Biblioteca Nacional de Portugal\Documentos\python\camoniana\imagens\capas\458243\1\394.jpg</v>
      </c>
      <c r="Q344" s="12"/>
      <c r="R344" s="6"/>
      <c r="S344" s="12"/>
      <c r="T344" s="1" t="s">
        <v>494</v>
      </c>
      <c r="U344" s="13"/>
      <c r="V344" s="13"/>
      <c r="W344" s="5"/>
    </row>
    <row r="345" spans="1:23" ht="225">
      <c r="A345" s="1">
        <v>335235</v>
      </c>
      <c r="B345" s="1">
        <v>1</v>
      </c>
      <c r="C345" s="1">
        <v>23</v>
      </c>
      <c r="D345" s="2" t="s">
        <v>510</v>
      </c>
      <c r="E345" s="11" t="s">
        <v>510</v>
      </c>
      <c r="F345" s="11">
        <v>279168</v>
      </c>
      <c r="G345" s="2" t="s">
        <v>1494</v>
      </c>
      <c r="H345" s="2" t="s">
        <v>1495</v>
      </c>
      <c r="I345" s="2" t="s">
        <v>1496</v>
      </c>
      <c r="J345" s="2" t="str">
        <f>CONCATENATE(G345,F345,H345,C345,I345)</f>
        <v>https://permalinkbnd.bnportugal.gov.pt/viewer/279168/?offset=#page=23&amp;viewer=picture&amp;o=info&amp;n=0&amp;q=</v>
      </c>
      <c r="K345" s="1" t="s">
        <v>511</v>
      </c>
      <c r="L345" s="1" t="str">
        <f>VLOOKUP(A345,Folha2!$A$2:$B$2019,2,FALSE)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5" s="12" t="str">
        <f>HYPERLINK(J345)</f>
        <v>https://permalinkbnd.bnportugal.gov.pt/viewer/279168/?offset=#page=23&amp;viewer=picture&amp;o=info&amp;n=0&amp;q=</v>
      </c>
      <c r="N345" s="12" t="s">
        <v>1497</v>
      </c>
      <c r="O345" s="12" t="str">
        <f>CONCATENATE(N345,A345,"\",B345,"\",C345,".jpg")</f>
        <v>C:\Users\mbaptista\OneDrive - Biblioteca Nacional de Portugal\Documentos\python\camoniana\imagens\capas\335235\1\23.jpg</v>
      </c>
      <c r="P345" s="12" t="str">
        <f>HYPERLINK(O345)</f>
        <v>C:\Users\mbaptista\OneDrive - Biblioteca Nacional de Portugal\Documentos\python\camoniana\imagens\capas\335235\1\23.jpg</v>
      </c>
      <c r="Q345" s="12"/>
      <c r="R345" s="6" t="s">
        <v>512</v>
      </c>
      <c r="S345" s="12"/>
      <c r="T345" s="1" t="s">
        <v>511</v>
      </c>
      <c r="U345" s="13"/>
      <c r="V345" s="13"/>
      <c r="W345" s="5" t="s">
        <v>1491</v>
      </c>
    </row>
    <row r="346" spans="1:23" ht="225">
      <c r="A346" s="1">
        <v>335235</v>
      </c>
      <c r="B346" s="1">
        <v>1</v>
      </c>
      <c r="C346" s="1">
        <v>63</v>
      </c>
      <c r="D346" s="2" t="s">
        <v>510</v>
      </c>
      <c r="E346" s="5" t="s">
        <v>510</v>
      </c>
      <c r="F346" s="5">
        <v>279168</v>
      </c>
      <c r="G346" s="2" t="s">
        <v>1494</v>
      </c>
      <c r="H346" s="2" t="s">
        <v>1495</v>
      </c>
      <c r="I346" s="2" t="s">
        <v>1496</v>
      </c>
      <c r="J346" s="2" t="str">
        <f>CONCATENATE(G346,F346,H346,C346,I346)</f>
        <v>https://permalinkbnd.bnportugal.gov.pt/viewer/279168/?offset=#page=63&amp;viewer=picture&amp;o=info&amp;n=0&amp;q=</v>
      </c>
      <c r="K346" s="1" t="s">
        <v>511</v>
      </c>
      <c r="L346" s="1" t="str">
        <f>VLOOKUP(A346,Folha2!$A$2:$B$2019,2,FALSE)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6" s="12" t="str">
        <f>HYPERLINK(J346)</f>
        <v>https://permalinkbnd.bnportugal.gov.pt/viewer/279168/?offset=#page=63&amp;viewer=picture&amp;o=info&amp;n=0&amp;q=</v>
      </c>
      <c r="N346" s="12" t="s">
        <v>1497</v>
      </c>
      <c r="O346" s="12" t="str">
        <f>CONCATENATE(N346,A346,"\",B346,"\",C346,".jpg")</f>
        <v>C:\Users\mbaptista\OneDrive - Biblioteca Nacional de Portugal\Documentos\python\camoniana\imagens\capas\335235\1\63.jpg</v>
      </c>
      <c r="P346" s="12" t="str">
        <f>HYPERLINK(O346)</f>
        <v>C:\Users\mbaptista\OneDrive - Biblioteca Nacional de Portugal\Documentos\python\camoniana\imagens\capas\335235\1\63.jpg</v>
      </c>
      <c r="Q346" s="12"/>
      <c r="R346" s="6" t="s">
        <v>513</v>
      </c>
      <c r="S346" s="12"/>
      <c r="T346" s="1" t="s">
        <v>511</v>
      </c>
      <c r="U346" s="13"/>
      <c r="V346" s="13"/>
      <c r="W346" s="5" t="s">
        <v>1491</v>
      </c>
    </row>
    <row r="347" spans="1:23" ht="225">
      <c r="A347" s="1">
        <v>335235</v>
      </c>
      <c r="B347" s="1">
        <v>1</v>
      </c>
      <c r="C347" s="1">
        <v>105</v>
      </c>
      <c r="D347" s="2" t="s">
        <v>510</v>
      </c>
      <c r="E347" s="11" t="s">
        <v>510</v>
      </c>
      <c r="F347" s="11">
        <v>279168</v>
      </c>
      <c r="G347" s="2" t="s">
        <v>1494</v>
      </c>
      <c r="H347" s="2" t="s">
        <v>1495</v>
      </c>
      <c r="I347" s="2" t="s">
        <v>1496</v>
      </c>
      <c r="J347" s="2" t="str">
        <f>CONCATENATE(G347,F347,H347,C347,I347)</f>
        <v>https://permalinkbnd.bnportugal.gov.pt/viewer/279168/?offset=#page=105&amp;viewer=picture&amp;o=info&amp;n=0&amp;q=</v>
      </c>
      <c r="K347" s="1" t="s">
        <v>511</v>
      </c>
      <c r="L347" s="1" t="str">
        <f>VLOOKUP(A347,Folha2!$A$2:$B$2019,2,FALSE)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7" s="12" t="str">
        <f>HYPERLINK(J347)</f>
        <v>https://permalinkbnd.bnportugal.gov.pt/viewer/279168/?offset=#page=105&amp;viewer=picture&amp;o=info&amp;n=0&amp;q=</v>
      </c>
      <c r="N347" s="12" t="s">
        <v>1497</v>
      </c>
      <c r="O347" s="12" t="str">
        <f>CONCATENATE(N347,A347,"\",B347,"\",C347,".jpg")</f>
        <v>C:\Users\mbaptista\OneDrive - Biblioteca Nacional de Portugal\Documentos\python\camoniana\imagens\capas\335235\1\105.jpg</v>
      </c>
      <c r="P347" s="12" t="str">
        <f>HYPERLINK(O347)</f>
        <v>C:\Users\mbaptista\OneDrive - Biblioteca Nacional de Portugal\Documentos\python\camoniana\imagens\capas\335235\1\105.jpg</v>
      </c>
      <c r="Q347" s="12"/>
      <c r="R347" s="6" t="s">
        <v>514</v>
      </c>
      <c r="S347" s="12"/>
      <c r="T347" s="1" t="s">
        <v>511</v>
      </c>
      <c r="U347" s="13"/>
      <c r="V347" s="13"/>
      <c r="W347" s="5" t="s">
        <v>1491</v>
      </c>
    </row>
    <row r="348" spans="1:23" ht="225">
      <c r="A348" s="1">
        <v>335235</v>
      </c>
      <c r="B348" s="1">
        <v>1</v>
      </c>
      <c r="C348" s="1">
        <v>157</v>
      </c>
      <c r="D348" s="2" t="s">
        <v>510</v>
      </c>
      <c r="E348" s="5" t="s">
        <v>510</v>
      </c>
      <c r="F348" s="5">
        <v>279168</v>
      </c>
      <c r="G348" s="2" t="s">
        <v>1494</v>
      </c>
      <c r="H348" s="2" t="s">
        <v>1495</v>
      </c>
      <c r="I348" s="2" t="s">
        <v>1496</v>
      </c>
      <c r="J348" s="2" t="str">
        <f>CONCATENATE(G348,F348,H348,C348,I348)</f>
        <v>https://permalinkbnd.bnportugal.gov.pt/viewer/279168/?offset=#page=157&amp;viewer=picture&amp;o=info&amp;n=0&amp;q=</v>
      </c>
      <c r="K348" s="1" t="s">
        <v>511</v>
      </c>
      <c r="L348" s="1" t="str">
        <f>VLOOKUP(A348,Folha2!$A$2:$B$2019,2,FALSE)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8" s="12" t="str">
        <f>HYPERLINK(J348)</f>
        <v>https://permalinkbnd.bnportugal.gov.pt/viewer/279168/?offset=#page=157&amp;viewer=picture&amp;o=info&amp;n=0&amp;q=</v>
      </c>
      <c r="N348" s="12" t="s">
        <v>1497</v>
      </c>
      <c r="O348" s="12" t="str">
        <f>CONCATENATE(N348,A348,"\",B348,"\",C348,".jpg")</f>
        <v>C:\Users\mbaptista\OneDrive - Biblioteca Nacional de Portugal\Documentos\python\camoniana\imagens\capas\335235\1\157.jpg</v>
      </c>
      <c r="P348" s="12" t="str">
        <f>HYPERLINK(O348)</f>
        <v>C:\Users\mbaptista\OneDrive - Biblioteca Nacional de Portugal\Documentos\python\camoniana\imagens\capas\335235\1\157.jpg</v>
      </c>
      <c r="Q348" s="12"/>
      <c r="R348" s="6" t="s">
        <v>515</v>
      </c>
      <c r="S348" s="12"/>
      <c r="T348" s="1" t="s">
        <v>511</v>
      </c>
      <c r="U348" s="13"/>
      <c r="V348" s="13"/>
      <c r="W348" s="5" t="s">
        <v>1491</v>
      </c>
    </row>
    <row r="349" spans="1:23" ht="225">
      <c r="A349" s="1">
        <v>335235</v>
      </c>
      <c r="B349" s="1">
        <v>1</v>
      </c>
      <c r="C349" s="1">
        <v>197</v>
      </c>
      <c r="D349" s="2" t="s">
        <v>510</v>
      </c>
      <c r="E349" s="11" t="s">
        <v>510</v>
      </c>
      <c r="F349" s="11">
        <v>279168</v>
      </c>
      <c r="G349" s="2" t="s">
        <v>1494</v>
      </c>
      <c r="H349" s="2" t="s">
        <v>1495</v>
      </c>
      <c r="I349" s="2" t="s">
        <v>1496</v>
      </c>
      <c r="J349" s="2" t="str">
        <f>CONCATENATE(G349,F349,H349,C349,I349)</f>
        <v>https://permalinkbnd.bnportugal.gov.pt/viewer/279168/?offset=#page=197&amp;viewer=picture&amp;o=info&amp;n=0&amp;q=</v>
      </c>
      <c r="K349" s="1" t="s">
        <v>511</v>
      </c>
      <c r="L349" s="1" t="str">
        <f>VLOOKUP(A349,Folha2!$A$2:$B$2019,2,FALSE)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49" s="12" t="str">
        <f>HYPERLINK(J349)</f>
        <v>https://permalinkbnd.bnportugal.gov.pt/viewer/279168/?offset=#page=197&amp;viewer=picture&amp;o=info&amp;n=0&amp;q=</v>
      </c>
      <c r="N349" s="12" t="s">
        <v>1497</v>
      </c>
      <c r="O349" s="12" t="str">
        <f>CONCATENATE(N349,A349,"\",B349,"\",C349,".jpg")</f>
        <v>C:\Users\mbaptista\OneDrive - Biblioteca Nacional de Portugal\Documentos\python\camoniana\imagens\capas\335235\1\197.jpg</v>
      </c>
      <c r="P349" s="12" t="str">
        <f>HYPERLINK(O349)</f>
        <v>C:\Users\mbaptista\OneDrive - Biblioteca Nacional de Portugal\Documentos\python\camoniana\imagens\capas\335235\1\197.jpg</v>
      </c>
      <c r="Q349" s="12"/>
      <c r="R349" s="6" t="s">
        <v>516</v>
      </c>
      <c r="S349" s="12"/>
      <c r="T349" s="1" t="s">
        <v>511</v>
      </c>
      <c r="U349" s="13"/>
      <c r="V349" s="13"/>
      <c r="W349" s="5" t="s">
        <v>1491</v>
      </c>
    </row>
    <row r="350" spans="1:23" ht="225">
      <c r="A350" s="1">
        <v>335235</v>
      </c>
      <c r="B350" s="1">
        <v>1</v>
      </c>
      <c r="C350" s="1">
        <v>268</v>
      </c>
      <c r="D350" s="2" t="s">
        <v>510</v>
      </c>
      <c r="E350" s="5" t="s">
        <v>510</v>
      </c>
      <c r="F350" s="5">
        <v>279168</v>
      </c>
      <c r="G350" s="2" t="s">
        <v>1494</v>
      </c>
      <c r="H350" s="2" t="s">
        <v>1495</v>
      </c>
      <c r="I350" s="2" t="s">
        <v>1496</v>
      </c>
      <c r="J350" s="2" t="str">
        <f>CONCATENATE(G350,F350,H350,C350,I350)</f>
        <v>https://permalinkbnd.bnportugal.gov.pt/viewer/279168/?offset=#page=268&amp;viewer=picture&amp;o=info&amp;n=0&amp;q=</v>
      </c>
      <c r="K350" s="1" t="s">
        <v>511</v>
      </c>
      <c r="L350" s="1" t="str">
        <f>VLOOKUP(A350,Folha2!$A$2:$B$2019,2,FALSE)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0" s="12" t="str">
        <f>HYPERLINK(J350)</f>
        <v>https://permalinkbnd.bnportugal.gov.pt/viewer/279168/?offset=#page=268&amp;viewer=picture&amp;o=info&amp;n=0&amp;q=</v>
      </c>
      <c r="N350" s="12" t="s">
        <v>1497</v>
      </c>
      <c r="O350" s="12" t="str">
        <f>CONCATENATE(N350,A350,"\",B350,"\",C350,".jpg")</f>
        <v>C:\Users\mbaptista\OneDrive - Biblioteca Nacional de Portugal\Documentos\python\camoniana\imagens\capas\335235\1\268.jpg</v>
      </c>
      <c r="P350" s="12" t="str">
        <f>HYPERLINK(O350)</f>
        <v>C:\Users\mbaptista\OneDrive - Biblioteca Nacional de Portugal\Documentos\python\camoniana\imagens\capas\335235\1\268.jpg</v>
      </c>
      <c r="Q350" s="12"/>
      <c r="R350" s="6" t="s">
        <v>517</v>
      </c>
      <c r="S350" s="12"/>
      <c r="T350" s="1" t="s">
        <v>511</v>
      </c>
      <c r="U350" s="13"/>
      <c r="V350" s="13"/>
      <c r="W350" s="5" t="s">
        <v>1491</v>
      </c>
    </row>
    <row r="351" spans="1:23" ht="225">
      <c r="A351" s="1">
        <v>335235</v>
      </c>
      <c r="B351" s="1">
        <v>1</v>
      </c>
      <c r="C351" s="1">
        <v>309</v>
      </c>
      <c r="D351" s="2" t="s">
        <v>510</v>
      </c>
      <c r="E351" s="11" t="s">
        <v>510</v>
      </c>
      <c r="F351" s="11">
        <v>279168</v>
      </c>
      <c r="G351" s="2" t="s">
        <v>1494</v>
      </c>
      <c r="H351" s="2" t="s">
        <v>1495</v>
      </c>
      <c r="I351" s="2" t="s">
        <v>1496</v>
      </c>
      <c r="J351" s="2" t="str">
        <f>CONCATENATE(G351,F351,H351,C351,I351)</f>
        <v>https://permalinkbnd.bnportugal.gov.pt/viewer/279168/?offset=#page=309&amp;viewer=picture&amp;o=info&amp;n=0&amp;q=</v>
      </c>
      <c r="K351" s="1" t="s">
        <v>511</v>
      </c>
      <c r="L351" s="1" t="str">
        <f>VLOOKUP(A351,Folha2!$A$2:$B$2019,2,FALSE)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1" s="12" t="str">
        <f>HYPERLINK(J351)</f>
        <v>https://permalinkbnd.bnportugal.gov.pt/viewer/279168/?offset=#page=309&amp;viewer=picture&amp;o=info&amp;n=0&amp;q=</v>
      </c>
      <c r="N351" s="12" t="s">
        <v>1497</v>
      </c>
      <c r="O351" s="12" t="str">
        <f>CONCATENATE(N351,A351,"\",B351,"\",C351,".jpg")</f>
        <v>C:\Users\mbaptista\OneDrive - Biblioteca Nacional de Portugal\Documentos\python\camoniana\imagens\capas\335235\1\309.jpg</v>
      </c>
      <c r="P351" s="12" t="str">
        <f>HYPERLINK(O351)</f>
        <v>C:\Users\mbaptista\OneDrive - Biblioteca Nacional de Portugal\Documentos\python\camoniana\imagens\capas\335235\1\309.jpg</v>
      </c>
      <c r="Q351" s="12"/>
      <c r="R351" s="6" t="s">
        <v>518</v>
      </c>
      <c r="S351" s="12"/>
      <c r="T351" s="1" t="s">
        <v>511</v>
      </c>
      <c r="U351" s="13"/>
      <c r="V351" s="13"/>
      <c r="W351" s="5" t="s">
        <v>1491</v>
      </c>
    </row>
    <row r="352" spans="1:23" ht="225">
      <c r="A352" s="1">
        <v>335235</v>
      </c>
      <c r="B352" s="1">
        <v>1</v>
      </c>
      <c r="C352" s="1">
        <v>375</v>
      </c>
      <c r="D352" s="2" t="s">
        <v>510</v>
      </c>
      <c r="E352" s="5" t="s">
        <v>510</v>
      </c>
      <c r="F352" s="5">
        <v>279168</v>
      </c>
      <c r="G352" s="2" t="s">
        <v>1494</v>
      </c>
      <c r="H352" s="2" t="s">
        <v>1495</v>
      </c>
      <c r="I352" s="2" t="s">
        <v>1496</v>
      </c>
      <c r="J352" s="2" t="str">
        <f>CONCATENATE(G352,F352,H352,C352,I352)</f>
        <v>https://permalinkbnd.bnportugal.gov.pt/viewer/279168/?offset=#page=375&amp;viewer=picture&amp;o=info&amp;n=0&amp;q=</v>
      </c>
      <c r="K352" s="1" t="s">
        <v>511</v>
      </c>
      <c r="L352" s="1" t="str">
        <f>VLOOKUP(A352,Folha2!$A$2:$B$2019,2,FALSE)</f>
        <v>Os Lusiadas : poema epico = e Luis de Camões. - Nova edição.... - Rio de Janeiro : Eduardo &amp; Henrique Laemmert, 1856, sem argumentos. 2 Tomos: 1.º até ao Canto V, com notas: 2.º até ao Canto X, com notas e dicionário.  Paratextos notas; Celebrações (1860), edições? Faltam estrofes do LXXXIV a LXXXVII do Canto VII, cf. p. 70 do 2.º Tomo, mas com Imagens sequenciais: 338-339 . Pela lógica, falta ilustração do Canto X, cf. p. 142-146, cf. Im. 409. Assim no original?</v>
      </c>
      <c r="M352" s="12" t="str">
        <f>HYPERLINK(J352)</f>
        <v>https://permalinkbnd.bnportugal.gov.pt/viewer/279168/?offset=#page=375&amp;viewer=picture&amp;o=info&amp;n=0&amp;q=</v>
      </c>
      <c r="N352" s="12" t="s">
        <v>1497</v>
      </c>
      <c r="O352" s="12" t="str">
        <f>CONCATENATE(N352,A352,"\",B352,"\",C352,".jpg")</f>
        <v>C:\Users\mbaptista\OneDrive - Biblioteca Nacional de Portugal\Documentos\python\camoniana\imagens\capas\335235\1\375.jpg</v>
      </c>
      <c r="P352" s="12" t="str">
        <f>HYPERLINK(O352)</f>
        <v>C:\Users\mbaptista\OneDrive - Biblioteca Nacional de Portugal\Documentos\python\camoniana\imagens\capas\335235\1\375.jpg</v>
      </c>
      <c r="Q352" s="12"/>
      <c r="R352" s="6" t="s">
        <v>519</v>
      </c>
      <c r="S352" s="12"/>
      <c r="T352" s="1" t="s">
        <v>511</v>
      </c>
      <c r="U352" s="13"/>
      <c r="V352" s="13"/>
      <c r="W352" s="5" t="s">
        <v>1491</v>
      </c>
    </row>
    <row r="353" spans="1:23" ht="225">
      <c r="A353" s="1">
        <v>256272</v>
      </c>
      <c r="B353" s="1">
        <v>1</v>
      </c>
      <c r="C353" s="1">
        <v>10</v>
      </c>
      <c r="D353" s="2" t="s">
        <v>520</v>
      </c>
      <c r="E353" s="11" t="s">
        <v>520</v>
      </c>
      <c r="F353" s="11">
        <v>273511</v>
      </c>
      <c r="G353" s="2" t="s">
        <v>1494</v>
      </c>
      <c r="H353" s="2" t="s">
        <v>1495</v>
      </c>
      <c r="I353" s="2" t="s">
        <v>1496</v>
      </c>
      <c r="J353" s="2" t="str">
        <f>CONCATENATE(G353,F353,H353,C353,I353)</f>
        <v>https://permalinkbnd.bnportugal.gov.pt/viewer/273511/?offset=#page=10&amp;viewer=picture&amp;o=info&amp;n=0&amp;q=</v>
      </c>
      <c r="K353" s="1" t="s">
        <v>521</v>
      </c>
      <c r="L353" s="1" t="str">
        <f>VLOOKUP(A353,Folha2!$A$2:$B$2019,2,FALSE)</f>
        <v>Luís de Camões. Os Lusíadas, poema épico, sem argumentos. Nova edição correcta, e dada à luz, conforme a de 1817, por Dom José Maria de Souza-Botelho Morgado de Matteus. Paris. 1823.</v>
      </c>
      <c r="M353" s="12" t="str">
        <f>HYPERLINK(J353)</f>
        <v>https://permalinkbnd.bnportugal.gov.pt/viewer/273511/?offset=#page=10&amp;viewer=picture&amp;o=info&amp;n=0&amp;q=</v>
      </c>
      <c r="N353" s="12" t="s">
        <v>1497</v>
      </c>
      <c r="O353" s="12" t="str">
        <f>CONCATENATE(N353,A353,"\",B353,"\",C353,".jpg")</f>
        <v>C:\Users\mbaptista\OneDrive - Biblioteca Nacional de Portugal\Documentos\python\camoniana\imagens\capas\256272\1\10.jpg</v>
      </c>
      <c r="P353" s="12" t="str">
        <f>HYPERLINK(O353)</f>
        <v>C:\Users\mbaptista\OneDrive - Biblioteca Nacional de Portugal\Documentos\python\camoniana\imagens\capas\256272\1\10.jpg</v>
      </c>
      <c r="Q353" s="12"/>
      <c r="R353" s="6" t="s">
        <v>523</v>
      </c>
      <c r="S353" s="12"/>
      <c r="T353" s="1" t="s">
        <v>522</v>
      </c>
      <c r="U353" s="13"/>
      <c r="V353" s="13"/>
      <c r="W353" s="5" t="s">
        <v>1491</v>
      </c>
    </row>
    <row r="354" spans="1:23" ht="225">
      <c r="A354" s="1">
        <v>256272</v>
      </c>
      <c r="B354" s="1">
        <v>1</v>
      </c>
      <c r="C354" s="1">
        <v>11</v>
      </c>
      <c r="D354" s="2" t="s">
        <v>520</v>
      </c>
      <c r="E354" s="5" t="s">
        <v>520</v>
      </c>
      <c r="F354" s="5">
        <v>273511</v>
      </c>
      <c r="G354" s="2" t="s">
        <v>1494</v>
      </c>
      <c r="H354" s="2" t="s">
        <v>1495</v>
      </c>
      <c r="I354" s="2" t="s">
        <v>1496</v>
      </c>
      <c r="J354" s="2" t="str">
        <f>CONCATENATE(G354,F354,H354,C354,I354)</f>
        <v>https://permalinkbnd.bnportugal.gov.pt/viewer/273511/?offset=#page=11&amp;viewer=picture&amp;o=info&amp;n=0&amp;q=</v>
      </c>
      <c r="K354" s="1" t="s">
        <v>521</v>
      </c>
      <c r="L354" s="1" t="str">
        <f>VLOOKUP(A354,Folha2!$A$2:$B$2019,2,FALSE)</f>
        <v>Luís de Camões. Os Lusíadas, poema épico, sem argumentos. Nova edição correcta, e dada à luz, conforme a de 1817, por Dom José Maria de Souza-Botelho Morgado de Matteus. Paris. 1823.</v>
      </c>
      <c r="M354" s="12" t="str">
        <f>HYPERLINK(J354)</f>
        <v>https://permalinkbnd.bnportugal.gov.pt/viewer/273511/?offset=#page=11&amp;viewer=picture&amp;o=info&amp;n=0&amp;q=</v>
      </c>
      <c r="N354" s="12" t="s">
        <v>1497</v>
      </c>
      <c r="O354" s="12" t="str">
        <f>CONCATENATE(N354,A354,"\",B354,"\",C354,".jpg")</f>
        <v>C:\Users\mbaptista\OneDrive - Biblioteca Nacional de Portugal\Documentos\python\camoniana\imagens\capas\256272\1\11.jpg</v>
      </c>
      <c r="P354" s="12" t="str">
        <f>HYPERLINK(O354)</f>
        <v>C:\Users\mbaptista\OneDrive - Biblioteca Nacional de Portugal\Documentos\python\camoniana\imagens\capas\256272\1\11.jpg</v>
      </c>
      <c r="Q354" s="12"/>
      <c r="R354" s="6" t="s">
        <v>524</v>
      </c>
      <c r="S354" s="12"/>
      <c r="T354" s="1" t="s">
        <v>522</v>
      </c>
      <c r="U354" s="13"/>
      <c r="V354" s="13"/>
      <c r="W354" s="5" t="s">
        <v>1491</v>
      </c>
    </row>
    <row r="355" spans="1:23" ht="225">
      <c r="A355" s="1">
        <v>256272</v>
      </c>
      <c r="B355" s="1">
        <v>1</v>
      </c>
      <c r="C355" s="1">
        <v>49</v>
      </c>
      <c r="D355" s="2" t="s">
        <v>520</v>
      </c>
      <c r="E355" s="11" t="s">
        <v>520</v>
      </c>
      <c r="F355" s="11">
        <v>273511</v>
      </c>
      <c r="G355" s="2" t="s">
        <v>1494</v>
      </c>
      <c r="H355" s="2" t="s">
        <v>1495</v>
      </c>
      <c r="I355" s="2" t="s">
        <v>1496</v>
      </c>
      <c r="J355" s="2" t="str">
        <f>CONCATENATE(G355,F355,H355,C355,I355)</f>
        <v>https://permalinkbnd.bnportugal.gov.pt/viewer/273511/?offset=#page=49&amp;viewer=picture&amp;o=info&amp;n=0&amp;q=</v>
      </c>
      <c r="K355" s="1" t="s">
        <v>521</v>
      </c>
      <c r="L355" s="1" t="str">
        <f>VLOOKUP(A355,Folha2!$A$2:$B$2019,2,FALSE)</f>
        <v>Luís de Camões. Os Lusíadas, poema épico, sem argumentos. Nova edição correcta, e dada à luz, conforme a de 1817, por Dom José Maria de Souza-Botelho Morgado de Matteus. Paris. 1823.</v>
      </c>
      <c r="M355" s="12" t="str">
        <f>HYPERLINK(J355)</f>
        <v>https://permalinkbnd.bnportugal.gov.pt/viewer/273511/?offset=#page=49&amp;viewer=picture&amp;o=info&amp;n=0&amp;q=</v>
      </c>
      <c r="N355" s="12" t="s">
        <v>1497</v>
      </c>
      <c r="O355" s="12" t="str">
        <f>CONCATENATE(N355,A355,"\",B355,"\",C355,".jpg")</f>
        <v>C:\Users\mbaptista\OneDrive - Biblioteca Nacional de Portugal\Documentos\python\camoniana\imagens\capas\256272\1\49.jpg</v>
      </c>
      <c r="P355" s="12" t="str">
        <f>HYPERLINK(O355)</f>
        <v>C:\Users\mbaptista\OneDrive - Biblioteca Nacional de Portugal\Documentos\python\camoniana\imagens\capas\256272\1\49.jpg</v>
      </c>
      <c r="Q355" s="12"/>
      <c r="R355" s="6"/>
      <c r="S355" s="12"/>
      <c r="T355" s="1" t="s">
        <v>522</v>
      </c>
      <c r="U355" s="13"/>
      <c r="V355" s="13"/>
      <c r="W355" s="5"/>
    </row>
    <row r="356" spans="1:23" ht="225">
      <c r="A356" s="1">
        <v>256272</v>
      </c>
      <c r="B356" s="1">
        <v>1</v>
      </c>
      <c r="C356" s="1">
        <v>268</v>
      </c>
      <c r="D356" s="2" t="s">
        <v>520</v>
      </c>
      <c r="E356" s="5" t="s">
        <v>520</v>
      </c>
      <c r="F356" s="5">
        <v>273511</v>
      </c>
      <c r="G356" s="2" t="s">
        <v>1494</v>
      </c>
      <c r="H356" s="2" t="s">
        <v>1495</v>
      </c>
      <c r="I356" s="2" t="s">
        <v>1496</v>
      </c>
      <c r="J356" s="2" t="str">
        <f>CONCATENATE(G356,F356,H356,C356,I356)</f>
        <v>https://permalinkbnd.bnportugal.gov.pt/viewer/273511/?offset=#page=268&amp;viewer=picture&amp;o=info&amp;n=0&amp;q=</v>
      </c>
      <c r="K356" s="1" t="s">
        <v>521</v>
      </c>
      <c r="L356" s="1" t="str">
        <f>VLOOKUP(A356,Folha2!$A$2:$B$2019,2,FALSE)</f>
        <v>Luís de Camões. Os Lusíadas, poema épico, sem argumentos. Nova edição correcta, e dada à luz, conforme a de 1817, por Dom José Maria de Souza-Botelho Morgado de Matteus. Paris. 1823.</v>
      </c>
      <c r="M356" s="12" t="str">
        <f>HYPERLINK(J356)</f>
        <v>https://permalinkbnd.bnportugal.gov.pt/viewer/273511/?offset=#page=268&amp;viewer=picture&amp;o=info&amp;n=0&amp;q=</v>
      </c>
      <c r="N356" s="12" t="s">
        <v>1497</v>
      </c>
      <c r="O356" s="12" t="str">
        <f>CONCATENATE(N356,A356,"\",B356,"\",C356,".jpg")</f>
        <v>C:\Users\mbaptista\OneDrive - Biblioteca Nacional de Portugal\Documentos\python\camoniana\imagens\capas\256272\1\268.jpg</v>
      </c>
      <c r="P356" s="12" t="str">
        <f>HYPERLINK(O356)</f>
        <v>C:\Users\mbaptista\OneDrive - Biblioteca Nacional de Portugal\Documentos\python\camoniana\imagens\capas\256272\1\268.jpg</v>
      </c>
      <c r="Q356" s="12"/>
      <c r="R356" s="6"/>
      <c r="S356" s="12"/>
      <c r="T356" s="1" t="s">
        <v>522</v>
      </c>
      <c r="U356" s="13"/>
      <c r="V356" s="13"/>
      <c r="W356" s="5"/>
    </row>
    <row r="357" spans="1:23" ht="225">
      <c r="A357" s="1">
        <v>256272</v>
      </c>
      <c r="B357" s="1">
        <v>1</v>
      </c>
      <c r="C357" s="1">
        <v>302</v>
      </c>
      <c r="D357" s="2" t="s">
        <v>520</v>
      </c>
      <c r="E357" s="11" t="s">
        <v>520</v>
      </c>
      <c r="F357" s="11">
        <v>273511</v>
      </c>
      <c r="G357" s="2" t="s">
        <v>1494</v>
      </c>
      <c r="H357" s="2" t="s">
        <v>1495</v>
      </c>
      <c r="I357" s="2" t="s">
        <v>1496</v>
      </c>
      <c r="J357" s="2" t="str">
        <f>CONCATENATE(G357,F357,H357,C357,I357)</f>
        <v>https://permalinkbnd.bnportugal.gov.pt/viewer/273511/?offset=#page=302&amp;viewer=picture&amp;o=info&amp;n=0&amp;q=</v>
      </c>
      <c r="K357" s="1" t="s">
        <v>521</v>
      </c>
      <c r="L357" s="1" t="str">
        <f>VLOOKUP(A357,Folha2!$A$2:$B$2019,2,FALSE)</f>
        <v>Luís de Camões. Os Lusíadas, poema épico, sem argumentos. Nova edição correcta, e dada à luz, conforme a de 1817, por Dom José Maria de Souza-Botelho Morgado de Matteus. Paris. 1823.</v>
      </c>
      <c r="M357" s="12" t="str">
        <f>HYPERLINK(J357)</f>
        <v>https://permalinkbnd.bnportugal.gov.pt/viewer/273511/?offset=#page=302&amp;viewer=picture&amp;o=info&amp;n=0&amp;q=</v>
      </c>
      <c r="N357" s="12" t="s">
        <v>1497</v>
      </c>
      <c r="O357" s="12" t="str">
        <f>CONCATENATE(N357,A357,"\",B357,"\",C357,".jpg")</f>
        <v>C:\Users\mbaptista\OneDrive - Biblioteca Nacional de Portugal\Documentos\python\camoniana\imagens\capas\256272\1\302.jpg</v>
      </c>
      <c r="P357" s="12" t="str">
        <f>HYPERLINK(O357)</f>
        <v>C:\Users\mbaptista\OneDrive - Biblioteca Nacional de Portugal\Documentos\python\camoniana\imagens\capas\256272\1\302.jpg</v>
      </c>
      <c r="Q357" s="12"/>
      <c r="R357" s="6"/>
      <c r="S357" s="12"/>
      <c r="T357" s="1" t="s">
        <v>522</v>
      </c>
      <c r="U357" s="13"/>
      <c r="V357" s="13"/>
      <c r="W357" s="5"/>
    </row>
    <row r="358" spans="1:23" ht="225">
      <c r="A358" s="1">
        <v>458267</v>
      </c>
      <c r="B358" s="1">
        <v>1</v>
      </c>
      <c r="C358" s="1">
        <v>5</v>
      </c>
      <c r="D358" s="2" t="s">
        <v>525</v>
      </c>
      <c r="E358" s="5" t="s">
        <v>525</v>
      </c>
      <c r="F358" s="5">
        <v>274951</v>
      </c>
      <c r="G358" s="2" t="s">
        <v>1494</v>
      </c>
      <c r="H358" s="2" t="s">
        <v>1495</v>
      </c>
      <c r="I358" s="2" t="s">
        <v>1496</v>
      </c>
      <c r="J358" s="2" t="str">
        <f>CONCATENATE(G358,F358,H358,C358,I358)</f>
        <v>https://permalinkbnd.bnportugal.gov.pt/viewer/274951/?offset=#page=5&amp;viewer=picture&amp;o=info&amp;n=0&amp;q=</v>
      </c>
      <c r="K358" s="1" t="s">
        <v>261</v>
      </c>
      <c r="L358" s="1" t="str">
        <f>VLOOKUP(A358,Folha2!$A$2:$B$2019,2,FALSE)</f>
        <v>Eugénio de Castro. Per Umbram..., sonetos camonianos. Lisboa. 1887. [em comemoração do sétimo aniversário do tricentenário: 10 de Junho de 1887].  Celebrações (1880), recepção criativa, tematização.</v>
      </c>
      <c r="M358" s="12" t="str">
        <f>HYPERLINK(J358)</f>
        <v>https://permalinkbnd.bnportugal.gov.pt/viewer/274951/?offset=#page=5&amp;viewer=picture&amp;o=info&amp;n=0&amp;q=</v>
      </c>
      <c r="N358" s="12" t="s">
        <v>1497</v>
      </c>
      <c r="O358" s="12" t="str">
        <f>CONCATENATE(N358,A358,"\",B358,"\",C358,".jpg")</f>
        <v>C:\Users\mbaptista\OneDrive - Biblioteca Nacional de Portugal\Documentos\python\camoniana\imagens\capas\458267\1\5.jpg</v>
      </c>
      <c r="P358" s="12" t="str">
        <f>HYPERLINK(O358)</f>
        <v>C:\Users\mbaptista\OneDrive - Biblioteca Nacional de Portugal\Documentos\python\camoniana\imagens\capas\458267\1\5.jpg</v>
      </c>
      <c r="Q358" s="12"/>
      <c r="R358" s="6" t="s">
        <v>526</v>
      </c>
      <c r="S358" s="12"/>
      <c r="T358" s="1"/>
      <c r="U358" s="13"/>
      <c r="V358" s="13"/>
      <c r="W358" s="5" t="s">
        <v>1491</v>
      </c>
    </row>
    <row r="359" spans="1:23" ht="225">
      <c r="A359" s="1">
        <v>849980</v>
      </c>
      <c r="B359" s="1">
        <v>1</v>
      </c>
      <c r="C359" s="1">
        <v>96</v>
      </c>
      <c r="D359" s="2" t="s">
        <v>527</v>
      </c>
      <c r="E359" s="11" t="s">
        <v>527</v>
      </c>
      <c r="F359" s="11">
        <v>273524</v>
      </c>
      <c r="G359" s="2" t="s">
        <v>1494</v>
      </c>
      <c r="H359" s="2" t="s">
        <v>1495</v>
      </c>
      <c r="I359" s="2" t="s">
        <v>1496</v>
      </c>
      <c r="J359" s="2" t="str">
        <f>CONCATENATE(G359,F359,H359,C359,I359)</f>
        <v>https://permalinkbnd.bnportugal.gov.pt/viewer/273524/?offset=#page=96&amp;viewer=picture&amp;o=info&amp;n=0&amp;q=</v>
      </c>
      <c r="K359" s="1" t="s">
        <v>528</v>
      </c>
      <c r="L359" s="1" t="str">
        <f>VLOOKUP(A359,Folha2!$A$2:$B$2019,2,FALSE)</f>
        <v>Tito de Noronha. A primeira edição dos Lusíadas. Porto e Braga. 1880. [no final surgem duas imagens da portada da edição de 1572]</v>
      </c>
      <c r="M359" s="12" t="str">
        <f>HYPERLINK(J359)</f>
        <v>https://permalinkbnd.bnportugal.gov.pt/viewer/273524/?offset=#page=96&amp;viewer=picture&amp;o=info&amp;n=0&amp;q=</v>
      </c>
      <c r="N359" s="12" t="s">
        <v>1497</v>
      </c>
      <c r="O359" s="12" t="str">
        <f>CONCATENATE(N359,A359,"\",B359,"\",C359,".jpg")</f>
        <v>C:\Users\mbaptista\OneDrive - Biblioteca Nacional de Portugal\Documentos\python\camoniana\imagens\capas\849980\1\96.jpg</v>
      </c>
      <c r="P359" s="12" t="str">
        <f>HYPERLINK(O359)</f>
        <v>C:\Users\mbaptista\OneDrive - Biblioteca Nacional de Portugal\Documentos\python\camoniana\imagens\capas\849980\1\96.jpg</v>
      </c>
      <c r="Q359" s="12"/>
      <c r="R359" s="6" t="s">
        <v>529</v>
      </c>
      <c r="S359" s="12"/>
      <c r="T359" s="1"/>
      <c r="U359" s="13"/>
      <c r="V359" s="13"/>
      <c r="W359" s="5" t="s">
        <v>1491</v>
      </c>
    </row>
    <row r="360" spans="1:23" ht="225">
      <c r="A360" s="1">
        <v>849980</v>
      </c>
      <c r="B360" s="1">
        <v>1</v>
      </c>
      <c r="C360" s="1">
        <v>97</v>
      </c>
      <c r="D360" s="2" t="s">
        <v>527</v>
      </c>
      <c r="E360" s="5" t="s">
        <v>527</v>
      </c>
      <c r="F360" s="5">
        <v>273524</v>
      </c>
      <c r="G360" s="2" t="s">
        <v>1494</v>
      </c>
      <c r="H360" s="2" t="s">
        <v>1495</v>
      </c>
      <c r="I360" s="2" t="s">
        <v>1496</v>
      </c>
      <c r="J360" s="2" t="str">
        <f>CONCATENATE(G360,F360,H360,C360,I360)</f>
        <v>https://permalinkbnd.bnportugal.gov.pt/viewer/273524/?offset=#page=97&amp;viewer=picture&amp;o=info&amp;n=0&amp;q=</v>
      </c>
      <c r="K360" s="1"/>
      <c r="L360" s="1" t="str">
        <f>VLOOKUP(A360,Folha2!$A$2:$B$2019,2,FALSE)</f>
        <v>Tito de Noronha. A primeira edição dos Lusíadas. Porto e Braga. 1880. [no final surgem duas imagens da portada da edição de 1572]</v>
      </c>
      <c r="M360" s="12" t="str">
        <f>HYPERLINK(J360)</f>
        <v>https://permalinkbnd.bnportugal.gov.pt/viewer/273524/?offset=#page=97&amp;viewer=picture&amp;o=info&amp;n=0&amp;q=</v>
      </c>
      <c r="N360" s="12" t="s">
        <v>1497</v>
      </c>
      <c r="O360" s="12" t="str">
        <f>CONCATENATE(N360,A360,"\",B360,"\",C360,".jpg")</f>
        <v>C:\Users\mbaptista\OneDrive - Biblioteca Nacional de Portugal\Documentos\python\camoniana\imagens\capas\849980\1\97.jpg</v>
      </c>
      <c r="P360" s="12" t="str">
        <f>HYPERLINK(O360)</f>
        <v>C:\Users\mbaptista\OneDrive - Biblioteca Nacional de Portugal\Documentos\python\camoniana\imagens\capas\849980\1\97.jpg</v>
      </c>
      <c r="Q360" s="12"/>
      <c r="R360" s="6" t="s">
        <v>530</v>
      </c>
      <c r="S360" s="12"/>
      <c r="T360" s="1"/>
      <c r="U360" s="13"/>
      <c r="V360" s="13"/>
      <c r="W360" s="5" t="s">
        <v>1491</v>
      </c>
    </row>
    <row r="361" spans="1:23" ht="225">
      <c r="A361" s="1">
        <v>849980</v>
      </c>
      <c r="B361" s="1">
        <v>1</v>
      </c>
      <c r="C361" s="1">
        <v>100</v>
      </c>
      <c r="D361" s="2" t="s">
        <v>527</v>
      </c>
      <c r="E361" s="11" t="s">
        <v>527</v>
      </c>
      <c r="F361" s="11">
        <v>273524</v>
      </c>
      <c r="G361" s="2" t="s">
        <v>1494</v>
      </c>
      <c r="H361" s="2" t="s">
        <v>1495</v>
      </c>
      <c r="I361" s="2" t="s">
        <v>1496</v>
      </c>
      <c r="J361" s="2" t="str">
        <f>CONCATENATE(G361,F361,H361,C361,I361)</f>
        <v>https://permalinkbnd.bnportugal.gov.pt/viewer/273524/?offset=#page=100&amp;viewer=picture&amp;o=info&amp;n=0&amp;q=</v>
      </c>
      <c r="K361" s="1"/>
      <c r="L361" s="1" t="str">
        <f>VLOOKUP(A361,Folha2!$A$2:$B$2019,2,FALSE)</f>
        <v>Tito de Noronha. A primeira edição dos Lusíadas. Porto e Braga. 1880. [no final surgem duas imagens da portada da edição de 1572]</v>
      </c>
      <c r="M361" s="12" t="str">
        <f>HYPERLINK(J361)</f>
        <v>https://permalinkbnd.bnportugal.gov.pt/viewer/273524/?offset=#page=100&amp;viewer=picture&amp;o=info&amp;n=0&amp;q=</v>
      </c>
      <c r="N361" s="12" t="s">
        <v>1497</v>
      </c>
      <c r="O361" s="12" t="str">
        <f>CONCATENATE(N361,A361,"\",B361,"\",C361,".jpg")</f>
        <v>C:\Users\mbaptista\OneDrive - Biblioteca Nacional de Portugal\Documentos\python\camoniana\imagens\capas\849980\1\100.jpg</v>
      </c>
      <c r="P361" s="12" t="str">
        <f>HYPERLINK(O361)</f>
        <v>C:\Users\mbaptista\OneDrive - Biblioteca Nacional de Portugal\Documentos\python\camoniana\imagens\capas\849980\1\100.jpg</v>
      </c>
      <c r="Q361" s="12"/>
      <c r="R361" s="6" t="s">
        <v>531</v>
      </c>
      <c r="S361" s="12"/>
      <c r="T361" s="1"/>
      <c r="U361" s="13"/>
      <c r="V361" s="13"/>
      <c r="W361" s="5" t="s">
        <v>1491</v>
      </c>
    </row>
    <row r="362" spans="1:23" ht="225">
      <c r="A362" s="1">
        <v>849980</v>
      </c>
      <c r="B362" s="1">
        <v>1</v>
      </c>
      <c r="C362" s="1">
        <v>101</v>
      </c>
      <c r="D362" s="2" t="s">
        <v>527</v>
      </c>
      <c r="E362" s="5" t="s">
        <v>527</v>
      </c>
      <c r="F362" s="5">
        <v>273524</v>
      </c>
      <c r="G362" s="2" t="s">
        <v>1494</v>
      </c>
      <c r="H362" s="2" t="s">
        <v>1495</v>
      </c>
      <c r="I362" s="2" t="s">
        <v>1496</v>
      </c>
      <c r="J362" s="2" t="str">
        <f>CONCATENATE(G362,F362,H362,C362,I362)</f>
        <v>https://permalinkbnd.bnportugal.gov.pt/viewer/273524/?offset=#page=101&amp;viewer=picture&amp;o=info&amp;n=0&amp;q=</v>
      </c>
      <c r="K362" s="1"/>
      <c r="L362" s="1" t="str">
        <f>VLOOKUP(A362,Folha2!$A$2:$B$2019,2,FALSE)</f>
        <v>Tito de Noronha. A primeira edição dos Lusíadas. Porto e Braga. 1880. [no final surgem duas imagens da portada da edição de 1572]</v>
      </c>
      <c r="M362" s="12" t="str">
        <f>HYPERLINK(J362)</f>
        <v>https://permalinkbnd.bnportugal.gov.pt/viewer/273524/?offset=#page=101&amp;viewer=picture&amp;o=info&amp;n=0&amp;q=</v>
      </c>
      <c r="N362" s="12" t="s">
        <v>1497</v>
      </c>
      <c r="O362" s="12" t="str">
        <f>CONCATENATE(N362,A362,"\",B362,"\",C362,".jpg")</f>
        <v>C:\Users\mbaptista\OneDrive - Biblioteca Nacional de Portugal\Documentos\python\camoniana\imagens\capas\849980\1\101.jpg</v>
      </c>
      <c r="P362" s="12" t="str">
        <f>HYPERLINK(O362)</f>
        <v>C:\Users\mbaptista\OneDrive - Biblioteca Nacional de Portugal\Documentos\python\camoniana\imagens\capas\849980\1\101.jpg</v>
      </c>
      <c r="Q362" s="12"/>
      <c r="R362" s="6" t="s">
        <v>532</v>
      </c>
      <c r="S362" s="12"/>
      <c r="T362" s="1"/>
      <c r="U362" s="13"/>
      <c r="V362" s="13"/>
      <c r="W362" s="5" t="s">
        <v>1491</v>
      </c>
    </row>
    <row r="363" spans="1:23" ht="225">
      <c r="A363" s="1">
        <v>458260</v>
      </c>
      <c r="B363" s="1">
        <v>1</v>
      </c>
      <c r="C363" s="1">
        <v>8</v>
      </c>
      <c r="D363" s="2" t="s">
        <v>533</v>
      </c>
      <c r="E363" s="11" t="s">
        <v>533</v>
      </c>
      <c r="F363" s="11">
        <v>275168</v>
      </c>
      <c r="G363" s="2" t="s">
        <v>1494</v>
      </c>
      <c r="H363" s="2" t="s">
        <v>1495</v>
      </c>
      <c r="I363" s="2" t="s">
        <v>1496</v>
      </c>
      <c r="J363" s="2" t="str">
        <f>CONCATENATE(G363,F363,H363,C363,I363)</f>
        <v>https://permalinkbnd.bnportugal.gov.pt/viewer/275168/?offset=#page=8&amp;viewer=picture&amp;o=info&amp;n=0&amp;q=</v>
      </c>
      <c r="K363" s="1" t="s">
        <v>534</v>
      </c>
      <c r="L363" s="1" t="str">
        <f>VLOOKUP(A363,Folha2!$A$2:$B$2019,2,FALSE)</f>
        <v>Luís de Camões. Adamastor: episódio do Canto V dos Lusíadas, sem argumento. Lisboa. 1888.</v>
      </c>
      <c r="M363" s="12" t="str">
        <f>HYPERLINK(J363)</f>
        <v>https://permalinkbnd.bnportugal.gov.pt/viewer/275168/?offset=#page=8&amp;viewer=picture&amp;o=info&amp;n=0&amp;q=</v>
      </c>
      <c r="N363" s="12" t="s">
        <v>1497</v>
      </c>
      <c r="O363" s="12" t="str">
        <f>CONCATENATE(N363,A363,"\",B363,"\",C363,".jpg")</f>
        <v>C:\Users\mbaptista\OneDrive - Biblioteca Nacional de Portugal\Documentos\python\camoniana\imagens\capas\458260\1\8.jpg</v>
      </c>
      <c r="P363" s="12" t="str">
        <f>HYPERLINK(O363)</f>
        <v>C:\Users\mbaptista\OneDrive - Biblioteca Nacional de Portugal\Documentos\python\camoniana\imagens\capas\458260\1\8.jpg</v>
      </c>
      <c r="Q363" s="12"/>
      <c r="R363" s="6" t="s">
        <v>535</v>
      </c>
      <c r="S363" s="12"/>
      <c r="T363" s="1">
        <v>8</v>
      </c>
      <c r="U363" s="13"/>
      <c r="V363" s="13"/>
      <c r="W363" s="5" t="s">
        <v>1491</v>
      </c>
    </row>
    <row r="364" spans="1:23" ht="225">
      <c r="A364" s="1">
        <v>458260</v>
      </c>
      <c r="B364" s="1">
        <v>1</v>
      </c>
      <c r="C364" s="1">
        <v>9</v>
      </c>
      <c r="D364" s="2" t="s">
        <v>533</v>
      </c>
      <c r="E364" s="5" t="s">
        <v>533</v>
      </c>
      <c r="F364" s="5">
        <v>275168</v>
      </c>
      <c r="G364" s="2" t="s">
        <v>1494</v>
      </c>
      <c r="H364" s="2" t="s">
        <v>1495</v>
      </c>
      <c r="I364" s="2" t="s">
        <v>1496</v>
      </c>
      <c r="J364" s="2" t="str">
        <f>CONCATENATE(G364,F364,H364,C364,I364)</f>
        <v>https://permalinkbnd.bnportugal.gov.pt/viewer/275168/?offset=#page=9&amp;viewer=picture&amp;o=info&amp;n=0&amp;q=</v>
      </c>
      <c r="K364" s="1" t="s">
        <v>534</v>
      </c>
      <c r="L364" s="1" t="str">
        <f>VLOOKUP(A364,Folha2!$A$2:$B$2019,2,FALSE)</f>
        <v>Luís de Camões. Adamastor: episódio do Canto V dos Lusíadas, sem argumento. Lisboa. 1888.</v>
      </c>
      <c r="M364" s="12" t="str">
        <f>HYPERLINK(J364)</f>
        <v>https://permalinkbnd.bnportugal.gov.pt/viewer/275168/?offset=#page=9&amp;viewer=picture&amp;o=info&amp;n=0&amp;q=</v>
      </c>
      <c r="N364" s="12" t="s">
        <v>1497</v>
      </c>
      <c r="O364" s="12" t="str">
        <f>CONCATENATE(N364,A364,"\",B364,"\",C364,".jpg")</f>
        <v>C:\Users\mbaptista\OneDrive - Biblioteca Nacional de Portugal\Documentos\python\camoniana\imagens\capas\458260\1\9.jpg</v>
      </c>
      <c r="P364" s="12" t="str">
        <f>HYPERLINK(O364)</f>
        <v>C:\Users\mbaptista\OneDrive - Biblioteca Nacional de Portugal\Documentos\python\camoniana\imagens\capas\458260\1\9.jpg</v>
      </c>
      <c r="Q364" s="12"/>
      <c r="R364" s="6"/>
      <c r="S364" s="12"/>
      <c r="T364" s="1"/>
      <c r="U364" s="13"/>
      <c r="V364" s="13"/>
      <c r="W364" s="5"/>
    </row>
    <row r="365" spans="1:23" ht="225">
      <c r="A365" s="1">
        <v>256276</v>
      </c>
      <c r="B365" s="1">
        <v>1</v>
      </c>
      <c r="C365" s="13">
        <v>7</v>
      </c>
      <c r="D365" s="2" t="s">
        <v>536</v>
      </c>
      <c r="E365" s="11" t="s">
        <v>536</v>
      </c>
      <c r="F365" s="11">
        <v>275163</v>
      </c>
      <c r="G365" s="2" t="s">
        <v>1494</v>
      </c>
      <c r="H365" s="2" t="s">
        <v>1495</v>
      </c>
      <c r="I365" s="2" t="s">
        <v>1496</v>
      </c>
      <c r="J365" s="2" t="str">
        <f>CONCATENATE(G365,F365,H365,C365,I365)</f>
        <v>https://permalinkbnd.bnportugal.gov.pt/viewer/275163/?offset=#page=7&amp;viewer=picture&amp;o=info&amp;n=0&amp;q=</v>
      </c>
      <c r="K365" s="1" t="s">
        <v>318</v>
      </c>
      <c r="L365" s="1" t="str">
        <f>VLOOKUP(A365,Folha2!$A$2:$B$2019,2,FALSE)</f>
        <v>Épica, sem argumentos e sem paratextos.</v>
      </c>
      <c r="M365" s="12" t="str">
        <f>HYPERLINK(J365)</f>
        <v>https://permalinkbnd.bnportugal.gov.pt/viewer/275163/?offset=#page=7&amp;viewer=picture&amp;o=info&amp;n=0&amp;q=</v>
      </c>
      <c r="N365" s="12" t="s">
        <v>1497</v>
      </c>
      <c r="O365" s="12" t="str">
        <f>CONCATENATE(N365,A365,"\",B365,"\",C365,".jpg")</f>
        <v>C:\Users\mbaptista\OneDrive - Biblioteca Nacional de Portugal\Documentos\python\camoniana\imagens\capas\256276\1\7.jpg</v>
      </c>
      <c r="P365" s="12" t="str">
        <f>HYPERLINK(O365)</f>
        <v>C:\Users\mbaptista\OneDrive - Biblioteca Nacional de Portugal\Documentos\python\camoniana\imagens\capas\256276\1\7.jpg</v>
      </c>
      <c r="Q365" s="12"/>
      <c r="R365" s="6" t="s">
        <v>537</v>
      </c>
      <c r="S365" s="12"/>
      <c r="T365" s="1"/>
      <c r="U365" s="13" t="s">
        <v>73</v>
      </c>
      <c r="V365" s="13"/>
      <c r="W365" s="5" t="s">
        <v>1491</v>
      </c>
    </row>
    <row r="366" spans="1:23" ht="225">
      <c r="A366" s="1">
        <v>849990</v>
      </c>
      <c r="B366" s="1">
        <v>1</v>
      </c>
      <c r="C366" s="1">
        <v>7</v>
      </c>
      <c r="D366" s="2" t="s">
        <v>538</v>
      </c>
      <c r="E366" s="5" t="s">
        <v>538</v>
      </c>
      <c r="F366" s="5">
        <v>275167</v>
      </c>
      <c r="G366" s="2" t="s">
        <v>1494</v>
      </c>
      <c r="H366" s="2" t="s">
        <v>1495</v>
      </c>
      <c r="I366" s="2" t="s">
        <v>1496</v>
      </c>
      <c r="J366" s="2" t="str">
        <f>CONCATENATE(G366,F366,H366,C366,I366)</f>
        <v>https://permalinkbnd.bnportugal.gov.pt/viewer/275167/?offset=#page=7&amp;viewer=picture&amp;o=info&amp;n=0&amp;q=</v>
      </c>
      <c r="K366" s="1" t="s">
        <v>539</v>
      </c>
      <c r="L366" s="1" t="str">
        <f>VLOOKUP(A366,Folha2!$A$2:$B$2019,2,FALSE)</f>
        <v>Augusto Luso da Silva. Leitura de um trecho dos Lusíadas. Descrição da esfera celeste por Tétis a Vasco da Gama. Canto décimo. Por ocasião do tricentenário de Luís de Camões. Porto. 1880.</v>
      </c>
      <c r="M366" s="12" t="str">
        <f>HYPERLINK(J366)</f>
        <v>https://permalinkbnd.bnportugal.gov.pt/viewer/275167/?offset=#page=7&amp;viewer=picture&amp;o=info&amp;n=0&amp;q=</v>
      </c>
      <c r="N366" s="12" t="s">
        <v>1497</v>
      </c>
      <c r="O366" s="12" t="str">
        <f>CONCATENATE(N366,A366,"\",B366,"\",C366,".jpg")</f>
        <v>C:\Users\mbaptista\OneDrive - Biblioteca Nacional de Portugal\Documentos\python\camoniana\imagens\capas\849990\1\7.jpg</v>
      </c>
      <c r="P366" s="12" t="str">
        <f>HYPERLINK(O366)</f>
        <v>C:\Users\mbaptista\OneDrive - Biblioteca Nacional de Portugal\Documentos\python\camoniana\imagens\capas\849990\1\7.jpg</v>
      </c>
      <c r="Q366" s="12"/>
      <c r="R366" s="6" t="s">
        <v>540</v>
      </c>
      <c r="S366" s="12"/>
      <c r="T366" s="1"/>
      <c r="U366" s="13"/>
      <c r="V366" s="13"/>
      <c r="W366" s="5" t="s">
        <v>1491</v>
      </c>
    </row>
    <row r="367" spans="1:23" ht="225">
      <c r="A367" s="1">
        <v>851358</v>
      </c>
      <c r="B367" s="1">
        <v>1</v>
      </c>
      <c r="C367" s="1">
        <v>281</v>
      </c>
      <c r="D367" s="12" t="s">
        <v>541</v>
      </c>
      <c r="E367" s="11" t="s">
        <v>541</v>
      </c>
      <c r="F367" s="11">
        <v>280465</v>
      </c>
      <c r="G367" s="2" t="s">
        <v>1494</v>
      </c>
      <c r="H367" s="2" t="s">
        <v>1495</v>
      </c>
      <c r="I367" s="2" t="s">
        <v>1496</v>
      </c>
      <c r="J367" s="2" t="str">
        <f>CONCATENATE(G367,F367,H367,C367,I367)</f>
        <v>https://permalinkbnd.bnportugal.gov.pt/viewer/280465/?offset=#page=281&amp;viewer=picture&amp;o=info&amp;n=0&amp;q=</v>
      </c>
      <c r="K367" s="1" t="s">
        <v>542</v>
      </c>
      <c r="L367" s="1" t="str">
        <f>VLOOKUP(A367,Folha2!$A$2:$B$2019,2,FALSE)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7" s="12" t="str">
        <f>HYPERLINK(J367)</f>
        <v>https://permalinkbnd.bnportugal.gov.pt/viewer/280465/?offset=#page=281&amp;viewer=picture&amp;o=info&amp;n=0&amp;q=</v>
      </c>
      <c r="N367" s="12" t="s">
        <v>1497</v>
      </c>
      <c r="O367" s="12" t="str">
        <f>CONCATENATE(N367,A367,"\",B367,"\",C367,".jpg")</f>
        <v>C:\Users\mbaptista\OneDrive - Biblioteca Nacional de Portugal\Documentos\python\camoniana\imagens\capas\851358\1\281.jpg</v>
      </c>
      <c r="P367" s="12" t="str">
        <f>HYPERLINK(O367)</f>
        <v>C:\Users\mbaptista\OneDrive - Biblioteca Nacional de Portugal\Documentos\python\camoniana\imagens\capas\851358\1\281.jpg</v>
      </c>
      <c r="Q367" s="12"/>
      <c r="R367" s="6"/>
      <c r="S367" s="12"/>
      <c r="T367" s="1"/>
      <c r="U367" s="13"/>
      <c r="V367" s="13"/>
      <c r="W367" s="5"/>
    </row>
    <row r="368" spans="1:23" ht="225">
      <c r="A368" s="1">
        <v>851358</v>
      </c>
      <c r="B368" s="1">
        <v>1</v>
      </c>
      <c r="C368" s="1">
        <v>33</v>
      </c>
      <c r="D368" s="2" t="s">
        <v>541</v>
      </c>
      <c r="E368" s="5" t="s">
        <v>541</v>
      </c>
      <c r="F368" s="5">
        <v>280465</v>
      </c>
      <c r="G368" s="2" t="s">
        <v>1494</v>
      </c>
      <c r="H368" s="2" t="s">
        <v>1495</v>
      </c>
      <c r="I368" s="2" t="s">
        <v>1496</v>
      </c>
      <c r="J368" s="2" t="str">
        <f>CONCATENATE(G368,F368,H368,C368,I368)</f>
        <v>https://permalinkbnd.bnportugal.gov.pt/viewer/280465/?offset=#page=33&amp;viewer=picture&amp;o=info&amp;n=0&amp;q=</v>
      </c>
      <c r="K368" s="1" t="s">
        <v>542</v>
      </c>
      <c r="L368" s="1" t="str">
        <f>VLOOKUP(A368,Folha2!$A$2:$B$2019,2,FALSE)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8" s="12" t="str">
        <f>HYPERLINK(J368)</f>
        <v>https://permalinkbnd.bnportugal.gov.pt/viewer/280465/?offset=#page=33&amp;viewer=picture&amp;o=info&amp;n=0&amp;q=</v>
      </c>
      <c r="N368" s="12" t="s">
        <v>1497</v>
      </c>
      <c r="O368" s="12" t="str">
        <f>CONCATENATE(N368,A368,"\",B368,"\",C368,".jpg")</f>
        <v>C:\Users\mbaptista\OneDrive - Biblioteca Nacional de Portugal\Documentos\python\camoniana\imagens\capas\851358\1\33.jpg</v>
      </c>
      <c r="P368" s="12" t="str">
        <f>HYPERLINK(O368)</f>
        <v>C:\Users\mbaptista\OneDrive - Biblioteca Nacional de Portugal\Documentos\python\camoniana\imagens\capas\851358\1\33.jpg</v>
      </c>
      <c r="Q368" s="12"/>
      <c r="R368" s="6"/>
      <c r="S368" s="12"/>
      <c r="T368" s="1"/>
      <c r="U368" s="13"/>
      <c r="V368" s="13"/>
      <c r="W368" s="5"/>
    </row>
    <row r="369" spans="1:23" ht="225">
      <c r="A369" s="1">
        <v>851358</v>
      </c>
      <c r="B369" s="1">
        <v>1</v>
      </c>
      <c r="C369" s="1">
        <v>38</v>
      </c>
      <c r="D369" s="2" t="s">
        <v>541</v>
      </c>
      <c r="E369" s="11" t="s">
        <v>541</v>
      </c>
      <c r="F369" s="11">
        <v>280465</v>
      </c>
      <c r="G369" s="2" t="s">
        <v>1494</v>
      </c>
      <c r="H369" s="2" t="s">
        <v>1495</v>
      </c>
      <c r="I369" s="2" t="s">
        <v>1496</v>
      </c>
      <c r="J369" s="2" t="str">
        <f>CONCATENATE(G369,F369,H369,C369,I369)</f>
        <v>https://permalinkbnd.bnportugal.gov.pt/viewer/280465/?offset=#page=38&amp;viewer=picture&amp;o=info&amp;n=0&amp;q=</v>
      </c>
      <c r="K369" s="1" t="s">
        <v>542</v>
      </c>
      <c r="L369" s="1" t="str">
        <f>VLOOKUP(A369,Folha2!$A$2:$B$2019,2,FALSE)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69" s="12" t="str">
        <f>HYPERLINK(J369)</f>
        <v>https://permalinkbnd.bnportugal.gov.pt/viewer/280465/?offset=#page=38&amp;viewer=picture&amp;o=info&amp;n=0&amp;q=</v>
      </c>
      <c r="N369" s="12" t="s">
        <v>1497</v>
      </c>
      <c r="O369" s="12" t="str">
        <f>CONCATENATE(N369,A369,"\",B369,"\",C369,".jpg")</f>
        <v>C:\Users\mbaptista\OneDrive - Biblioteca Nacional de Portugal\Documentos\python\camoniana\imagens\capas\851358\1\38.jpg</v>
      </c>
      <c r="P369" s="12" t="str">
        <f>HYPERLINK(O369)</f>
        <v>C:\Users\mbaptista\OneDrive - Biblioteca Nacional de Portugal\Documentos\python\camoniana\imagens\capas\851358\1\38.jpg</v>
      </c>
      <c r="Q369" s="12"/>
      <c r="R369" s="6"/>
      <c r="S369" s="12"/>
      <c r="T369" s="1"/>
      <c r="U369" s="13"/>
      <c r="V369" s="13"/>
      <c r="W369" s="5"/>
    </row>
    <row r="370" spans="1:23" ht="225">
      <c r="A370" s="1">
        <v>851358</v>
      </c>
      <c r="B370" s="1">
        <v>1</v>
      </c>
      <c r="C370" s="1">
        <v>46</v>
      </c>
      <c r="D370" s="2" t="s">
        <v>541</v>
      </c>
      <c r="E370" s="5" t="s">
        <v>541</v>
      </c>
      <c r="F370" s="5">
        <v>280465</v>
      </c>
      <c r="G370" s="2" t="s">
        <v>1494</v>
      </c>
      <c r="H370" s="2" t="s">
        <v>1495</v>
      </c>
      <c r="I370" s="2" t="s">
        <v>1496</v>
      </c>
      <c r="J370" s="2" t="str">
        <f>CONCATENATE(G370,F370,H370,C370,I370)</f>
        <v>https://permalinkbnd.bnportugal.gov.pt/viewer/280465/?offset=#page=46&amp;viewer=picture&amp;o=info&amp;n=0&amp;q=</v>
      </c>
      <c r="K370" s="1" t="s">
        <v>542</v>
      </c>
      <c r="L370" s="1" t="str">
        <f>VLOOKUP(A370,Folha2!$A$2:$B$2019,2,FALSE)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0" s="12" t="str">
        <f>HYPERLINK(J370)</f>
        <v>https://permalinkbnd.bnportugal.gov.pt/viewer/280465/?offset=#page=46&amp;viewer=picture&amp;o=info&amp;n=0&amp;q=</v>
      </c>
      <c r="N370" s="12" t="s">
        <v>1497</v>
      </c>
      <c r="O370" s="12" t="str">
        <f>CONCATENATE(N370,A370,"\",B370,"\",C370,".jpg")</f>
        <v>C:\Users\mbaptista\OneDrive - Biblioteca Nacional de Portugal\Documentos\python\camoniana\imagens\capas\851358\1\46.jpg</v>
      </c>
      <c r="P370" s="12" t="str">
        <f>HYPERLINK(O370)</f>
        <v>C:\Users\mbaptista\OneDrive - Biblioteca Nacional de Portugal\Documentos\python\camoniana\imagens\capas\851358\1\46.jpg</v>
      </c>
      <c r="Q370" s="12"/>
      <c r="R370" s="6"/>
      <c r="S370" s="12"/>
      <c r="T370" s="1"/>
      <c r="U370" s="13"/>
      <c r="V370" s="13"/>
      <c r="W370" s="5"/>
    </row>
    <row r="371" spans="1:23" ht="225">
      <c r="A371" s="1">
        <v>851358</v>
      </c>
      <c r="B371" s="1">
        <v>1</v>
      </c>
      <c r="C371" s="1">
        <v>54</v>
      </c>
      <c r="D371" s="2" t="s">
        <v>541</v>
      </c>
      <c r="E371" s="11" t="s">
        <v>541</v>
      </c>
      <c r="F371" s="11">
        <v>280465</v>
      </c>
      <c r="G371" s="2" t="s">
        <v>1494</v>
      </c>
      <c r="H371" s="2" t="s">
        <v>1495</v>
      </c>
      <c r="I371" s="2" t="s">
        <v>1496</v>
      </c>
      <c r="J371" s="2" t="str">
        <f>CONCATENATE(G371,F371,H371,C371,I371)</f>
        <v>https://permalinkbnd.bnportugal.gov.pt/viewer/280465/?offset=#page=54&amp;viewer=picture&amp;o=info&amp;n=0&amp;q=</v>
      </c>
      <c r="K371" s="1" t="s">
        <v>542</v>
      </c>
      <c r="L371" s="1" t="str">
        <f>VLOOKUP(A371,Folha2!$A$2:$B$2019,2,FALSE)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1" s="12" t="str">
        <f>HYPERLINK(J371)</f>
        <v>https://permalinkbnd.bnportugal.gov.pt/viewer/280465/?offset=#page=54&amp;viewer=picture&amp;o=info&amp;n=0&amp;q=</v>
      </c>
      <c r="N371" s="12" t="s">
        <v>1497</v>
      </c>
      <c r="O371" s="12" t="str">
        <f>CONCATENATE(N371,A371,"\",B371,"\",C371,".jpg")</f>
        <v>C:\Users\mbaptista\OneDrive - Biblioteca Nacional de Portugal\Documentos\python\camoniana\imagens\capas\851358\1\54.jpg</v>
      </c>
      <c r="P371" s="12" t="str">
        <f>HYPERLINK(O371)</f>
        <v>C:\Users\mbaptista\OneDrive - Biblioteca Nacional de Portugal\Documentos\python\camoniana\imagens\capas\851358\1\54.jpg</v>
      </c>
      <c r="Q371" s="12"/>
      <c r="R371" s="6"/>
      <c r="S371" s="12"/>
      <c r="T371" s="1"/>
      <c r="U371" s="13"/>
      <c r="V371" s="13"/>
      <c r="W371" s="5"/>
    </row>
    <row r="372" spans="1:23" ht="225">
      <c r="A372" s="1">
        <v>851358</v>
      </c>
      <c r="B372" s="1">
        <v>1</v>
      </c>
      <c r="C372" s="1">
        <v>58</v>
      </c>
      <c r="D372" s="2" t="s">
        <v>541</v>
      </c>
      <c r="E372" s="5" t="s">
        <v>541</v>
      </c>
      <c r="F372" s="5">
        <v>280465</v>
      </c>
      <c r="G372" s="2" t="s">
        <v>1494</v>
      </c>
      <c r="H372" s="2" t="s">
        <v>1495</v>
      </c>
      <c r="I372" s="2" t="s">
        <v>1496</v>
      </c>
      <c r="J372" s="2" t="str">
        <f>CONCATENATE(G372,F372,H372,C372,I372)</f>
        <v>https://permalinkbnd.bnportugal.gov.pt/viewer/280465/?offset=#page=58&amp;viewer=picture&amp;o=info&amp;n=0&amp;q=</v>
      </c>
      <c r="K372" s="1" t="s">
        <v>542</v>
      </c>
      <c r="L372" s="1" t="str">
        <f>VLOOKUP(A372,Folha2!$A$2:$B$2019,2,FALSE)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2" s="12" t="str">
        <f>HYPERLINK(J372)</f>
        <v>https://permalinkbnd.bnportugal.gov.pt/viewer/280465/?offset=#page=58&amp;viewer=picture&amp;o=info&amp;n=0&amp;q=</v>
      </c>
      <c r="N372" s="12" t="s">
        <v>1497</v>
      </c>
      <c r="O372" s="12" t="str">
        <f>CONCATENATE(N372,A372,"\",B372,"\",C372,".jpg")</f>
        <v>C:\Users\mbaptista\OneDrive - Biblioteca Nacional de Portugal\Documentos\python\camoniana\imagens\capas\851358\1\58.jpg</v>
      </c>
      <c r="P372" s="12" t="str">
        <f>HYPERLINK(O372)</f>
        <v>C:\Users\mbaptista\OneDrive - Biblioteca Nacional de Portugal\Documentos\python\camoniana\imagens\capas\851358\1\58.jpg</v>
      </c>
      <c r="Q372" s="12"/>
      <c r="R372" s="6"/>
      <c r="S372" s="12"/>
      <c r="T372" s="1"/>
      <c r="U372" s="13"/>
      <c r="V372" s="13"/>
      <c r="W372" s="5"/>
    </row>
    <row r="373" spans="1:23" ht="225">
      <c r="A373" s="1">
        <v>851358</v>
      </c>
      <c r="B373" s="1">
        <v>1</v>
      </c>
      <c r="C373" s="1">
        <v>66</v>
      </c>
      <c r="D373" s="2" t="s">
        <v>541</v>
      </c>
      <c r="E373" s="11" t="s">
        <v>541</v>
      </c>
      <c r="F373" s="11">
        <v>280465</v>
      </c>
      <c r="G373" s="2" t="s">
        <v>1494</v>
      </c>
      <c r="H373" s="2" t="s">
        <v>1495</v>
      </c>
      <c r="I373" s="2" t="s">
        <v>1496</v>
      </c>
      <c r="J373" s="2" t="str">
        <f>CONCATENATE(G373,F373,H373,C373,I373)</f>
        <v>https://permalinkbnd.bnportugal.gov.pt/viewer/280465/?offset=#page=66&amp;viewer=picture&amp;o=info&amp;n=0&amp;q=</v>
      </c>
      <c r="K373" s="1" t="s">
        <v>542</v>
      </c>
      <c r="L373" s="1" t="str">
        <f>VLOOKUP(A373,Folha2!$A$2:$B$2019,2,FALSE)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3" s="12" t="str">
        <f>HYPERLINK(J373)</f>
        <v>https://permalinkbnd.bnportugal.gov.pt/viewer/280465/?offset=#page=66&amp;viewer=picture&amp;o=info&amp;n=0&amp;q=</v>
      </c>
      <c r="N373" s="12" t="s">
        <v>1497</v>
      </c>
      <c r="O373" s="12" t="str">
        <f>CONCATENATE(N373,A373,"\",B373,"\",C373,".jpg")</f>
        <v>C:\Users\mbaptista\OneDrive - Biblioteca Nacional de Portugal\Documentos\python\camoniana\imagens\capas\851358\1\66.jpg</v>
      </c>
      <c r="P373" s="12" t="str">
        <f>HYPERLINK(O373)</f>
        <v>C:\Users\mbaptista\OneDrive - Biblioteca Nacional de Portugal\Documentos\python\camoniana\imagens\capas\851358\1\66.jpg</v>
      </c>
      <c r="Q373" s="12"/>
      <c r="R373" s="6"/>
      <c r="S373" s="12"/>
      <c r="T373" s="1"/>
      <c r="U373" s="13"/>
      <c r="V373" s="13"/>
      <c r="W373" s="5"/>
    </row>
    <row r="374" spans="1:23" ht="225">
      <c r="A374" s="1">
        <v>851358</v>
      </c>
      <c r="B374" s="1">
        <v>1</v>
      </c>
      <c r="C374" s="1">
        <v>76</v>
      </c>
      <c r="D374" s="2" t="s">
        <v>541</v>
      </c>
      <c r="E374" s="5" t="s">
        <v>541</v>
      </c>
      <c r="F374" s="5">
        <v>280465</v>
      </c>
      <c r="G374" s="2" t="s">
        <v>1494</v>
      </c>
      <c r="H374" s="2" t="s">
        <v>1495</v>
      </c>
      <c r="I374" s="2" t="s">
        <v>1496</v>
      </c>
      <c r="J374" s="2" t="str">
        <f>CONCATENATE(G374,F374,H374,C374,I374)</f>
        <v>https://permalinkbnd.bnportugal.gov.pt/viewer/280465/?offset=#page=76&amp;viewer=picture&amp;o=info&amp;n=0&amp;q=</v>
      </c>
      <c r="K374" s="1" t="s">
        <v>542</v>
      </c>
      <c r="L374" s="1" t="str">
        <f>VLOOKUP(A374,Folha2!$A$2:$B$2019,2,FALSE)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4" s="12" t="str">
        <f>HYPERLINK(J374)</f>
        <v>https://permalinkbnd.bnportugal.gov.pt/viewer/280465/?offset=#page=76&amp;viewer=picture&amp;o=info&amp;n=0&amp;q=</v>
      </c>
      <c r="N374" s="12" t="s">
        <v>1497</v>
      </c>
      <c r="O374" s="12" t="str">
        <f>CONCATENATE(N374,A374,"\",B374,"\",C374,".jpg")</f>
        <v>C:\Users\mbaptista\OneDrive - Biblioteca Nacional de Portugal\Documentos\python\camoniana\imagens\capas\851358\1\76.jpg</v>
      </c>
      <c r="P374" s="12" t="str">
        <f>HYPERLINK(O374)</f>
        <v>C:\Users\mbaptista\OneDrive - Biblioteca Nacional de Portugal\Documentos\python\camoniana\imagens\capas\851358\1\76.jpg</v>
      </c>
      <c r="Q374" s="12"/>
      <c r="R374" s="6"/>
      <c r="S374" s="12"/>
      <c r="T374" s="1"/>
      <c r="U374" s="13"/>
      <c r="V374" s="13"/>
      <c r="W374" s="5"/>
    </row>
    <row r="375" spans="1:23" ht="225">
      <c r="A375" s="1">
        <v>851358</v>
      </c>
      <c r="B375" s="1">
        <v>1</v>
      </c>
      <c r="C375" s="1">
        <v>79</v>
      </c>
      <c r="D375" s="2" t="s">
        <v>541</v>
      </c>
      <c r="E375" s="11" t="s">
        <v>541</v>
      </c>
      <c r="F375" s="11">
        <v>280465</v>
      </c>
      <c r="G375" s="2" t="s">
        <v>1494</v>
      </c>
      <c r="H375" s="2" t="s">
        <v>1495</v>
      </c>
      <c r="I375" s="2" t="s">
        <v>1496</v>
      </c>
      <c r="J375" s="2" t="str">
        <f>CONCATENATE(G375,F375,H375,C375,I375)</f>
        <v>https://permalinkbnd.bnportugal.gov.pt/viewer/280465/?offset=#page=79&amp;viewer=picture&amp;o=info&amp;n=0&amp;q=</v>
      </c>
      <c r="K375" s="1" t="s">
        <v>542</v>
      </c>
      <c r="L375" s="1" t="str">
        <f>VLOOKUP(A375,Folha2!$A$2:$B$2019,2,FALSE)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5" s="12" t="str">
        <f>HYPERLINK(J375)</f>
        <v>https://permalinkbnd.bnportugal.gov.pt/viewer/280465/?offset=#page=79&amp;viewer=picture&amp;o=info&amp;n=0&amp;q=</v>
      </c>
      <c r="N375" s="12" t="s">
        <v>1497</v>
      </c>
      <c r="O375" s="12" t="str">
        <f>CONCATENATE(N375,A375,"\",B375,"\",C375,".jpg")</f>
        <v>C:\Users\mbaptista\OneDrive - Biblioteca Nacional de Portugal\Documentos\python\camoniana\imagens\capas\851358\1\79.jpg</v>
      </c>
      <c r="P375" s="12" t="str">
        <f>HYPERLINK(O375)</f>
        <v>C:\Users\mbaptista\OneDrive - Biblioteca Nacional de Portugal\Documentos\python\camoniana\imagens\capas\851358\1\79.jpg</v>
      </c>
      <c r="Q375" s="12"/>
      <c r="R375" s="6"/>
      <c r="S375" s="12"/>
      <c r="T375" s="1"/>
      <c r="U375" s="13"/>
      <c r="V375" s="13"/>
      <c r="W375" s="5"/>
    </row>
    <row r="376" spans="1:23" ht="225">
      <c r="A376" s="1">
        <v>851358</v>
      </c>
      <c r="B376" s="1">
        <v>1</v>
      </c>
      <c r="C376" s="1">
        <v>84</v>
      </c>
      <c r="D376" s="2" t="s">
        <v>541</v>
      </c>
      <c r="E376" s="5" t="s">
        <v>541</v>
      </c>
      <c r="F376" s="5">
        <v>280465</v>
      </c>
      <c r="G376" s="2" t="s">
        <v>1494</v>
      </c>
      <c r="H376" s="2" t="s">
        <v>1495</v>
      </c>
      <c r="I376" s="2" t="s">
        <v>1496</v>
      </c>
      <c r="J376" s="2" t="str">
        <f>CONCATENATE(G376,F376,H376,C376,I376)</f>
        <v>https://permalinkbnd.bnportugal.gov.pt/viewer/280465/?offset=#page=84&amp;viewer=picture&amp;o=info&amp;n=0&amp;q=</v>
      </c>
      <c r="K376" s="1" t="s">
        <v>542</v>
      </c>
      <c r="L376" s="1" t="str">
        <f>VLOOKUP(A376,Folha2!$A$2:$B$2019,2,FALSE)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6" s="12" t="str">
        <f>HYPERLINK(J376)</f>
        <v>https://permalinkbnd.bnportugal.gov.pt/viewer/280465/?offset=#page=84&amp;viewer=picture&amp;o=info&amp;n=0&amp;q=</v>
      </c>
      <c r="N376" s="12" t="s">
        <v>1497</v>
      </c>
      <c r="O376" s="12" t="str">
        <f>CONCATENATE(N376,A376,"\",B376,"\",C376,".jpg")</f>
        <v>C:\Users\mbaptista\OneDrive - Biblioteca Nacional de Portugal\Documentos\python\camoniana\imagens\capas\851358\1\84.jpg</v>
      </c>
      <c r="P376" s="12" t="str">
        <f>HYPERLINK(O376)</f>
        <v>C:\Users\mbaptista\OneDrive - Biblioteca Nacional de Portugal\Documentos\python\camoniana\imagens\capas\851358\1\84.jpg</v>
      </c>
      <c r="Q376" s="12"/>
      <c r="R376" s="6"/>
      <c r="S376" s="12"/>
      <c r="T376" s="1"/>
      <c r="U376" s="13"/>
      <c r="V376" s="13"/>
      <c r="W376" s="5"/>
    </row>
    <row r="377" spans="1:23" ht="225">
      <c r="A377" s="1">
        <v>851358</v>
      </c>
      <c r="B377" s="1">
        <v>1</v>
      </c>
      <c r="C377" s="1">
        <v>100</v>
      </c>
      <c r="D377" s="2" t="s">
        <v>541</v>
      </c>
      <c r="E377" s="11" t="s">
        <v>541</v>
      </c>
      <c r="F377" s="11">
        <v>280465</v>
      </c>
      <c r="G377" s="2" t="s">
        <v>1494</v>
      </c>
      <c r="H377" s="2" t="s">
        <v>1495</v>
      </c>
      <c r="I377" s="2" t="s">
        <v>1496</v>
      </c>
      <c r="J377" s="2" t="str">
        <f>CONCATENATE(G377,F377,H377,C377,I377)</f>
        <v>https://permalinkbnd.bnportugal.gov.pt/viewer/280465/?offset=#page=100&amp;viewer=picture&amp;o=info&amp;n=0&amp;q=</v>
      </c>
      <c r="K377" s="1" t="s">
        <v>542</v>
      </c>
      <c r="L377" s="1" t="str">
        <f>VLOOKUP(A377,Folha2!$A$2:$B$2019,2,FALSE)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7" s="12" t="str">
        <f>HYPERLINK(J377)</f>
        <v>https://permalinkbnd.bnportugal.gov.pt/viewer/280465/?offset=#page=100&amp;viewer=picture&amp;o=info&amp;n=0&amp;q=</v>
      </c>
      <c r="N377" s="12" t="s">
        <v>1497</v>
      </c>
      <c r="O377" s="12" t="str">
        <f>CONCATENATE(N377,A377,"\",B377,"\",C377,".jpg")</f>
        <v>C:\Users\mbaptista\OneDrive - Biblioteca Nacional de Portugal\Documentos\python\camoniana\imagens\capas\851358\1\100.jpg</v>
      </c>
      <c r="P377" s="12" t="str">
        <f>HYPERLINK(O377)</f>
        <v>C:\Users\mbaptista\OneDrive - Biblioteca Nacional de Portugal\Documentos\python\camoniana\imagens\capas\851358\1\100.jpg</v>
      </c>
      <c r="Q377" s="12"/>
      <c r="R377" s="6" t="s">
        <v>544</v>
      </c>
      <c r="S377" s="12"/>
      <c r="T377" s="1" t="s">
        <v>543</v>
      </c>
      <c r="U377" s="13"/>
      <c r="V377" s="13"/>
      <c r="W377" s="5" t="s">
        <v>1491</v>
      </c>
    </row>
    <row r="378" spans="1:23" ht="225">
      <c r="A378" s="1">
        <v>851358</v>
      </c>
      <c r="B378" s="1">
        <v>1</v>
      </c>
      <c r="C378" s="1">
        <v>121</v>
      </c>
      <c r="D378" s="2" t="s">
        <v>541</v>
      </c>
      <c r="E378" s="5" t="s">
        <v>541</v>
      </c>
      <c r="F378" s="5">
        <v>280465</v>
      </c>
      <c r="G378" s="2" t="s">
        <v>1494</v>
      </c>
      <c r="H378" s="2" t="s">
        <v>1495</v>
      </c>
      <c r="I378" s="2" t="s">
        <v>1496</v>
      </c>
      <c r="J378" s="2" t="str">
        <f>CONCATENATE(G378,F378,H378,C378,I378)</f>
        <v>https://permalinkbnd.bnportugal.gov.pt/viewer/280465/?offset=#page=121&amp;viewer=picture&amp;o=info&amp;n=0&amp;q=</v>
      </c>
      <c r="K378" s="1" t="s">
        <v>542</v>
      </c>
      <c r="L378" s="1" t="str">
        <f>VLOOKUP(A378,Folha2!$A$2:$B$2019,2,FALSE)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8" s="12" t="str">
        <f>HYPERLINK(J378)</f>
        <v>https://permalinkbnd.bnportugal.gov.pt/viewer/280465/?offset=#page=121&amp;viewer=picture&amp;o=info&amp;n=0&amp;q=</v>
      </c>
      <c r="N378" s="12" t="s">
        <v>1497</v>
      </c>
      <c r="O378" s="12" t="str">
        <f>CONCATENATE(N378,A378,"\",B378,"\",C378,".jpg")</f>
        <v>C:\Users\mbaptista\OneDrive - Biblioteca Nacional de Portugal\Documentos\python\camoniana\imagens\capas\851358\1\121.jpg</v>
      </c>
      <c r="P378" s="12" t="str">
        <f>HYPERLINK(O378)</f>
        <v>C:\Users\mbaptista\OneDrive - Biblioteca Nacional de Portugal\Documentos\python\camoniana\imagens\capas\851358\1\121.jpg</v>
      </c>
      <c r="Q378" s="12"/>
      <c r="R378" s="6" t="s">
        <v>545</v>
      </c>
      <c r="S378" s="12"/>
      <c r="T378" s="1" t="s">
        <v>543</v>
      </c>
      <c r="U378" s="13"/>
      <c r="V378" s="13"/>
      <c r="W378" s="5" t="s">
        <v>1491</v>
      </c>
    </row>
    <row r="379" spans="1:23" ht="225">
      <c r="A379" s="1">
        <v>851358</v>
      </c>
      <c r="B379" s="1">
        <v>1</v>
      </c>
      <c r="C379" s="1">
        <v>125</v>
      </c>
      <c r="D379" s="2" t="s">
        <v>541</v>
      </c>
      <c r="E379" s="11" t="s">
        <v>541</v>
      </c>
      <c r="F379" s="11">
        <v>280465</v>
      </c>
      <c r="G379" s="2" t="s">
        <v>1494</v>
      </c>
      <c r="H379" s="2" t="s">
        <v>1495</v>
      </c>
      <c r="I379" s="2" t="s">
        <v>1496</v>
      </c>
      <c r="J379" s="2" t="str">
        <f>CONCATENATE(G379,F379,H379,C379,I379)</f>
        <v>https://permalinkbnd.bnportugal.gov.pt/viewer/280465/?offset=#page=125&amp;viewer=picture&amp;o=info&amp;n=0&amp;q=</v>
      </c>
      <c r="K379" s="1" t="s">
        <v>542</v>
      </c>
      <c r="L379" s="1" t="str">
        <f>VLOOKUP(A379,Folha2!$A$2:$B$2019,2,FALSE)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79" s="12" t="str">
        <f>HYPERLINK(J379)</f>
        <v>https://permalinkbnd.bnportugal.gov.pt/viewer/280465/?offset=#page=125&amp;viewer=picture&amp;o=info&amp;n=0&amp;q=</v>
      </c>
      <c r="N379" s="12" t="s">
        <v>1497</v>
      </c>
      <c r="O379" s="12" t="str">
        <f>CONCATENATE(N379,A379,"\",B379,"\",C379,".jpg")</f>
        <v>C:\Users\mbaptista\OneDrive - Biblioteca Nacional de Portugal\Documentos\python\camoniana\imagens\capas\851358\1\125.jpg</v>
      </c>
      <c r="P379" s="12" t="str">
        <f>HYPERLINK(O379)</f>
        <v>C:\Users\mbaptista\OneDrive - Biblioteca Nacional de Portugal\Documentos\python\camoniana\imagens\capas\851358\1\125.jpg</v>
      </c>
      <c r="Q379" s="12"/>
      <c r="R379" s="6" t="s">
        <v>546</v>
      </c>
      <c r="S379" s="12"/>
      <c r="T379" s="1" t="s">
        <v>543</v>
      </c>
      <c r="U379" s="13"/>
      <c r="V379" s="13"/>
      <c r="W379" s="5" t="s">
        <v>1491</v>
      </c>
    </row>
    <row r="380" spans="1:23" ht="225">
      <c r="A380" s="1">
        <v>851358</v>
      </c>
      <c r="B380" s="1">
        <v>1</v>
      </c>
      <c r="C380" s="1">
        <v>129</v>
      </c>
      <c r="D380" s="2" t="s">
        <v>541</v>
      </c>
      <c r="E380" s="5" t="s">
        <v>541</v>
      </c>
      <c r="F380" s="5">
        <v>280465</v>
      </c>
      <c r="G380" s="2" t="s">
        <v>1494</v>
      </c>
      <c r="H380" s="2" t="s">
        <v>1495</v>
      </c>
      <c r="I380" s="2" t="s">
        <v>1496</v>
      </c>
      <c r="J380" s="2" t="str">
        <f>CONCATENATE(G380,F380,H380,C380,I380)</f>
        <v>https://permalinkbnd.bnportugal.gov.pt/viewer/280465/?offset=#page=129&amp;viewer=picture&amp;o=info&amp;n=0&amp;q=</v>
      </c>
      <c r="K380" s="1" t="s">
        <v>542</v>
      </c>
      <c r="L380" s="1" t="str">
        <f>VLOOKUP(A380,Folha2!$A$2:$B$2019,2,FALSE)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0" s="12" t="str">
        <f>HYPERLINK(J380)</f>
        <v>https://permalinkbnd.bnportugal.gov.pt/viewer/280465/?offset=#page=129&amp;viewer=picture&amp;o=info&amp;n=0&amp;q=</v>
      </c>
      <c r="N380" s="12" t="s">
        <v>1497</v>
      </c>
      <c r="O380" s="12" t="str">
        <f>CONCATENATE(N380,A380,"\",B380,"\",C380,".jpg")</f>
        <v>C:\Users\mbaptista\OneDrive - Biblioteca Nacional de Portugal\Documentos\python\camoniana\imagens\capas\851358\1\129.jpg</v>
      </c>
      <c r="P380" s="12" t="str">
        <f>HYPERLINK(O380)</f>
        <v>C:\Users\mbaptista\OneDrive - Biblioteca Nacional de Portugal\Documentos\python\camoniana\imagens\capas\851358\1\129.jpg</v>
      </c>
      <c r="Q380" s="12"/>
      <c r="R380" s="6" t="s">
        <v>547</v>
      </c>
      <c r="S380" s="12"/>
      <c r="T380" s="1" t="s">
        <v>543</v>
      </c>
      <c r="U380" s="13"/>
      <c r="V380" s="13"/>
      <c r="W380" s="5" t="s">
        <v>1491</v>
      </c>
    </row>
    <row r="381" spans="1:23" ht="225">
      <c r="A381" s="1">
        <v>851358</v>
      </c>
      <c r="B381" s="1">
        <v>1</v>
      </c>
      <c r="C381" s="1">
        <v>137</v>
      </c>
      <c r="D381" s="2" t="s">
        <v>541</v>
      </c>
      <c r="E381" s="11" t="s">
        <v>541</v>
      </c>
      <c r="F381" s="11">
        <v>280465</v>
      </c>
      <c r="G381" s="2" t="s">
        <v>1494</v>
      </c>
      <c r="H381" s="2" t="s">
        <v>1495</v>
      </c>
      <c r="I381" s="2" t="s">
        <v>1496</v>
      </c>
      <c r="J381" s="2" t="str">
        <f>CONCATENATE(G381,F381,H381,C381,I381)</f>
        <v>https://permalinkbnd.bnportugal.gov.pt/viewer/280465/?offset=#page=137&amp;viewer=picture&amp;o=info&amp;n=0&amp;q=</v>
      </c>
      <c r="K381" s="1" t="s">
        <v>542</v>
      </c>
      <c r="L381" s="1" t="str">
        <f>VLOOKUP(A381,Folha2!$A$2:$B$2019,2,FALSE)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1" s="12" t="str">
        <f>HYPERLINK(J381)</f>
        <v>https://permalinkbnd.bnportugal.gov.pt/viewer/280465/?offset=#page=137&amp;viewer=picture&amp;o=info&amp;n=0&amp;q=</v>
      </c>
      <c r="N381" s="12" t="s">
        <v>1497</v>
      </c>
      <c r="O381" s="12" t="str">
        <f>CONCATENATE(N381,A381,"\",B381,"\",C381,".jpg")</f>
        <v>C:\Users\mbaptista\OneDrive - Biblioteca Nacional de Portugal\Documentos\python\camoniana\imagens\capas\851358\1\137.jpg</v>
      </c>
      <c r="P381" s="12" t="str">
        <f>HYPERLINK(O381)</f>
        <v>C:\Users\mbaptista\OneDrive - Biblioteca Nacional de Portugal\Documentos\python\camoniana\imagens\capas\851358\1\137.jpg</v>
      </c>
      <c r="Q381" s="12"/>
      <c r="R381" s="6" t="s">
        <v>548</v>
      </c>
      <c r="S381" s="12"/>
      <c r="T381" s="1" t="s">
        <v>543</v>
      </c>
      <c r="U381" s="13"/>
      <c r="V381" s="13"/>
      <c r="W381" s="5" t="s">
        <v>1491</v>
      </c>
    </row>
    <row r="382" spans="1:23" ht="225">
      <c r="A382" s="1">
        <v>851358</v>
      </c>
      <c r="B382" s="1">
        <v>1</v>
      </c>
      <c r="C382" s="1">
        <v>151</v>
      </c>
      <c r="D382" s="2" t="s">
        <v>541</v>
      </c>
      <c r="E382" s="5" t="s">
        <v>541</v>
      </c>
      <c r="F382" s="5">
        <v>280465</v>
      </c>
      <c r="G382" s="2" t="s">
        <v>1494</v>
      </c>
      <c r="H382" s="2" t="s">
        <v>1495</v>
      </c>
      <c r="I382" s="2" t="s">
        <v>1496</v>
      </c>
      <c r="J382" s="2" t="str">
        <f>CONCATENATE(G382,F382,H382,C382,I382)</f>
        <v>https://permalinkbnd.bnportugal.gov.pt/viewer/280465/?offset=#page=151&amp;viewer=picture&amp;o=info&amp;n=0&amp;q=</v>
      </c>
      <c r="K382" s="1" t="s">
        <v>542</v>
      </c>
      <c r="L382" s="1" t="str">
        <f>VLOOKUP(A382,Folha2!$A$2:$B$2019,2,FALSE)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2" s="12" t="str">
        <f>HYPERLINK(J382)</f>
        <v>https://permalinkbnd.bnportugal.gov.pt/viewer/280465/?offset=#page=151&amp;viewer=picture&amp;o=info&amp;n=0&amp;q=</v>
      </c>
      <c r="N382" s="12" t="s">
        <v>1497</v>
      </c>
      <c r="O382" s="12" t="str">
        <f>CONCATENATE(N382,A382,"\",B382,"\",C382,".jpg")</f>
        <v>C:\Users\mbaptista\OneDrive - Biblioteca Nacional de Portugal\Documentos\python\camoniana\imagens\capas\851358\1\151.jpg</v>
      </c>
      <c r="P382" s="12" t="str">
        <f>HYPERLINK(O382)</f>
        <v>C:\Users\mbaptista\OneDrive - Biblioteca Nacional de Portugal\Documentos\python\camoniana\imagens\capas\851358\1\151.jpg</v>
      </c>
      <c r="Q382" s="12"/>
      <c r="R382" s="6" t="s">
        <v>549</v>
      </c>
      <c r="S382" s="12"/>
      <c r="T382" s="1" t="s">
        <v>543</v>
      </c>
      <c r="U382" s="13"/>
      <c r="V382" s="13"/>
      <c r="W382" s="5" t="s">
        <v>1491</v>
      </c>
    </row>
    <row r="383" spans="1:23" ht="225">
      <c r="A383" s="1">
        <v>851358</v>
      </c>
      <c r="B383" s="1">
        <v>1</v>
      </c>
      <c r="C383" s="1">
        <v>157</v>
      </c>
      <c r="D383" s="2" t="s">
        <v>541</v>
      </c>
      <c r="E383" s="11" t="s">
        <v>541</v>
      </c>
      <c r="F383" s="11">
        <v>280465</v>
      </c>
      <c r="G383" s="2" t="s">
        <v>1494</v>
      </c>
      <c r="H383" s="2" t="s">
        <v>1495</v>
      </c>
      <c r="I383" s="2" t="s">
        <v>1496</v>
      </c>
      <c r="J383" s="2" t="str">
        <f>CONCATENATE(G383,F383,H383,C383,I383)</f>
        <v>https://permalinkbnd.bnportugal.gov.pt/viewer/280465/?offset=#page=157&amp;viewer=picture&amp;o=info&amp;n=0&amp;q=</v>
      </c>
      <c r="K383" s="1" t="s">
        <v>542</v>
      </c>
      <c r="L383" s="1" t="str">
        <f>VLOOKUP(A383,Folha2!$A$2:$B$2019,2,FALSE)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3" s="12" t="str">
        <f>HYPERLINK(J383)</f>
        <v>https://permalinkbnd.bnportugal.gov.pt/viewer/280465/?offset=#page=157&amp;viewer=picture&amp;o=info&amp;n=0&amp;q=</v>
      </c>
      <c r="N383" s="12" t="s">
        <v>1497</v>
      </c>
      <c r="O383" s="12" t="str">
        <f>CONCATENATE(N383,A383,"\",B383,"\",C383,".jpg")</f>
        <v>C:\Users\mbaptista\OneDrive - Biblioteca Nacional de Portugal\Documentos\python\camoniana\imagens\capas\851358\1\157.jpg</v>
      </c>
      <c r="P383" s="12" t="str">
        <f>HYPERLINK(O383)</f>
        <v>C:\Users\mbaptista\OneDrive - Biblioteca Nacional de Portugal\Documentos\python\camoniana\imagens\capas\851358\1\157.jpg</v>
      </c>
      <c r="Q383" s="12"/>
      <c r="R383" s="6" t="s">
        <v>550</v>
      </c>
      <c r="S383" s="12"/>
      <c r="T383" s="1" t="s">
        <v>543</v>
      </c>
      <c r="U383" s="13"/>
      <c r="V383" s="13"/>
      <c r="W383" s="5" t="s">
        <v>1491</v>
      </c>
    </row>
    <row r="384" spans="1:23" ht="225">
      <c r="A384" s="1">
        <v>851358</v>
      </c>
      <c r="B384" s="1">
        <v>1</v>
      </c>
      <c r="C384" s="1">
        <v>159</v>
      </c>
      <c r="D384" s="2" t="s">
        <v>541</v>
      </c>
      <c r="E384" s="5" t="s">
        <v>541</v>
      </c>
      <c r="F384" s="5">
        <v>280465</v>
      </c>
      <c r="G384" s="2" t="s">
        <v>1494</v>
      </c>
      <c r="H384" s="2" t="s">
        <v>1495</v>
      </c>
      <c r="I384" s="2" t="s">
        <v>1496</v>
      </c>
      <c r="J384" s="2" t="str">
        <f>CONCATENATE(G384,F384,H384,C384,I384)</f>
        <v>https://permalinkbnd.bnportugal.gov.pt/viewer/280465/?offset=#page=159&amp;viewer=picture&amp;o=info&amp;n=0&amp;q=</v>
      </c>
      <c r="K384" s="1" t="s">
        <v>542</v>
      </c>
      <c r="L384" s="1" t="str">
        <f>VLOOKUP(A384,Folha2!$A$2:$B$2019,2,FALSE)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4" s="12" t="str">
        <f>HYPERLINK(J384)</f>
        <v>https://permalinkbnd.bnportugal.gov.pt/viewer/280465/?offset=#page=159&amp;viewer=picture&amp;o=info&amp;n=0&amp;q=</v>
      </c>
      <c r="N384" s="12" t="s">
        <v>1497</v>
      </c>
      <c r="O384" s="12" t="str">
        <f>CONCATENATE(N384,A384,"\",B384,"\",C384,".jpg")</f>
        <v>C:\Users\mbaptista\OneDrive - Biblioteca Nacional de Portugal\Documentos\python\camoniana\imagens\capas\851358\1\159.jpg</v>
      </c>
      <c r="P384" s="12" t="str">
        <f>HYPERLINK(O384)</f>
        <v>C:\Users\mbaptista\OneDrive - Biblioteca Nacional de Portugal\Documentos\python\camoniana\imagens\capas\851358\1\159.jpg</v>
      </c>
      <c r="Q384" s="12"/>
      <c r="R384" s="6" t="s">
        <v>551</v>
      </c>
      <c r="S384" s="12"/>
      <c r="T384" s="1" t="s">
        <v>543</v>
      </c>
      <c r="U384" s="13"/>
      <c r="V384" s="13"/>
      <c r="W384" s="5" t="s">
        <v>1491</v>
      </c>
    </row>
    <row r="385" spans="1:23" ht="225">
      <c r="A385" s="1">
        <v>851358</v>
      </c>
      <c r="B385" s="1">
        <v>1</v>
      </c>
      <c r="C385" s="1">
        <v>192</v>
      </c>
      <c r="D385" s="2" t="s">
        <v>541</v>
      </c>
      <c r="E385" s="11" t="s">
        <v>541</v>
      </c>
      <c r="F385" s="11">
        <v>280465</v>
      </c>
      <c r="G385" s="2" t="s">
        <v>1494</v>
      </c>
      <c r="H385" s="2" t="s">
        <v>1495</v>
      </c>
      <c r="I385" s="2" t="s">
        <v>1496</v>
      </c>
      <c r="J385" s="2" t="str">
        <f>CONCATENATE(G385,F385,H385,C385,I385)</f>
        <v>https://permalinkbnd.bnportugal.gov.pt/viewer/280465/?offset=#page=192&amp;viewer=picture&amp;o=info&amp;n=0&amp;q=</v>
      </c>
      <c r="K385" s="1" t="s">
        <v>542</v>
      </c>
      <c r="L385" s="1" t="str">
        <f>VLOOKUP(A385,Folha2!$A$2:$B$2019,2,FALSE)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5" s="12" t="str">
        <f>HYPERLINK(J385)</f>
        <v>https://permalinkbnd.bnportugal.gov.pt/viewer/280465/?offset=#page=192&amp;viewer=picture&amp;o=info&amp;n=0&amp;q=</v>
      </c>
      <c r="N385" s="12" t="s">
        <v>1497</v>
      </c>
      <c r="O385" s="12" t="str">
        <f>CONCATENATE(N385,A385,"\",B385,"\",C385,".jpg")</f>
        <v>C:\Users\mbaptista\OneDrive - Biblioteca Nacional de Portugal\Documentos\python\camoniana\imagens\capas\851358\1\192.jpg</v>
      </c>
      <c r="P385" s="12" t="str">
        <f>HYPERLINK(O385)</f>
        <v>C:\Users\mbaptista\OneDrive - Biblioteca Nacional de Portugal\Documentos\python\camoniana\imagens\capas\851358\1\192.jpg</v>
      </c>
      <c r="Q385" s="12"/>
      <c r="R385" s="6" t="s">
        <v>552</v>
      </c>
      <c r="S385" s="12"/>
      <c r="T385" s="1" t="s">
        <v>543</v>
      </c>
      <c r="U385" s="13"/>
      <c r="V385" s="13"/>
      <c r="W385" s="5" t="s">
        <v>1491</v>
      </c>
    </row>
    <row r="386" spans="1:23" ht="225">
      <c r="A386" s="1">
        <v>851358</v>
      </c>
      <c r="B386" s="1">
        <v>1</v>
      </c>
      <c r="C386" s="1">
        <v>193</v>
      </c>
      <c r="D386" s="2" t="s">
        <v>541</v>
      </c>
      <c r="E386" s="5" t="s">
        <v>541</v>
      </c>
      <c r="F386" s="5">
        <v>280465</v>
      </c>
      <c r="G386" s="2" t="s">
        <v>1494</v>
      </c>
      <c r="H386" s="2" t="s">
        <v>1495</v>
      </c>
      <c r="I386" s="2" t="s">
        <v>1496</v>
      </c>
      <c r="J386" s="2" t="str">
        <f>CONCATENATE(G386,F386,H386,C386,I386)</f>
        <v>https://permalinkbnd.bnportugal.gov.pt/viewer/280465/?offset=#page=193&amp;viewer=picture&amp;o=info&amp;n=0&amp;q=</v>
      </c>
      <c r="K386" s="1" t="s">
        <v>542</v>
      </c>
      <c r="L386" s="1" t="str">
        <f>VLOOKUP(A386,Folha2!$A$2:$B$2019,2,FALSE)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6" s="12" t="str">
        <f>HYPERLINK(J386)</f>
        <v>https://permalinkbnd.bnportugal.gov.pt/viewer/280465/?offset=#page=193&amp;viewer=picture&amp;o=info&amp;n=0&amp;q=</v>
      </c>
      <c r="N386" s="12" t="s">
        <v>1497</v>
      </c>
      <c r="O386" s="12" t="str">
        <f>CONCATENATE(N386,A386,"\",B386,"\",C386,".jpg")</f>
        <v>C:\Users\mbaptista\OneDrive - Biblioteca Nacional de Portugal\Documentos\python\camoniana\imagens\capas\851358\1\193.jpg</v>
      </c>
      <c r="P386" s="12" t="str">
        <f>HYPERLINK(O386)</f>
        <v>C:\Users\mbaptista\OneDrive - Biblioteca Nacional de Portugal\Documentos\python\camoniana\imagens\capas\851358\1\193.jpg</v>
      </c>
      <c r="Q386" s="12"/>
      <c r="R386" s="6" t="s">
        <v>553</v>
      </c>
      <c r="S386" s="12"/>
      <c r="T386" s="1" t="s">
        <v>543</v>
      </c>
      <c r="U386" s="13"/>
      <c r="V386" s="13"/>
      <c r="W386" s="5" t="s">
        <v>1491</v>
      </c>
    </row>
    <row r="387" spans="1:23" ht="225">
      <c r="A387" s="1">
        <v>851358</v>
      </c>
      <c r="B387" s="1">
        <v>1</v>
      </c>
      <c r="C387" s="1">
        <v>226</v>
      </c>
      <c r="D387" s="2" t="s">
        <v>541</v>
      </c>
      <c r="E387" s="11" t="s">
        <v>541</v>
      </c>
      <c r="F387" s="11">
        <v>280465</v>
      </c>
      <c r="G387" s="2" t="s">
        <v>1494</v>
      </c>
      <c r="H387" s="2" t="s">
        <v>1495</v>
      </c>
      <c r="I387" s="2" t="s">
        <v>1496</v>
      </c>
      <c r="J387" s="2" t="str">
        <f>CONCATENATE(G387,F387,H387,C387,I387)</f>
        <v>https://permalinkbnd.bnportugal.gov.pt/viewer/280465/?offset=#page=226&amp;viewer=picture&amp;o=info&amp;n=0&amp;q=</v>
      </c>
      <c r="K387" s="1" t="s">
        <v>542</v>
      </c>
      <c r="L387" s="1" t="str">
        <f>VLOOKUP(A387,Folha2!$A$2:$B$2019,2,FALSE)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7" s="12" t="str">
        <f>HYPERLINK(J387)</f>
        <v>https://permalinkbnd.bnportugal.gov.pt/viewer/280465/?offset=#page=226&amp;viewer=picture&amp;o=info&amp;n=0&amp;q=</v>
      </c>
      <c r="N387" s="12" t="s">
        <v>1497</v>
      </c>
      <c r="O387" s="12" t="str">
        <f>CONCATENATE(N387,A387,"\",B387,"\",C387,".jpg")</f>
        <v>C:\Users\mbaptista\OneDrive - Biblioteca Nacional de Portugal\Documentos\python\camoniana\imagens\capas\851358\1\226.jpg</v>
      </c>
      <c r="P387" s="12" t="str">
        <f>HYPERLINK(O387)</f>
        <v>C:\Users\mbaptista\OneDrive - Biblioteca Nacional de Portugal\Documentos\python\camoniana\imagens\capas\851358\1\226.jpg</v>
      </c>
      <c r="Q387" s="12"/>
      <c r="R387" s="6" t="s">
        <v>554</v>
      </c>
      <c r="S387" s="12"/>
      <c r="T387" s="1" t="s">
        <v>543</v>
      </c>
      <c r="U387" s="13"/>
      <c r="V387" s="13"/>
      <c r="W387" s="5" t="s">
        <v>1491</v>
      </c>
    </row>
    <row r="388" spans="1:23" ht="225">
      <c r="A388" s="1">
        <v>851358</v>
      </c>
      <c r="B388" s="1">
        <v>1</v>
      </c>
      <c r="C388" s="1">
        <v>281</v>
      </c>
      <c r="D388" s="2" t="s">
        <v>541</v>
      </c>
      <c r="E388" s="5" t="s">
        <v>541</v>
      </c>
      <c r="F388" s="5">
        <v>280465</v>
      </c>
      <c r="G388" s="2" t="s">
        <v>1494</v>
      </c>
      <c r="H388" s="2" t="s">
        <v>1495</v>
      </c>
      <c r="I388" s="2" t="s">
        <v>1496</v>
      </c>
      <c r="J388" s="2" t="str">
        <f>CONCATENATE(G388,F388,H388,C388,I388)</f>
        <v>https://permalinkbnd.bnportugal.gov.pt/viewer/280465/?offset=#page=281&amp;viewer=picture&amp;o=info&amp;n=0&amp;q=</v>
      </c>
      <c r="K388" s="1" t="s">
        <v>542</v>
      </c>
      <c r="L388" s="1" t="str">
        <f>VLOOKUP(A388,Folha2!$A$2:$B$2019,2,FALSE)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8" s="12" t="str">
        <f>HYPERLINK(J388)</f>
        <v>https://permalinkbnd.bnportugal.gov.pt/viewer/280465/?offset=#page=281&amp;viewer=picture&amp;o=info&amp;n=0&amp;q=</v>
      </c>
      <c r="N388" s="12" t="s">
        <v>1497</v>
      </c>
      <c r="O388" s="12" t="str">
        <f>CONCATENATE(N388,A388,"\",B388,"\",C388,".jpg")</f>
        <v>C:\Users\mbaptista\OneDrive - Biblioteca Nacional de Portugal\Documentos\python\camoniana\imagens\capas\851358\1\281.jpg</v>
      </c>
      <c r="P388" s="12" t="str">
        <f>HYPERLINK(O388)</f>
        <v>C:\Users\mbaptista\OneDrive - Biblioteca Nacional de Portugal\Documentos\python\camoniana\imagens\capas\851358\1\281.jpg</v>
      </c>
      <c r="Q388" s="12"/>
      <c r="R388" s="6" t="s">
        <v>555</v>
      </c>
      <c r="S388" s="12"/>
      <c r="T388" s="1" t="s">
        <v>543</v>
      </c>
      <c r="U388" s="13"/>
      <c r="V388" s="13"/>
      <c r="W388" s="5" t="s">
        <v>1491</v>
      </c>
    </row>
    <row r="389" spans="1:23" ht="225">
      <c r="A389" s="1">
        <v>851358</v>
      </c>
      <c r="B389" s="1">
        <v>1</v>
      </c>
      <c r="C389" s="1">
        <v>294</v>
      </c>
      <c r="D389" s="2" t="s">
        <v>541</v>
      </c>
      <c r="E389" s="11" t="s">
        <v>541</v>
      </c>
      <c r="F389" s="11">
        <v>280465</v>
      </c>
      <c r="G389" s="2" t="s">
        <v>1494</v>
      </c>
      <c r="H389" s="2" t="s">
        <v>1495</v>
      </c>
      <c r="I389" s="2" t="s">
        <v>1496</v>
      </c>
      <c r="J389" s="2" t="str">
        <f>CONCATENATE(G389,F389,H389,C389,I389)</f>
        <v>https://permalinkbnd.bnportugal.gov.pt/viewer/280465/?offset=#page=294&amp;viewer=picture&amp;o=info&amp;n=0&amp;q=</v>
      </c>
      <c r="K389" s="1" t="s">
        <v>542</v>
      </c>
      <c r="L389" s="1" t="str">
        <f>VLOOKUP(A389,Folha2!$A$2:$B$2019,2,FALSE)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89" s="12" t="str">
        <f>HYPERLINK(J389)</f>
        <v>https://permalinkbnd.bnportugal.gov.pt/viewer/280465/?offset=#page=294&amp;viewer=picture&amp;o=info&amp;n=0&amp;q=</v>
      </c>
      <c r="N389" s="12" t="s">
        <v>1497</v>
      </c>
      <c r="O389" s="12" t="str">
        <f>CONCATENATE(N389,A389,"\",B389,"\",C389,".jpg")</f>
        <v>C:\Users\mbaptista\OneDrive - Biblioteca Nacional de Portugal\Documentos\python\camoniana\imagens\capas\851358\1\294.jpg</v>
      </c>
      <c r="P389" s="12" t="str">
        <f>HYPERLINK(O389)</f>
        <v>C:\Users\mbaptista\OneDrive - Biblioteca Nacional de Portugal\Documentos\python\camoniana\imagens\capas\851358\1\294.jpg</v>
      </c>
      <c r="Q389" s="12"/>
      <c r="R389" s="6" t="s">
        <v>556</v>
      </c>
      <c r="S389" s="12"/>
      <c r="T389" s="1" t="s">
        <v>543</v>
      </c>
      <c r="U389" s="13"/>
      <c r="V389" s="13"/>
      <c r="W389" s="5" t="s">
        <v>1491</v>
      </c>
    </row>
    <row r="390" spans="1:23" ht="225">
      <c r="A390" s="1">
        <v>851358</v>
      </c>
      <c r="B390" s="1">
        <v>1</v>
      </c>
      <c r="C390" s="1">
        <v>325</v>
      </c>
      <c r="D390" s="2" t="s">
        <v>541</v>
      </c>
      <c r="E390" s="5" t="s">
        <v>541</v>
      </c>
      <c r="F390" s="5">
        <v>280465</v>
      </c>
      <c r="G390" s="2" t="s">
        <v>1494</v>
      </c>
      <c r="H390" s="2" t="s">
        <v>1495</v>
      </c>
      <c r="I390" s="2" t="s">
        <v>1496</v>
      </c>
      <c r="J390" s="2" t="str">
        <f>CONCATENATE(G390,F390,H390,C390,I390)</f>
        <v>https://permalinkbnd.bnportugal.gov.pt/viewer/280465/?offset=#page=325&amp;viewer=picture&amp;o=info&amp;n=0&amp;q=</v>
      </c>
      <c r="K390" s="1" t="s">
        <v>542</v>
      </c>
      <c r="L390" s="1" t="str">
        <f>VLOOKUP(A390,Folha2!$A$2:$B$2019,2,FALSE)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0" s="12" t="str">
        <f>HYPERLINK(J390)</f>
        <v>https://permalinkbnd.bnportugal.gov.pt/viewer/280465/?offset=#page=325&amp;viewer=picture&amp;o=info&amp;n=0&amp;q=</v>
      </c>
      <c r="N390" s="12" t="s">
        <v>1497</v>
      </c>
      <c r="O390" s="12" t="str">
        <f>CONCATENATE(N390,A390,"\",B390,"\",C390,".jpg")</f>
        <v>C:\Users\mbaptista\OneDrive - Biblioteca Nacional de Portugal\Documentos\python\camoniana\imagens\capas\851358\1\325.jpg</v>
      </c>
      <c r="P390" s="12" t="str">
        <f>HYPERLINK(O390)</f>
        <v>C:\Users\mbaptista\OneDrive - Biblioteca Nacional de Portugal\Documentos\python\camoniana\imagens\capas\851358\1\325.jpg</v>
      </c>
      <c r="Q390" s="12"/>
      <c r="R390" s="6" t="s">
        <v>557</v>
      </c>
      <c r="S390" s="12"/>
      <c r="T390" s="1" t="s">
        <v>543</v>
      </c>
      <c r="U390" s="13"/>
      <c r="V390" s="13"/>
      <c r="W390" s="5" t="s">
        <v>1491</v>
      </c>
    </row>
    <row r="391" spans="1:23" ht="225">
      <c r="A391" s="1">
        <v>851358</v>
      </c>
      <c r="B391" s="1">
        <v>1</v>
      </c>
      <c r="C391" s="1">
        <v>468</v>
      </c>
      <c r="D391" s="2" t="s">
        <v>541</v>
      </c>
      <c r="E391" s="11" t="s">
        <v>541</v>
      </c>
      <c r="F391" s="11">
        <v>280465</v>
      </c>
      <c r="G391" s="2" t="s">
        <v>1494</v>
      </c>
      <c r="H391" s="2" t="s">
        <v>1495</v>
      </c>
      <c r="I391" s="2" t="s">
        <v>1496</v>
      </c>
      <c r="J391" s="2" t="str">
        <f>CONCATENATE(G391,F391,H391,C391,I391)</f>
        <v>https://permalinkbnd.bnportugal.gov.pt/viewer/280465/?offset=#page=468&amp;viewer=picture&amp;o=info&amp;n=0&amp;q=</v>
      </c>
      <c r="K391" s="1" t="s">
        <v>542</v>
      </c>
      <c r="L391" s="1" t="str">
        <f>VLOOKUP(A391,Folha2!$A$2:$B$2019,2,FALSE)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1" s="12" t="str">
        <f>HYPERLINK(J391)</f>
        <v>https://permalinkbnd.bnportugal.gov.pt/viewer/280465/?offset=#page=468&amp;viewer=picture&amp;o=info&amp;n=0&amp;q=</v>
      </c>
      <c r="N391" s="12" t="s">
        <v>1497</v>
      </c>
      <c r="O391" s="12" t="str">
        <f>CONCATENATE(N391,A391,"\",B391,"\",C391,".jpg")</f>
        <v>C:\Users\mbaptista\OneDrive - Biblioteca Nacional de Portugal\Documentos\python\camoniana\imagens\capas\851358\1\468.jpg</v>
      </c>
      <c r="P391" s="12" t="str">
        <f>HYPERLINK(O391)</f>
        <v>C:\Users\mbaptista\OneDrive - Biblioteca Nacional de Portugal\Documentos\python\camoniana\imagens\capas\851358\1\468.jpg</v>
      </c>
      <c r="Q391" s="12"/>
      <c r="R391" s="6" t="s">
        <v>558</v>
      </c>
      <c r="S391" s="12"/>
      <c r="T391" s="1" t="s">
        <v>543</v>
      </c>
      <c r="U391" s="13"/>
      <c r="V391" s="13"/>
      <c r="W391" s="5" t="s">
        <v>1491</v>
      </c>
    </row>
    <row r="392" spans="1:23" ht="225">
      <c r="A392" s="3">
        <v>851358</v>
      </c>
      <c r="B392" s="3">
        <v>1</v>
      </c>
      <c r="C392" s="3">
        <v>500</v>
      </c>
      <c r="D392" s="2" t="s">
        <v>541</v>
      </c>
      <c r="E392" s="5" t="s">
        <v>541</v>
      </c>
      <c r="F392" s="5">
        <v>280465</v>
      </c>
      <c r="G392" s="2" t="s">
        <v>1494</v>
      </c>
      <c r="H392" s="2" t="s">
        <v>1495</v>
      </c>
      <c r="I392" s="2" t="s">
        <v>1496</v>
      </c>
      <c r="J392" s="2" t="str">
        <f>CONCATENATE(G392,F392,H392,C392,I392)</f>
        <v>https://permalinkbnd.bnportugal.gov.pt/viewer/280465/?offset=#page=500&amp;viewer=picture&amp;o=info&amp;n=0&amp;q=</v>
      </c>
      <c r="K392" s="3" t="s">
        <v>542</v>
      </c>
      <c r="L392" s="1" t="str">
        <f>VLOOKUP(A392,Folha2!$A$2:$B$2019,2,FALSE)</f>
        <v>1887: na referência bibliográfica surge 1886. Nota do Dr. Pedro Mesquita: Este é apenas o 1º tomo de uma obra em 2 tomos: o 2º tomo está, erradamente, no NCB 454907, com o purl https://purl.pt/44522. Peço que se junte as digitalizações dos 2 tomos num dos bibliográficos, para que eu possa fazer a fusão de registos.</v>
      </c>
      <c r="M392" s="12" t="str">
        <f>HYPERLINK(J392)</f>
        <v>https://permalinkbnd.bnportugal.gov.pt/viewer/280465/?offset=#page=500&amp;viewer=picture&amp;o=info&amp;n=0&amp;q=</v>
      </c>
      <c r="N392" s="12" t="s">
        <v>1497</v>
      </c>
      <c r="O392" s="12" t="str">
        <f>CONCATENATE(N392,A392,"\",B392,"\",C392,".jpg")</f>
        <v>C:\Users\mbaptista\OneDrive - Biblioteca Nacional de Portugal\Documentos\python\camoniana\imagens\capas\851358\1\500.jpg</v>
      </c>
      <c r="P392" s="12" t="str">
        <f>HYPERLINK(O392)</f>
        <v>C:\Users\mbaptista\OneDrive - Biblioteca Nacional de Portugal\Documentos\python\camoniana\imagens\capas\851358\1\500.jpg</v>
      </c>
      <c r="Q392" s="12"/>
      <c r="R392" s="6" t="s">
        <v>559</v>
      </c>
      <c r="S392" s="12"/>
      <c r="T392" s="3" t="s">
        <v>543</v>
      </c>
      <c r="U392" s="3"/>
      <c r="V392" s="3"/>
      <c r="W392" s="5" t="s">
        <v>1491</v>
      </c>
    </row>
    <row r="393" spans="1:23" ht="225">
      <c r="A393" s="1">
        <v>851957</v>
      </c>
      <c r="B393" s="1">
        <v>1</v>
      </c>
      <c r="C393" s="1">
        <v>5</v>
      </c>
      <c r="D393" s="2" t="s">
        <v>560</v>
      </c>
      <c r="E393" s="11" t="s">
        <v>560</v>
      </c>
      <c r="F393" s="11">
        <v>275169</v>
      </c>
      <c r="G393" s="2" t="s">
        <v>1494</v>
      </c>
      <c r="H393" s="2" t="s">
        <v>1495</v>
      </c>
      <c r="I393" s="2" t="s">
        <v>1496</v>
      </c>
      <c r="J393" s="2" t="str">
        <f>CONCATENATE(G393,F393,H393,C393,I393)</f>
        <v>https://permalinkbnd.bnportugal.gov.pt/viewer/275169/?offset=#page=5&amp;viewer=picture&amp;o=info&amp;n=0&amp;q=</v>
      </c>
      <c r="K393" s="1">
        <v>5</v>
      </c>
      <c r="L393" s="1" t="str">
        <f>VLOOKUP(A393,Folha2!$A$2:$B$2019,2,FALSE)</f>
        <v>Joaquim dos Anjos. A Camões. Poesia recitada pelo actor Salazar no Teatro da Rua dos Condes. Lisboa. 1880. Celebrações (1880), recepção criativa, tematização.</v>
      </c>
      <c r="M393" s="12" t="str">
        <f>HYPERLINK(J393)</f>
        <v>https://permalinkbnd.bnportugal.gov.pt/viewer/275169/?offset=#page=5&amp;viewer=picture&amp;o=info&amp;n=0&amp;q=</v>
      </c>
      <c r="N393" s="12" t="s">
        <v>1497</v>
      </c>
      <c r="O393" s="12" t="str">
        <f>CONCATENATE(N393,A393,"\",B393,"\",C393,".jpg")</f>
        <v>C:\Users\mbaptista\OneDrive - Biblioteca Nacional de Portugal\Documentos\python\camoniana\imagens\capas\851957\1\5.jpg</v>
      </c>
      <c r="P393" s="12" t="str">
        <f>HYPERLINK(O393)</f>
        <v>C:\Users\mbaptista\OneDrive - Biblioteca Nacional de Portugal\Documentos\python\camoniana\imagens\capas\851957\1\5.jpg</v>
      </c>
      <c r="Q393" s="12"/>
      <c r="R393" s="6" t="s">
        <v>561</v>
      </c>
      <c r="S393" s="12"/>
      <c r="T393" s="1">
        <v>5</v>
      </c>
      <c r="U393" s="13"/>
      <c r="V393" s="13"/>
      <c r="W393" s="5" t="s">
        <v>1491</v>
      </c>
    </row>
    <row r="394" spans="1:23" ht="225">
      <c r="A394" s="1">
        <v>780308</v>
      </c>
      <c r="B394" s="1">
        <v>1</v>
      </c>
      <c r="C394" s="1">
        <v>5</v>
      </c>
      <c r="D394" s="2" t="s">
        <v>562</v>
      </c>
      <c r="E394" s="5" t="s">
        <v>562</v>
      </c>
      <c r="F394" s="5">
        <v>275164</v>
      </c>
      <c r="G394" s="2" t="s">
        <v>1494</v>
      </c>
      <c r="H394" s="2" t="s">
        <v>1495</v>
      </c>
      <c r="I394" s="2" t="s">
        <v>1496</v>
      </c>
      <c r="J394" s="2" t="str">
        <f>CONCATENATE(G394,F394,H394,C394,I394)</f>
        <v>https://permalinkbnd.bnportugal.gov.pt/viewer/275164/?offset=#page=5&amp;viewer=picture&amp;o=info&amp;n=0&amp;q=</v>
      </c>
      <c r="K394" s="1">
        <v>5</v>
      </c>
      <c r="L394" s="1" t="str">
        <f>VLOOKUP(A394,Folha2!$A$2:$B$2019,2,FALSE)</f>
        <v>Antonia Pusich. Homenagem a Luís de Camões. Lisboa. 1880. [poema, com notas e conclusão, contém epígrafe, Os Lusíadas, Canto I: X]. Celebrações (1880), Recepção criativa, tematização.</v>
      </c>
      <c r="M394" s="12" t="str">
        <f>HYPERLINK(J394)</f>
        <v>https://permalinkbnd.bnportugal.gov.pt/viewer/275164/?offset=#page=5&amp;viewer=picture&amp;o=info&amp;n=0&amp;q=</v>
      </c>
      <c r="N394" s="12" t="s">
        <v>1497</v>
      </c>
      <c r="O394" s="12" t="str">
        <f>CONCATENATE(N394,A394,"\",B394,"\",C394,".jpg")</f>
        <v>C:\Users\mbaptista\OneDrive - Biblioteca Nacional de Portugal\Documentos\python\camoniana\imagens\capas\780308\1\5.jpg</v>
      </c>
      <c r="P394" s="12" t="str">
        <f>HYPERLINK(O394)</f>
        <v>C:\Users\mbaptista\OneDrive - Biblioteca Nacional de Portugal\Documentos\python\camoniana\imagens\capas\780308\1\5.jpg</v>
      </c>
      <c r="Q394" s="12"/>
      <c r="R394" s="6" t="s">
        <v>563</v>
      </c>
      <c r="S394" s="12"/>
      <c r="T394" s="1">
        <v>5</v>
      </c>
      <c r="U394" s="13"/>
      <c r="V394" s="13"/>
      <c r="W394" s="5" t="s">
        <v>1491</v>
      </c>
    </row>
    <row r="395" spans="1:23" ht="225">
      <c r="A395" s="1">
        <v>852081</v>
      </c>
      <c r="B395" s="1">
        <v>1</v>
      </c>
      <c r="C395" s="1">
        <v>4</v>
      </c>
      <c r="D395" s="2" t="s">
        <v>564</v>
      </c>
      <c r="E395" s="11" t="s">
        <v>564</v>
      </c>
      <c r="F395" s="11">
        <v>275364</v>
      </c>
      <c r="G395" s="2" t="s">
        <v>1494</v>
      </c>
      <c r="H395" s="2" t="s">
        <v>1495</v>
      </c>
      <c r="I395" s="2" t="s">
        <v>1496</v>
      </c>
      <c r="J395" s="2" t="str">
        <f>CONCATENATE(G395,F395,H395,C395,I395)</f>
        <v>https://permalinkbnd.bnportugal.gov.pt/viewer/275364/?offset=#page=4&amp;viewer=picture&amp;o=info&amp;n=0&amp;q=</v>
      </c>
      <c r="K395" s="1" t="s">
        <v>565</v>
      </c>
      <c r="L395" s="1" t="str">
        <f>VLOOKUP(A395,Folha2!$A$2:$B$2019,2,FALSE)</f>
        <v>AA. VV. Homenagem a Luís de Camões: sessão solene da Associação Tipográfica Lisbonense para comemorar o Tricentenário.  Lisboa. 1880. Celebrações (1880), recepção criativa, tematização.</v>
      </c>
      <c r="M395" s="12" t="str">
        <f>HYPERLINK(J395)</f>
        <v>https://permalinkbnd.bnportugal.gov.pt/viewer/275364/?offset=#page=4&amp;viewer=picture&amp;o=info&amp;n=0&amp;q=</v>
      </c>
      <c r="N395" s="12" t="s">
        <v>1497</v>
      </c>
      <c r="O395" s="12" t="str">
        <f>CONCATENATE(N395,A395,"\",B395,"\",C395,".jpg")</f>
        <v>C:\Users\mbaptista\OneDrive - Biblioteca Nacional de Portugal\Documentos\python\camoniana\imagens\capas\852081\1\4.jpg</v>
      </c>
      <c r="P395" s="12" t="str">
        <f>HYPERLINK(O395)</f>
        <v>C:\Users\mbaptista\OneDrive - Biblioteca Nacional de Portugal\Documentos\python\camoniana\imagens\capas\852081\1\4.jpg</v>
      </c>
      <c r="Q395" s="12"/>
      <c r="R395" s="6" t="s">
        <v>566</v>
      </c>
      <c r="S395" s="12"/>
      <c r="T395" s="1">
        <v>4</v>
      </c>
      <c r="U395" s="13"/>
      <c r="V395" s="13"/>
      <c r="W395" s="5" t="s">
        <v>1491</v>
      </c>
    </row>
    <row r="396" spans="1:23" ht="225">
      <c r="A396" s="1">
        <v>352640</v>
      </c>
      <c r="B396" s="1">
        <v>1</v>
      </c>
      <c r="C396" s="1">
        <v>6</v>
      </c>
      <c r="D396" s="2" t="s">
        <v>567</v>
      </c>
      <c r="E396" s="5" t="s">
        <v>567</v>
      </c>
      <c r="F396" s="5">
        <v>279243</v>
      </c>
      <c r="G396" s="2" t="s">
        <v>1494</v>
      </c>
      <c r="H396" s="2" t="s">
        <v>1495</v>
      </c>
      <c r="I396" s="2" t="s">
        <v>1496</v>
      </c>
      <c r="J396" s="2" t="str">
        <f>CONCATENATE(G396,F396,H396,C396,I396)</f>
        <v>https://permalinkbnd.bnportugal.gov.pt/viewer/279243/?offset=#page=6&amp;viewer=picture&amp;o=info&amp;n=0&amp;q=</v>
      </c>
      <c r="K396" s="1">
        <v>6</v>
      </c>
      <c r="L396" s="1" t="str">
        <f>VLOOKUP(A396,Folha2!$A$2:$B$2019,2,FALSE)</f>
        <v>Scénes de la nature sous les Tropiques et de leur influence sur la poesie : suivies de Camoens et Jozé Indio / par Ferdinand Denis.... - Paris : Chez Louis Janet, 1824. Estudo contém referências a Camões; poema final a Camões da autoria de Raynouard e notas finais.</v>
      </c>
      <c r="M396" s="12" t="str">
        <f>HYPERLINK(J396)</f>
        <v>https://permalinkbnd.bnportugal.gov.pt/viewer/279243/?offset=#page=6&amp;viewer=picture&amp;o=info&amp;n=0&amp;q=</v>
      </c>
      <c r="N396" s="12" t="s">
        <v>1497</v>
      </c>
      <c r="O396" s="12" t="str">
        <f>CONCATENATE(N396,A396,"\",B396,"\",C396,".jpg")</f>
        <v>C:\Users\mbaptista\OneDrive - Biblioteca Nacional de Portugal\Documentos\python\camoniana\imagens\capas\352640\1\6.jpg</v>
      </c>
      <c r="P396" s="12" t="str">
        <f>HYPERLINK(O396)</f>
        <v>C:\Users\mbaptista\OneDrive - Biblioteca Nacional de Portugal\Documentos\python\camoniana\imagens\capas\352640\1\6.jpg</v>
      </c>
      <c r="Q396" s="12"/>
      <c r="R396" s="6" t="s">
        <v>568</v>
      </c>
      <c r="S396" s="12"/>
      <c r="T396" s="1">
        <v>6</v>
      </c>
      <c r="U396" s="13"/>
      <c r="V396" s="13"/>
      <c r="W396" s="5" t="s">
        <v>1491</v>
      </c>
    </row>
    <row r="397" spans="1:23" ht="225">
      <c r="A397" s="1">
        <v>943524</v>
      </c>
      <c r="B397" s="1">
        <v>1</v>
      </c>
      <c r="C397" s="1">
        <v>6</v>
      </c>
      <c r="D397" s="2" t="s">
        <v>569</v>
      </c>
      <c r="E397" s="11" t="s">
        <v>569</v>
      </c>
      <c r="F397" s="11">
        <v>279232</v>
      </c>
      <c r="G397" s="2" t="s">
        <v>1494</v>
      </c>
      <c r="H397" s="2" t="s">
        <v>1495</v>
      </c>
      <c r="I397" s="2" t="s">
        <v>1496</v>
      </c>
      <c r="J397" s="2" t="str">
        <f>CONCATENATE(G397,F397,H397,C397,I397)</f>
        <v>https://permalinkbnd.bnportugal.gov.pt/viewer/279232/?offset=#page=6&amp;viewer=picture&amp;o=info&amp;n=0&amp;q=</v>
      </c>
      <c r="K397" s="1" t="s">
        <v>570</v>
      </c>
      <c r="L397" s="1" t="str">
        <f>VLOOKUP(A397,Folha2!$A$2:$B$2019,2,FALSE)</f>
        <v>Nova Castro : tragedia / João Baptista Gomes Junior. - 4ª edição, correcta e augmentada. - Lisboa : Imp. Regia, 1817.</v>
      </c>
      <c r="M397" s="12" t="str">
        <f>HYPERLINK(J397)</f>
        <v>https://permalinkbnd.bnportugal.gov.pt/viewer/279232/?offset=#page=6&amp;viewer=picture&amp;o=info&amp;n=0&amp;q=</v>
      </c>
      <c r="N397" s="12" t="s">
        <v>1497</v>
      </c>
      <c r="O397" s="12" t="str">
        <f>CONCATENATE(N397,A397,"\",B397,"\",C397,".jpg")</f>
        <v>C:\Users\mbaptista\OneDrive - Biblioteca Nacional de Portugal\Documentos\python\camoniana\imagens\capas\943524\1\6.jpg</v>
      </c>
      <c r="P397" s="12" t="str">
        <f>HYPERLINK(O397)</f>
        <v>C:\Users\mbaptista\OneDrive - Biblioteca Nacional de Portugal\Documentos\python\camoniana\imagens\capas\943524\1\6.jpg</v>
      </c>
      <c r="Q397" s="12"/>
      <c r="R397" s="6" t="s">
        <v>571</v>
      </c>
      <c r="S397" s="12"/>
      <c r="T397" s="1">
        <v>6</v>
      </c>
      <c r="U397" s="13"/>
      <c r="V397" s="13"/>
      <c r="W397" s="5" t="s">
        <v>1491</v>
      </c>
    </row>
    <row r="398" spans="1:23" ht="225">
      <c r="A398" s="1">
        <v>120404</v>
      </c>
      <c r="B398" s="1">
        <v>1</v>
      </c>
      <c r="C398" s="1">
        <v>1</v>
      </c>
      <c r="D398" s="2" t="s">
        <v>572</v>
      </c>
      <c r="E398" s="5" t="s">
        <v>572</v>
      </c>
      <c r="F398" s="5">
        <v>276120</v>
      </c>
      <c r="G398" s="2" t="s">
        <v>1494</v>
      </c>
      <c r="H398" s="2" t="s">
        <v>1495</v>
      </c>
      <c r="I398" s="2" t="s">
        <v>1496</v>
      </c>
      <c r="J398" s="2" t="str">
        <f>CONCATENATE(G398,F398,H398,C398,I398)</f>
        <v>https://permalinkbnd.bnportugal.gov.pt/viewer/276120/?offset=#page=1&amp;viewer=picture&amp;o=info&amp;n=0&amp;q=</v>
      </c>
      <c r="K398" s="1" t="s">
        <v>573</v>
      </c>
      <c r="L398" s="1" t="str">
        <f>VLOOKUP(A398,Folha2!$A$2:$B$2019,2,FALSE)</f>
        <v xml:space="preserve">Luís de Camões. Os Lusíadas, sem argumentos. Ed. popular gratuita da empresa do Diário de Notícias [reprodução crítica da 2.ª ed. de 1572]. Tricentenário da morte do Poeta dedicada aos assinantes e leitores. [Lisboa]. 1880. </v>
      </c>
      <c r="M398" s="12" t="str">
        <f>HYPERLINK(J398)</f>
        <v>https://permalinkbnd.bnportugal.gov.pt/viewer/276120/?offset=#page=1&amp;viewer=picture&amp;o=info&amp;n=0&amp;q=</v>
      </c>
      <c r="N398" s="12" t="s">
        <v>1497</v>
      </c>
      <c r="O398" s="12" t="str">
        <f>CONCATENATE(N398,A398,"\",B398,"\",C398,".jpg")</f>
        <v>C:\Users\mbaptista\OneDrive - Biblioteca Nacional de Portugal\Documentos\python\camoniana\imagens\capas\120404\1\1.jpg</v>
      </c>
      <c r="P398" s="12" t="str">
        <f>HYPERLINK(O398)</f>
        <v>C:\Users\mbaptista\OneDrive - Biblioteca Nacional de Portugal\Documentos\python\camoniana\imagens\capas\120404\1\1.jpg</v>
      </c>
      <c r="Q398" s="12"/>
      <c r="R398" s="6" t="s">
        <v>574</v>
      </c>
      <c r="S398" s="12"/>
      <c r="T398" s="1"/>
      <c r="U398" s="13"/>
      <c r="V398" s="13"/>
      <c r="W398" s="5" t="s">
        <v>1491</v>
      </c>
    </row>
    <row r="399" spans="1:23" ht="225">
      <c r="A399" s="1">
        <v>397864</v>
      </c>
      <c r="B399" s="1">
        <v>1</v>
      </c>
      <c r="C399" s="1">
        <v>10</v>
      </c>
      <c r="D399" s="2" t="s">
        <v>575</v>
      </c>
      <c r="E399" s="11" t="s">
        <v>575</v>
      </c>
      <c r="F399" s="11">
        <v>279340</v>
      </c>
      <c r="G399" s="2" t="s">
        <v>1494</v>
      </c>
      <c r="H399" s="2" t="s">
        <v>1495</v>
      </c>
      <c r="I399" s="2" t="s">
        <v>1496</v>
      </c>
      <c r="J399" s="2" t="str">
        <f>CONCATENATE(G399,F399,H399,C399,I399)</f>
        <v>https://permalinkbnd.bnportugal.gov.pt/viewer/279340/?offset=#page=10&amp;viewer=picture&amp;o=info&amp;n=0&amp;q=</v>
      </c>
      <c r="K399" s="1">
        <v>10</v>
      </c>
      <c r="L399" s="1" t="str">
        <f>VLOOKUP(A399,Folha2!$A$2:$B$2019,2,FALSE)</f>
        <v>Poems from the portuguese of Luis de Camoens : with remarks on his life and writings, notes, etc. / by Lord Viscount Strangford. - 5th ed. - London : J. Carpenter : C. Whittingham, 1808. [canções, madrigais, cantigas, estanças, sonetos, 3.ª parte da elegia + fragmento Canto VI de Os Lusíadas]</v>
      </c>
      <c r="M399" s="12" t="str">
        <f>HYPERLINK(J399)</f>
        <v>https://permalinkbnd.bnportugal.gov.pt/viewer/279340/?offset=#page=10&amp;viewer=picture&amp;o=info&amp;n=0&amp;q=</v>
      </c>
      <c r="N399" s="12" t="s">
        <v>1497</v>
      </c>
      <c r="O399" s="12" t="str">
        <f>CONCATENATE(N399,A399,"\",B399,"\",C399,".jpg")</f>
        <v>C:\Users\mbaptista\OneDrive - Biblioteca Nacional de Portugal\Documentos\python\camoniana\imagens\capas\397864\1\10.jpg</v>
      </c>
      <c r="P399" s="12" t="str">
        <f>HYPERLINK(O399)</f>
        <v>C:\Users\mbaptista\OneDrive - Biblioteca Nacional de Portugal\Documentos\python\camoniana\imagens\capas\397864\1\10.jpg</v>
      </c>
      <c r="Q399" s="12"/>
      <c r="R399" s="6" t="s">
        <v>576</v>
      </c>
      <c r="S399" s="12"/>
      <c r="T399" s="1">
        <v>10</v>
      </c>
      <c r="U399" s="13"/>
      <c r="V399" s="13"/>
      <c r="W399" s="5" t="s">
        <v>1491</v>
      </c>
    </row>
    <row r="400" spans="1:23" ht="225">
      <c r="A400" s="1">
        <v>256426</v>
      </c>
      <c r="B400" s="1">
        <v>1</v>
      </c>
      <c r="C400" s="1">
        <v>8</v>
      </c>
      <c r="D400" s="2" t="s">
        <v>577</v>
      </c>
      <c r="E400" s="5" t="s">
        <v>577</v>
      </c>
      <c r="F400" s="5">
        <v>276130</v>
      </c>
      <c r="G400" s="2" t="s">
        <v>1494</v>
      </c>
      <c r="H400" s="2" t="s">
        <v>1495</v>
      </c>
      <c r="I400" s="2" t="s">
        <v>1496</v>
      </c>
      <c r="J400" s="2" t="str">
        <f>CONCATENATE(G400,F400,H400,C400,I400)</f>
        <v>https://permalinkbnd.bnportugal.gov.pt/viewer/276130/?offset=#page=8&amp;viewer=picture&amp;o=info&amp;n=0&amp;q=</v>
      </c>
      <c r="K400" s="1" t="s">
        <v>578</v>
      </c>
      <c r="L400" s="1" t="str">
        <f>VLOOKUP(A400,Folha2!$A$2:$B$2019,2,FALSE)</f>
        <v>Luís de Camões. Os Lusíadas. Edição Agra &amp; Irmão. Rio de Janeiro. 1855. Paratextos argumentos, sem paratextos gerais.</v>
      </c>
      <c r="M400" s="12" t="str">
        <f>HYPERLINK(J400)</f>
        <v>https://permalinkbnd.bnportugal.gov.pt/viewer/276130/?offset=#page=8&amp;viewer=picture&amp;o=info&amp;n=0&amp;q=</v>
      </c>
      <c r="N400" s="12" t="s">
        <v>1497</v>
      </c>
      <c r="O400" s="12" t="str">
        <f>CONCATENATE(N400,A400,"\",B400,"\",C400,".jpg")</f>
        <v>C:\Users\mbaptista\OneDrive - Biblioteca Nacional de Portugal\Documentos\python\camoniana\imagens\capas\256426\1\8.jpg</v>
      </c>
      <c r="P400" s="12" t="str">
        <f>HYPERLINK(O400)</f>
        <v>C:\Users\mbaptista\OneDrive - Biblioteca Nacional de Portugal\Documentos\python\camoniana\imagens\capas\256426\1\8.jpg</v>
      </c>
      <c r="Q400" s="12"/>
      <c r="R400" s="6" t="s">
        <v>579</v>
      </c>
      <c r="S400" s="12"/>
      <c r="T400" s="1">
        <v>8</v>
      </c>
      <c r="U400" s="13"/>
      <c r="V400" s="13"/>
      <c r="W400" s="5" t="s">
        <v>1491</v>
      </c>
    </row>
    <row r="401" spans="1:23" ht="225">
      <c r="A401" s="1">
        <v>381260</v>
      </c>
      <c r="B401" s="1">
        <v>1</v>
      </c>
      <c r="C401" s="1">
        <v>9</v>
      </c>
      <c r="D401" s="2" t="s">
        <v>580</v>
      </c>
      <c r="E401" s="11" t="s">
        <v>580</v>
      </c>
      <c r="F401" s="11">
        <v>273100</v>
      </c>
      <c r="G401" s="2" t="s">
        <v>1494</v>
      </c>
      <c r="H401" s="2" t="s">
        <v>1495</v>
      </c>
      <c r="I401" s="2" t="s">
        <v>1496</v>
      </c>
      <c r="J401" s="2" t="str">
        <f>CONCATENATE(G401,F401,H401,C401,I401)</f>
        <v>https://permalinkbnd.bnportugal.gov.pt/viewer/273100/?offset=#page=9&amp;viewer=picture&amp;o=info&amp;n=0&amp;q=</v>
      </c>
      <c r="K401" s="1" t="s">
        <v>581</v>
      </c>
      <c r="L401" s="1" t="str">
        <f>VLOOKUP(A401,Folha2!$A$2:$B$2019,2,FALSE)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1" s="12" t="str">
        <f>HYPERLINK(J401)</f>
        <v>https://permalinkbnd.bnportugal.gov.pt/viewer/273100/?offset=#page=9&amp;viewer=picture&amp;o=info&amp;n=0&amp;q=</v>
      </c>
      <c r="N401" s="12" t="s">
        <v>1497</v>
      </c>
      <c r="O401" s="12" t="str">
        <f>CONCATENATE(N401,A401,"\",B401,"\",C401,".jpg")</f>
        <v>C:\Users\mbaptista\OneDrive - Biblioteca Nacional de Portugal\Documentos\python\camoniana\imagens\capas\381260\1\9.jpg</v>
      </c>
      <c r="P401" s="12" t="str">
        <f>HYPERLINK(O401)</f>
        <v>C:\Users\mbaptista\OneDrive - Biblioteca Nacional de Portugal\Documentos\python\camoniana\imagens\capas\381260\1\9.jpg</v>
      </c>
      <c r="Q401" s="12"/>
      <c r="R401" s="6" t="s">
        <v>583</v>
      </c>
      <c r="S401" s="12"/>
      <c r="T401" s="1" t="s">
        <v>582</v>
      </c>
      <c r="U401" s="13"/>
      <c r="V401" s="13"/>
      <c r="W401" s="5" t="s">
        <v>1491</v>
      </c>
    </row>
    <row r="402" spans="1:23" ht="225">
      <c r="A402" s="1">
        <v>381260</v>
      </c>
      <c r="B402" s="1">
        <v>1</v>
      </c>
      <c r="C402" s="1">
        <v>16</v>
      </c>
      <c r="D402" s="2" t="s">
        <v>580</v>
      </c>
      <c r="E402" s="5" t="s">
        <v>580</v>
      </c>
      <c r="F402" s="5">
        <v>273100</v>
      </c>
      <c r="G402" s="2" t="s">
        <v>1494</v>
      </c>
      <c r="H402" s="2" t="s">
        <v>1495</v>
      </c>
      <c r="I402" s="2" t="s">
        <v>1496</v>
      </c>
      <c r="J402" s="2" t="str">
        <f>CONCATENATE(G402,F402,H402,C402,I402)</f>
        <v>https://permalinkbnd.bnportugal.gov.pt/viewer/273100/?offset=#page=16&amp;viewer=picture&amp;o=info&amp;n=0&amp;q=</v>
      </c>
      <c r="K402" s="1" t="s">
        <v>581</v>
      </c>
      <c r="L402" s="1" t="str">
        <f>VLOOKUP(A402,Folha2!$A$2:$B$2019,2,FALSE)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2" s="12" t="str">
        <f>HYPERLINK(J402)</f>
        <v>https://permalinkbnd.bnportugal.gov.pt/viewer/273100/?offset=#page=16&amp;viewer=picture&amp;o=info&amp;n=0&amp;q=</v>
      </c>
      <c r="N402" s="12" t="s">
        <v>1497</v>
      </c>
      <c r="O402" s="12" t="str">
        <f>CONCATENATE(N402,A402,"\",B402,"\",C402,".jpg")</f>
        <v>C:\Users\mbaptista\OneDrive - Biblioteca Nacional de Portugal\Documentos\python\camoniana\imagens\capas\381260\1\16.jpg</v>
      </c>
      <c r="P402" s="12" t="str">
        <f>HYPERLINK(O402)</f>
        <v>C:\Users\mbaptista\OneDrive - Biblioteca Nacional de Portugal\Documentos\python\camoniana\imagens\capas\381260\1\16.jpg</v>
      </c>
      <c r="Q402" s="12"/>
      <c r="R402" s="6" t="s">
        <v>584</v>
      </c>
      <c r="S402" s="12"/>
      <c r="T402" s="1" t="s">
        <v>582</v>
      </c>
      <c r="U402" s="13"/>
      <c r="V402" s="13"/>
      <c r="W402" s="5" t="s">
        <v>1491</v>
      </c>
    </row>
    <row r="403" spans="1:23" ht="225">
      <c r="A403" s="1">
        <v>381260</v>
      </c>
      <c r="B403" s="1">
        <v>1</v>
      </c>
      <c r="C403" s="1">
        <v>475</v>
      </c>
      <c r="D403" s="2" t="s">
        <v>580</v>
      </c>
      <c r="E403" s="11" t="s">
        <v>580</v>
      </c>
      <c r="F403" s="11">
        <v>273100</v>
      </c>
      <c r="G403" s="2" t="s">
        <v>1494</v>
      </c>
      <c r="H403" s="2" t="s">
        <v>1495</v>
      </c>
      <c r="I403" s="2" t="s">
        <v>1496</v>
      </c>
      <c r="J403" s="2" t="str">
        <f>CONCATENATE(G403,F403,H403,C403,I403)</f>
        <v>https://permalinkbnd.bnportugal.gov.pt/viewer/273100/?offset=#page=475&amp;viewer=picture&amp;o=info&amp;n=0&amp;q=</v>
      </c>
      <c r="K403" s="1" t="s">
        <v>581</v>
      </c>
      <c r="L403" s="1" t="str">
        <f>VLOOKUP(A403,Folha2!$A$2:$B$2019,2,FALSE)</f>
        <v>Substituir Manoel de Faria Severim por Manoel Severim de Faria [sonetos, sem comentários, cf. Im. 353, canções, ode, sextina, elegia, oitavas, éclogas [todos os anteriores com breves comentários], tercetos sem comentários (D. Sebastião) entram em elegias, petição, redondilhas sem comentários, sobôlos rios que vão, esparsas, cartas-poemas, convites, disparates, mote com comentários?, glosas, trovas com comentários, voltas, cantiga, endechas, vilancete, a.b.c. motes, coplas, estâncias. Uma carta apenas e duas peças de Teatro, sem comentários: Seleuco e Anfitriões. Incluir no registo bibliográfico o nome de Manoel Severim de Faria (1583-1655): o nome tem de surgir no registo ipsis verbis;  Paratextos vida, Paratextos argumentos [Épica]; Lírica Outros: Canto da criação e composição do Homem, sem comentários.</v>
      </c>
      <c r="M403" s="12" t="str">
        <f>HYPERLINK(J403)</f>
        <v>https://permalinkbnd.bnportugal.gov.pt/viewer/273100/?offset=#page=475&amp;viewer=picture&amp;o=info&amp;n=0&amp;q=</v>
      </c>
      <c r="N403" s="12" t="s">
        <v>1497</v>
      </c>
      <c r="O403" s="12" t="str">
        <f>CONCATENATE(N403,A403,"\",B403,"\",C403,".jpg")</f>
        <v>C:\Users\mbaptista\OneDrive - Biblioteca Nacional de Portugal\Documentos\python\camoniana\imagens\capas\381260\1\475.jpg</v>
      </c>
      <c r="P403" s="12" t="str">
        <f>HYPERLINK(O403)</f>
        <v>C:\Users\mbaptista\OneDrive - Biblioteca Nacional de Portugal\Documentos\python\camoniana\imagens\capas\381260\1\475.jpg</v>
      </c>
      <c r="Q403" s="12"/>
      <c r="R403" s="6"/>
      <c r="S403" s="12"/>
      <c r="T403" s="1"/>
      <c r="U403" s="13"/>
      <c r="V403" s="13"/>
      <c r="W403" s="5"/>
    </row>
    <row r="404" spans="1:23" ht="225">
      <c r="A404" s="1">
        <v>397821</v>
      </c>
      <c r="B404" s="1">
        <v>1</v>
      </c>
      <c r="C404" s="1">
        <v>7</v>
      </c>
      <c r="D404" s="2" t="s">
        <v>585</v>
      </c>
      <c r="E404" s="5" t="s">
        <v>585</v>
      </c>
      <c r="F404" s="5">
        <v>273782</v>
      </c>
      <c r="G404" s="2" t="s">
        <v>1494</v>
      </c>
      <c r="H404" s="2" t="s">
        <v>1495</v>
      </c>
      <c r="I404" s="2" t="s">
        <v>1496</v>
      </c>
      <c r="J404" s="2" t="str">
        <f>CONCATENATE(G404,F404,H404,C404,I404)</f>
        <v>https://permalinkbnd.bnportugal.gov.pt/viewer/273782/?offset=#page=7&amp;viewer=picture&amp;o=info&amp;n=0&amp;q=</v>
      </c>
      <c r="K404" s="1" t="s">
        <v>586</v>
      </c>
      <c r="L404" s="1" t="str">
        <f>VLOOKUP(A404,Folha2!$A$2:$B$2019,2,FALSE)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4" s="12" t="str">
        <f>HYPERLINK(J404)</f>
        <v>https://permalinkbnd.bnportugal.gov.pt/viewer/273782/?offset=#page=7&amp;viewer=picture&amp;o=info&amp;n=0&amp;q=</v>
      </c>
      <c r="N404" s="12" t="s">
        <v>1497</v>
      </c>
      <c r="O404" s="12" t="str">
        <f>CONCATENATE(N404,A404,"\",B404,"\",C404,".jpg")</f>
        <v>C:\Users\mbaptista\OneDrive - Biblioteca Nacional de Portugal\Documentos\python\camoniana\imagens\capas\397821\1\7.jpg</v>
      </c>
      <c r="P404" s="12" t="str">
        <f>HYPERLINK(O404)</f>
        <v>C:\Users\mbaptista\OneDrive - Biblioteca Nacional de Portugal\Documentos\python\camoniana\imagens\capas\397821\1\7.jpg</v>
      </c>
      <c r="Q404" s="12"/>
      <c r="R404" s="6" t="s">
        <v>588</v>
      </c>
      <c r="S404" s="12"/>
      <c r="T404" s="1" t="s">
        <v>587</v>
      </c>
      <c r="U404" s="13"/>
      <c r="V404" s="13"/>
      <c r="W404" s="5" t="s">
        <v>1491</v>
      </c>
    </row>
    <row r="405" spans="1:23" ht="225">
      <c r="A405" s="1">
        <v>397821</v>
      </c>
      <c r="B405" s="1">
        <v>1</v>
      </c>
      <c r="C405" s="1">
        <v>12</v>
      </c>
      <c r="D405" s="2" t="s">
        <v>585</v>
      </c>
      <c r="E405" s="11" t="s">
        <v>585</v>
      </c>
      <c r="F405" s="11">
        <v>273782</v>
      </c>
      <c r="G405" s="2" t="s">
        <v>1494</v>
      </c>
      <c r="H405" s="2" t="s">
        <v>1495</v>
      </c>
      <c r="I405" s="2" t="s">
        <v>1496</v>
      </c>
      <c r="J405" s="2" t="str">
        <f>CONCATENATE(G405,F405,H405,C405,I405)</f>
        <v>https://permalinkbnd.bnportugal.gov.pt/viewer/273782/?offset=#page=12&amp;viewer=picture&amp;o=info&amp;n=0&amp;q=</v>
      </c>
      <c r="K405" s="1" t="s">
        <v>586</v>
      </c>
      <c r="L405" s="1" t="str">
        <f>VLOOKUP(A405,Folha2!$A$2:$B$2019,2,FALSE)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5" s="12" t="str">
        <f>HYPERLINK(J405)</f>
        <v>https://permalinkbnd.bnportugal.gov.pt/viewer/273782/?offset=#page=12&amp;viewer=picture&amp;o=info&amp;n=0&amp;q=</v>
      </c>
      <c r="N405" s="12" t="s">
        <v>1497</v>
      </c>
      <c r="O405" s="12" t="str">
        <f>CONCATENATE(N405,A405,"\",B405,"\",C405,".jpg")</f>
        <v>C:\Users\mbaptista\OneDrive - Biblioteca Nacional de Portugal\Documentos\python\camoniana\imagens\capas\397821\1\12.jpg</v>
      </c>
      <c r="P405" s="12" t="str">
        <f>HYPERLINK(O405)</f>
        <v>C:\Users\mbaptista\OneDrive - Biblioteca Nacional de Portugal\Documentos\python\camoniana\imagens\capas\397821\1\12.jpg</v>
      </c>
      <c r="Q405" s="12"/>
      <c r="R405" s="6" t="s">
        <v>589</v>
      </c>
      <c r="S405" s="12"/>
      <c r="T405" s="1" t="s">
        <v>587</v>
      </c>
      <c r="U405" s="13"/>
      <c r="V405" s="13"/>
      <c r="W405" s="5" t="s">
        <v>1491</v>
      </c>
    </row>
    <row r="406" spans="1:23" ht="225">
      <c r="A406" s="1">
        <v>397821</v>
      </c>
      <c r="B406" s="1">
        <v>1</v>
      </c>
      <c r="C406" s="1">
        <v>25</v>
      </c>
      <c r="D406" s="2" t="s">
        <v>585</v>
      </c>
      <c r="E406" s="5" t="s">
        <v>585</v>
      </c>
      <c r="F406" s="5">
        <v>273782</v>
      </c>
      <c r="G406" s="2" t="s">
        <v>1494</v>
      </c>
      <c r="H406" s="2" t="s">
        <v>1495</v>
      </c>
      <c r="I406" s="2" t="s">
        <v>1496</v>
      </c>
      <c r="J406" s="2" t="str">
        <f>CONCATENATE(G406,F406,H406,C406,I406)</f>
        <v>https://permalinkbnd.bnportugal.gov.pt/viewer/273782/?offset=#page=25&amp;viewer=picture&amp;o=info&amp;n=0&amp;q=</v>
      </c>
      <c r="K406" s="1" t="s">
        <v>586</v>
      </c>
      <c r="L406" s="1" t="str">
        <f>VLOOKUP(A406,Folha2!$A$2:$B$2019,2,FALSE)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6" s="12" t="str">
        <f>HYPERLINK(J406)</f>
        <v>https://permalinkbnd.bnportugal.gov.pt/viewer/273782/?offset=#page=25&amp;viewer=picture&amp;o=info&amp;n=0&amp;q=</v>
      </c>
      <c r="N406" s="12" t="s">
        <v>1497</v>
      </c>
      <c r="O406" s="12" t="str">
        <f>CONCATENATE(N406,A406,"\",B406,"\",C406,".jpg")</f>
        <v>C:\Users\mbaptista\OneDrive - Biblioteca Nacional de Portugal\Documentos\python\camoniana\imagens\capas\397821\1\25.jpg</v>
      </c>
      <c r="P406" s="12" t="str">
        <f>HYPERLINK(O406)</f>
        <v>C:\Users\mbaptista\OneDrive - Biblioteca Nacional de Portugal\Documentos\python\camoniana\imagens\capas\397821\1\25.jpg</v>
      </c>
      <c r="Q406" s="12"/>
      <c r="R406" s="6" t="s">
        <v>590</v>
      </c>
      <c r="S406" s="12"/>
      <c r="T406" s="1" t="s">
        <v>587</v>
      </c>
      <c r="U406" s="13"/>
      <c r="V406" s="13"/>
      <c r="W406" s="5" t="s">
        <v>1491</v>
      </c>
    </row>
    <row r="407" spans="1:23" ht="225">
      <c r="A407" s="1">
        <v>397821</v>
      </c>
      <c r="B407" s="1">
        <v>1</v>
      </c>
      <c r="C407" s="1">
        <v>43</v>
      </c>
      <c r="D407" s="2" t="s">
        <v>585</v>
      </c>
      <c r="E407" s="11" t="s">
        <v>585</v>
      </c>
      <c r="F407" s="11">
        <v>273782</v>
      </c>
      <c r="G407" s="2" t="s">
        <v>1494</v>
      </c>
      <c r="H407" s="2" t="s">
        <v>1495</v>
      </c>
      <c r="I407" s="2" t="s">
        <v>1496</v>
      </c>
      <c r="J407" s="2" t="str">
        <f>CONCATENATE(G407,F407,H407,C407,I407)</f>
        <v>https://permalinkbnd.bnportugal.gov.pt/viewer/273782/?offset=#page=43&amp;viewer=picture&amp;o=info&amp;n=0&amp;q=</v>
      </c>
      <c r="K407" s="1" t="s">
        <v>586</v>
      </c>
      <c r="L407" s="1" t="str">
        <f>VLOOKUP(A407,Folha2!$A$2:$B$2019,2,FALSE)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7" s="12" t="str">
        <f>HYPERLINK(J407)</f>
        <v>https://permalinkbnd.bnportugal.gov.pt/viewer/273782/?offset=#page=43&amp;viewer=picture&amp;o=info&amp;n=0&amp;q=</v>
      </c>
      <c r="N407" s="12" t="s">
        <v>1497</v>
      </c>
      <c r="O407" s="12" t="str">
        <f>CONCATENATE(N407,A407,"\",B407,"\",C407,".jpg")</f>
        <v>C:\Users\mbaptista\OneDrive - Biblioteca Nacional de Portugal\Documentos\python\camoniana\imagens\capas\397821\1\43.jpg</v>
      </c>
      <c r="P407" s="12" t="str">
        <f>HYPERLINK(O407)</f>
        <v>C:\Users\mbaptista\OneDrive - Biblioteca Nacional de Portugal\Documentos\python\camoniana\imagens\capas\397821\1\43.jpg</v>
      </c>
      <c r="Q407" s="12"/>
      <c r="R407" s="6"/>
      <c r="S407" s="12"/>
      <c r="T407" s="1"/>
      <c r="U407" s="13"/>
      <c r="V407" s="13"/>
      <c r="W407" s="5"/>
    </row>
    <row r="408" spans="1:23" ht="225">
      <c r="A408" s="1">
        <v>397821</v>
      </c>
      <c r="B408" s="1">
        <v>1</v>
      </c>
      <c r="C408" s="1">
        <v>48</v>
      </c>
      <c r="D408" s="2" t="s">
        <v>585</v>
      </c>
      <c r="E408" s="5" t="s">
        <v>585</v>
      </c>
      <c r="F408" s="5">
        <v>273782</v>
      </c>
      <c r="G408" s="2" t="s">
        <v>1494</v>
      </c>
      <c r="H408" s="2" t="s">
        <v>1495</v>
      </c>
      <c r="I408" s="2" t="s">
        <v>1496</v>
      </c>
      <c r="J408" s="2" t="str">
        <f>CONCATENATE(G408,F408,H408,C408,I408)</f>
        <v>https://permalinkbnd.bnportugal.gov.pt/viewer/273782/?offset=#page=48&amp;viewer=picture&amp;o=info&amp;n=0&amp;q=</v>
      </c>
      <c r="K408" s="1" t="s">
        <v>586</v>
      </c>
      <c r="L408" s="1" t="str">
        <f>VLOOKUP(A408,Folha2!$A$2:$B$2019,2,FALSE)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8" s="12" t="str">
        <f>HYPERLINK(J408)</f>
        <v>https://permalinkbnd.bnportugal.gov.pt/viewer/273782/?offset=#page=48&amp;viewer=picture&amp;o=info&amp;n=0&amp;q=</v>
      </c>
      <c r="N408" s="12" t="s">
        <v>1497</v>
      </c>
      <c r="O408" s="12" t="str">
        <f>CONCATENATE(N408,A408,"\",B408,"\",C408,".jpg")</f>
        <v>C:\Users\mbaptista\OneDrive - Biblioteca Nacional de Portugal\Documentos\python\camoniana\imagens\capas\397821\1\48.jpg</v>
      </c>
      <c r="P408" s="12" t="str">
        <f>HYPERLINK(O408)</f>
        <v>C:\Users\mbaptista\OneDrive - Biblioteca Nacional de Portugal\Documentos\python\camoniana\imagens\capas\397821\1\48.jpg</v>
      </c>
      <c r="Q408" s="12"/>
      <c r="R408" s="6" t="s">
        <v>591</v>
      </c>
      <c r="S408" s="12"/>
      <c r="T408" s="1" t="s">
        <v>587</v>
      </c>
      <c r="U408" s="13"/>
      <c r="V408" s="13"/>
      <c r="W408" s="5" t="s">
        <v>1491</v>
      </c>
    </row>
    <row r="409" spans="1:23" ht="225">
      <c r="A409" s="1">
        <v>397821</v>
      </c>
      <c r="B409" s="1">
        <v>1</v>
      </c>
      <c r="C409" s="1">
        <v>49</v>
      </c>
      <c r="D409" s="2" t="s">
        <v>585</v>
      </c>
      <c r="E409" s="11" t="s">
        <v>585</v>
      </c>
      <c r="F409" s="11">
        <v>273782</v>
      </c>
      <c r="G409" s="2" t="s">
        <v>1494</v>
      </c>
      <c r="H409" s="2" t="s">
        <v>1495</v>
      </c>
      <c r="I409" s="2" t="s">
        <v>1496</v>
      </c>
      <c r="J409" s="2" t="str">
        <f>CONCATENATE(G409,F409,H409,C409,I409)</f>
        <v>https://permalinkbnd.bnportugal.gov.pt/viewer/273782/?offset=#page=49&amp;viewer=picture&amp;o=info&amp;n=0&amp;q=</v>
      </c>
      <c r="K409" s="1" t="s">
        <v>586</v>
      </c>
      <c r="L409" s="1" t="str">
        <f>VLOOKUP(A409,Folha2!$A$2:$B$2019,2,FALSE)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09" s="12" t="str">
        <f>HYPERLINK(J409)</f>
        <v>https://permalinkbnd.bnportugal.gov.pt/viewer/273782/?offset=#page=49&amp;viewer=picture&amp;o=info&amp;n=0&amp;q=</v>
      </c>
      <c r="N409" s="12" t="s">
        <v>1497</v>
      </c>
      <c r="O409" s="12" t="str">
        <f>CONCATENATE(N409,A409,"\",B409,"\",C409,".jpg")</f>
        <v>C:\Users\mbaptista\OneDrive - Biblioteca Nacional de Portugal\Documentos\python\camoniana\imagens\capas\397821\1\49.jpg</v>
      </c>
      <c r="P409" s="12" t="str">
        <f>HYPERLINK(O409)</f>
        <v>C:\Users\mbaptista\OneDrive - Biblioteca Nacional de Portugal\Documentos\python\camoniana\imagens\capas\397821\1\49.jpg</v>
      </c>
      <c r="Q409" s="12"/>
      <c r="R409" s="6"/>
      <c r="S409" s="12"/>
      <c r="T409" s="1"/>
      <c r="U409" s="13"/>
      <c r="V409" s="13"/>
      <c r="W409" s="5"/>
    </row>
    <row r="410" spans="1:23" ht="225">
      <c r="A410" s="1">
        <v>397821</v>
      </c>
      <c r="B410" s="1">
        <v>1</v>
      </c>
      <c r="C410" s="1">
        <v>102</v>
      </c>
      <c r="D410" s="2" t="s">
        <v>585</v>
      </c>
      <c r="E410" s="5" t="s">
        <v>585</v>
      </c>
      <c r="F410" s="5">
        <v>273782</v>
      </c>
      <c r="G410" s="2" t="s">
        <v>1494</v>
      </c>
      <c r="H410" s="2" t="s">
        <v>1495</v>
      </c>
      <c r="I410" s="2" t="s">
        <v>1496</v>
      </c>
      <c r="J410" s="2" t="str">
        <f>CONCATENATE(G410,F410,H410,C410,I410)</f>
        <v>https://permalinkbnd.bnportugal.gov.pt/viewer/273782/?offset=#page=102&amp;viewer=picture&amp;o=info&amp;n=0&amp;q=</v>
      </c>
      <c r="K410" s="1" t="s">
        <v>586</v>
      </c>
      <c r="L410" s="1" t="str">
        <f>VLOOKUP(A410,Folha2!$A$2:$B$2019,2,FALSE)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0" s="12" t="str">
        <f>HYPERLINK(J410)</f>
        <v>https://permalinkbnd.bnportugal.gov.pt/viewer/273782/?offset=#page=102&amp;viewer=picture&amp;o=info&amp;n=0&amp;q=</v>
      </c>
      <c r="N410" s="12" t="s">
        <v>1497</v>
      </c>
      <c r="O410" s="12" t="str">
        <f>CONCATENATE(N410,A410,"\",B410,"\",C410,".jpg")</f>
        <v>C:\Users\mbaptista\OneDrive - Biblioteca Nacional de Portugal\Documentos\python\camoniana\imagens\capas\397821\1\102.jpg</v>
      </c>
      <c r="P410" s="12" t="str">
        <f>HYPERLINK(O410)</f>
        <v>C:\Users\mbaptista\OneDrive - Biblioteca Nacional de Portugal\Documentos\python\camoniana\imagens\capas\397821\1\102.jpg</v>
      </c>
      <c r="Q410" s="12"/>
      <c r="R410" s="6"/>
      <c r="S410" s="12"/>
      <c r="T410" s="1"/>
      <c r="U410" s="13"/>
      <c r="V410" s="13"/>
      <c r="W410" s="5"/>
    </row>
    <row r="411" spans="1:23" ht="225">
      <c r="A411" s="1">
        <v>397821</v>
      </c>
      <c r="B411" s="1">
        <v>1</v>
      </c>
      <c r="C411" s="1">
        <v>103</v>
      </c>
      <c r="D411" s="2" t="s">
        <v>585</v>
      </c>
      <c r="E411" s="11" t="s">
        <v>585</v>
      </c>
      <c r="F411" s="11">
        <v>273782</v>
      </c>
      <c r="G411" s="2" t="s">
        <v>1494</v>
      </c>
      <c r="H411" s="2" t="s">
        <v>1495</v>
      </c>
      <c r="I411" s="2" t="s">
        <v>1496</v>
      </c>
      <c r="J411" s="2" t="str">
        <f>CONCATENATE(G411,F411,H411,C411,I411)</f>
        <v>https://permalinkbnd.bnportugal.gov.pt/viewer/273782/?offset=#page=103&amp;viewer=picture&amp;o=info&amp;n=0&amp;q=</v>
      </c>
      <c r="K411" s="1" t="s">
        <v>586</v>
      </c>
      <c r="L411" s="1" t="str">
        <f>VLOOKUP(A411,Folha2!$A$2:$B$2019,2,FALSE)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1" s="12" t="str">
        <f>HYPERLINK(J411)</f>
        <v>https://permalinkbnd.bnportugal.gov.pt/viewer/273782/?offset=#page=103&amp;viewer=picture&amp;o=info&amp;n=0&amp;q=</v>
      </c>
      <c r="N411" s="12" t="s">
        <v>1497</v>
      </c>
      <c r="O411" s="12" t="str">
        <f>CONCATENATE(N411,A411,"\",B411,"\",C411,".jpg")</f>
        <v>C:\Users\mbaptista\OneDrive - Biblioteca Nacional de Portugal\Documentos\python\camoniana\imagens\capas\397821\1\103.jpg</v>
      </c>
      <c r="P411" s="12" t="str">
        <f>HYPERLINK(O411)</f>
        <v>C:\Users\mbaptista\OneDrive - Biblioteca Nacional de Portugal\Documentos\python\camoniana\imagens\capas\397821\1\103.jpg</v>
      </c>
      <c r="Q411" s="12"/>
      <c r="R411" s="6" t="s">
        <v>592</v>
      </c>
      <c r="S411" s="12"/>
      <c r="T411" s="1" t="s">
        <v>587</v>
      </c>
      <c r="U411" s="13"/>
      <c r="V411" s="13"/>
      <c r="W411" s="5" t="s">
        <v>1491</v>
      </c>
    </row>
    <row r="412" spans="1:23" ht="225">
      <c r="A412" s="1">
        <v>397821</v>
      </c>
      <c r="B412" s="1">
        <v>1</v>
      </c>
      <c r="C412" s="1">
        <v>162</v>
      </c>
      <c r="D412" s="2" t="s">
        <v>585</v>
      </c>
      <c r="E412" s="5" t="s">
        <v>585</v>
      </c>
      <c r="F412" s="5">
        <v>273782</v>
      </c>
      <c r="G412" s="2" t="s">
        <v>1494</v>
      </c>
      <c r="H412" s="2" t="s">
        <v>1495</v>
      </c>
      <c r="I412" s="2" t="s">
        <v>1496</v>
      </c>
      <c r="J412" s="2" t="str">
        <f>CONCATENATE(G412,F412,H412,C412,I412)</f>
        <v>https://permalinkbnd.bnportugal.gov.pt/viewer/273782/?offset=#page=162&amp;viewer=picture&amp;o=info&amp;n=0&amp;q=</v>
      </c>
      <c r="K412" s="1" t="s">
        <v>586</v>
      </c>
      <c r="L412" s="1" t="str">
        <f>VLOOKUP(A412,Folha2!$A$2:$B$2019,2,FALSE)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2" s="12" t="str">
        <f>HYPERLINK(J412)</f>
        <v>https://permalinkbnd.bnportugal.gov.pt/viewer/273782/?offset=#page=162&amp;viewer=picture&amp;o=info&amp;n=0&amp;q=</v>
      </c>
      <c r="N412" s="12" t="s">
        <v>1497</v>
      </c>
      <c r="O412" s="12" t="str">
        <f>CONCATENATE(N412,A412,"\",B412,"\",C412,".jpg")</f>
        <v>C:\Users\mbaptista\OneDrive - Biblioteca Nacional de Portugal\Documentos\python\camoniana\imagens\capas\397821\1\162.jpg</v>
      </c>
      <c r="P412" s="12" t="str">
        <f>HYPERLINK(O412)</f>
        <v>C:\Users\mbaptista\OneDrive - Biblioteca Nacional de Portugal\Documentos\python\camoniana\imagens\capas\397821\1\162.jpg</v>
      </c>
      <c r="Q412" s="12"/>
      <c r="R412" s="6"/>
      <c r="S412" s="12"/>
      <c r="T412" s="1"/>
      <c r="U412" s="13"/>
      <c r="V412" s="13"/>
      <c r="W412" s="5"/>
    </row>
    <row r="413" spans="1:23" ht="225">
      <c r="A413" s="1">
        <v>397821</v>
      </c>
      <c r="B413" s="1">
        <v>1</v>
      </c>
      <c r="C413" s="1">
        <v>163</v>
      </c>
      <c r="D413" s="2" t="s">
        <v>585</v>
      </c>
      <c r="E413" s="11" t="s">
        <v>585</v>
      </c>
      <c r="F413" s="11">
        <v>273782</v>
      </c>
      <c r="G413" s="2" t="s">
        <v>1494</v>
      </c>
      <c r="H413" s="2" t="s">
        <v>1495</v>
      </c>
      <c r="I413" s="2" t="s">
        <v>1496</v>
      </c>
      <c r="J413" s="2" t="str">
        <f>CONCATENATE(G413,F413,H413,C413,I413)</f>
        <v>https://permalinkbnd.bnportugal.gov.pt/viewer/273782/?offset=#page=163&amp;viewer=picture&amp;o=info&amp;n=0&amp;q=</v>
      </c>
      <c r="K413" s="1" t="s">
        <v>586</v>
      </c>
      <c r="L413" s="1" t="str">
        <f>VLOOKUP(A413,Folha2!$A$2:$B$2019,2,FALSE)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3" s="12" t="str">
        <f>HYPERLINK(J413)</f>
        <v>https://permalinkbnd.bnportugal.gov.pt/viewer/273782/?offset=#page=163&amp;viewer=picture&amp;o=info&amp;n=0&amp;q=</v>
      </c>
      <c r="N413" s="12" t="s">
        <v>1497</v>
      </c>
      <c r="O413" s="12" t="str">
        <f>CONCATENATE(N413,A413,"\",B413,"\",C413,".jpg")</f>
        <v>C:\Users\mbaptista\OneDrive - Biblioteca Nacional de Portugal\Documentos\python\camoniana\imagens\capas\397821\1\163.jpg</v>
      </c>
      <c r="P413" s="12" t="str">
        <f>HYPERLINK(O413)</f>
        <v>C:\Users\mbaptista\OneDrive - Biblioteca Nacional de Portugal\Documentos\python\camoniana\imagens\capas\397821\1\163.jpg</v>
      </c>
      <c r="Q413" s="12"/>
      <c r="R413" s="6" t="s">
        <v>593</v>
      </c>
      <c r="S413" s="12"/>
      <c r="T413" s="1" t="s">
        <v>587</v>
      </c>
      <c r="U413" s="13"/>
      <c r="V413" s="13"/>
      <c r="W413" s="5" t="s">
        <v>1491</v>
      </c>
    </row>
    <row r="414" spans="1:23" ht="225">
      <c r="A414" s="1">
        <v>397821</v>
      </c>
      <c r="B414" s="1">
        <v>1</v>
      </c>
      <c r="C414" s="1">
        <v>165</v>
      </c>
      <c r="D414" s="2" t="s">
        <v>585</v>
      </c>
      <c r="E414" s="5" t="s">
        <v>585</v>
      </c>
      <c r="F414" s="5">
        <v>273782</v>
      </c>
      <c r="G414" s="2" t="s">
        <v>1494</v>
      </c>
      <c r="H414" s="2" t="s">
        <v>1495</v>
      </c>
      <c r="I414" s="2" t="s">
        <v>1496</v>
      </c>
      <c r="J414" s="2" t="str">
        <f>CONCATENATE(G414,F414,H414,C414,I414)</f>
        <v>https://permalinkbnd.bnportugal.gov.pt/viewer/273782/?offset=#page=165&amp;viewer=picture&amp;o=info&amp;n=0&amp;q=</v>
      </c>
      <c r="K414" s="1" t="s">
        <v>586</v>
      </c>
      <c r="L414" s="1" t="str">
        <f>VLOOKUP(A414,Folha2!$A$2:$B$2019,2,FALSE)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4" s="12" t="str">
        <f>HYPERLINK(J414)</f>
        <v>https://permalinkbnd.bnportugal.gov.pt/viewer/273782/?offset=#page=165&amp;viewer=picture&amp;o=info&amp;n=0&amp;q=</v>
      </c>
      <c r="N414" s="12" t="s">
        <v>1497</v>
      </c>
      <c r="O414" s="12" t="str">
        <f>CONCATENATE(N414,A414,"\",B414,"\",C414,".jpg")</f>
        <v>C:\Users\mbaptista\OneDrive - Biblioteca Nacional de Portugal\Documentos\python\camoniana\imagens\capas\397821\1\165.jpg</v>
      </c>
      <c r="P414" s="12" t="str">
        <f>HYPERLINK(O414)</f>
        <v>C:\Users\mbaptista\OneDrive - Biblioteca Nacional de Portugal\Documentos\python\camoniana\imagens\capas\397821\1\165.jpg</v>
      </c>
      <c r="Q414" s="12"/>
      <c r="R414" s="6"/>
      <c r="S414" s="12"/>
      <c r="T414" s="1"/>
      <c r="U414" s="13"/>
      <c r="V414" s="13"/>
      <c r="W414" s="5"/>
    </row>
    <row r="415" spans="1:23" ht="225">
      <c r="A415" s="1">
        <v>397821</v>
      </c>
      <c r="B415" s="1">
        <v>1</v>
      </c>
      <c r="C415" s="1">
        <v>237</v>
      </c>
      <c r="D415" s="2" t="s">
        <v>585</v>
      </c>
      <c r="E415" s="11" t="s">
        <v>585</v>
      </c>
      <c r="F415" s="11">
        <v>273782</v>
      </c>
      <c r="G415" s="2" t="s">
        <v>1494</v>
      </c>
      <c r="H415" s="2" t="s">
        <v>1495</v>
      </c>
      <c r="I415" s="2" t="s">
        <v>1496</v>
      </c>
      <c r="J415" s="2" t="str">
        <f>CONCATENATE(G415,F415,H415,C415,I415)</f>
        <v>https://permalinkbnd.bnportugal.gov.pt/viewer/273782/?offset=#page=237&amp;viewer=picture&amp;o=info&amp;n=0&amp;q=</v>
      </c>
      <c r="K415" s="1" t="s">
        <v>586</v>
      </c>
      <c r="L415" s="1" t="str">
        <f>VLOOKUP(A415,Folha2!$A$2:$B$2019,2,FALSE)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5" s="12" t="str">
        <f>HYPERLINK(J415)</f>
        <v>https://permalinkbnd.bnportugal.gov.pt/viewer/273782/?offset=#page=237&amp;viewer=picture&amp;o=info&amp;n=0&amp;q=</v>
      </c>
      <c r="N415" s="12" t="s">
        <v>1497</v>
      </c>
      <c r="O415" s="12" t="str">
        <f>CONCATENATE(N415,A415,"\",B415,"\",C415,".jpg")</f>
        <v>C:\Users\mbaptista\OneDrive - Biblioteca Nacional de Portugal\Documentos\python\camoniana\imagens\capas\397821\1\237.jpg</v>
      </c>
      <c r="P415" s="12" t="str">
        <f>HYPERLINK(O415)</f>
        <v>C:\Users\mbaptista\OneDrive - Biblioteca Nacional de Portugal\Documentos\python\camoniana\imagens\capas\397821\1\237.jpg</v>
      </c>
      <c r="Q415" s="12"/>
      <c r="R415" s="6" t="s">
        <v>594</v>
      </c>
      <c r="S415" s="12"/>
      <c r="T415" s="1" t="s">
        <v>587</v>
      </c>
      <c r="U415" s="13"/>
      <c r="V415" s="13"/>
      <c r="W415" s="5" t="s">
        <v>1491</v>
      </c>
    </row>
    <row r="416" spans="1:23" ht="225">
      <c r="A416" s="1">
        <v>397821</v>
      </c>
      <c r="B416" s="1">
        <v>1</v>
      </c>
      <c r="C416" s="1">
        <v>239</v>
      </c>
      <c r="D416" s="2" t="s">
        <v>585</v>
      </c>
      <c r="E416" s="5" t="s">
        <v>585</v>
      </c>
      <c r="F416" s="5">
        <v>273782</v>
      </c>
      <c r="G416" s="2" t="s">
        <v>1494</v>
      </c>
      <c r="H416" s="2" t="s">
        <v>1495</v>
      </c>
      <c r="I416" s="2" t="s">
        <v>1496</v>
      </c>
      <c r="J416" s="2" t="str">
        <f>CONCATENATE(G416,F416,H416,C416,I416)</f>
        <v>https://permalinkbnd.bnportugal.gov.pt/viewer/273782/?offset=#page=239&amp;viewer=picture&amp;o=info&amp;n=0&amp;q=</v>
      </c>
      <c r="K416" s="1" t="s">
        <v>586</v>
      </c>
      <c r="L416" s="1" t="str">
        <f>VLOOKUP(A416,Folha2!$A$2:$B$2019,2,FALSE)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6" s="12" t="str">
        <f>HYPERLINK(J416)</f>
        <v>https://permalinkbnd.bnportugal.gov.pt/viewer/273782/?offset=#page=239&amp;viewer=picture&amp;o=info&amp;n=0&amp;q=</v>
      </c>
      <c r="N416" s="12" t="s">
        <v>1497</v>
      </c>
      <c r="O416" s="12" t="str">
        <f>CONCATENATE(N416,A416,"\",B416,"\",C416,".jpg")</f>
        <v>C:\Users\mbaptista\OneDrive - Biblioteca Nacional de Portugal\Documentos\python\camoniana\imagens\capas\397821\1\239.jpg</v>
      </c>
      <c r="P416" s="12" t="str">
        <f>HYPERLINK(O416)</f>
        <v>C:\Users\mbaptista\OneDrive - Biblioteca Nacional de Portugal\Documentos\python\camoniana\imagens\capas\397821\1\239.jpg</v>
      </c>
      <c r="Q416" s="12"/>
      <c r="R416" s="6" t="s">
        <v>595</v>
      </c>
      <c r="S416" s="12"/>
      <c r="T416" s="1" t="s">
        <v>587</v>
      </c>
      <c r="U416" s="13"/>
      <c r="V416" s="13"/>
      <c r="W416" s="5" t="s">
        <v>1491</v>
      </c>
    </row>
    <row r="417" spans="1:23" ht="225">
      <c r="A417" s="1">
        <v>397821</v>
      </c>
      <c r="B417" s="1">
        <v>1</v>
      </c>
      <c r="C417" s="1">
        <v>291</v>
      </c>
      <c r="D417" s="2" t="s">
        <v>585</v>
      </c>
      <c r="E417" s="11" t="s">
        <v>585</v>
      </c>
      <c r="F417" s="11">
        <v>273782</v>
      </c>
      <c r="G417" s="2" t="s">
        <v>1494</v>
      </c>
      <c r="H417" s="2" t="s">
        <v>1495</v>
      </c>
      <c r="I417" s="2" t="s">
        <v>1496</v>
      </c>
      <c r="J417" s="2" t="str">
        <f>CONCATENATE(G417,F417,H417,C417,I417)</f>
        <v>https://permalinkbnd.bnportugal.gov.pt/viewer/273782/?offset=#page=291&amp;viewer=picture&amp;o=info&amp;n=0&amp;q=</v>
      </c>
      <c r="K417" s="1" t="s">
        <v>586</v>
      </c>
      <c r="L417" s="1" t="str">
        <f>VLOOKUP(A417,Folha2!$A$2:$B$2019,2,FALSE)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7" s="12" t="str">
        <f>HYPERLINK(J417)</f>
        <v>https://permalinkbnd.bnportugal.gov.pt/viewer/273782/?offset=#page=291&amp;viewer=picture&amp;o=info&amp;n=0&amp;q=</v>
      </c>
      <c r="N417" s="12" t="s">
        <v>1497</v>
      </c>
      <c r="O417" s="12" t="str">
        <f>CONCATENATE(N417,A417,"\",B417,"\",C417,".jpg")</f>
        <v>C:\Users\mbaptista\OneDrive - Biblioteca Nacional de Portugal\Documentos\python\camoniana\imagens\capas\397821\1\291.jpg</v>
      </c>
      <c r="P417" s="12" t="str">
        <f>HYPERLINK(O417)</f>
        <v>C:\Users\mbaptista\OneDrive - Biblioteca Nacional de Portugal\Documentos\python\camoniana\imagens\capas\397821\1\291.jpg</v>
      </c>
      <c r="Q417" s="12"/>
      <c r="R417" s="6"/>
      <c r="S417" s="12"/>
      <c r="T417" s="1"/>
      <c r="U417" s="13"/>
      <c r="V417" s="13"/>
      <c r="W417" s="5"/>
    </row>
    <row r="418" spans="1:23" ht="225">
      <c r="A418" s="1">
        <v>397821</v>
      </c>
      <c r="B418" s="1">
        <v>1</v>
      </c>
      <c r="C418" s="1">
        <v>293</v>
      </c>
      <c r="D418" s="2" t="s">
        <v>585</v>
      </c>
      <c r="E418" s="5" t="s">
        <v>585</v>
      </c>
      <c r="F418" s="5">
        <v>273782</v>
      </c>
      <c r="G418" s="2" t="s">
        <v>1494</v>
      </c>
      <c r="H418" s="2" t="s">
        <v>1495</v>
      </c>
      <c r="I418" s="2" t="s">
        <v>1496</v>
      </c>
      <c r="J418" s="2" t="str">
        <f>CONCATENATE(G418,F418,H418,C418,I418)</f>
        <v>https://permalinkbnd.bnportugal.gov.pt/viewer/273782/?offset=#page=293&amp;viewer=picture&amp;o=info&amp;n=0&amp;q=</v>
      </c>
      <c r="K418" s="1" t="s">
        <v>586</v>
      </c>
      <c r="L418" s="1" t="str">
        <f>VLOOKUP(A418,Folha2!$A$2:$B$2019,2,FALSE)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8" s="12" t="str">
        <f>HYPERLINK(J418)</f>
        <v>https://permalinkbnd.bnportugal.gov.pt/viewer/273782/?offset=#page=293&amp;viewer=picture&amp;o=info&amp;n=0&amp;q=</v>
      </c>
      <c r="N418" s="12" t="s">
        <v>1497</v>
      </c>
      <c r="O418" s="12" t="str">
        <f>CONCATENATE(N418,A418,"\",B418,"\",C418,".jpg")</f>
        <v>C:\Users\mbaptista\OneDrive - Biblioteca Nacional de Portugal\Documentos\python\camoniana\imagens\capas\397821\1\293.jpg</v>
      </c>
      <c r="P418" s="12" t="str">
        <f>HYPERLINK(O418)</f>
        <v>C:\Users\mbaptista\OneDrive - Biblioteca Nacional de Portugal\Documentos\python\camoniana\imagens\capas\397821\1\293.jpg</v>
      </c>
      <c r="Q418" s="12"/>
      <c r="R418" s="6" t="s">
        <v>596</v>
      </c>
      <c r="S418" s="12"/>
      <c r="T418" s="1" t="s">
        <v>587</v>
      </c>
      <c r="U418" s="13"/>
      <c r="V418" s="13"/>
      <c r="W418" s="5" t="s">
        <v>1491</v>
      </c>
    </row>
    <row r="419" spans="1:23" ht="225">
      <c r="A419" s="1">
        <v>397821</v>
      </c>
      <c r="B419" s="1">
        <v>1</v>
      </c>
      <c r="C419" s="1">
        <v>295</v>
      </c>
      <c r="D419" s="2" t="s">
        <v>585</v>
      </c>
      <c r="E419" s="11" t="s">
        <v>585</v>
      </c>
      <c r="F419" s="11">
        <v>273782</v>
      </c>
      <c r="G419" s="2" t="s">
        <v>1494</v>
      </c>
      <c r="H419" s="2" t="s">
        <v>1495</v>
      </c>
      <c r="I419" s="2" t="s">
        <v>1496</v>
      </c>
      <c r="J419" s="2" t="str">
        <f>CONCATENATE(G419,F419,H419,C419,I419)</f>
        <v>https://permalinkbnd.bnportugal.gov.pt/viewer/273782/?offset=#page=295&amp;viewer=picture&amp;o=info&amp;n=0&amp;q=</v>
      </c>
      <c r="K419" s="1" t="s">
        <v>586</v>
      </c>
      <c r="L419" s="1" t="str">
        <f>VLOOKUP(A419,Folha2!$A$2:$B$2019,2,FALSE)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19" s="12" t="str">
        <f>HYPERLINK(J419)</f>
        <v>https://permalinkbnd.bnportugal.gov.pt/viewer/273782/?offset=#page=295&amp;viewer=picture&amp;o=info&amp;n=0&amp;q=</v>
      </c>
      <c r="N419" s="12" t="s">
        <v>1497</v>
      </c>
      <c r="O419" s="12" t="str">
        <f>CONCATENATE(N419,A419,"\",B419,"\",C419,".jpg")</f>
        <v>C:\Users\mbaptista\OneDrive - Biblioteca Nacional de Portugal\Documentos\python\camoniana\imagens\capas\397821\1\295.jpg</v>
      </c>
      <c r="P419" s="12" t="str">
        <f>HYPERLINK(O419)</f>
        <v>C:\Users\mbaptista\OneDrive - Biblioteca Nacional de Portugal\Documentos\python\camoniana\imagens\capas\397821\1\295.jpg</v>
      </c>
      <c r="Q419" s="12"/>
      <c r="R419" s="6"/>
      <c r="S419" s="12"/>
      <c r="T419" s="1"/>
      <c r="U419" s="13"/>
      <c r="V419" s="13"/>
      <c r="W419" s="5"/>
    </row>
    <row r="420" spans="1:23" ht="225">
      <c r="A420" s="1">
        <v>397821</v>
      </c>
      <c r="B420" s="1">
        <v>1</v>
      </c>
      <c r="C420" s="1">
        <v>347</v>
      </c>
      <c r="D420" s="2" t="s">
        <v>585</v>
      </c>
      <c r="E420" s="5" t="s">
        <v>585</v>
      </c>
      <c r="F420" s="5">
        <v>273782</v>
      </c>
      <c r="G420" s="2" t="s">
        <v>1494</v>
      </c>
      <c r="H420" s="2" t="s">
        <v>1495</v>
      </c>
      <c r="I420" s="2" t="s">
        <v>1496</v>
      </c>
      <c r="J420" s="2" t="str">
        <f>CONCATENATE(G420,F420,H420,C420,I420)</f>
        <v>https://permalinkbnd.bnportugal.gov.pt/viewer/273782/?offset=#page=347&amp;viewer=picture&amp;o=info&amp;n=0&amp;q=</v>
      </c>
      <c r="K420" s="1" t="s">
        <v>586</v>
      </c>
      <c r="L420" s="1" t="str">
        <f>VLOOKUP(A420,Folha2!$A$2:$B$2019,2,FALSE)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0" s="12" t="str">
        <f>HYPERLINK(J420)</f>
        <v>https://permalinkbnd.bnportugal.gov.pt/viewer/273782/?offset=#page=347&amp;viewer=picture&amp;o=info&amp;n=0&amp;q=</v>
      </c>
      <c r="N420" s="12" t="s">
        <v>1497</v>
      </c>
      <c r="O420" s="12" t="str">
        <f>CONCATENATE(N420,A420,"\",B420,"\",C420,".jpg")</f>
        <v>C:\Users\mbaptista\OneDrive - Biblioteca Nacional de Portugal\Documentos\python\camoniana\imagens\capas\397821\1\347.jpg</v>
      </c>
      <c r="P420" s="12" t="str">
        <f>HYPERLINK(O420)</f>
        <v>C:\Users\mbaptista\OneDrive - Biblioteca Nacional de Portugal\Documentos\python\camoniana\imagens\capas\397821\1\347.jpg</v>
      </c>
      <c r="Q420" s="12"/>
      <c r="R420" s="6" t="s">
        <v>597</v>
      </c>
      <c r="S420" s="12"/>
      <c r="T420" s="1" t="s">
        <v>587</v>
      </c>
      <c r="U420" s="13"/>
      <c r="V420" s="13"/>
      <c r="W420" s="5" t="s">
        <v>1491</v>
      </c>
    </row>
    <row r="421" spans="1:23" ht="225">
      <c r="A421" s="1">
        <v>397821</v>
      </c>
      <c r="B421" s="1">
        <v>1</v>
      </c>
      <c r="C421" s="1">
        <v>349</v>
      </c>
      <c r="D421" s="2" t="s">
        <v>585</v>
      </c>
      <c r="E421" s="11" t="s">
        <v>585</v>
      </c>
      <c r="F421" s="11">
        <v>273782</v>
      </c>
      <c r="G421" s="2" t="s">
        <v>1494</v>
      </c>
      <c r="H421" s="2" t="s">
        <v>1495</v>
      </c>
      <c r="I421" s="2" t="s">
        <v>1496</v>
      </c>
      <c r="J421" s="2" t="str">
        <f>CONCATENATE(G421,F421,H421,C421,I421)</f>
        <v>https://permalinkbnd.bnportugal.gov.pt/viewer/273782/?offset=#page=349&amp;viewer=picture&amp;o=info&amp;n=0&amp;q=</v>
      </c>
      <c r="K421" s="1" t="s">
        <v>586</v>
      </c>
      <c r="L421" s="1" t="str">
        <f>VLOOKUP(A421,Folha2!$A$2:$B$2019,2,FALSE)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1" s="12" t="str">
        <f>HYPERLINK(J421)</f>
        <v>https://permalinkbnd.bnportugal.gov.pt/viewer/273782/?offset=#page=349&amp;viewer=picture&amp;o=info&amp;n=0&amp;q=</v>
      </c>
      <c r="N421" s="12" t="s">
        <v>1497</v>
      </c>
      <c r="O421" s="12" t="str">
        <f>CONCATENATE(N421,A421,"\",B421,"\",C421,".jpg")</f>
        <v>C:\Users\mbaptista\OneDrive - Biblioteca Nacional de Portugal\Documentos\python\camoniana\imagens\capas\397821\1\349.jpg</v>
      </c>
      <c r="P421" s="12" t="str">
        <f>HYPERLINK(O421)</f>
        <v>C:\Users\mbaptista\OneDrive - Biblioteca Nacional de Portugal\Documentos\python\camoniana\imagens\capas\397821\1\349.jpg</v>
      </c>
      <c r="Q421" s="12"/>
      <c r="R421" s="6" t="s">
        <v>598</v>
      </c>
      <c r="S421" s="12"/>
      <c r="T421" s="1" t="s">
        <v>587</v>
      </c>
      <c r="U421" s="13"/>
      <c r="V421" s="13"/>
      <c r="W421" s="5" t="s">
        <v>1491</v>
      </c>
    </row>
    <row r="422" spans="1:23" ht="225">
      <c r="A422" s="1">
        <v>397821</v>
      </c>
      <c r="B422" s="1">
        <v>1</v>
      </c>
      <c r="C422" s="1">
        <v>399</v>
      </c>
      <c r="D422" s="2" t="s">
        <v>585</v>
      </c>
      <c r="E422" s="5" t="s">
        <v>585</v>
      </c>
      <c r="F422" s="5">
        <v>273782</v>
      </c>
      <c r="G422" s="2" t="s">
        <v>1494</v>
      </c>
      <c r="H422" s="2" t="s">
        <v>1495</v>
      </c>
      <c r="I422" s="2" t="s">
        <v>1496</v>
      </c>
      <c r="J422" s="2" t="str">
        <f>CONCATENATE(G422,F422,H422,C422,I422)</f>
        <v>https://permalinkbnd.bnportugal.gov.pt/viewer/273782/?offset=#page=399&amp;viewer=picture&amp;o=info&amp;n=0&amp;q=</v>
      </c>
      <c r="K422" s="1" t="s">
        <v>586</v>
      </c>
      <c r="L422" s="1" t="str">
        <f>VLOOKUP(A422,Folha2!$A$2:$B$2019,2,FALSE)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2" s="12" t="str">
        <f>HYPERLINK(J422)</f>
        <v>https://permalinkbnd.bnportugal.gov.pt/viewer/273782/?offset=#page=399&amp;viewer=picture&amp;o=info&amp;n=0&amp;q=</v>
      </c>
      <c r="N422" s="12" t="s">
        <v>1497</v>
      </c>
      <c r="O422" s="12" t="str">
        <f>CONCATENATE(N422,A422,"\",B422,"\",C422,".jpg")</f>
        <v>C:\Users\mbaptista\OneDrive - Biblioteca Nacional de Portugal\Documentos\python\camoniana\imagens\capas\397821\1\399.jpg</v>
      </c>
      <c r="P422" s="12" t="str">
        <f>HYPERLINK(O422)</f>
        <v>C:\Users\mbaptista\OneDrive - Biblioteca Nacional de Portugal\Documentos\python\camoniana\imagens\capas\397821\1\399.jpg</v>
      </c>
      <c r="Q422" s="12"/>
      <c r="R422" s="6" t="s">
        <v>599</v>
      </c>
      <c r="S422" s="12"/>
      <c r="T422" s="1" t="s">
        <v>587</v>
      </c>
      <c r="U422" s="13"/>
      <c r="V422" s="13"/>
      <c r="W422" s="5" t="s">
        <v>1491</v>
      </c>
    </row>
    <row r="423" spans="1:23" ht="225">
      <c r="A423" s="1">
        <v>397821</v>
      </c>
      <c r="B423" s="1">
        <v>1</v>
      </c>
      <c r="C423" s="1">
        <v>401</v>
      </c>
      <c r="D423" s="2" t="s">
        <v>585</v>
      </c>
      <c r="E423" s="11" t="s">
        <v>585</v>
      </c>
      <c r="F423" s="11">
        <v>273782</v>
      </c>
      <c r="G423" s="2" t="s">
        <v>1494</v>
      </c>
      <c r="H423" s="2" t="s">
        <v>1495</v>
      </c>
      <c r="I423" s="2" t="s">
        <v>1496</v>
      </c>
      <c r="J423" s="2" t="str">
        <f>CONCATENATE(G423,F423,H423,C423,I423)</f>
        <v>https://permalinkbnd.bnportugal.gov.pt/viewer/273782/?offset=#page=401&amp;viewer=picture&amp;o=info&amp;n=0&amp;q=</v>
      </c>
      <c r="K423" s="1" t="s">
        <v>586</v>
      </c>
      <c r="L423" s="1" t="str">
        <f>VLOOKUP(A423,Folha2!$A$2:$B$2019,2,FALSE)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3" s="12" t="str">
        <f>HYPERLINK(J423)</f>
        <v>https://permalinkbnd.bnportugal.gov.pt/viewer/273782/?offset=#page=401&amp;viewer=picture&amp;o=info&amp;n=0&amp;q=</v>
      </c>
      <c r="N423" s="12" t="s">
        <v>1497</v>
      </c>
      <c r="O423" s="12" t="str">
        <f>CONCATENATE(N423,A423,"\",B423,"\",C423,".jpg")</f>
        <v>C:\Users\mbaptista\OneDrive - Biblioteca Nacional de Portugal\Documentos\python\camoniana\imagens\capas\397821\1\401.jpg</v>
      </c>
      <c r="P423" s="12" t="str">
        <f>HYPERLINK(O423)</f>
        <v>C:\Users\mbaptista\OneDrive - Biblioteca Nacional de Portugal\Documentos\python\camoniana\imagens\capas\397821\1\401.jpg</v>
      </c>
      <c r="Q423" s="12"/>
      <c r="R423" s="6" t="s">
        <v>600</v>
      </c>
      <c r="S423" s="12"/>
      <c r="T423" s="1" t="s">
        <v>587</v>
      </c>
      <c r="U423" s="13"/>
      <c r="V423" s="13"/>
      <c r="W423" s="5" t="s">
        <v>1491</v>
      </c>
    </row>
    <row r="424" spans="1:23" ht="225">
      <c r="A424" s="1">
        <v>397821</v>
      </c>
      <c r="B424" s="1">
        <v>1</v>
      </c>
      <c r="C424" s="1">
        <v>445</v>
      </c>
      <c r="D424" s="2" t="s">
        <v>585</v>
      </c>
      <c r="E424" s="5" t="s">
        <v>585</v>
      </c>
      <c r="F424" s="5">
        <v>273782</v>
      </c>
      <c r="G424" s="2" t="s">
        <v>1494</v>
      </c>
      <c r="H424" s="2" t="s">
        <v>1495</v>
      </c>
      <c r="I424" s="2" t="s">
        <v>1496</v>
      </c>
      <c r="J424" s="2" t="str">
        <f>CONCATENATE(G424,F424,H424,C424,I424)</f>
        <v>https://permalinkbnd.bnportugal.gov.pt/viewer/273782/?offset=#page=445&amp;viewer=picture&amp;o=info&amp;n=0&amp;q=</v>
      </c>
      <c r="K424" s="1" t="s">
        <v>586</v>
      </c>
      <c r="L424" s="1" t="str">
        <f>VLOOKUP(A424,Folha2!$A$2:$B$2019,2,FALSE)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4" s="12" t="str">
        <f>HYPERLINK(J424)</f>
        <v>https://permalinkbnd.bnportugal.gov.pt/viewer/273782/?offset=#page=445&amp;viewer=picture&amp;o=info&amp;n=0&amp;q=</v>
      </c>
      <c r="N424" s="12" t="s">
        <v>1497</v>
      </c>
      <c r="O424" s="12" t="str">
        <f>CONCATENATE(N424,A424,"\",B424,"\",C424,".jpg")</f>
        <v>C:\Users\mbaptista\OneDrive - Biblioteca Nacional de Portugal\Documentos\python\camoniana\imagens\capas\397821\1\445.jpg</v>
      </c>
      <c r="P424" s="12" t="str">
        <f>HYPERLINK(O424)</f>
        <v>C:\Users\mbaptista\OneDrive - Biblioteca Nacional de Portugal\Documentos\python\camoniana\imagens\capas\397821\1\445.jpg</v>
      </c>
      <c r="Q424" s="12"/>
      <c r="R424" s="6" t="s">
        <v>601</v>
      </c>
      <c r="S424" s="12"/>
      <c r="T424" s="1" t="s">
        <v>587</v>
      </c>
      <c r="U424" s="13"/>
      <c r="V424" s="13"/>
      <c r="W424" s="5" t="s">
        <v>1491</v>
      </c>
    </row>
    <row r="425" spans="1:23" ht="225">
      <c r="A425" s="1">
        <v>397821</v>
      </c>
      <c r="B425" s="1">
        <v>1</v>
      </c>
      <c r="C425" s="1">
        <v>447</v>
      </c>
      <c r="D425" s="2" t="s">
        <v>585</v>
      </c>
      <c r="E425" s="11" t="s">
        <v>585</v>
      </c>
      <c r="F425" s="11">
        <v>273782</v>
      </c>
      <c r="G425" s="2" t="s">
        <v>1494</v>
      </c>
      <c r="H425" s="2" t="s">
        <v>1495</v>
      </c>
      <c r="I425" s="2" t="s">
        <v>1496</v>
      </c>
      <c r="J425" s="2" t="str">
        <f>CONCATENATE(G425,F425,H425,C425,I425)</f>
        <v>https://permalinkbnd.bnportugal.gov.pt/viewer/273782/?offset=#page=447&amp;viewer=picture&amp;o=info&amp;n=0&amp;q=</v>
      </c>
      <c r="K425" s="1" t="s">
        <v>586</v>
      </c>
      <c r="L425" s="1" t="str">
        <f>VLOOKUP(A425,Folha2!$A$2:$B$2019,2,FALSE)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5" s="12" t="str">
        <f>HYPERLINK(J425)</f>
        <v>https://permalinkbnd.bnportugal.gov.pt/viewer/273782/?offset=#page=447&amp;viewer=picture&amp;o=info&amp;n=0&amp;q=</v>
      </c>
      <c r="N425" s="12" t="s">
        <v>1497</v>
      </c>
      <c r="O425" s="12" t="str">
        <f>CONCATENATE(N425,A425,"\",B425,"\",C425,".jpg")</f>
        <v>C:\Users\mbaptista\OneDrive - Biblioteca Nacional de Portugal\Documentos\python\camoniana\imagens\capas\397821\1\447.jpg</v>
      </c>
      <c r="P425" s="12" t="str">
        <f>HYPERLINK(O425)</f>
        <v>C:\Users\mbaptista\OneDrive - Biblioteca Nacional de Portugal\Documentos\python\camoniana\imagens\capas\397821\1\447.jpg</v>
      </c>
      <c r="Q425" s="12"/>
      <c r="R425" s="6" t="s">
        <v>602</v>
      </c>
      <c r="S425" s="12"/>
      <c r="T425" s="1" t="s">
        <v>587</v>
      </c>
      <c r="U425" s="13"/>
      <c r="V425" s="13"/>
      <c r="W425" s="5" t="s">
        <v>1491</v>
      </c>
    </row>
    <row r="426" spans="1:23" ht="225">
      <c r="A426" s="1">
        <v>397821</v>
      </c>
      <c r="B426" s="1">
        <v>1</v>
      </c>
      <c r="C426" s="1">
        <v>497</v>
      </c>
      <c r="D426" s="2" t="s">
        <v>585</v>
      </c>
      <c r="E426" s="5" t="s">
        <v>585</v>
      </c>
      <c r="F426" s="5">
        <v>273782</v>
      </c>
      <c r="G426" s="2" t="s">
        <v>1494</v>
      </c>
      <c r="H426" s="2" t="s">
        <v>1495</v>
      </c>
      <c r="I426" s="2" t="s">
        <v>1496</v>
      </c>
      <c r="J426" s="2" t="str">
        <f>CONCATENATE(G426,F426,H426,C426,I426)</f>
        <v>https://permalinkbnd.bnportugal.gov.pt/viewer/273782/?offset=#page=497&amp;viewer=picture&amp;o=info&amp;n=0&amp;q=</v>
      </c>
      <c r="K426" s="1" t="s">
        <v>586</v>
      </c>
      <c r="L426" s="1" t="str">
        <f>VLOOKUP(A426,Folha2!$A$2:$B$2019,2,FALSE)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6" s="12" t="str">
        <f>HYPERLINK(J426)</f>
        <v>https://permalinkbnd.bnportugal.gov.pt/viewer/273782/?offset=#page=497&amp;viewer=picture&amp;o=info&amp;n=0&amp;q=</v>
      </c>
      <c r="N426" s="12" t="s">
        <v>1497</v>
      </c>
      <c r="O426" s="12" t="str">
        <f>CONCATENATE(N426,A426,"\",B426,"\",C426,".jpg")</f>
        <v>C:\Users\mbaptista\OneDrive - Biblioteca Nacional de Portugal\Documentos\python\camoniana\imagens\capas\397821\1\497.jpg</v>
      </c>
      <c r="P426" s="12" t="str">
        <f>HYPERLINK(O426)</f>
        <v>C:\Users\mbaptista\OneDrive - Biblioteca Nacional de Portugal\Documentos\python\camoniana\imagens\capas\397821\1\497.jpg</v>
      </c>
      <c r="Q426" s="12"/>
      <c r="R426" s="6" t="s">
        <v>603</v>
      </c>
      <c r="S426" s="12"/>
      <c r="T426" s="1" t="s">
        <v>587</v>
      </c>
      <c r="U426" s="13"/>
      <c r="V426" s="13"/>
      <c r="W426" s="5" t="s">
        <v>1491</v>
      </c>
    </row>
    <row r="427" spans="1:23" ht="225">
      <c r="A427" s="1">
        <v>397821</v>
      </c>
      <c r="B427" s="1">
        <v>1</v>
      </c>
      <c r="C427" s="1">
        <v>499</v>
      </c>
      <c r="D427" s="2" t="s">
        <v>585</v>
      </c>
      <c r="E427" s="11" t="s">
        <v>585</v>
      </c>
      <c r="F427" s="11">
        <v>273782</v>
      </c>
      <c r="G427" s="2" t="s">
        <v>1494</v>
      </c>
      <c r="H427" s="2" t="s">
        <v>1495</v>
      </c>
      <c r="I427" s="2" t="s">
        <v>1496</v>
      </c>
      <c r="J427" s="2" t="str">
        <f>CONCATENATE(G427,F427,H427,C427,I427)</f>
        <v>https://permalinkbnd.bnportugal.gov.pt/viewer/273782/?offset=#page=499&amp;viewer=picture&amp;o=info&amp;n=0&amp;q=</v>
      </c>
      <c r="K427" s="1" t="s">
        <v>586</v>
      </c>
      <c r="L427" s="1" t="str">
        <f>VLOOKUP(A427,Folha2!$A$2:$B$2019,2,FALSE)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7" s="12" t="str">
        <f>HYPERLINK(J427)</f>
        <v>https://permalinkbnd.bnportugal.gov.pt/viewer/273782/?offset=#page=499&amp;viewer=picture&amp;o=info&amp;n=0&amp;q=</v>
      </c>
      <c r="N427" s="12" t="s">
        <v>1497</v>
      </c>
      <c r="O427" s="12" t="str">
        <f>CONCATENATE(N427,A427,"\",B427,"\",C427,".jpg")</f>
        <v>C:\Users\mbaptista\OneDrive - Biblioteca Nacional de Portugal\Documentos\python\camoniana\imagens\capas\397821\1\499.jpg</v>
      </c>
      <c r="P427" s="12" t="str">
        <f>HYPERLINK(O427)</f>
        <v>C:\Users\mbaptista\OneDrive - Biblioteca Nacional de Portugal\Documentos\python\camoniana\imagens\capas\397821\1\499.jpg</v>
      </c>
      <c r="Q427" s="12"/>
      <c r="R427" s="6" t="s">
        <v>604</v>
      </c>
      <c r="S427" s="12"/>
      <c r="T427" s="1" t="s">
        <v>587</v>
      </c>
      <c r="U427" s="13"/>
      <c r="V427" s="13"/>
      <c r="W427" s="5" t="s">
        <v>1491</v>
      </c>
    </row>
    <row r="428" spans="1:23" ht="225">
      <c r="A428" s="1">
        <v>397821</v>
      </c>
      <c r="B428" s="1">
        <v>1</v>
      </c>
      <c r="C428" s="1">
        <v>547</v>
      </c>
      <c r="D428" s="2" t="s">
        <v>585</v>
      </c>
      <c r="E428" s="5" t="s">
        <v>585</v>
      </c>
      <c r="F428" s="5">
        <v>273782</v>
      </c>
      <c r="G428" s="2" t="s">
        <v>1494</v>
      </c>
      <c r="H428" s="2" t="s">
        <v>1495</v>
      </c>
      <c r="I428" s="2" t="s">
        <v>1496</v>
      </c>
      <c r="J428" s="2" t="str">
        <f>CONCATENATE(G428,F428,H428,C428,I428)</f>
        <v>https://permalinkbnd.bnportugal.gov.pt/viewer/273782/?offset=#page=547&amp;viewer=picture&amp;o=info&amp;n=0&amp;q=</v>
      </c>
      <c r="K428" s="1" t="s">
        <v>586</v>
      </c>
      <c r="L428" s="1" t="str">
        <f>VLOOKUP(A428,Folha2!$A$2:$B$2019,2,FALSE)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8" s="12" t="str">
        <f>HYPERLINK(J428)</f>
        <v>https://permalinkbnd.bnportugal.gov.pt/viewer/273782/?offset=#page=547&amp;viewer=picture&amp;o=info&amp;n=0&amp;q=</v>
      </c>
      <c r="N428" s="12" t="s">
        <v>1497</v>
      </c>
      <c r="O428" s="12" t="str">
        <f>CONCATENATE(N428,A428,"\",B428,"\",C428,".jpg")</f>
        <v>C:\Users\mbaptista\OneDrive - Biblioteca Nacional de Portugal\Documentos\python\camoniana\imagens\capas\397821\1\547.jpg</v>
      </c>
      <c r="P428" s="12" t="str">
        <f>HYPERLINK(O428)</f>
        <v>C:\Users\mbaptista\OneDrive - Biblioteca Nacional de Portugal\Documentos\python\camoniana\imagens\capas\397821\1\547.jpg</v>
      </c>
      <c r="Q428" s="12"/>
      <c r="R428" s="6" t="s">
        <v>605</v>
      </c>
      <c r="S428" s="12"/>
      <c r="T428" s="1" t="s">
        <v>587</v>
      </c>
      <c r="U428" s="13"/>
      <c r="V428" s="13"/>
      <c r="W428" s="5" t="s">
        <v>1491</v>
      </c>
    </row>
    <row r="429" spans="1:23" ht="225">
      <c r="A429" s="1">
        <v>397821</v>
      </c>
      <c r="B429" s="1">
        <v>1</v>
      </c>
      <c r="C429" s="1">
        <v>549</v>
      </c>
      <c r="D429" s="2" t="s">
        <v>585</v>
      </c>
      <c r="E429" s="11" t="s">
        <v>585</v>
      </c>
      <c r="F429" s="11">
        <v>273782</v>
      </c>
      <c r="G429" s="2" t="s">
        <v>1494</v>
      </c>
      <c r="H429" s="2" t="s">
        <v>1495</v>
      </c>
      <c r="I429" s="2" t="s">
        <v>1496</v>
      </c>
      <c r="J429" s="2" t="str">
        <f>CONCATENATE(G429,F429,H429,C429,I429)</f>
        <v>https://permalinkbnd.bnportugal.gov.pt/viewer/273782/?offset=#page=549&amp;viewer=picture&amp;o=info&amp;n=0&amp;q=</v>
      </c>
      <c r="K429" s="1" t="s">
        <v>586</v>
      </c>
      <c r="L429" s="1" t="str">
        <f>VLOOKUP(A429,Folha2!$A$2:$B$2019,2,FALSE)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29" s="12" t="str">
        <f>HYPERLINK(J429)</f>
        <v>https://permalinkbnd.bnportugal.gov.pt/viewer/273782/?offset=#page=549&amp;viewer=picture&amp;o=info&amp;n=0&amp;q=</v>
      </c>
      <c r="N429" s="12" t="s">
        <v>1497</v>
      </c>
      <c r="O429" s="12" t="str">
        <f>CONCATENATE(N429,A429,"\",B429,"\",C429,".jpg")</f>
        <v>C:\Users\mbaptista\OneDrive - Biblioteca Nacional de Portugal\Documentos\python\camoniana\imagens\capas\397821\1\549.jpg</v>
      </c>
      <c r="P429" s="12" t="str">
        <f>HYPERLINK(O429)</f>
        <v>C:\Users\mbaptista\OneDrive - Biblioteca Nacional de Portugal\Documentos\python\camoniana\imagens\capas\397821\1\549.jpg</v>
      </c>
      <c r="Q429" s="12"/>
      <c r="R429" s="6" t="s">
        <v>606</v>
      </c>
      <c r="S429" s="12"/>
      <c r="T429" s="1" t="s">
        <v>587</v>
      </c>
      <c r="U429" s="13"/>
      <c r="V429" s="13"/>
      <c r="W429" s="5" t="s">
        <v>1491</v>
      </c>
    </row>
    <row r="430" spans="1:23" ht="225">
      <c r="A430" s="1">
        <v>397821</v>
      </c>
      <c r="B430" s="1">
        <v>1</v>
      </c>
      <c r="C430" s="1">
        <v>627</v>
      </c>
      <c r="D430" s="2" t="s">
        <v>585</v>
      </c>
      <c r="E430" s="5" t="s">
        <v>585</v>
      </c>
      <c r="F430" s="5">
        <v>273782</v>
      </c>
      <c r="G430" s="2" t="s">
        <v>1494</v>
      </c>
      <c r="H430" s="2" t="s">
        <v>1495</v>
      </c>
      <c r="I430" s="2" t="s">
        <v>1496</v>
      </c>
      <c r="J430" s="2" t="str">
        <f>CONCATENATE(G430,F430,H430,C430,I430)</f>
        <v>https://permalinkbnd.bnportugal.gov.pt/viewer/273782/?offset=#page=627&amp;viewer=picture&amp;o=info&amp;n=0&amp;q=</v>
      </c>
      <c r="K430" s="1" t="s">
        <v>586</v>
      </c>
      <c r="L430" s="1" t="str">
        <f>VLOOKUP(A430,Folha2!$A$2:$B$2019,2,FALSE)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0" s="12" t="str">
        <f>HYPERLINK(J430)</f>
        <v>https://permalinkbnd.bnportugal.gov.pt/viewer/273782/?offset=#page=627&amp;viewer=picture&amp;o=info&amp;n=0&amp;q=</v>
      </c>
      <c r="N430" s="12" t="s">
        <v>1497</v>
      </c>
      <c r="O430" s="12" t="str">
        <f>CONCATENATE(N430,A430,"\",B430,"\",C430,".jpg")</f>
        <v>C:\Users\mbaptista\OneDrive - Biblioteca Nacional de Portugal\Documentos\python\camoniana\imagens\capas\397821\1\627.jpg</v>
      </c>
      <c r="P430" s="12" t="str">
        <f>HYPERLINK(O430)</f>
        <v>C:\Users\mbaptista\OneDrive - Biblioteca Nacional de Portugal\Documentos\python\camoniana\imagens\capas\397821\1\627.jpg</v>
      </c>
      <c r="Q430" s="12"/>
      <c r="R430" s="6"/>
      <c r="S430" s="12"/>
      <c r="T430" s="1"/>
      <c r="U430" s="13"/>
      <c r="V430" s="13"/>
      <c r="W430" s="5"/>
    </row>
    <row r="431" spans="1:23" ht="225">
      <c r="A431" s="1">
        <v>397821</v>
      </c>
      <c r="B431" s="1">
        <v>1</v>
      </c>
      <c r="C431" s="1">
        <v>629</v>
      </c>
      <c r="D431" s="2" t="s">
        <v>585</v>
      </c>
      <c r="E431" s="11" t="s">
        <v>585</v>
      </c>
      <c r="F431" s="11">
        <v>273782</v>
      </c>
      <c r="G431" s="2" t="s">
        <v>1494</v>
      </c>
      <c r="H431" s="2" t="s">
        <v>1495</v>
      </c>
      <c r="I431" s="2" t="s">
        <v>1496</v>
      </c>
      <c r="J431" s="2" t="str">
        <f>CONCATENATE(G431,F431,H431,C431,I431)</f>
        <v>https://permalinkbnd.bnportugal.gov.pt/viewer/273782/?offset=#page=629&amp;viewer=picture&amp;o=info&amp;n=0&amp;q=</v>
      </c>
      <c r="K431" s="1" t="s">
        <v>586</v>
      </c>
      <c r="L431" s="1" t="str">
        <f>VLOOKUP(A431,Folha2!$A$2:$B$2019,2,FALSE)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1" s="12" t="str">
        <f>HYPERLINK(J431)</f>
        <v>https://permalinkbnd.bnportugal.gov.pt/viewer/273782/?offset=#page=629&amp;viewer=picture&amp;o=info&amp;n=0&amp;q=</v>
      </c>
      <c r="N431" s="12" t="s">
        <v>1497</v>
      </c>
      <c r="O431" s="12" t="str">
        <f>CONCATENATE(N431,A431,"\",B431,"\",C431,".jpg")</f>
        <v>C:\Users\mbaptista\OneDrive - Biblioteca Nacional de Portugal\Documentos\python\camoniana\imagens\capas\397821\1\629.jpg</v>
      </c>
      <c r="P431" s="12" t="str">
        <f>HYPERLINK(O431)</f>
        <v>C:\Users\mbaptista\OneDrive - Biblioteca Nacional de Portugal\Documentos\python\camoniana\imagens\capas\397821\1\629.jpg</v>
      </c>
      <c r="Q431" s="12"/>
      <c r="R431" s="6"/>
      <c r="S431" s="12"/>
      <c r="T431" s="1"/>
      <c r="U431" s="13"/>
      <c r="V431" s="13"/>
      <c r="W431" s="5"/>
    </row>
    <row r="432" spans="1:23" ht="225">
      <c r="A432" s="1">
        <v>397821</v>
      </c>
      <c r="B432" s="1">
        <v>1</v>
      </c>
      <c r="C432" s="1">
        <v>646</v>
      </c>
      <c r="D432" s="2" t="s">
        <v>585</v>
      </c>
      <c r="E432" s="5" t="s">
        <v>585</v>
      </c>
      <c r="F432" s="5">
        <v>273782</v>
      </c>
      <c r="G432" s="2" t="s">
        <v>1494</v>
      </c>
      <c r="H432" s="2" t="s">
        <v>1495</v>
      </c>
      <c r="I432" s="2" t="s">
        <v>1496</v>
      </c>
      <c r="J432" s="2" t="str">
        <f>CONCATENATE(G432,F432,H432,C432,I432)</f>
        <v>https://permalinkbnd.bnportugal.gov.pt/viewer/273782/?offset=#page=646&amp;viewer=picture&amp;o=info&amp;n=0&amp;q=</v>
      </c>
      <c r="K432" s="1" t="s">
        <v>586</v>
      </c>
      <c r="L432" s="1" t="str">
        <f>VLOOKUP(A432,Folha2!$A$2:$B$2019,2,FALSE)</f>
        <v>Luís de Camões. Os Lusíadas. Grande edição autográfica do Programa Oficial do Centenário. Ilustrada com desenhos alegóricos. Pref. António Mendes Belo, Manuel Pinheiro Chagas. Fernandes Costa (Dir.). Lisboa. 1898. Paratextos argumentos; Figuras Femininas/Mulheres (cf. lista excel, algumas são escritoras e artistas, mas não sei se têm produção escrita sobre o Poeta); Iconografia, figuras históricas [Vasco da Gama].</v>
      </c>
      <c r="M432" s="12" t="str">
        <f>HYPERLINK(J432)</f>
        <v>https://permalinkbnd.bnportugal.gov.pt/viewer/273782/?offset=#page=646&amp;viewer=picture&amp;o=info&amp;n=0&amp;q=</v>
      </c>
      <c r="N432" s="12" t="s">
        <v>1497</v>
      </c>
      <c r="O432" s="12" t="str">
        <f>CONCATENATE(N432,A432,"\",B432,"\",C432,".jpg")</f>
        <v>C:\Users\mbaptista\OneDrive - Biblioteca Nacional de Portugal\Documentos\python\camoniana\imagens\capas\397821\1\646.jpg</v>
      </c>
      <c r="P432" s="12" t="str">
        <f>HYPERLINK(O432)</f>
        <v>C:\Users\mbaptista\OneDrive - Biblioteca Nacional de Portugal\Documentos\python\camoniana\imagens\capas\397821\1\646.jpg</v>
      </c>
      <c r="Q432" s="12"/>
      <c r="R432" s="6"/>
      <c r="S432" s="12"/>
      <c r="T432" s="1"/>
      <c r="U432" s="13"/>
      <c r="V432" s="13"/>
      <c r="W432" s="5"/>
    </row>
    <row r="433" spans="1:23" ht="225">
      <c r="A433" s="1">
        <v>2284</v>
      </c>
      <c r="B433" s="1">
        <v>1</v>
      </c>
      <c r="C433" s="1">
        <v>65</v>
      </c>
      <c r="D433" s="2" t="s">
        <v>607</v>
      </c>
      <c r="E433" s="11" t="s">
        <v>607</v>
      </c>
      <c r="F433" s="11">
        <v>272627</v>
      </c>
      <c r="G433" s="2" t="s">
        <v>1494</v>
      </c>
      <c r="H433" s="2" t="s">
        <v>1495</v>
      </c>
      <c r="I433" s="2" t="s">
        <v>1496</v>
      </c>
      <c r="J433" s="2" t="str">
        <f>CONCATENATE(G433,F433,H433,C433,I433)</f>
        <v>https://permalinkbnd.bnportugal.gov.pt/viewer/272627/?offset=#page=65&amp;viewer=picture&amp;o=info&amp;n=0&amp;q=</v>
      </c>
      <c r="K433" s="1" t="s">
        <v>608</v>
      </c>
      <c r="L433" s="1" t="str">
        <f>VLOOKUP(A433,Folha2!$A$2:$B$2019,2,FALSE)</f>
        <v>Sem argumentos. Bibliografia crítica considerada separadamente [via PDF Miguel]</v>
      </c>
      <c r="M433" s="12" t="str">
        <f>HYPERLINK(J433)</f>
        <v>https://permalinkbnd.bnportugal.gov.pt/viewer/272627/?offset=#page=65&amp;viewer=picture&amp;o=info&amp;n=0&amp;q=</v>
      </c>
      <c r="N433" s="12" t="s">
        <v>1497</v>
      </c>
      <c r="O433" s="12" t="str">
        <f>CONCATENATE(N433,A433,"\",B433,"\",C433,".jpg")</f>
        <v>C:\Users\mbaptista\OneDrive - Biblioteca Nacional de Portugal\Documentos\python\camoniana\imagens\capas\2284\1\65.jpg</v>
      </c>
      <c r="P433" s="12" t="str">
        <f>HYPERLINK(O433)</f>
        <v>C:\Users\mbaptista\OneDrive - Biblioteca Nacional de Portugal\Documentos\python\camoniana\imagens\capas\2284\1\65.jpg</v>
      </c>
      <c r="Q433" s="12"/>
      <c r="R433" s="6"/>
      <c r="S433" s="12"/>
      <c r="T433" s="1"/>
      <c r="U433" s="13"/>
      <c r="V433" s="13"/>
      <c r="W433" s="5"/>
    </row>
    <row r="434" spans="1:23" ht="225">
      <c r="A434" s="1">
        <v>2284</v>
      </c>
      <c r="B434" s="1">
        <v>1</v>
      </c>
      <c r="C434" s="1">
        <v>67</v>
      </c>
      <c r="D434" s="2" t="s">
        <v>607</v>
      </c>
      <c r="E434" s="5" t="s">
        <v>607</v>
      </c>
      <c r="F434" s="5">
        <v>272627</v>
      </c>
      <c r="G434" s="2" t="s">
        <v>1494</v>
      </c>
      <c r="H434" s="2" t="s">
        <v>1495</v>
      </c>
      <c r="I434" s="2" t="s">
        <v>1496</v>
      </c>
      <c r="J434" s="2" t="str">
        <f>CONCATENATE(G434,F434,H434,C434,I434)</f>
        <v>https://permalinkbnd.bnportugal.gov.pt/viewer/272627/?offset=#page=67&amp;viewer=picture&amp;o=info&amp;n=0&amp;q=</v>
      </c>
      <c r="K434" s="1" t="s">
        <v>608</v>
      </c>
      <c r="L434" s="1" t="str">
        <f>VLOOKUP(A434,Folha2!$A$2:$B$2019,2,FALSE)</f>
        <v>Sem argumentos. Bibliografia crítica considerada separadamente [via PDF Miguel]</v>
      </c>
      <c r="M434" s="12" t="str">
        <f>HYPERLINK(J434)</f>
        <v>https://permalinkbnd.bnportugal.gov.pt/viewer/272627/?offset=#page=67&amp;viewer=picture&amp;o=info&amp;n=0&amp;q=</v>
      </c>
      <c r="N434" s="12" t="s">
        <v>1497</v>
      </c>
      <c r="O434" s="12" t="str">
        <f>CONCATENATE(N434,A434,"\",B434,"\",C434,".jpg")</f>
        <v>C:\Users\mbaptista\OneDrive - Biblioteca Nacional de Portugal\Documentos\python\camoniana\imagens\capas\2284\1\67.jpg</v>
      </c>
      <c r="P434" s="12" t="str">
        <f>HYPERLINK(O434)</f>
        <v>C:\Users\mbaptista\OneDrive - Biblioteca Nacional de Portugal\Documentos\python\camoniana\imagens\capas\2284\1\67.jpg</v>
      </c>
      <c r="Q434" s="12"/>
      <c r="R434" s="6" t="s">
        <v>610</v>
      </c>
      <c r="S434" s="12"/>
      <c r="T434" s="1" t="s">
        <v>609</v>
      </c>
      <c r="U434" s="13"/>
      <c r="V434" s="13"/>
      <c r="W434" s="5" t="s">
        <v>1491</v>
      </c>
    </row>
    <row r="435" spans="1:23" ht="225">
      <c r="A435" s="1">
        <v>2284</v>
      </c>
      <c r="B435" s="1">
        <v>1</v>
      </c>
      <c r="C435" s="1">
        <v>70</v>
      </c>
      <c r="D435" s="2" t="s">
        <v>607</v>
      </c>
      <c r="E435" s="11" t="s">
        <v>607</v>
      </c>
      <c r="F435" s="11">
        <v>272627</v>
      </c>
      <c r="G435" s="2" t="s">
        <v>1494</v>
      </c>
      <c r="H435" s="2" t="s">
        <v>1495</v>
      </c>
      <c r="I435" s="2" t="s">
        <v>1496</v>
      </c>
      <c r="J435" s="2" t="str">
        <f>CONCATENATE(G435,F435,H435,C435,I435)</f>
        <v>https://permalinkbnd.bnportugal.gov.pt/viewer/272627/?offset=#page=70&amp;viewer=picture&amp;o=info&amp;n=0&amp;q=</v>
      </c>
      <c r="K435" s="1" t="s">
        <v>608</v>
      </c>
      <c r="L435" s="1" t="str">
        <f>VLOOKUP(A435,Folha2!$A$2:$B$2019,2,FALSE)</f>
        <v>Sem argumentos. Bibliografia crítica considerada separadamente [via PDF Miguel]</v>
      </c>
      <c r="M435" s="12" t="str">
        <f>HYPERLINK(J435)</f>
        <v>https://permalinkbnd.bnportugal.gov.pt/viewer/272627/?offset=#page=70&amp;viewer=picture&amp;o=info&amp;n=0&amp;q=</v>
      </c>
      <c r="N435" s="12" t="s">
        <v>1497</v>
      </c>
      <c r="O435" s="12" t="str">
        <f>CONCATENATE(N435,A435,"\",B435,"\",C435,".jpg")</f>
        <v>C:\Users\mbaptista\OneDrive - Biblioteca Nacional de Portugal\Documentos\python\camoniana\imagens\capas\2284\1\70.jpg</v>
      </c>
      <c r="P435" s="12" t="str">
        <f>HYPERLINK(O435)</f>
        <v>C:\Users\mbaptista\OneDrive - Biblioteca Nacional de Portugal\Documentos\python\camoniana\imagens\capas\2284\1\70.jpg</v>
      </c>
      <c r="Q435" s="12"/>
      <c r="R435" s="6"/>
      <c r="S435" s="12"/>
      <c r="T435" s="1"/>
      <c r="U435" s="13"/>
      <c r="V435" s="13"/>
      <c r="W435" s="5"/>
    </row>
    <row r="436" spans="1:23" ht="225">
      <c r="A436" s="1">
        <v>2284</v>
      </c>
      <c r="B436" s="1">
        <v>1</v>
      </c>
      <c r="C436" s="1">
        <v>71</v>
      </c>
      <c r="D436" s="2" t="s">
        <v>607</v>
      </c>
      <c r="E436" s="5" t="s">
        <v>607</v>
      </c>
      <c r="F436" s="5">
        <v>272627</v>
      </c>
      <c r="G436" s="2" t="s">
        <v>1494</v>
      </c>
      <c r="H436" s="2" t="s">
        <v>1495</v>
      </c>
      <c r="I436" s="2" t="s">
        <v>1496</v>
      </c>
      <c r="J436" s="2" t="str">
        <f>CONCATENATE(G436,F436,H436,C436,I436)</f>
        <v>https://permalinkbnd.bnportugal.gov.pt/viewer/272627/?offset=#page=71&amp;viewer=picture&amp;o=info&amp;n=0&amp;q=</v>
      </c>
      <c r="K436" s="1" t="s">
        <v>608</v>
      </c>
      <c r="L436" s="1" t="str">
        <f>VLOOKUP(A436,Folha2!$A$2:$B$2019,2,FALSE)</f>
        <v>Sem argumentos. Bibliografia crítica considerada separadamente [via PDF Miguel]</v>
      </c>
      <c r="M436" s="12" t="str">
        <f>HYPERLINK(J436)</f>
        <v>https://permalinkbnd.bnportugal.gov.pt/viewer/272627/?offset=#page=71&amp;viewer=picture&amp;o=info&amp;n=0&amp;q=</v>
      </c>
      <c r="N436" s="12" t="s">
        <v>1497</v>
      </c>
      <c r="O436" s="12" t="str">
        <f>CONCATENATE(N436,A436,"\",B436,"\",C436,".jpg")</f>
        <v>C:\Users\mbaptista\OneDrive - Biblioteca Nacional de Portugal\Documentos\python\camoniana\imagens\capas\2284\1\71.jpg</v>
      </c>
      <c r="P436" s="12" t="str">
        <f>HYPERLINK(O436)</f>
        <v>C:\Users\mbaptista\OneDrive - Biblioteca Nacional de Portugal\Documentos\python\camoniana\imagens\capas\2284\1\71.jpg</v>
      </c>
      <c r="Q436" s="12"/>
      <c r="R436" s="6" t="s">
        <v>611</v>
      </c>
      <c r="S436" s="12"/>
      <c r="T436" s="1" t="s">
        <v>609</v>
      </c>
      <c r="U436" s="13"/>
      <c r="V436" s="13"/>
      <c r="W436" s="5" t="s">
        <v>1491</v>
      </c>
    </row>
    <row r="437" spans="1:23" ht="225">
      <c r="A437" s="1">
        <v>2284</v>
      </c>
      <c r="B437" s="1">
        <v>1</v>
      </c>
      <c r="C437" s="1">
        <v>73</v>
      </c>
      <c r="D437" s="2" t="s">
        <v>607</v>
      </c>
      <c r="E437" s="11" t="s">
        <v>607</v>
      </c>
      <c r="F437" s="11">
        <v>272627</v>
      </c>
      <c r="G437" s="2" t="s">
        <v>1494</v>
      </c>
      <c r="H437" s="2" t="s">
        <v>1495</v>
      </c>
      <c r="I437" s="2" t="s">
        <v>1496</v>
      </c>
      <c r="J437" s="2" t="str">
        <f>CONCATENATE(G437,F437,H437,C437,I437)</f>
        <v>https://permalinkbnd.bnportugal.gov.pt/viewer/272627/?offset=#page=73&amp;viewer=picture&amp;o=info&amp;n=0&amp;q=</v>
      </c>
      <c r="K437" s="1" t="s">
        <v>608</v>
      </c>
      <c r="L437" s="1" t="str">
        <f>VLOOKUP(A437,Folha2!$A$2:$B$2019,2,FALSE)</f>
        <v>Sem argumentos. Bibliografia crítica considerada separadamente [via PDF Miguel]</v>
      </c>
      <c r="M437" s="12" t="str">
        <f>HYPERLINK(J437)</f>
        <v>https://permalinkbnd.bnportugal.gov.pt/viewer/272627/?offset=#page=73&amp;viewer=picture&amp;o=info&amp;n=0&amp;q=</v>
      </c>
      <c r="N437" s="12" t="s">
        <v>1497</v>
      </c>
      <c r="O437" s="12" t="str">
        <f>CONCATENATE(N437,A437,"\",B437,"\",C437,".jpg")</f>
        <v>C:\Users\mbaptista\OneDrive - Biblioteca Nacional de Portugal\Documentos\python\camoniana\imagens\capas\2284\1\73.jpg</v>
      </c>
      <c r="P437" s="12" t="str">
        <f>HYPERLINK(O437)</f>
        <v>C:\Users\mbaptista\OneDrive - Biblioteca Nacional de Portugal\Documentos\python\camoniana\imagens\capas\2284\1\73.jpg</v>
      </c>
      <c r="Q437" s="12"/>
      <c r="R437" s="6"/>
      <c r="S437" s="12"/>
      <c r="T437" s="1"/>
      <c r="U437" s="13"/>
      <c r="V437" s="13"/>
      <c r="W437" s="5"/>
    </row>
    <row r="438" spans="1:23" ht="225">
      <c r="A438" s="1">
        <v>2284</v>
      </c>
      <c r="B438" s="1">
        <v>1</v>
      </c>
      <c r="C438" s="1">
        <v>74</v>
      </c>
      <c r="D438" s="2" t="s">
        <v>607</v>
      </c>
      <c r="E438" s="5" t="s">
        <v>607</v>
      </c>
      <c r="F438" s="5">
        <v>272627</v>
      </c>
      <c r="G438" s="2" t="s">
        <v>1494</v>
      </c>
      <c r="H438" s="2" t="s">
        <v>1495</v>
      </c>
      <c r="I438" s="2" t="s">
        <v>1496</v>
      </c>
      <c r="J438" s="2" t="str">
        <f>CONCATENATE(G438,F438,H438,C438,I438)</f>
        <v>https://permalinkbnd.bnportugal.gov.pt/viewer/272627/?offset=#page=74&amp;viewer=picture&amp;o=info&amp;n=0&amp;q=</v>
      </c>
      <c r="K438" s="1" t="s">
        <v>608</v>
      </c>
      <c r="L438" s="1" t="str">
        <f>VLOOKUP(A438,Folha2!$A$2:$B$2019,2,FALSE)</f>
        <v>Sem argumentos. Bibliografia crítica considerada separadamente [via PDF Miguel]</v>
      </c>
      <c r="M438" s="12" t="str">
        <f>HYPERLINK(J438)</f>
        <v>https://permalinkbnd.bnportugal.gov.pt/viewer/272627/?offset=#page=74&amp;viewer=picture&amp;o=info&amp;n=0&amp;q=</v>
      </c>
      <c r="N438" s="12" t="s">
        <v>1497</v>
      </c>
      <c r="O438" s="12" t="str">
        <f>CONCATENATE(N438,A438,"\",B438,"\",C438,".jpg")</f>
        <v>C:\Users\mbaptista\OneDrive - Biblioteca Nacional de Portugal\Documentos\python\camoniana\imagens\capas\2284\1\74.jpg</v>
      </c>
      <c r="P438" s="12" t="str">
        <f>HYPERLINK(O438)</f>
        <v>C:\Users\mbaptista\OneDrive - Biblioteca Nacional de Portugal\Documentos\python\camoniana\imagens\capas\2284\1\74.jpg</v>
      </c>
      <c r="Q438" s="12"/>
      <c r="R438" s="6"/>
      <c r="S438" s="12"/>
      <c r="T438" s="1"/>
      <c r="U438" s="13"/>
      <c r="V438" s="13"/>
      <c r="W438" s="5"/>
    </row>
    <row r="439" spans="1:23" ht="225">
      <c r="A439" s="1">
        <v>2284</v>
      </c>
      <c r="B439" s="1">
        <v>1</v>
      </c>
      <c r="C439" s="1">
        <v>100</v>
      </c>
      <c r="D439" s="2" t="s">
        <v>607</v>
      </c>
      <c r="E439" s="11" t="s">
        <v>607</v>
      </c>
      <c r="F439" s="11">
        <v>272627</v>
      </c>
      <c r="G439" s="2" t="s">
        <v>1494</v>
      </c>
      <c r="H439" s="2" t="s">
        <v>1495</v>
      </c>
      <c r="I439" s="2" t="s">
        <v>1496</v>
      </c>
      <c r="J439" s="2" t="str">
        <f>CONCATENATE(G439,F439,H439,C439,I439)</f>
        <v>https://permalinkbnd.bnportugal.gov.pt/viewer/272627/?offset=#page=100&amp;viewer=picture&amp;o=info&amp;n=0&amp;q=</v>
      </c>
      <c r="K439" s="1" t="s">
        <v>608</v>
      </c>
      <c r="L439" s="1" t="str">
        <f>VLOOKUP(A439,Folha2!$A$2:$B$2019,2,FALSE)</f>
        <v>Sem argumentos. Bibliografia crítica considerada separadamente [via PDF Miguel]</v>
      </c>
      <c r="M439" s="12" t="str">
        <f>HYPERLINK(J439)</f>
        <v>https://permalinkbnd.bnportugal.gov.pt/viewer/272627/?offset=#page=100&amp;viewer=picture&amp;o=info&amp;n=0&amp;q=</v>
      </c>
      <c r="N439" s="12" t="s">
        <v>1497</v>
      </c>
      <c r="O439" s="12" t="str">
        <f>CONCATENATE(N439,A439,"\",B439,"\",C439,".jpg")</f>
        <v>C:\Users\mbaptista\OneDrive - Biblioteca Nacional de Portugal\Documentos\python\camoniana\imagens\capas\2284\1\100.jpg</v>
      </c>
      <c r="P439" s="12" t="str">
        <f>HYPERLINK(O439)</f>
        <v>C:\Users\mbaptista\OneDrive - Biblioteca Nacional de Portugal\Documentos\python\camoniana\imagens\capas\2284\1\100.jpg</v>
      </c>
      <c r="Q439" s="12"/>
      <c r="R439" s="6"/>
      <c r="S439" s="12"/>
      <c r="T439" s="1"/>
      <c r="U439" s="13"/>
      <c r="V439" s="13"/>
      <c r="W439" s="5"/>
    </row>
    <row r="440" spans="1:23" ht="225">
      <c r="A440" s="1">
        <v>2284</v>
      </c>
      <c r="B440" s="1">
        <v>1</v>
      </c>
      <c r="C440" s="1">
        <v>101</v>
      </c>
      <c r="D440" s="2" t="s">
        <v>607</v>
      </c>
      <c r="E440" s="5" t="s">
        <v>607</v>
      </c>
      <c r="F440" s="5">
        <v>272627</v>
      </c>
      <c r="G440" s="2" t="s">
        <v>1494</v>
      </c>
      <c r="H440" s="2" t="s">
        <v>1495</v>
      </c>
      <c r="I440" s="2" t="s">
        <v>1496</v>
      </c>
      <c r="J440" s="2" t="str">
        <f>CONCATENATE(G440,F440,H440,C440,I440)</f>
        <v>https://permalinkbnd.bnportugal.gov.pt/viewer/272627/?offset=#page=101&amp;viewer=picture&amp;o=info&amp;n=0&amp;q=</v>
      </c>
      <c r="K440" s="1" t="s">
        <v>608</v>
      </c>
      <c r="L440" s="1" t="str">
        <f>VLOOKUP(A440,Folha2!$A$2:$B$2019,2,FALSE)</f>
        <v>Sem argumentos. Bibliografia crítica considerada separadamente [via PDF Miguel]</v>
      </c>
      <c r="M440" s="12" t="str">
        <f>HYPERLINK(J440)</f>
        <v>https://permalinkbnd.bnportugal.gov.pt/viewer/272627/?offset=#page=101&amp;viewer=picture&amp;o=info&amp;n=0&amp;q=</v>
      </c>
      <c r="N440" s="12" t="s">
        <v>1497</v>
      </c>
      <c r="O440" s="12" t="str">
        <f>CONCATENATE(N440,A440,"\",B440,"\",C440,".jpg")</f>
        <v>C:\Users\mbaptista\OneDrive - Biblioteca Nacional de Portugal\Documentos\python\camoniana\imagens\capas\2284\1\101.jpg</v>
      </c>
      <c r="P440" s="12" t="str">
        <f>HYPERLINK(O440)</f>
        <v>C:\Users\mbaptista\OneDrive - Biblioteca Nacional de Portugal\Documentos\python\camoniana\imagens\capas\2284\1\101.jpg</v>
      </c>
      <c r="Q440" s="12"/>
      <c r="R440" s="6" t="s">
        <v>612</v>
      </c>
      <c r="S440" s="12"/>
      <c r="T440" s="1" t="s">
        <v>609</v>
      </c>
      <c r="U440" s="13"/>
      <c r="V440" s="13"/>
      <c r="W440" s="5" t="s">
        <v>1491</v>
      </c>
    </row>
    <row r="441" spans="1:23" ht="225">
      <c r="A441" s="1">
        <v>2284</v>
      </c>
      <c r="B441" s="1">
        <v>1</v>
      </c>
      <c r="C441" s="1">
        <v>133</v>
      </c>
      <c r="D441" s="2" t="s">
        <v>607</v>
      </c>
      <c r="E441" s="11" t="s">
        <v>607</v>
      </c>
      <c r="F441" s="11">
        <v>272627</v>
      </c>
      <c r="G441" s="2" t="s">
        <v>1494</v>
      </c>
      <c r="H441" s="2" t="s">
        <v>1495</v>
      </c>
      <c r="I441" s="2" t="s">
        <v>1496</v>
      </c>
      <c r="J441" s="2" t="str">
        <f>CONCATENATE(G441,F441,H441,C441,I441)</f>
        <v>https://permalinkbnd.bnportugal.gov.pt/viewer/272627/?offset=#page=133&amp;viewer=picture&amp;o=info&amp;n=0&amp;q=</v>
      </c>
      <c r="K441" s="1" t="s">
        <v>608</v>
      </c>
      <c r="L441" s="1" t="str">
        <f>VLOOKUP(A441,Folha2!$A$2:$B$2019,2,FALSE)</f>
        <v>Sem argumentos. Bibliografia crítica considerada separadamente [via PDF Miguel]</v>
      </c>
      <c r="M441" s="12" t="str">
        <f>HYPERLINK(J441)</f>
        <v>https://permalinkbnd.bnportugal.gov.pt/viewer/272627/?offset=#page=133&amp;viewer=picture&amp;o=info&amp;n=0&amp;q=</v>
      </c>
      <c r="N441" s="12" t="s">
        <v>1497</v>
      </c>
      <c r="O441" s="12" t="str">
        <f>CONCATENATE(N441,A441,"\",B441,"\",C441,".jpg")</f>
        <v>C:\Users\mbaptista\OneDrive - Biblioteca Nacional de Portugal\Documentos\python\camoniana\imagens\capas\2284\1\133.jpg</v>
      </c>
      <c r="P441" s="12" t="str">
        <f>HYPERLINK(O441)</f>
        <v>C:\Users\mbaptista\OneDrive - Biblioteca Nacional de Portugal\Documentos\python\camoniana\imagens\capas\2284\1\133.jpg</v>
      </c>
      <c r="Q441" s="12"/>
      <c r="R441" s="6" t="s">
        <v>613</v>
      </c>
      <c r="S441" s="12"/>
      <c r="T441" s="1" t="s">
        <v>609</v>
      </c>
      <c r="U441" s="13"/>
      <c r="V441" s="13"/>
      <c r="W441" s="5" t="s">
        <v>1491</v>
      </c>
    </row>
    <row r="442" spans="1:23" ht="225">
      <c r="A442" s="1">
        <v>2284</v>
      </c>
      <c r="B442" s="1">
        <v>1</v>
      </c>
      <c r="C442" s="1">
        <v>173</v>
      </c>
      <c r="D442" s="2" t="s">
        <v>607</v>
      </c>
      <c r="E442" s="5" t="s">
        <v>607</v>
      </c>
      <c r="F442" s="5">
        <v>272627</v>
      </c>
      <c r="G442" s="2" t="s">
        <v>1494</v>
      </c>
      <c r="H442" s="2" t="s">
        <v>1495</v>
      </c>
      <c r="I442" s="2" t="s">
        <v>1496</v>
      </c>
      <c r="J442" s="2" t="str">
        <f>CONCATENATE(G442,F442,H442,C442,I442)</f>
        <v>https://permalinkbnd.bnportugal.gov.pt/viewer/272627/?offset=#page=173&amp;viewer=picture&amp;o=info&amp;n=0&amp;q=</v>
      </c>
      <c r="K442" s="1" t="s">
        <v>608</v>
      </c>
      <c r="L442" s="1" t="str">
        <f>VLOOKUP(A442,Folha2!$A$2:$B$2019,2,FALSE)</f>
        <v>Sem argumentos. Bibliografia crítica considerada separadamente [via PDF Miguel]</v>
      </c>
      <c r="M442" s="12" t="str">
        <f>HYPERLINK(J442)</f>
        <v>https://permalinkbnd.bnportugal.gov.pt/viewer/272627/?offset=#page=173&amp;viewer=picture&amp;o=info&amp;n=0&amp;q=</v>
      </c>
      <c r="N442" s="12" t="s">
        <v>1497</v>
      </c>
      <c r="O442" s="12" t="str">
        <f>CONCATENATE(N442,A442,"\",B442,"\",C442,".jpg")</f>
        <v>C:\Users\mbaptista\OneDrive - Biblioteca Nacional de Portugal\Documentos\python\camoniana\imagens\capas\2284\1\173.jpg</v>
      </c>
      <c r="P442" s="12" t="str">
        <f>HYPERLINK(O442)</f>
        <v>C:\Users\mbaptista\OneDrive - Biblioteca Nacional de Portugal\Documentos\python\camoniana\imagens\capas\2284\1\173.jpg</v>
      </c>
      <c r="Q442" s="12"/>
      <c r="R442" s="6" t="s">
        <v>614</v>
      </c>
      <c r="S442" s="12"/>
      <c r="T442" s="1" t="s">
        <v>609</v>
      </c>
      <c r="U442" s="13"/>
      <c r="V442" s="13"/>
      <c r="W442" s="5" t="s">
        <v>1491</v>
      </c>
    </row>
    <row r="443" spans="1:23" ht="225">
      <c r="A443" s="1">
        <v>2284</v>
      </c>
      <c r="B443" s="1">
        <v>1</v>
      </c>
      <c r="C443" s="1">
        <v>203</v>
      </c>
      <c r="D443" s="2" t="s">
        <v>607</v>
      </c>
      <c r="E443" s="11" t="s">
        <v>607</v>
      </c>
      <c r="F443" s="11">
        <v>272627</v>
      </c>
      <c r="G443" s="2" t="s">
        <v>1494</v>
      </c>
      <c r="H443" s="2" t="s">
        <v>1495</v>
      </c>
      <c r="I443" s="2" t="s">
        <v>1496</v>
      </c>
      <c r="J443" s="2" t="str">
        <f>CONCATENATE(G443,F443,H443,C443,I443)</f>
        <v>https://permalinkbnd.bnportugal.gov.pt/viewer/272627/?offset=#page=203&amp;viewer=picture&amp;o=info&amp;n=0&amp;q=</v>
      </c>
      <c r="K443" s="1" t="s">
        <v>608</v>
      </c>
      <c r="L443" s="1" t="str">
        <f>VLOOKUP(A443,Folha2!$A$2:$B$2019,2,FALSE)</f>
        <v>Sem argumentos. Bibliografia crítica considerada separadamente [via PDF Miguel]</v>
      </c>
      <c r="M443" s="12" t="str">
        <f>HYPERLINK(J443)</f>
        <v>https://permalinkbnd.bnportugal.gov.pt/viewer/272627/?offset=#page=203&amp;viewer=picture&amp;o=info&amp;n=0&amp;q=</v>
      </c>
      <c r="N443" s="12" t="s">
        <v>1497</v>
      </c>
      <c r="O443" s="12" t="str">
        <f>CONCATENATE(N443,A443,"\",B443,"\",C443,".jpg")</f>
        <v>C:\Users\mbaptista\OneDrive - Biblioteca Nacional de Portugal\Documentos\python\camoniana\imagens\capas\2284\1\203.jpg</v>
      </c>
      <c r="P443" s="12" t="str">
        <f>HYPERLINK(O443)</f>
        <v>C:\Users\mbaptista\OneDrive - Biblioteca Nacional de Portugal\Documentos\python\camoniana\imagens\capas\2284\1\203.jpg</v>
      </c>
      <c r="Q443" s="12"/>
      <c r="R443" s="6" t="s">
        <v>615</v>
      </c>
      <c r="S443" s="12"/>
      <c r="T443" s="1" t="s">
        <v>609</v>
      </c>
      <c r="U443" s="13"/>
      <c r="V443" s="13"/>
      <c r="W443" s="5" t="s">
        <v>1491</v>
      </c>
    </row>
    <row r="444" spans="1:23" ht="225">
      <c r="A444" s="1">
        <v>2284</v>
      </c>
      <c r="B444" s="1">
        <v>1</v>
      </c>
      <c r="C444" s="1">
        <v>231</v>
      </c>
      <c r="D444" s="2" t="s">
        <v>607</v>
      </c>
      <c r="E444" s="5" t="s">
        <v>607</v>
      </c>
      <c r="F444" s="5">
        <v>272627</v>
      </c>
      <c r="G444" s="2" t="s">
        <v>1494</v>
      </c>
      <c r="H444" s="2" t="s">
        <v>1495</v>
      </c>
      <c r="I444" s="2" t="s">
        <v>1496</v>
      </c>
      <c r="J444" s="2" t="str">
        <f>CONCATENATE(G444,F444,H444,C444,I444)</f>
        <v>https://permalinkbnd.bnportugal.gov.pt/viewer/272627/?offset=#page=231&amp;viewer=picture&amp;o=info&amp;n=0&amp;q=</v>
      </c>
      <c r="K444" s="1" t="s">
        <v>608</v>
      </c>
      <c r="L444" s="1" t="str">
        <f>VLOOKUP(A444,Folha2!$A$2:$B$2019,2,FALSE)</f>
        <v>Sem argumentos. Bibliografia crítica considerada separadamente [via PDF Miguel]</v>
      </c>
      <c r="M444" s="12" t="str">
        <f>HYPERLINK(J444)</f>
        <v>https://permalinkbnd.bnportugal.gov.pt/viewer/272627/?offset=#page=231&amp;viewer=picture&amp;o=info&amp;n=0&amp;q=</v>
      </c>
      <c r="N444" s="12" t="s">
        <v>1497</v>
      </c>
      <c r="O444" s="12" t="str">
        <f>CONCATENATE(N444,A444,"\",B444,"\",C444,".jpg")</f>
        <v>C:\Users\mbaptista\OneDrive - Biblioteca Nacional de Portugal\Documentos\python\camoniana\imagens\capas\2284\1\231.jpg</v>
      </c>
      <c r="P444" s="12" t="str">
        <f>HYPERLINK(O444)</f>
        <v>C:\Users\mbaptista\OneDrive - Biblioteca Nacional de Portugal\Documentos\python\camoniana\imagens\capas\2284\1\231.jpg</v>
      </c>
      <c r="Q444" s="12"/>
      <c r="R444" s="6" t="s">
        <v>616</v>
      </c>
      <c r="S444" s="12"/>
      <c r="T444" s="1" t="s">
        <v>609</v>
      </c>
      <c r="U444" s="13"/>
      <c r="V444" s="13"/>
      <c r="W444" s="5" t="s">
        <v>1491</v>
      </c>
    </row>
    <row r="445" spans="1:23" ht="225">
      <c r="A445" s="1">
        <v>2284</v>
      </c>
      <c r="B445" s="1">
        <v>1</v>
      </c>
      <c r="C445" s="1">
        <v>259</v>
      </c>
      <c r="D445" s="2" t="s">
        <v>607</v>
      </c>
      <c r="E445" s="11" t="s">
        <v>607</v>
      </c>
      <c r="F445" s="11">
        <v>272627</v>
      </c>
      <c r="G445" s="2" t="s">
        <v>1494</v>
      </c>
      <c r="H445" s="2" t="s">
        <v>1495</v>
      </c>
      <c r="I445" s="2" t="s">
        <v>1496</v>
      </c>
      <c r="J445" s="2" t="str">
        <f>CONCATENATE(G445,F445,H445,C445,I445)</f>
        <v>https://permalinkbnd.bnportugal.gov.pt/viewer/272627/?offset=#page=259&amp;viewer=picture&amp;o=info&amp;n=0&amp;q=</v>
      </c>
      <c r="K445" s="1" t="s">
        <v>608</v>
      </c>
      <c r="L445" s="1" t="str">
        <f>VLOOKUP(A445,Folha2!$A$2:$B$2019,2,FALSE)</f>
        <v>Sem argumentos. Bibliografia crítica considerada separadamente [via PDF Miguel]</v>
      </c>
      <c r="M445" s="12" t="str">
        <f>HYPERLINK(J445)</f>
        <v>https://permalinkbnd.bnportugal.gov.pt/viewer/272627/?offset=#page=259&amp;viewer=picture&amp;o=info&amp;n=0&amp;q=</v>
      </c>
      <c r="N445" s="12" t="s">
        <v>1497</v>
      </c>
      <c r="O445" s="12" t="str">
        <f>CONCATENATE(N445,A445,"\",B445,"\",C445,".jpg")</f>
        <v>C:\Users\mbaptista\OneDrive - Biblioteca Nacional de Portugal\Documentos\python\camoniana\imagens\capas\2284\1\259.jpg</v>
      </c>
      <c r="P445" s="12" t="str">
        <f>HYPERLINK(O445)</f>
        <v>C:\Users\mbaptista\OneDrive - Biblioteca Nacional de Portugal\Documentos\python\camoniana\imagens\capas\2284\1\259.jpg</v>
      </c>
      <c r="Q445" s="12"/>
      <c r="R445" s="6" t="s">
        <v>617</v>
      </c>
      <c r="S445" s="12"/>
      <c r="T445" s="1" t="s">
        <v>609</v>
      </c>
      <c r="U445" s="13"/>
      <c r="V445" s="13"/>
      <c r="W445" s="5" t="s">
        <v>1491</v>
      </c>
    </row>
    <row r="446" spans="1:23" ht="225">
      <c r="A446" s="1">
        <v>2284</v>
      </c>
      <c r="B446" s="1">
        <v>1</v>
      </c>
      <c r="C446" s="1">
        <v>285</v>
      </c>
      <c r="D446" s="2" t="s">
        <v>607</v>
      </c>
      <c r="E446" s="5" t="s">
        <v>607</v>
      </c>
      <c r="F446" s="5">
        <v>272627</v>
      </c>
      <c r="G446" s="2" t="s">
        <v>1494</v>
      </c>
      <c r="H446" s="2" t="s">
        <v>1495</v>
      </c>
      <c r="I446" s="2" t="s">
        <v>1496</v>
      </c>
      <c r="J446" s="2" t="str">
        <f>CONCATENATE(G446,F446,H446,C446,I446)</f>
        <v>https://permalinkbnd.bnportugal.gov.pt/viewer/272627/?offset=#page=285&amp;viewer=picture&amp;o=info&amp;n=0&amp;q=</v>
      </c>
      <c r="K446" s="1" t="s">
        <v>608</v>
      </c>
      <c r="L446" s="1" t="str">
        <f>VLOOKUP(A446,Folha2!$A$2:$B$2019,2,FALSE)</f>
        <v>Sem argumentos. Bibliografia crítica considerada separadamente [via PDF Miguel]</v>
      </c>
      <c r="M446" s="12" t="str">
        <f>HYPERLINK(J446)</f>
        <v>https://permalinkbnd.bnportugal.gov.pt/viewer/272627/?offset=#page=285&amp;viewer=picture&amp;o=info&amp;n=0&amp;q=</v>
      </c>
      <c r="N446" s="12" t="s">
        <v>1497</v>
      </c>
      <c r="O446" s="12" t="str">
        <f>CONCATENATE(N446,A446,"\",B446,"\",C446,".jpg")</f>
        <v>C:\Users\mbaptista\OneDrive - Biblioteca Nacional de Portugal\Documentos\python\camoniana\imagens\capas\2284\1\285.jpg</v>
      </c>
      <c r="P446" s="12" t="str">
        <f>HYPERLINK(O446)</f>
        <v>C:\Users\mbaptista\OneDrive - Biblioteca Nacional de Portugal\Documentos\python\camoniana\imagens\capas\2284\1\285.jpg</v>
      </c>
      <c r="Q446" s="12"/>
      <c r="R446" s="6" t="s">
        <v>618</v>
      </c>
      <c r="S446" s="12"/>
      <c r="T446" s="1" t="s">
        <v>609</v>
      </c>
      <c r="U446" s="13"/>
      <c r="V446" s="13"/>
      <c r="W446" s="5" t="s">
        <v>1491</v>
      </c>
    </row>
    <row r="447" spans="1:23" ht="225">
      <c r="A447" s="1">
        <v>2284</v>
      </c>
      <c r="B447" s="1">
        <v>1</v>
      </c>
      <c r="C447" s="1">
        <v>313</v>
      </c>
      <c r="D447" s="2" t="s">
        <v>607</v>
      </c>
      <c r="E447" s="11" t="s">
        <v>607</v>
      </c>
      <c r="F447" s="11">
        <v>272627</v>
      </c>
      <c r="G447" s="2" t="s">
        <v>1494</v>
      </c>
      <c r="H447" s="2" t="s">
        <v>1495</v>
      </c>
      <c r="I447" s="2" t="s">
        <v>1496</v>
      </c>
      <c r="J447" s="2" t="str">
        <f>CONCATENATE(G447,F447,H447,C447,I447)</f>
        <v>https://permalinkbnd.bnportugal.gov.pt/viewer/272627/?offset=#page=313&amp;viewer=picture&amp;o=info&amp;n=0&amp;q=</v>
      </c>
      <c r="K447" s="1" t="s">
        <v>608</v>
      </c>
      <c r="L447" s="1" t="str">
        <f>VLOOKUP(A447,Folha2!$A$2:$B$2019,2,FALSE)</f>
        <v>Sem argumentos. Bibliografia crítica considerada separadamente [via PDF Miguel]</v>
      </c>
      <c r="M447" s="12" t="str">
        <f>HYPERLINK(J447)</f>
        <v>https://permalinkbnd.bnportugal.gov.pt/viewer/272627/?offset=#page=313&amp;viewer=picture&amp;o=info&amp;n=0&amp;q=</v>
      </c>
      <c r="N447" s="12" t="s">
        <v>1497</v>
      </c>
      <c r="O447" s="12" t="str">
        <f>CONCATENATE(N447,A447,"\",B447,"\",C447,".jpg")</f>
        <v>C:\Users\mbaptista\OneDrive - Biblioteca Nacional de Portugal\Documentos\python\camoniana\imagens\capas\2284\1\313.jpg</v>
      </c>
      <c r="P447" s="12" t="str">
        <f>HYPERLINK(O447)</f>
        <v>C:\Users\mbaptista\OneDrive - Biblioteca Nacional de Portugal\Documentos\python\camoniana\imagens\capas\2284\1\313.jpg</v>
      </c>
      <c r="Q447" s="12"/>
      <c r="R447" s="6" t="s">
        <v>619</v>
      </c>
      <c r="S447" s="12"/>
      <c r="T447" s="1" t="s">
        <v>609</v>
      </c>
      <c r="U447" s="13"/>
      <c r="V447" s="13"/>
      <c r="W447" s="5" t="s">
        <v>1491</v>
      </c>
    </row>
    <row r="448" spans="1:23" ht="225">
      <c r="A448" s="1">
        <v>2284</v>
      </c>
      <c r="B448" s="1">
        <v>1</v>
      </c>
      <c r="C448" s="1">
        <v>333</v>
      </c>
      <c r="D448" s="2" t="s">
        <v>607</v>
      </c>
      <c r="E448" s="5" t="s">
        <v>607</v>
      </c>
      <c r="F448" s="5">
        <v>272627</v>
      </c>
      <c r="G448" s="2" t="s">
        <v>1494</v>
      </c>
      <c r="H448" s="2" t="s">
        <v>1495</v>
      </c>
      <c r="I448" s="2" t="s">
        <v>1496</v>
      </c>
      <c r="J448" s="2" t="str">
        <f>CONCATENATE(G448,F448,H448,C448,I448)</f>
        <v>https://permalinkbnd.bnportugal.gov.pt/viewer/272627/?offset=#page=333&amp;viewer=picture&amp;o=info&amp;n=0&amp;q=</v>
      </c>
      <c r="K448" s="1" t="s">
        <v>608</v>
      </c>
      <c r="L448" s="1" t="str">
        <f>VLOOKUP(A448,Folha2!$A$2:$B$2019,2,FALSE)</f>
        <v>Sem argumentos. Bibliografia crítica considerada separadamente [via PDF Miguel]</v>
      </c>
      <c r="M448" s="12" t="str">
        <f>HYPERLINK(J448)</f>
        <v>https://permalinkbnd.bnportugal.gov.pt/viewer/272627/?offset=#page=333&amp;viewer=picture&amp;o=info&amp;n=0&amp;q=</v>
      </c>
      <c r="N448" s="12" t="s">
        <v>1497</v>
      </c>
      <c r="O448" s="12" t="str">
        <f>CONCATENATE(N448,A448,"\",B448,"\",C448,".jpg")</f>
        <v>C:\Users\mbaptista\OneDrive - Biblioteca Nacional de Portugal\Documentos\python\camoniana\imagens\capas\2284\1\333.jpg</v>
      </c>
      <c r="P448" s="12" t="str">
        <f>HYPERLINK(O448)</f>
        <v>C:\Users\mbaptista\OneDrive - Biblioteca Nacional de Portugal\Documentos\python\camoniana\imagens\capas\2284\1\333.jpg</v>
      </c>
      <c r="Q448" s="12"/>
      <c r="R448" s="6"/>
      <c r="S448" s="12"/>
      <c r="T448" s="1"/>
      <c r="U448" s="13"/>
      <c r="V448" s="13"/>
      <c r="W448" s="5"/>
    </row>
    <row r="449" spans="1:23" ht="225">
      <c r="A449" s="1">
        <v>2284</v>
      </c>
      <c r="B449" s="1">
        <v>1</v>
      </c>
      <c r="C449" s="1">
        <v>341</v>
      </c>
      <c r="D449" s="2" t="s">
        <v>607</v>
      </c>
      <c r="E449" s="11" t="s">
        <v>607</v>
      </c>
      <c r="F449" s="11">
        <v>272627</v>
      </c>
      <c r="G449" s="2" t="s">
        <v>1494</v>
      </c>
      <c r="H449" s="2" t="s">
        <v>1495</v>
      </c>
      <c r="I449" s="2" t="s">
        <v>1496</v>
      </c>
      <c r="J449" s="2" t="str">
        <f>CONCATENATE(G449,F449,H449,C449,I449)</f>
        <v>https://permalinkbnd.bnportugal.gov.pt/viewer/272627/?offset=#page=341&amp;viewer=picture&amp;o=info&amp;n=0&amp;q=</v>
      </c>
      <c r="K449" s="1" t="s">
        <v>608</v>
      </c>
      <c r="L449" s="1" t="str">
        <f>VLOOKUP(A449,Folha2!$A$2:$B$2019,2,FALSE)</f>
        <v>Sem argumentos. Bibliografia crítica considerada separadamente [via PDF Miguel]</v>
      </c>
      <c r="M449" s="12" t="str">
        <f>HYPERLINK(J449)</f>
        <v>https://permalinkbnd.bnportugal.gov.pt/viewer/272627/?offset=#page=341&amp;viewer=picture&amp;o=info&amp;n=0&amp;q=</v>
      </c>
      <c r="N449" s="12" t="s">
        <v>1497</v>
      </c>
      <c r="O449" s="12" t="str">
        <f>CONCATENATE(N449,A449,"\",B449,"\",C449,".jpg")</f>
        <v>C:\Users\mbaptista\OneDrive - Biblioteca Nacional de Portugal\Documentos\python\camoniana\imagens\capas\2284\1\341.jpg</v>
      </c>
      <c r="P449" s="12" t="str">
        <f>HYPERLINK(O449)</f>
        <v>C:\Users\mbaptista\OneDrive - Biblioteca Nacional de Portugal\Documentos\python\camoniana\imagens\capas\2284\1\341.jpg</v>
      </c>
      <c r="Q449" s="12"/>
      <c r="R449" s="6" t="s">
        <v>620</v>
      </c>
      <c r="S449" s="12"/>
      <c r="T449" s="1" t="s">
        <v>609</v>
      </c>
      <c r="U449" s="13"/>
      <c r="V449" s="13"/>
      <c r="W449" s="5" t="s">
        <v>1491</v>
      </c>
    </row>
    <row r="450" spans="1:23" ht="225">
      <c r="A450" s="1">
        <v>2284</v>
      </c>
      <c r="B450" s="1">
        <v>1</v>
      </c>
      <c r="C450" s="1">
        <v>390</v>
      </c>
      <c r="D450" s="2" t="s">
        <v>607</v>
      </c>
      <c r="E450" s="5" t="s">
        <v>607</v>
      </c>
      <c r="F450" s="5">
        <v>272627</v>
      </c>
      <c r="G450" s="2" t="s">
        <v>1494</v>
      </c>
      <c r="H450" s="2" t="s">
        <v>1495</v>
      </c>
      <c r="I450" s="2" t="s">
        <v>1496</v>
      </c>
      <c r="J450" s="2" t="str">
        <f>CONCATENATE(G450,F450,H450,C450,I450)</f>
        <v>https://permalinkbnd.bnportugal.gov.pt/viewer/272627/?offset=#page=390&amp;viewer=picture&amp;o=info&amp;n=0&amp;q=</v>
      </c>
      <c r="K450" s="1" t="s">
        <v>608</v>
      </c>
      <c r="L450" s="1" t="str">
        <f>VLOOKUP(A450,Folha2!$A$2:$B$2019,2,FALSE)</f>
        <v>Sem argumentos. Bibliografia crítica considerada separadamente [via PDF Miguel]</v>
      </c>
      <c r="M450" s="12" t="str">
        <f>HYPERLINK(J450)</f>
        <v>https://permalinkbnd.bnportugal.gov.pt/viewer/272627/?offset=#page=390&amp;viewer=picture&amp;o=info&amp;n=0&amp;q=</v>
      </c>
      <c r="N450" s="12" t="s">
        <v>1497</v>
      </c>
      <c r="O450" s="12" t="str">
        <f>CONCATENATE(N450,A450,"\",B450,"\",C450,".jpg")</f>
        <v>C:\Users\mbaptista\OneDrive - Biblioteca Nacional de Portugal\Documentos\python\camoniana\imagens\capas\2284\1\390.jpg</v>
      </c>
      <c r="P450" s="12" t="str">
        <f>HYPERLINK(O450)</f>
        <v>C:\Users\mbaptista\OneDrive - Biblioteca Nacional de Portugal\Documentos\python\camoniana\imagens\capas\2284\1\390.jpg</v>
      </c>
      <c r="Q450" s="12"/>
      <c r="R450" s="6"/>
      <c r="S450" s="12"/>
      <c r="T450" s="1"/>
      <c r="U450" s="13"/>
      <c r="V450" s="13"/>
      <c r="W450" s="5"/>
    </row>
    <row r="451" spans="1:23" ht="225">
      <c r="A451" s="1">
        <v>256560</v>
      </c>
      <c r="B451" s="1">
        <v>1</v>
      </c>
      <c r="C451" s="1">
        <v>8</v>
      </c>
      <c r="D451" s="2" t="s">
        <v>621</v>
      </c>
      <c r="E451" s="11" t="s">
        <v>621</v>
      </c>
      <c r="F451" s="11">
        <v>277151</v>
      </c>
      <c r="G451" s="2" t="s">
        <v>1494</v>
      </c>
      <c r="H451" s="2" t="s">
        <v>1495</v>
      </c>
      <c r="I451" s="2" t="s">
        <v>1496</v>
      </c>
      <c r="J451" s="2" t="str">
        <f>CONCATENATE(G451,F451,H451,C451,I451)</f>
        <v>https://permalinkbnd.bnportugal.gov.pt/viewer/277151/?offset=#page=8&amp;viewer=picture&amp;o=info&amp;n=0&amp;q=</v>
      </c>
      <c r="K451" s="1" t="s">
        <v>622</v>
      </c>
      <c r="L451" s="1" t="str">
        <f>VLOOKUP(A451,Folha2!$A$2:$B$2019,2,FALSE)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1" s="12" t="str">
        <f>HYPERLINK(J451)</f>
        <v>https://permalinkbnd.bnportugal.gov.pt/viewer/277151/?offset=#page=8&amp;viewer=picture&amp;o=info&amp;n=0&amp;q=</v>
      </c>
      <c r="N451" s="12" t="s">
        <v>1497</v>
      </c>
      <c r="O451" s="12" t="str">
        <f>CONCATENATE(N451,A451,"\",B451,"\",C451,".jpg")</f>
        <v>C:\Users\mbaptista\OneDrive - Biblioteca Nacional de Portugal\Documentos\python\camoniana\imagens\capas\256560\1\8.jpg</v>
      </c>
      <c r="P451" s="12" t="str">
        <f>HYPERLINK(O451)</f>
        <v>C:\Users\mbaptista\OneDrive - Biblioteca Nacional de Portugal\Documentos\python\camoniana\imagens\capas\256560\1\8.jpg</v>
      </c>
      <c r="Q451" s="12"/>
      <c r="R451" s="6" t="s">
        <v>624</v>
      </c>
      <c r="S451" s="12"/>
      <c r="T451" s="1" t="s">
        <v>623</v>
      </c>
      <c r="U451" s="13"/>
      <c r="V451" s="13"/>
      <c r="W451" s="5" t="s">
        <v>1491</v>
      </c>
    </row>
    <row r="452" spans="1:23" ht="225">
      <c r="A452" s="1">
        <v>256560</v>
      </c>
      <c r="B452" s="1">
        <v>1</v>
      </c>
      <c r="C452" s="1">
        <v>9</v>
      </c>
      <c r="D452" s="2" t="s">
        <v>621</v>
      </c>
      <c r="E452" s="5" t="s">
        <v>621</v>
      </c>
      <c r="F452" s="5">
        <v>277151</v>
      </c>
      <c r="G452" s="2" t="s">
        <v>1494</v>
      </c>
      <c r="H452" s="2" t="s">
        <v>1495</v>
      </c>
      <c r="I452" s="2" t="s">
        <v>1496</v>
      </c>
      <c r="J452" s="2" t="str">
        <f>CONCATENATE(G452,F452,H452,C452,I452)</f>
        <v>https://permalinkbnd.bnportugal.gov.pt/viewer/277151/?offset=#page=9&amp;viewer=picture&amp;o=info&amp;n=0&amp;q=</v>
      </c>
      <c r="K452" s="1" t="s">
        <v>622</v>
      </c>
      <c r="L452" s="1" t="str">
        <f>VLOOKUP(A452,Folha2!$A$2:$B$2019,2,FALSE)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2" s="12" t="str">
        <f>HYPERLINK(J452)</f>
        <v>https://permalinkbnd.bnportugal.gov.pt/viewer/277151/?offset=#page=9&amp;viewer=picture&amp;o=info&amp;n=0&amp;q=</v>
      </c>
      <c r="N452" s="12" t="s">
        <v>1497</v>
      </c>
      <c r="O452" s="12" t="str">
        <f>CONCATENATE(N452,A452,"\",B452,"\",C452,".jpg")</f>
        <v>C:\Users\mbaptista\OneDrive - Biblioteca Nacional de Portugal\Documentos\python\camoniana\imagens\capas\256560\1\9.jpg</v>
      </c>
      <c r="P452" s="12" t="str">
        <f>HYPERLINK(O452)</f>
        <v>C:\Users\mbaptista\OneDrive - Biblioteca Nacional de Portugal\Documentos\python\camoniana\imagens\capas\256560\1\9.jpg</v>
      </c>
      <c r="Q452" s="12"/>
      <c r="R452" s="6"/>
      <c r="S452" s="12"/>
      <c r="T452" s="1"/>
      <c r="U452" s="13"/>
      <c r="V452" s="13"/>
      <c r="W452" s="5"/>
    </row>
    <row r="453" spans="1:23" ht="225">
      <c r="A453" s="1">
        <v>256560</v>
      </c>
      <c r="B453" s="1">
        <v>1</v>
      </c>
      <c r="C453" s="1">
        <v>63</v>
      </c>
      <c r="D453" s="2" t="s">
        <v>621</v>
      </c>
      <c r="E453" s="11" t="s">
        <v>621</v>
      </c>
      <c r="F453" s="11">
        <v>277151</v>
      </c>
      <c r="G453" s="2" t="s">
        <v>1494</v>
      </c>
      <c r="H453" s="2" t="s">
        <v>1495</v>
      </c>
      <c r="I453" s="2" t="s">
        <v>1496</v>
      </c>
      <c r="J453" s="2" t="str">
        <f>CONCATENATE(G453,F453,H453,C453,I453)</f>
        <v>https://permalinkbnd.bnportugal.gov.pt/viewer/277151/?offset=#page=63&amp;viewer=picture&amp;o=info&amp;n=0&amp;q=</v>
      </c>
      <c r="K453" s="1" t="s">
        <v>622</v>
      </c>
      <c r="L453" s="1" t="str">
        <f>VLOOKUP(A453,Folha2!$A$2:$B$2019,2,FALSE)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3" s="12" t="str">
        <f>HYPERLINK(J453)</f>
        <v>https://permalinkbnd.bnportugal.gov.pt/viewer/277151/?offset=#page=63&amp;viewer=picture&amp;o=info&amp;n=0&amp;q=</v>
      </c>
      <c r="N453" s="12" t="s">
        <v>1497</v>
      </c>
      <c r="O453" s="12" t="str">
        <f>CONCATENATE(N453,A453,"\",B453,"\",C453,".jpg")</f>
        <v>C:\Users\mbaptista\OneDrive - Biblioteca Nacional de Portugal\Documentos\python\camoniana\imagens\capas\256560\1\63.jpg</v>
      </c>
      <c r="P453" s="12" t="str">
        <f>HYPERLINK(O453)</f>
        <v>C:\Users\mbaptista\OneDrive - Biblioteca Nacional de Portugal\Documentos\python\camoniana\imagens\capas\256560\1\63.jpg</v>
      </c>
      <c r="Q453" s="12"/>
      <c r="R453" s="6" t="s">
        <v>625</v>
      </c>
      <c r="S453" s="12"/>
      <c r="T453" s="1" t="s">
        <v>623</v>
      </c>
      <c r="U453" s="13"/>
      <c r="V453" s="13"/>
      <c r="W453" s="5" t="s">
        <v>1491</v>
      </c>
    </row>
    <row r="454" spans="1:23" ht="225">
      <c r="A454" s="1">
        <v>256560</v>
      </c>
      <c r="B454" s="1">
        <v>1</v>
      </c>
      <c r="C454" s="1">
        <v>101</v>
      </c>
      <c r="D454" s="2" t="s">
        <v>621</v>
      </c>
      <c r="E454" s="5" t="s">
        <v>621</v>
      </c>
      <c r="F454" s="5">
        <v>277151</v>
      </c>
      <c r="G454" s="2" t="s">
        <v>1494</v>
      </c>
      <c r="H454" s="2" t="s">
        <v>1495</v>
      </c>
      <c r="I454" s="2" t="s">
        <v>1496</v>
      </c>
      <c r="J454" s="2" t="str">
        <f>CONCATENATE(G454,F454,H454,C454,I454)</f>
        <v>https://permalinkbnd.bnportugal.gov.pt/viewer/277151/?offset=#page=101&amp;viewer=picture&amp;o=info&amp;n=0&amp;q=</v>
      </c>
      <c r="K454" s="1" t="s">
        <v>622</v>
      </c>
      <c r="L454" s="1" t="str">
        <f>VLOOKUP(A454,Folha2!$A$2:$B$2019,2,FALSE)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4" s="12" t="str">
        <f>HYPERLINK(J454)</f>
        <v>https://permalinkbnd.bnportugal.gov.pt/viewer/277151/?offset=#page=101&amp;viewer=picture&amp;o=info&amp;n=0&amp;q=</v>
      </c>
      <c r="N454" s="12" t="s">
        <v>1497</v>
      </c>
      <c r="O454" s="12" t="str">
        <f>CONCATENATE(N454,A454,"\",B454,"\",C454,".jpg")</f>
        <v>C:\Users\mbaptista\OneDrive - Biblioteca Nacional de Portugal\Documentos\python\camoniana\imagens\capas\256560\1\101.jpg</v>
      </c>
      <c r="P454" s="12" t="str">
        <f>HYPERLINK(O454)</f>
        <v>C:\Users\mbaptista\OneDrive - Biblioteca Nacional de Portugal\Documentos\python\camoniana\imagens\capas\256560\1\101.jpg</v>
      </c>
      <c r="Q454" s="12"/>
      <c r="R454" s="6" t="s">
        <v>626</v>
      </c>
      <c r="S454" s="12"/>
      <c r="T454" s="1" t="s">
        <v>623</v>
      </c>
      <c r="U454" s="13"/>
      <c r="V454" s="13"/>
      <c r="W454" s="5" t="s">
        <v>1491</v>
      </c>
    </row>
    <row r="455" spans="1:23" ht="225">
      <c r="A455" s="1">
        <v>256560</v>
      </c>
      <c r="B455" s="1">
        <v>1</v>
      </c>
      <c r="C455" s="1">
        <v>143</v>
      </c>
      <c r="D455" s="2" t="s">
        <v>621</v>
      </c>
      <c r="E455" s="11" t="s">
        <v>621</v>
      </c>
      <c r="F455" s="11">
        <v>277151</v>
      </c>
      <c r="G455" s="2" t="s">
        <v>1494</v>
      </c>
      <c r="H455" s="2" t="s">
        <v>1495</v>
      </c>
      <c r="I455" s="2" t="s">
        <v>1496</v>
      </c>
      <c r="J455" s="2" t="str">
        <f>CONCATENATE(G455,F455,H455,C455,I455)</f>
        <v>https://permalinkbnd.bnportugal.gov.pt/viewer/277151/?offset=#page=143&amp;viewer=picture&amp;o=info&amp;n=0&amp;q=</v>
      </c>
      <c r="K455" s="1" t="s">
        <v>622</v>
      </c>
      <c r="L455" s="1" t="str">
        <f>VLOOKUP(A455,Folha2!$A$2:$B$2019,2,FALSE)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5" s="12" t="str">
        <f>HYPERLINK(J455)</f>
        <v>https://permalinkbnd.bnportugal.gov.pt/viewer/277151/?offset=#page=143&amp;viewer=picture&amp;o=info&amp;n=0&amp;q=</v>
      </c>
      <c r="N455" s="12" t="s">
        <v>1497</v>
      </c>
      <c r="O455" s="12" t="str">
        <f>CONCATENATE(N455,A455,"\",B455,"\",C455,".jpg")</f>
        <v>C:\Users\mbaptista\OneDrive - Biblioteca Nacional de Portugal\Documentos\python\camoniana\imagens\capas\256560\1\143.jpg</v>
      </c>
      <c r="P455" s="12" t="str">
        <f>HYPERLINK(O455)</f>
        <v>C:\Users\mbaptista\OneDrive - Biblioteca Nacional de Portugal\Documentos\python\camoniana\imagens\capas\256560\1\143.jpg</v>
      </c>
      <c r="Q455" s="12"/>
      <c r="R455" s="6" t="s">
        <v>627</v>
      </c>
      <c r="S455" s="12"/>
      <c r="T455" s="1" t="s">
        <v>623</v>
      </c>
      <c r="U455" s="13"/>
      <c r="V455" s="13"/>
      <c r="W455" s="5" t="s">
        <v>1491</v>
      </c>
    </row>
    <row r="456" spans="1:23" ht="225">
      <c r="A456" s="1">
        <v>256560</v>
      </c>
      <c r="B456" s="1">
        <v>1</v>
      </c>
      <c r="C456" s="1">
        <v>195</v>
      </c>
      <c r="D456" s="2" t="s">
        <v>621</v>
      </c>
      <c r="E456" s="5" t="s">
        <v>621</v>
      </c>
      <c r="F456" s="5">
        <v>277151</v>
      </c>
      <c r="G456" s="2" t="s">
        <v>1494</v>
      </c>
      <c r="H456" s="2" t="s">
        <v>1495</v>
      </c>
      <c r="I456" s="2" t="s">
        <v>1496</v>
      </c>
      <c r="J456" s="2" t="str">
        <f>CONCATENATE(G456,F456,H456,C456,I456)</f>
        <v>https://permalinkbnd.bnportugal.gov.pt/viewer/277151/?offset=#page=195&amp;viewer=picture&amp;o=info&amp;n=0&amp;q=</v>
      </c>
      <c r="K456" s="1" t="s">
        <v>622</v>
      </c>
      <c r="L456" s="1" t="str">
        <f>VLOOKUP(A456,Folha2!$A$2:$B$2019,2,FALSE)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6" s="12" t="str">
        <f>HYPERLINK(J456)</f>
        <v>https://permalinkbnd.bnportugal.gov.pt/viewer/277151/?offset=#page=195&amp;viewer=picture&amp;o=info&amp;n=0&amp;q=</v>
      </c>
      <c r="N456" s="12" t="s">
        <v>1497</v>
      </c>
      <c r="O456" s="12" t="str">
        <f>CONCATENATE(N456,A456,"\",B456,"\",C456,".jpg")</f>
        <v>C:\Users\mbaptista\OneDrive - Biblioteca Nacional de Portugal\Documentos\python\camoniana\imagens\capas\256560\1\195.jpg</v>
      </c>
      <c r="P456" s="12" t="str">
        <f>HYPERLINK(O456)</f>
        <v>C:\Users\mbaptista\OneDrive - Biblioteca Nacional de Portugal\Documentos\python\camoniana\imagens\capas\256560\1\195.jpg</v>
      </c>
      <c r="Q456" s="12"/>
      <c r="R456" s="6" t="s">
        <v>628</v>
      </c>
      <c r="S456" s="12"/>
      <c r="T456" s="1" t="s">
        <v>623</v>
      </c>
      <c r="U456" s="13"/>
      <c r="V456" s="13"/>
      <c r="W456" s="5" t="s">
        <v>1491</v>
      </c>
    </row>
    <row r="457" spans="1:23" ht="225">
      <c r="A457" s="1">
        <v>256560</v>
      </c>
      <c r="B457" s="1">
        <v>1</v>
      </c>
      <c r="C457" s="1">
        <v>233</v>
      </c>
      <c r="D457" s="2" t="s">
        <v>621</v>
      </c>
      <c r="E457" s="11" t="s">
        <v>621</v>
      </c>
      <c r="F457" s="11">
        <v>277151</v>
      </c>
      <c r="G457" s="2" t="s">
        <v>1494</v>
      </c>
      <c r="H457" s="2" t="s">
        <v>1495</v>
      </c>
      <c r="I457" s="2" t="s">
        <v>1496</v>
      </c>
      <c r="J457" s="2" t="str">
        <f>CONCATENATE(G457,F457,H457,C457,I457)</f>
        <v>https://permalinkbnd.bnportugal.gov.pt/viewer/277151/?offset=#page=233&amp;viewer=picture&amp;o=info&amp;n=0&amp;q=</v>
      </c>
      <c r="K457" s="1" t="s">
        <v>622</v>
      </c>
      <c r="L457" s="1" t="str">
        <f>VLOOKUP(A457,Folha2!$A$2:$B$2019,2,FALSE)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7" s="12" t="str">
        <f>HYPERLINK(J457)</f>
        <v>https://permalinkbnd.bnportugal.gov.pt/viewer/277151/?offset=#page=233&amp;viewer=picture&amp;o=info&amp;n=0&amp;q=</v>
      </c>
      <c r="N457" s="12" t="s">
        <v>1497</v>
      </c>
      <c r="O457" s="12" t="str">
        <f>CONCATENATE(N457,A457,"\",B457,"\",C457,".jpg")</f>
        <v>C:\Users\mbaptista\OneDrive - Biblioteca Nacional de Portugal\Documentos\python\camoniana\imagens\capas\256560\1\233.jpg</v>
      </c>
      <c r="P457" s="12" t="str">
        <f>HYPERLINK(O457)</f>
        <v>C:\Users\mbaptista\OneDrive - Biblioteca Nacional de Portugal\Documentos\python\camoniana\imagens\capas\256560\1\233.jpg</v>
      </c>
      <c r="Q457" s="12"/>
      <c r="R457" s="6" t="s">
        <v>629</v>
      </c>
      <c r="S457" s="12"/>
      <c r="T457" s="1" t="s">
        <v>623</v>
      </c>
      <c r="U457" s="13"/>
      <c r="V457" s="13"/>
      <c r="W457" s="5" t="s">
        <v>1491</v>
      </c>
    </row>
    <row r="458" spans="1:23" ht="225">
      <c r="A458" s="1">
        <v>256560</v>
      </c>
      <c r="B458" s="1">
        <v>1</v>
      </c>
      <c r="C458" s="1">
        <v>269</v>
      </c>
      <c r="D458" s="2" t="s">
        <v>621</v>
      </c>
      <c r="E458" s="5" t="s">
        <v>621</v>
      </c>
      <c r="F458" s="5">
        <v>277151</v>
      </c>
      <c r="G458" s="2" t="s">
        <v>1494</v>
      </c>
      <c r="H458" s="2" t="s">
        <v>1495</v>
      </c>
      <c r="I458" s="2" t="s">
        <v>1496</v>
      </c>
      <c r="J458" s="2" t="str">
        <f>CONCATENATE(G458,F458,H458,C458,I458)</f>
        <v>https://permalinkbnd.bnportugal.gov.pt/viewer/277151/?offset=#page=269&amp;viewer=picture&amp;o=info&amp;n=0&amp;q=</v>
      </c>
      <c r="K458" s="1" t="s">
        <v>622</v>
      </c>
      <c r="L458" s="1" t="str">
        <f>VLOOKUP(A458,Folha2!$A$2:$B$2019,2,FALSE)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8" s="12" t="str">
        <f>HYPERLINK(J458)</f>
        <v>https://permalinkbnd.bnportugal.gov.pt/viewer/277151/?offset=#page=269&amp;viewer=picture&amp;o=info&amp;n=0&amp;q=</v>
      </c>
      <c r="N458" s="12" t="s">
        <v>1497</v>
      </c>
      <c r="O458" s="12" t="str">
        <f>CONCATENATE(N458,A458,"\",B458,"\",C458,".jpg")</f>
        <v>C:\Users\mbaptista\OneDrive - Biblioteca Nacional de Portugal\Documentos\python\camoniana\imagens\capas\256560\1\269.jpg</v>
      </c>
      <c r="P458" s="12" t="str">
        <f>HYPERLINK(O458)</f>
        <v>C:\Users\mbaptista\OneDrive - Biblioteca Nacional de Portugal\Documentos\python\camoniana\imagens\capas\256560\1\269.jpg</v>
      </c>
      <c r="Q458" s="12"/>
      <c r="R458" s="6" t="s">
        <v>630</v>
      </c>
      <c r="S458" s="12"/>
      <c r="T458" s="1" t="s">
        <v>623</v>
      </c>
      <c r="U458" s="13"/>
      <c r="V458" s="13"/>
      <c r="W458" s="5" t="s">
        <v>1491</v>
      </c>
    </row>
    <row r="459" spans="1:23" ht="225">
      <c r="A459" s="1">
        <v>256560</v>
      </c>
      <c r="B459" s="1">
        <v>1</v>
      </c>
      <c r="C459" s="1">
        <v>305</v>
      </c>
      <c r="D459" s="2" t="s">
        <v>621</v>
      </c>
      <c r="E459" s="11" t="s">
        <v>621</v>
      </c>
      <c r="F459" s="11">
        <v>277151</v>
      </c>
      <c r="G459" s="2" t="s">
        <v>1494</v>
      </c>
      <c r="H459" s="2" t="s">
        <v>1495</v>
      </c>
      <c r="I459" s="2" t="s">
        <v>1496</v>
      </c>
      <c r="J459" s="2" t="str">
        <f>CONCATENATE(G459,F459,H459,C459,I459)</f>
        <v>https://permalinkbnd.bnportugal.gov.pt/viewer/277151/?offset=#page=305&amp;viewer=picture&amp;o=info&amp;n=0&amp;q=</v>
      </c>
      <c r="K459" s="1" t="s">
        <v>622</v>
      </c>
      <c r="L459" s="1" t="str">
        <f>VLOOKUP(A459,Folha2!$A$2:$B$2019,2,FALSE)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59" s="12" t="str">
        <f>HYPERLINK(J459)</f>
        <v>https://permalinkbnd.bnportugal.gov.pt/viewer/277151/?offset=#page=305&amp;viewer=picture&amp;o=info&amp;n=0&amp;q=</v>
      </c>
      <c r="N459" s="12" t="s">
        <v>1497</v>
      </c>
      <c r="O459" s="12" t="str">
        <f>CONCATENATE(N459,A459,"\",B459,"\",C459,".jpg")</f>
        <v>C:\Users\mbaptista\OneDrive - Biblioteca Nacional de Portugal\Documentos\python\camoniana\imagens\capas\256560\1\305.jpg</v>
      </c>
      <c r="P459" s="12" t="str">
        <f>HYPERLINK(O459)</f>
        <v>C:\Users\mbaptista\OneDrive - Biblioteca Nacional de Portugal\Documentos\python\camoniana\imagens\capas\256560\1\305.jpg</v>
      </c>
      <c r="Q459" s="12"/>
      <c r="R459" s="6" t="s">
        <v>631</v>
      </c>
      <c r="S459" s="12"/>
      <c r="T459" s="1" t="s">
        <v>623</v>
      </c>
      <c r="U459" s="13"/>
      <c r="V459" s="13"/>
      <c r="W459" s="5" t="s">
        <v>1491</v>
      </c>
    </row>
    <row r="460" spans="1:23" ht="225">
      <c r="A460" s="1">
        <v>256560</v>
      </c>
      <c r="B460" s="1">
        <v>1</v>
      </c>
      <c r="C460" s="1">
        <v>337</v>
      </c>
      <c r="D460" s="2" t="s">
        <v>621</v>
      </c>
      <c r="E460" s="5" t="s">
        <v>621</v>
      </c>
      <c r="F460" s="5">
        <v>277151</v>
      </c>
      <c r="G460" s="2" t="s">
        <v>1494</v>
      </c>
      <c r="H460" s="2" t="s">
        <v>1495</v>
      </c>
      <c r="I460" s="2" t="s">
        <v>1496</v>
      </c>
      <c r="J460" s="2" t="str">
        <f>CONCATENATE(G460,F460,H460,C460,I460)</f>
        <v>https://permalinkbnd.bnportugal.gov.pt/viewer/277151/?offset=#page=337&amp;viewer=picture&amp;o=info&amp;n=0&amp;q=</v>
      </c>
      <c r="K460" s="1" t="s">
        <v>622</v>
      </c>
      <c r="L460" s="1" t="str">
        <f>VLOOKUP(A460,Folha2!$A$2:$B$2019,2,FALSE)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0" s="12" t="str">
        <f>HYPERLINK(J460)</f>
        <v>https://permalinkbnd.bnportugal.gov.pt/viewer/277151/?offset=#page=337&amp;viewer=picture&amp;o=info&amp;n=0&amp;q=</v>
      </c>
      <c r="N460" s="12" t="s">
        <v>1497</v>
      </c>
      <c r="O460" s="12" t="str">
        <f>CONCATENATE(N460,A460,"\",B460,"\",C460,".jpg")</f>
        <v>C:\Users\mbaptista\OneDrive - Biblioteca Nacional de Portugal\Documentos\python\camoniana\imagens\capas\256560\1\337.jpg</v>
      </c>
      <c r="P460" s="12" t="str">
        <f>HYPERLINK(O460)</f>
        <v>C:\Users\mbaptista\OneDrive - Biblioteca Nacional de Portugal\Documentos\python\camoniana\imagens\capas\256560\1\337.jpg</v>
      </c>
      <c r="Q460" s="12"/>
      <c r="R460" s="6" t="s">
        <v>632</v>
      </c>
      <c r="S460" s="12"/>
      <c r="T460" s="1" t="s">
        <v>623</v>
      </c>
      <c r="U460" s="13"/>
      <c r="V460" s="13"/>
      <c r="W460" s="5" t="s">
        <v>1491</v>
      </c>
    </row>
    <row r="461" spans="1:23" ht="225">
      <c r="A461" s="1">
        <v>256560</v>
      </c>
      <c r="B461" s="1">
        <v>1</v>
      </c>
      <c r="C461" s="1">
        <v>373</v>
      </c>
      <c r="D461" s="2" t="s">
        <v>621</v>
      </c>
      <c r="E461" s="11" t="s">
        <v>621</v>
      </c>
      <c r="F461" s="11">
        <v>277151</v>
      </c>
      <c r="G461" s="2" t="s">
        <v>1494</v>
      </c>
      <c r="H461" s="2" t="s">
        <v>1495</v>
      </c>
      <c r="I461" s="2" t="s">
        <v>1496</v>
      </c>
      <c r="J461" s="2" t="str">
        <f>CONCATENATE(G461,F461,H461,C461,I461)</f>
        <v>https://permalinkbnd.bnportugal.gov.pt/viewer/277151/?offset=#page=373&amp;viewer=picture&amp;o=info&amp;n=0&amp;q=</v>
      </c>
      <c r="K461" s="1" t="s">
        <v>622</v>
      </c>
      <c r="L461" s="1" t="str">
        <f>VLOOKUP(A461,Folha2!$A$2:$B$2019,2,FALSE)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1" s="12" t="str">
        <f>HYPERLINK(J461)</f>
        <v>https://permalinkbnd.bnportugal.gov.pt/viewer/277151/?offset=#page=373&amp;viewer=picture&amp;o=info&amp;n=0&amp;q=</v>
      </c>
      <c r="N461" s="12" t="s">
        <v>1497</v>
      </c>
      <c r="O461" s="12" t="str">
        <f>CONCATENATE(N461,A461,"\",B461,"\",C461,".jpg")</f>
        <v>C:\Users\mbaptista\OneDrive - Biblioteca Nacional de Portugal\Documentos\python\camoniana\imagens\capas\256560\1\373.jpg</v>
      </c>
      <c r="P461" s="12" t="str">
        <f>HYPERLINK(O461)</f>
        <v>C:\Users\mbaptista\OneDrive - Biblioteca Nacional de Portugal\Documentos\python\camoniana\imagens\capas\256560\1\373.jpg</v>
      </c>
      <c r="Q461" s="12"/>
      <c r="R461" s="6" t="s">
        <v>633</v>
      </c>
      <c r="S461" s="12"/>
      <c r="T461" s="1" t="s">
        <v>623</v>
      </c>
      <c r="U461" s="13"/>
      <c r="V461" s="13"/>
      <c r="W461" s="5" t="s">
        <v>1491</v>
      </c>
    </row>
    <row r="462" spans="1:23" ht="225">
      <c r="A462" s="1">
        <v>256560</v>
      </c>
      <c r="B462" s="1">
        <v>1</v>
      </c>
      <c r="C462" s="1">
        <v>409</v>
      </c>
      <c r="D462" s="2" t="s">
        <v>621</v>
      </c>
      <c r="E462" s="5" t="s">
        <v>621</v>
      </c>
      <c r="F462" s="5">
        <v>277151</v>
      </c>
      <c r="G462" s="2" t="s">
        <v>1494</v>
      </c>
      <c r="H462" s="2" t="s">
        <v>1495</v>
      </c>
      <c r="I462" s="2" t="s">
        <v>1496</v>
      </c>
      <c r="J462" s="2" t="str">
        <f>CONCATENATE(G462,F462,H462,C462,I462)</f>
        <v>https://permalinkbnd.bnportugal.gov.pt/viewer/277151/?offset=#page=409&amp;viewer=picture&amp;o=info&amp;n=0&amp;q=</v>
      </c>
      <c r="K462" s="1" t="s">
        <v>622</v>
      </c>
      <c r="L462" s="1" t="str">
        <f>VLOOKUP(A462,Folha2!$A$2:$B$2019,2,FALSE)</f>
        <v>Os Lusiadas / poema epico de Luis de Camões. - Nova edição conforme á de 1817, in-4º, de Dom José de Souza-Botelho Morgado de Matteus / correcta e dada á luz por Paulino de Souza Bacharel em Sciencias. - Paris : em Casa de Vª J.-P. Aillaud, Guillard e Cª 47, Rua Saint-André-des-Arts, 47, 1865. Paratextos vida e Paratextos argumentos.</v>
      </c>
      <c r="M462" s="12" t="str">
        <f>HYPERLINK(J462)</f>
        <v>https://permalinkbnd.bnportugal.gov.pt/viewer/277151/?offset=#page=409&amp;viewer=picture&amp;o=info&amp;n=0&amp;q=</v>
      </c>
      <c r="N462" s="12" t="s">
        <v>1497</v>
      </c>
      <c r="O462" s="12" t="str">
        <f>CONCATENATE(N462,A462,"\",B462,"\",C462,".jpg")</f>
        <v>C:\Users\mbaptista\OneDrive - Biblioteca Nacional de Portugal\Documentos\python\camoniana\imagens\capas\256560\1\409.jpg</v>
      </c>
      <c r="P462" s="12" t="str">
        <f>HYPERLINK(O462)</f>
        <v>C:\Users\mbaptista\OneDrive - Biblioteca Nacional de Portugal\Documentos\python\camoniana\imagens\capas\256560\1\409.jpg</v>
      </c>
      <c r="Q462" s="12"/>
      <c r="R462" s="6" t="s">
        <v>634</v>
      </c>
      <c r="S462" s="12"/>
      <c r="T462" s="1" t="s">
        <v>623</v>
      </c>
      <c r="U462" s="13"/>
      <c r="V462" s="13"/>
      <c r="W462" s="5" t="s">
        <v>1491</v>
      </c>
    </row>
    <row r="463" spans="1:23" ht="225">
      <c r="A463" s="1">
        <v>852331</v>
      </c>
      <c r="B463" s="1">
        <v>1</v>
      </c>
      <c r="C463" s="1">
        <v>12</v>
      </c>
      <c r="D463" s="2" t="s">
        <v>635</v>
      </c>
      <c r="E463" s="11" t="s">
        <v>635</v>
      </c>
      <c r="F463" s="11">
        <v>277145</v>
      </c>
      <c r="G463" s="2" t="s">
        <v>1494</v>
      </c>
      <c r="H463" s="2" t="s">
        <v>1495</v>
      </c>
      <c r="I463" s="2" t="s">
        <v>1496</v>
      </c>
      <c r="J463" s="2" t="str">
        <f>CONCATENATE(G463,F463,H463,C463,I463)</f>
        <v>https://permalinkbnd.bnportugal.gov.pt/viewer/277145/?offset=#page=12&amp;viewer=picture&amp;o=info&amp;n=0&amp;q=</v>
      </c>
      <c r="K463" s="1" t="s">
        <v>636</v>
      </c>
      <c r="L463" s="1" t="str">
        <f>VLOOKUP(A463,Folha2!$A$2:$B$2019,2,FALSE)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3" s="12" t="str">
        <f>HYPERLINK(J463)</f>
        <v>https://permalinkbnd.bnportugal.gov.pt/viewer/277145/?offset=#page=12&amp;viewer=picture&amp;o=info&amp;n=0&amp;q=</v>
      </c>
      <c r="N463" s="12" t="s">
        <v>1497</v>
      </c>
      <c r="O463" s="12" t="str">
        <f>CONCATENATE(N463,A463,"\",B463,"\",C463,".jpg")</f>
        <v>C:\Users\mbaptista\OneDrive - Biblioteca Nacional de Portugal\Documentos\python\camoniana\imagens\capas\852331\1\12.jpg</v>
      </c>
      <c r="P463" s="12" t="str">
        <f>HYPERLINK(O463)</f>
        <v>C:\Users\mbaptista\OneDrive - Biblioteca Nacional de Portugal\Documentos\python\camoniana\imagens\capas\852331\1\12.jpg</v>
      </c>
      <c r="Q463" s="12"/>
      <c r="R463" s="6" t="s">
        <v>638</v>
      </c>
      <c r="S463" s="12"/>
      <c r="T463" s="1" t="s">
        <v>637</v>
      </c>
      <c r="U463" s="13"/>
      <c r="V463" s="13"/>
      <c r="W463" s="5" t="s">
        <v>1491</v>
      </c>
    </row>
    <row r="464" spans="1:23" ht="225">
      <c r="A464" s="1">
        <v>852331</v>
      </c>
      <c r="B464" s="1">
        <v>1</v>
      </c>
      <c r="C464" s="1">
        <v>110</v>
      </c>
      <c r="D464" s="2" t="s">
        <v>635</v>
      </c>
      <c r="E464" s="5" t="s">
        <v>635</v>
      </c>
      <c r="F464" s="5">
        <v>277145</v>
      </c>
      <c r="G464" s="2" t="s">
        <v>1494</v>
      </c>
      <c r="H464" s="2" t="s">
        <v>1495</v>
      </c>
      <c r="I464" s="2" t="s">
        <v>1496</v>
      </c>
      <c r="J464" s="2" t="str">
        <f>CONCATENATE(G464,F464,H464,C464,I464)</f>
        <v>https://permalinkbnd.bnportugal.gov.pt/viewer/277145/?offset=#page=110&amp;viewer=picture&amp;o=info&amp;n=0&amp;q=</v>
      </c>
      <c r="K464" s="1" t="s">
        <v>636</v>
      </c>
      <c r="L464" s="1" t="str">
        <f>VLOOKUP(A464,Folha2!$A$2:$B$2019,2,FALSE)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4" s="12" t="str">
        <f>HYPERLINK(J464)</f>
        <v>https://permalinkbnd.bnportugal.gov.pt/viewer/277145/?offset=#page=110&amp;viewer=picture&amp;o=info&amp;n=0&amp;q=</v>
      </c>
      <c r="N464" s="12" t="s">
        <v>1497</v>
      </c>
      <c r="O464" s="12" t="str">
        <f>CONCATENATE(N464,A464,"\",B464,"\",C464,".jpg")</f>
        <v>C:\Users\mbaptista\OneDrive - Biblioteca Nacional de Portugal\Documentos\python\camoniana\imagens\capas\852331\1\110.jpg</v>
      </c>
      <c r="P464" s="12" t="str">
        <f>HYPERLINK(O464)</f>
        <v>C:\Users\mbaptista\OneDrive - Biblioteca Nacional de Portugal\Documentos\python\camoniana\imagens\capas\852331\1\110.jpg</v>
      </c>
      <c r="Q464" s="12"/>
      <c r="R464" s="6" t="s">
        <v>639</v>
      </c>
      <c r="S464" s="12"/>
      <c r="T464" s="1" t="s">
        <v>637</v>
      </c>
      <c r="U464" s="13"/>
      <c r="V464" s="13"/>
      <c r="W464" s="5" t="s">
        <v>1491</v>
      </c>
    </row>
    <row r="465" spans="1:23" ht="225">
      <c r="A465" s="1">
        <v>852331</v>
      </c>
      <c r="B465" s="1">
        <v>1</v>
      </c>
      <c r="C465" s="1">
        <v>146</v>
      </c>
      <c r="D465" s="2" t="s">
        <v>635</v>
      </c>
      <c r="E465" s="11" t="s">
        <v>635</v>
      </c>
      <c r="F465" s="11">
        <v>277145</v>
      </c>
      <c r="G465" s="2" t="s">
        <v>1494</v>
      </c>
      <c r="H465" s="2" t="s">
        <v>1495</v>
      </c>
      <c r="I465" s="2" t="s">
        <v>1496</v>
      </c>
      <c r="J465" s="2" t="str">
        <f>CONCATENATE(G465,F465,H465,C465,I465)</f>
        <v>https://permalinkbnd.bnportugal.gov.pt/viewer/277145/?offset=#page=146&amp;viewer=picture&amp;o=info&amp;n=0&amp;q=</v>
      </c>
      <c r="K465" s="1" t="s">
        <v>636</v>
      </c>
      <c r="L465" s="1" t="str">
        <f>VLOOKUP(A465,Folha2!$A$2:$B$2019,2,FALSE)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5" s="12" t="str">
        <f>HYPERLINK(J465)</f>
        <v>https://permalinkbnd.bnportugal.gov.pt/viewer/277145/?offset=#page=146&amp;viewer=picture&amp;o=info&amp;n=0&amp;q=</v>
      </c>
      <c r="N465" s="12" t="s">
        <v>1497</v>
      </c>
      <c r="O465" s="12" t="str">
        <f>CONCATENATE(N465,A465,"\",B465,"\",C465,".jpg")</f>
        <v>C:\Users\mbaptista\OneDrive - Biblioteca Nacional de Portugal\Documentos\python\camoniana\imagens\capas\852331\1\146.jpg</v>
      </c>
      <c r="P465" s="12" t="str">
        <f>HYPERLINK(O465)</f>
        <v>C:\Users\mbaptista\OneDrive - Biblioteca Nacional de Portugal\Documentos\python\camoniana\imagens\capas\852331\1\146.jpg</v>
      </c>
      <c r="Q465" s="12"/>
      <c r="R465" s="6"/>
      <c r="S465" s="12"/>
      <c r="T465" s="1"/>
      <c r="U465" s="13"/>
      <c r="V465" s="13"/>
      <c r="W465" s="5"/>
    </row>
    <row r="466" spans="1:23" ht="225">
      <c r="A466" s="1">
        <v>852331</v>
      </c>
      <c r="B466" s="1">
        <v>1</v>
      </c>
      <c r="C466" s="1">
        <v>178</v>
      </c>
      <c r="D466" s="2" t="s">
        <v>635</v>
      </c>
      <c r="E466" s="5" t="s">
        <v>635</v>
      </c>
      <c r="F466" s="5">
        <v>277145</v>
      </c>
      <c r="G466" s="2" t="s">
        <v>1494</v>
      </c>
      <c r="H466" s="2" t="s">
        <v>1495</v>
      </c>
      <c r="I466" s="2" t="s">
        <v>1496</v>
      </c>
      <c r="J466" s="2" t="str">
        <f>CONCATENATE(G466,F466,H466,C466,I466)</f>
        <v>https://permalinkbnd.bnportugal.gov.pt/viewer/277145/?offset=#page=178&amp;viewer=picture&amp;o=info&amp;n=0&amp;q=</v>
      </c>
      <c r="K466" s="1" t="s">
        <v>636</v>
      </c>
      <c r="L466" s="1" t="str">
        <f>VLOOKUP(A466,Folha2!$A$2:$B$2019,2,FALSE)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6" s="12" t="str">
        <f>HYPERLINK(J466)</f>
        <v>https://permalinkbnd.bnportugal.gov.pt/viewer/277145/?offset=#page=178&amp;viewer=picture&amp;o=info&amp;n=0&amp;q=</v>
      </c>
      <c r="N466" s="12" t="s">
        <v>1497</v>
      </c>
      <c r="O466" s="12" t="str">
        <f>CONCATENATE(N466,A466,"\",B466,"\",C466,".jpg")</f>
        <v>C:\Users\mbaptista\OneDrive - Biblioteca Nacional de Portugal\Documentos\python\camoniana\imagens\capas\852331\1\178.jpg</v>
      </c>
      <c r="P466" s="12" t="str">
        <f>HYPERLINK(O466)</f>
        <v>C:\Users\mbaptista\OneDrive - Biblioteca Nacional de Portugal\Documentos\python\camoniana\imagens\capas\852331\1\178.jpg</v>
      </c>
      <c r="Q466" s="12"/>
      <c r="R466" s="6"/>
      <c r="S466" s="12"/>
      <c r="T466" s="1"/>
      <c r="U466" s="13"/>
      <c r="V466" s="13"/>
      <c r="W466" s="5"/>
    </row>
    <row r="467" spans="1:23" ht="225">
      <c r="A467" s="1">
        <v>852331</v>
      </c>
      <c r="B467" s="1">
        <v>1</v>
      </c>
      <c r="C467" s="1">
        <v>207</v>
      </c>
      <c r="D467" s="2" t="s">
        <v>635</v>
      </c>
      <c r="E467" s="11" t="s">
        <v>635</v>
      </c>
      <c r="F467" s="11">
        <v>277145</v>
      </c>
      <c r="G467" s="2" t="s">
        <v>1494</v>
      </c>
      <c r="H467" s="2" t="s">
        <v>1495</v>
      </c>
      <c r="I467" s="2" t="s">
        <v>1496</v>
      </c>
      <c r="J467" s="2" t="str">
        <f>CONCATENATE(G467,F467,H467,C467,I467)</f>
        <v>https://permalinkbnd.bnportugal.gov.pt/viewer/277145/?offset=#page=207&amp;viewer=picture&amp;o=info&amp;n=0&amp;q=</v>
      </c>
      <c r="K467" s="1" t="s">
        <v>636</v>
      </c>
      <c r="L467" s="1" t="str">
        <f>VLOOKUP(A467,Folha2!$A$2:$B$2019,2,FALSE)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7" s="12" t="str">
        <f>HYPERLINK(J467)</f>
        <v>https://permalinkbnd.bnportugal.gov.pt/viewer/277145/?offset=#page=207&amp;viewer=picture&amp;o=info&amp;n=0&amp;q=</v>
      </c>
      <c r="N467" s="12" t="s">
        <v>1497</v>
      </c>
      <c r="O467" s="12" t="str">
        <f>CONCATENATE(N467,A467,"\",B467,"\",C467,".jpg")</f>
        <v>C:\Users\mbaptista\OneDrive - Biblioteca Nacional de Portugal\Documentos\python\camoniana\imagens\capas\852331\1\207.jpg</v>
      </c>
      <c r="P467" s="12" t="str">
        <f>HYPERLINK(O467)</f>
        <v>C:\Users\mbaptista\OneDrive - Biblioteca Nacional de Portugal\Documentos\python\camoniana\imagens\capas\852331\1\207.jpg</v>
      </c>
      <c r="Q467" s="12"/>
      <c r="R467" s="6"/>
      <c r="S467" s="12"/>
      <c r="T467" s="1"/>
      <c r="U467" s="13"/>
      <c r="V467" s="13"/>
      <c r="W467" s="5"/>
    </row>
    <row r="468" spans="1:23" ht="225">
      <c r="A468" s="1">
        <v>852331</v>
      </c>
      <c r="B468" s="1">
        <v>1</v>
      </c>
      <c r="C468" s="1">
        <v>273</v>
      </c>
      <c r="D468" s="2" t="s">
        <v>635</v>
      </c>
      <c r="E468" s="5" t="s">
        <v>635</v>
      </c>
      <c r="F468" s="5">
        <v>277145</v>
      </c>
      <c r="G468" s="2" t="s">
        <v>1494</v>
      </c>
      <c r="H468" s="2" t="s">
        <v>1495</v>
      </c>
      <c r="I468" s="2" t="s">
        <v>1496</v>
      </c>
      <c r="J468" s="2" t="str">
        <f>CONCATENATE(G468,F468,H468,C468,I468)</f>
        <v>https://permalinkbnd.bnportugal.gov.pt/viewer/277145/?offset=#page=273&amp;viewer=picture&amp;o=info&amp;n=0&amp;q=</v>
      </c>
      <c r="K468" s="1" t="s">
        <v>636</v>
      </c>
      <c r="L468" s="1" t="str">
        <f>VLOOKUP(A468,Folha2!$A$2:$B$2019,2,FALSE)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8" s="12" t="str">
        <f>HYPERLINK(J468)</f>
        <v>https://permalinkbnd.bnportugal.gov.pt/viewer/277145/?offset=#page=273&amp;viewer=picture&amp;o=info&amp;n=0&amp;q=</v>
      </c>
      <c r="N468" s="12" t="s">
        <v>1497</v>
      </c>
      <c r="O468" s="12" t="str">
        <f>CONCATENATE(N468,A468,"\",B468,"\",C468,".jpg")</f>
        <v>C:\Users\mbaptista\OneDrive - Biblioteca Nacional de Portugal\Documentos\python\camoniana\imagens\capas\852331\1\273.jpg</v>
      </c>
      <c r="P468" s="12" t="str">
        <f>HYPERLINK(O468)</f>
        <v>C:\Users\mbaptista\OneDrive - Biblioteca Nacional de Portugal\Documentos\python\camoniana\imagens\capas\852331\1\273.jpg</v>
      </c>
      <c r="Q468" s="12"/>
      <c r="R468" s="6" t="s">
        <v>640</v>
      </c>
      <c r="S468" s="12"/>
      <c r="T468" s="1" t="s">
        <v>637</v>
      </c>
      <c r="U468" s="13"/>
      <c r="V468" s="13"/>
      <c r="W468" s="5" t="s">
        <v>1491</v>
      </c>
    </row>
    <row r="469" spans="1:23" ht="225">
      <c r="A469" s="1">
        <v>852331</v>
      </c>
      <c r="B469" s="1">
        <v>1</v>
      </c>
      <c r="C469" s="1">
        <v>287</v>
      </c>
      <c r="D469" s="2" t="s">
        <v>635</v>
      </c>
      <c r="E469" s="11" t="s">
        <v>635</v>
      </c>
      <c r="F469" s="11">
        <v>277145</v>
      </c>
      <c r="G469" s="2" t="s">
        <v>1494</v>
      </c>
      <c r="H469" s="2" t="s">
        <v>1495</v>
      </c>
      <c r="I469" s="2" t="s">
        <v>1496</v>
      </c>
      <c r="J469" s="2" t="str">
        <f>CONCATENATE(G469,F469,H469,C469,I469)</f>
        <v>https://permalinkbnd.bnportugal.gov.pt/viewer/277145/?offset=#page=287&amp;viewer=picture&amp;o=info&amp;n=0&amp;q=</v>
      </c>
      <c r="K469" s="1" t="s">
        <v>636</v>
      </c>
      <c r="L469" s="1" t="str">
        <f>VLOOKUP(A469,Folha2!$A$2:$B$2019,2,FALSE)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69" s="12" t="str">
        <f>HYPERLINK(J469)</f>
        <v>https://permalinkbnd.bnportugal.gov.pt/viewer/277145/?offset=#page=287&amp;viewer=picture&amp;o=info&amp;n=0&amp;q=</v>
      </c>
      <c r="N469" s="12" t="s">
        <v>1497</v>
      </c>
      <c r="O469" s="12" t="str">
        <f>CONCATENATE(N469,A469,"\",B469,"\",C469,".jpg")</f>
        <v>C:\Users\mbaptista\OneDrive - Biblioteca Nacional de Portugal\Documentos\python\camoniana\imagens\capas\852331\1\287.jpg</v>
      </c>
      <c r="P469" s="12" t="str">
        <f>HYPERLINK(O469)</f>
        <v>C:\Users\mbaptista\OneDrive - Biblioteca Nacional de Portugal\Documentos\python\camoniana\imagens\capas\852331\1\287.jpg</v>
      </c>
      <c r="Q469" s="12"/>
      <c r="R469" s="6"/>
      <c r="S469" s="12"/>
      <c r="T469" s="1"/>
      <c r="U469" s="13"/>
      <c r="V469" s="13"/>
      <c r="W469" s="5"/>
    </row>
    <row r="470" spans="1:23" ht="225">
      <c r="A470" s="1">
        <v>852331</v>
      </c>
      <c r="B470" s="1">
        <v>1</v>
      </c>
      <c r="C470" s="1">
        <v>352</v>
      </c>
      <c r="D470" s="2" t="s">
        <v>635</v>
      </c>
      <c r="E470" s="5" t="s">
        <v>635</v>
      </c>
      <c r="F470" s="5">
        <v>277145</v>
      </c>
      <c r="G470" s="2" t="s">
        <v>1494</v>
      </c>
      <c r="H470" s="2" t="s">
        <v>1495</v>
      </c>
      <c r="I470" s="2" t="s">
        <v>1496</v>
      </c>
      <c r="J470" s="2" t="str">
        <f>CONCATENATE(G470,F470,H470,C470,I470)</f>
        <v>https://permalinkbnd.bnportugal.gov.pt/viewer/277145/?offset=#page=352&amp;viewer=picture&amp;o=info&amp;n=0&amp;q=</v>
      </c>
      <c r="K470" s="1" t="s">
        <v>636</v>
      </c>
      <c r="L470" s="1" t="str">
        <f>VLOOKUP(A470,Folha2!$A$2:$B$2019,2,FALSE)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0" s="12" t="str">
        <f>HYPERLINK(J470)</f>
        <v>https://permalinkbnd.bnportugal.gov.pt/viewer/277145/?offset=#page=352&amp;viewer=picture&amp;o=info&amp;n=0&amp;q=</v>
      </c>
      <c r="N470" s="12" t="s">
        <v>1497</v>
      </c>
      <c r="O470" s="12" t="str">
        <f>CONCATENATE(N470,A470,"\",B470,"\",C470,".jpg")</f>
        <v>C:\Users\mbaptista\OneDrive - Biblioteca Nacional de Portugal\Documentos\python\camoniana\imagens\capas\852331\1\352.jpg</v>
      </c>
      <c r="P470" s="12" t="str">
        <f>HYPERLINK(O470)</f>
        <v>C:\Users\mbaptista\OneDrive - Biblioteca Nacional de Portugal\Documentos\python\camoniana\imagens\capas\852331\1\352.jpg</v>
      </c>
      <c r="Q470" s="12"/>
      <c r="R470" s="6"/>
      <c r="S470" s="12"/>
      <c r="T470" s="1"/>
      <c r="U470" s="13"/>
      <c r="V470" s="13"/>
      <c r="W470" s="5"/>
    </row>
    <row r="471" spans="1:23" ht="225">
      <c r="A471" s="1">
        <v>852331</v>
      </c>
      <c r="B471" s="1">
        <v>1</v>
      </c>
      <c r="C471" s="1">
        <v>355</v>
      </c>
      <c r="D471" s="2" t="s">
        <v>635</v>
      </c>
      <c r="E471" s="11" t="s">
        <v>635</v>
      </c>
      <c r="F471" s="11">
        <v>277145</v>
      </c>
      <c r="G471" s="2" t="s">
        <v>1494</v>
      </c>
      <c r="H471" s="2" t="s">
        <v>1495</v>
      </c>
      <c r="I471" s="2" t="s">
        <v>1496</v>
      </c>
      <c r="J471" s="2" t="str">
        <f>CONCATENATE(G471,F471,H471,C471,I471)</f>
        <v>https://permalinkbnd.bnportugal.gov.pt/viewer/277145/?offset=#page=355&amp;viewer=picture&amp;o=info&amp;n=0&amp;q=</v>
      </c>
      <c r="K471" s="1" t="s">
        <v>636</v>
      </c>
      <c r="L471" s="1" t="str">
        <f>VLOOKUP(A471,Folha2!$A$2:$B$2019,2,FALSE)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1" s="12" t="str">
        <f>HYPERLINK(J471)</f>
        <v>https://permalinkbnd.bnportugal.gov.pt/viewer/277145/?offset=#page=355&amp;viewer=picture&amp;o=info&amp;n=0&amp;q=</v>
      </c>
      <c r="N471" s="12" t="s">
        <v>1497</v>
      </c>
      <c r="O471" s="12" t="str">
        <f>CONCATENATE(N471,A471,"\",B471,"\",C471,".jpg")</f>
        <v>C:\Users\mbaptista\OneDrive - Biblioteca Nacional de Portugal\Documentos\python\camoniana\imagens\capas\852331\1\355.jpg</v>
      </c>
      <c r="P471" s="12" t="str">
        <f>HYPERLINK(O471)</f>
        <v>C:\Users\mbaptista\OneDrive - Biblioteca Nacional de Portugal\Documentos\python\camoniana\imagens\capas\852331\1\355.jpg</v>
      </c>
      <c r="Q471" s="12"/>
      <c r="R471" s="6"/>
      <c r="S471" s="12"/>
      <c r="T471" s="1"/>
      <c r="U471" s="13"/>
      <c r="V471" s="13"/>
      <c r="W471" s="5"/>
    </row>
    <row r="472" spans="1:23" ht="225">
      <c r="A472" s="1">
        <v>852331</v>
      </c>
      <c r="B472" s="1">
        <v>1</v>
      </c>
      <c r="C472" s="1">
        <v>438</v>
      </c>
      <c r="D472" s="2" t="s">
        <v>635</v>
      </c>
      <c r="E472" s="5" t="s">
        <v>635</v>
      </c>
      <c r="F472" s="5">
        <v>277145</v>
      </c>
      <c r="G472" s="2" t="s">
        <v>1494</v>
      </c>
      <c r="H472" s="2" t="s">
        <v>1495</v>
      </c>
      <c r="I472" s="2" t="s">
        <v>1496</v>
      </c>
      <c r="J472" s="2" t="str">
        <f>CONCATENATE(G472,F472,H472,C472,I472)</f>
        <v>https://permalinkbnd.bnportugal.gov.pt/viewer/277145/?offset=#page=438&amp;viewer=picture&amp;o=info&amp;n=0&amp;q=</v>
      </c>
      <c r="K472" s="1" t="s">
        <v>636</v>
      </c>
      <c r="L472" s="1" t="str">
        <f>VLOOKUP(A472,Folha2!$A$2:$B$2019,2,FALSE)</f>
        <v>Joaquim de Araújo (Dir.). Círculo camoniano: revista internacional. V. 1 e 2. Porto. 1889 e 1892. Figuras Femininas [Carolina Michaëlis e Mademoiselle M. M.;  Mademoiselle de Vannoz, tradutora para francês do frag. de Inês de Castro, MM. Tastu]; artigo sobre o Centenário e as exposições.</v>
      </c>
      <c r="M472" s="12" t="str">
        <f>HYPERLINK(J472)</f>
        <v>https://permalinkbnd.bnportugal.gov.pt/viewer/277145/?offset=#page=438&amp;viewer=picture&amp;o=info&amp;n=0&amp;q=</v>
      </c>
      <c r="N472" s="12" t="s">
        <v>1497</v>
      </c>
      <c r="O472" s="12" t="str">
        <f>CONCATENATE(N472,A472,"\",B472,"\",C472,".jpg")</f>
        <v>C:\Users\mbaptista\OneDrive - Biblioteca Nacional de Portugal\Documentos\python\camoniana\imagens\capas\852331\1\438.jpg</v>
      </c>
      <c r="P472" s="12" t="str">
        <f>HYPERLINK(O472)</f>
        <v>C:\Users\mbaptista\OneDrive - Biblioteca Nacional de Portugal\Documentos\python\camoniana\imagens\capas\852331\1\438.jpg</v>
      </c>
      <c r="Q472" s="12"/>
      <c r="R472" s="6"/>
      <c r="S472" s="12"/>
      <c r="T472" s="1"/>
      <c r="U472" s="13"/>
      <c r="V472" s="13"/>
      <c r="W472" s="5"/>
    </row>
    <row r="473" spans="1:23" ht="225">
      <c r="A473" s="1">
        <v>852140</v>
      </c>
      <c r="B473" s="1">
        <v>1</v>
      </c>
      <c r="C473" s="1">
        <v>23</v>
      </c>
      <c r="D473" s="2" t="s">
        <v>641</v>
      </c>
      <c r="E473" s="11" t="s">
        <v>641</v>
      </c>
      <c r="F473" s="11">
        <v>273814</v>
      </c>
      <c r="G473" s="2" t="s">
        <v>1494</v>
      </c>
      <c r="H473" s="2" t="s">
        <v>1495</v>
      </c>
      <c r="I473" s="2" t="s">
        <v>1496</v>
      </c>
      <c r="J473" s="2" t="str">
        <f>CONCATENATE(G473,F473,H473,C473,I473)</f>
        <v>https://permalinkbnd.bnportugal.gov.pt/viewer/273814/?offset=#page=23&amp;viewer=picture&amp;o=info&amp;n=0&amp;q=</v>
      </c>
      <c r="K473" s="1" t="s">
        <v>642</v>
      </c>
      <c r="L473" s="1" t="str">
        <f>VLOOKUP(A473,Folha2!$A$2:$B$2019,2,FALSE)</f>
        <v xml:space="preserve">António de Portugal Faria. Portugal e Itália: ensaio de dicionários bibliográficos. Roma. 1898.  [lista de obras, algumas sobre Camões. ex.: p. X, n.º 32; p. 106, n.os 512-515; imag. de um autógrafo do soneto de Tasso "Vasco da Gama"] </v>
      </c>
      <c r="M473" s="12" t="str">
        <f>HYPERLINK(J473)</f>
        <v>https://permalinkbnd.bnportugal.gov.pt/viewer/273814/?offset=#page=23&amp;viewer=picture&amp;o=info&amp;n=0&amp;q=</v>
      </c>
      <c r="N473" s="12" t="s">
        <v>1497</v>
      </c>
      <c r="O473" s="12" t="str">
        <f>CONCATENATE(N473,A473,"\",B473,"\",C473,".jpg")</f>
        <v>C:\Users\mbaptista\OneDrive - Biblioteca Nacional de Portugal\Documentos\python\camoniana\imagens\capas\852140\1\23.jpg</v>
      </c>
      <c r="P473" s="12" t="str">
        <f>HYPERLINK(O473)</f>
        <v>C:\Users\mbaptista\OneDrive - Biblioteca Nacional de Portugal\Documentos\python\camoniana\imagens\capas\852140\1\23.jpg</v>
      </c>
      <c r="Q473" s="12"/>
      <c r="R473" s="6" t="s">
        <v>644</v>
      </c>
      <c r="S473" s="12"/>
      <c r="T473" s="1" t="s">
        <v>643</v>
      </c>
      <c r="U473" s="13"/>
      <c r="V473" s="13"/>
      <c r="W473" s="5" t="s">
        <v>1491</v>
      </c>
    </row>
    <row r="474" spans="1:23" ht="225">
      <c r="A474" s="1">
        <v>852140</v>
      </c>
      <c r="B474" s="1">
        <v>1</v>
      </c>
      <c r="C474" s="1">
        <v>102</v>
      </c>
      <c r="D474" s="2" t="s">
        <v>641</v>
      </c>
      <c r="E474" s="5" t="s">
        <v>641</v>
      </c>
      <c r="F474" s="5">
        <v>273814</v>
      </c>
      <c r="G474" s="2" t="s">
        <v>1494</v>
      </c>
      <c r="H474" s="2" t="s">
        <v>1495</v>
      </c>
      <c r="I474" s="2" t="s">
        <v>1496</v>
      </c>
      <c r="J474" s="2" t="str">
        <f>CONCATENATE(G474,F474,H474,C474,I474)</f>
        <v>https://permalinkbnd.bnportugal.gov.pt/viewer/273814/?offset=#page=102&amp;viewer=picture&amp;o=info&amp;n=0&amp;q=</v>
      </c>
      <c r="K474" s="1" t="s">
        <v>642</v>
      </c>
      <c r="L474" s="1" t="str">
        <f>VLOOKUP(A474,Folha2!$A$2:$B$2019,2,FALSE)</f>
        <v xml:space="preserve">António de Portugal Faria. Portugal e Itália: ensaio de dicionários bibliográficos. Roma. 1898.  [lista de obras, algumas sobre Camões. ex.: p. X, n.º 32; p. 106, n.os 512-515; imag. de um autógrafo do soneto de Tasso "Vasco da Gama"] </v>
      </c>
      <c r="M474" s="12" t="str">
        <f>HYPERLINK(J474)</f>
        <v>https://permalinkbnd.bnportugal.gov.pt/viewer/273814/?offset=#page=102&amp;viewer=picture&amp;o=info&amp;n=0&amp;q=</v>
      </c>
      <c r="N474" s="12" t="s">
        <v>1497</v>
      </c>
      <c r="O474" s="12" t="str">
        <f>CONCATENATE(N474,A474,"\",B474,"\",C474,".jpg")</f>
        <v>C:\Users\mbaptista\OneDrive - Biblioteca Nacional de Portugal\Documentos\python\camoniana\imagens\capas\852140\1\102.jpg</v>
      </c>
      <c r="P474" s="12" t="str">
        <f>HYPERLINK(O474)</f>
        <v>C:\Users\mbaptista\OneDrive - Biblioteca Nacional de Portugal\Documentos\python\camoniana\imagens\capas\852140\1\102.jpg</v>
      </c>
      <c r="Q474" s="12"/>
      <c r="R474" s="6" t="s">
        <v>645</v>
      </c>
      <c r="S474" s="12"/>
      <c r="T474" s="1" t="s">
        <v>643</v>
      </c>
      <c r="U474" s="13"/>
      <c r="V474" s="13"/>
      <c r="W474" s="5" t="s">
        <v>1491</v>
      </c>
    </row>
    <row r="475" spans="1:23" ht="225">
      <c r="A475" s="1">
        <v>852140</v>
      </c>
      <c r="B475" s="1">
        <v>1</v>
      </c>
      <c r="C475" s="1">
        <v>135</v>
      </c>
      <c r="D475" s="2" t="s">
        <v>641</v>
      </c>
      <c r="E475" s="11" t="s">
        <v>641</v>
      </c>
      <c r="F475" s="11">
        <v>273814</v>
      </c>
      <c r="G475" s="2" t="s">
        <v>1494</v>
      </c>
      <c r="H475" s="2" t="s">
        <v>1495</v>
      </c>
      <c r="I475" s="2" t="s">
        <v>1496</v>
      </c>
      <c r="J475" s="2" t="str">
        <f>CONCATENATE(G475,F475,H475,C475,I475)</f>
        <v>https://permalinkbnd.bnportugal.gov.pt/viewer/273814/?offset=#page=135&amp;viewer=picture&amp;o=info&amp;n=0&amp;q=</v>
      </c>
      <c r="K475" s="1" t="s">
        <v>642</v>
      </c>
      <c r="L475" s="1" t="str">
        <f>VLOOKUP(A475,Folha2!$A$2:$B$2019,2,FALSE)</f>
        <v xml:space="preserve">António de Portugal Faria. Portugal e Itália: ensaio de dicionários bibliográficos. Roma. 1898.  [lista de obras, algumas sobre Camões. ex.: p. X, n.º 32; p. 106, n.os 512-515; imag. de um autógrafo do soneto de Tasso "Vasco da Gama"] </v>
      </c>
      <c r="M475" s="12" t="str">
        <f>HYPERLINK(J475)</f>
        <v>https://permalinkbnd.bnportugal.gov.pt/viewer/273814/?offset=#page=135&amp;viewer=picture&amp;o=info&amp;n=0&amp;q=</v>
      </c>
      <c r="N475" s="12" t="s">
        <v>1497</v>
      </c>
      <c r="O475" s="12" t="str">
        <f>CONCATENATE(N475,A475,"\",B475,"\",C475,".jpg")</f>
        <v>C:\Users\mbaptista\OneDrive - Biblioteca Nacional de Portugal\Documentos\python\camoniana\imagens\capas\852140\1\135.jpg</v>
      </c>
      <c r="P475" s="12" t="str">
        <f>HYPERLINK(O475)</f>
        <v>C:\Users\mbaptista\OneDrive - Biblioteca Nacional de Portugal\Documentos\python\camoniana\imagens\capas\852140\1\135.jpg</v>
      </c>
      <c r="Q475" s="12"/>
      <c r="R475" s="6"/>
      <c r="S475" s="12"/>
      <c r="T475" s="1"/>
      <c r="U475" s="13"/>
      <c r="V475" s="13"/>
      <c r="W475" s="5"/>
    </row>
    <row r="476" spans="1:23" ht="225">
      <c r="A476" s="1">
        <v>852140</v>
      </c>
      <c r="B476" s="1">
        <v>1</v>
      </c>
      <c r="C476" s="1">
        <v>138</v>
      </c>
      <c r="D476" s="2" t="s">
        <v>641</v>
      </c>
      <c r="E476" s="5" t="s">
        <v>641</v>
      </c>
      <c r="F476" s="5">
        <v>273814</v>
      </c>
      <c r="G476" s="2" t="s">
        <v>1494</v>
      </c>
      <c r="H476" s="2" t="s">
        <v>1495</v>
      </c>
      <c r="I476" s="2" t="s">
        <v>1496</v>
      </c>
      <c r="J476" s="2" t="str">
        <f>CONCATENATE(G476,F476,H476,C476,I476)</f>
        <v>https://permalinkbnd.bnportugal.gov.pt/viewer/273814/?offset=#page=138&amp;viewer=picture&amp;o=info&amp;n=0&amp;q=</v>
      </c>
      <c r="K476" s="1" t="s">
        <v>642</v>
      </c>
      <c r="L476" s="1" t="str">
        <f>VLOOKUP(A476,Folha2!$A$2:$B$2019,2,FALSE)</f>
        <v xml:space="preserve">António de Portugal Faria. Portugal e Itália: ensaio de dicionários bibliográficos. Roma. 1898.  [lista de obras, algumas sobre Camões. ex.: p. X, n.º 32; p. 106, n.os 512-515; imag. de um autógrafo do soneto de Tasso "Vasco da Gama"] </v>
      </c>
      <c r="M476" s="12" t="str">
        <f>HYPERLINK(J476)</f>
        <v>https://permalinkbnd.bnportugal.gov.pt/viewer/273814/?offset=#page=138&amp;viewer=picture&amp;o=info&amp;n=0&amp;q=</v>
      </c>
      <c r="N476" s="12" t="s">
        <v>1497</v>
      </c>
      <c r="O476" s="12" t="str">
        <f>CONCATENATE(N476,A476,"\",B476,"\",C476,".jpg")</f>
        <v>C:\Users\mbaptista\OneDrive - Biblioteca Nacional de Portugal\Documentos\python\camoniana\imagens\capas\852140\1\138.jpg</v>
      </c>
      <c r="P476" s="12" t="str">
        <f>HYPERLINK(O476)</f>
        <v>C:\Users\mbaptista\OneDrive - Biblioteca Nacional de Portugal\Documentos\python\camoniana\imagens\capas\852140\1\138.jpg</v>
      </c>
      <c r="Q476" s="12"/>
      <c r="R476" s="6"/>
      <c r="S476" s="12"/>
      <c r="T476" s="1"/>
      <c r="U476" s="13"/>
      <c r="V476" s="13"/>
      <c r="W476" s="5"/>
    </row>
    <row r="477" spans="1:23" ht="225">
      <c r="A477" s="1">
        <v>852140</v>
      </c>
      <c r="B477" s="1">
        <v>1</v>
      </c>
      <c r="C477" s="1">
        <v>143</v>
      </c>
      <c r="D477" s="2" t="s">
        <v>641</v>
      </c>
      <c r="E477" s="11" t="s">
        <v>641</v>
      </c>
      <c r="F477" s="11">
        <v>273814</v>
      </c>
      <c r="G477" s="2" t="s">
        <v>1494</v>
      </c>
      <c r="H477" s="2" t="s">
        <v>1495</v>
      </c>
      <c r="I477" s="2" t="s">
        <v>1496</v>
      </c>
      <c r="J477" s="2" t="str">
        <f>CONCATENATE(G477,F477,H477,C477,I477)</f>
        <v>https://permalinkbnd.bnportugal.gov.pt/viewer/273814/?offset=#page=143&amp;viewer=picture&amp;o=info&amp;n=0&amp;q=</v>
      </c>
      <c r="K477" s="1" t="s">
        <v>642</v>
      </c>
      <c r="L477" s="1" t="str">
        <f>VLOOKUP(A477,Folha2!$A$2:$B$2019,2,FALSE)</f>
        <v xml:space="preserve">António de Portugal Faria. Portugal e Itália: ensaio de dicionários bibliográficos. Roma. 1898.  [lista de obras, algumas sobre Camões. ex.: p. X, n.º 32; p. 106, n.os 512-515; imag. de um autógrafo do soneto de Tasso "Vasco da Gama"] </v>
      </c>
      <c r="M477" s="12" t="str">
        <f>HYPERLINK(J477)</f>
        <v>https://permalinkbnd.bnportugal.gov.pt/viewer/273814/?offset=#page=143&amp;viewer=picture&amp;o=info&amp;n=0&amp;q=</v>
      </c>
      <c r="N477" s="12" t="s">
        <v>1497</v>
      </c>
      <c r="O477" s="12" t="str">
        <f>CONCATENATE(N477,A477,"\",B477,"\",C477,".jpg")</f>
        <v>C:\Users\mbaptista\OneDrive - Biblioteca Nacional de Portugal\Documentos\python\camoniana\imagens\capas\852140\1\143.jpg</v>
      </c>
      <c r="P477" s="12" t="str">
        <f>HYPERLINK(O477)</f>
        <v>C:\Users\mbaptista\OneDrive - Biblioteca Nacional de Portugal\Documentos\python\camoniana\imagens\capas\852140\1\143.jpg</v>
      </c>
      <c r="Q477" s="12"/>
      <c r="R477" s="6"/>
      <c r="S477" s="12"/>
      <c r="T477" s="1"/>
      <c r="U477" s="13"/>
      <c r="V477" s="13"/>
      <c r="W477" s="5"/>
    </row>
    <row r="478" spans="1:23" ht="225">
      <c r="A478" s="1">
        <v>852140</v>
      </c>
      <c r="B478" s="1">
        <v>1</v>
      </c>
      <c r="C478" s="1">
        <v>146</v>
      </c>
      <c r="D478" s="2" t="s">
        <v>641</v>
      </c>
      <c r="E478" s="5" t="s">
        <v>641</v>
      </c>
      <c r="F478" s="5">
        <v>273814</v>
      </c>
      <c r="G478" s="2" t="s">
        <v>1494</v>
      </c>
      <c r="H478" s="2" t="s">
        <v>1495</v>
      </c>
      <c r="I478" s="2" t="s">
        <v>1496</v>
      </c>
      <c r="J478" s="2" t="str">
        <f>CONCATENATE(G478,F478,H478,C478,I478)</f>
        <v>https://permalinkbnd.bnportugal.gov.pt/viewer/273814/?offset=#page=146&amp;viewer=picture&amp;o=info&amp;n=0&amp;q=</v>
      </c>
      <c r="K478" s="1" t="s">
        <v>642</v>
      </c>
      <c r="L478" s="1" t="str">
        <f>VLOOKUP(A478,Folha2!$A$2:$B$2019,2,FALSE)</f>
        <v xml:space="preserve">António de Portugal Faria. Portugal e Itália: ensaio de dicionários bibliográficos. Roma. 1898.  [lista de obras, algumas sobre Camões. ex.: p. X, n.º 32; p. 106, n.os 512-515; imag. de um autógrafo do soneto de Tasso "Vasco da Gama"] </v>
      </c>
      <c r="M478" s="12" t="str">
        <f>HYPERLINK(J478)</f>
        <v>https://permalinkbnd.bnportugal.gov.pt/viewer/273814/?offset=#page=146&amp;viewer=picture&amp;o=info&amp;n=0&amp;q=</v>
      </c>
      <c r="N478" s="12" t="s">
        <v>1497</v>
      </c>
      <c r="O478" s="12" t="str">
        <f>CONCATENATE(N478,A478,"\",B478,"\",C478,".jpg")</f>
        <v>C:\Users\mbaptista\OneDrive - Biblioteca Nacional de Portugal\Documentos\python\camoniana\imagens\capas\852140\1\146.jpg</v>
      </c>
      <c r="P478" s="12" t="str">
        <f>HYPERLINK(O478)</f>
        <v>C:\Users\mbaptista\OneDrive - Biblioteca Nacional de Portugal\Documentos\python\camoniana\imagens\capas\852140\1\146.jpg</v>
      </c>
      <c r="Q478" s="12"/>
      <c r="R478" s="6"/>
      <c r="S478" s="12"/>
      <c r="T478" s="1"/>
      <c r="U478" s="13"/>
      <c r="V478" s="13"/>
      <c r="W478" s="5"/>
    </row>
    <row r="479" spans="1:23" ht="225">
      <c r="A479" s="1">
        <v>852140</v>
      </c>
      <c r="B479" s="1">
        <v>1</v>
      </c>
      <c r="C479" s="1">
        <v>194</v>
      </c>
      <c r="D479" s="2" t="s">
        <v>641</v>
      </c>
      <c r="E479" s="11" t="s">
        <v>641</v>
      </c>
      <c r="F479" s="11">
        <v>273814</v>
      </c>
      <c r="G479" s="2" t="s">
        <v>1494</v>
      </c>
      <c r="H479" s="2" t="s">
        <v>1495</v>
      </c>
      <c r="I479" s="2" t="s">
        <v>1496</v>
      </c>
      <c r="J479" s="2" t="str">
        <f>CONCATENATE(G479,F479,H479,C479,I479)</f>
        <v>https://permalinkbnd.bnportugal.gov.pt/viewer/273814/?offset=#page=194&amp;viewer=picture&amp;o=info&amp;n=0&amp;q=</v>
      </c>
      <c r="K479" s="1" t="s">
        <v>642</v>
      </c>
      <c r="L479" s="1" t="str">
        <f>VLOOKUP(A479,Folha2!$A$2:$B$2019,2,FALSE)</f>
        <v xml:space="preserve">António de Portugal Faria. Portugal e Itália: ensaio de dicionários bibliográficos. Roma. 1898.  [lista de obras, algumas sobre Camões. ex.: p. X, n.º 32; p. 106, n.os 512-515; imag. de um autógrafo do soneto de Tasso "Vasco da Gama"] </v>
      </c>
      <c r="M479" s="12" t="str">
        <f>HYPERLINK(J479)</f>
        <v>https://permalinkbnd.bnportugal.gov.pt/viewer/273814/?offset=#page=194&amp;viewer=picture&amp;o=info&amp;n=0&amp;q=</v>
      </c>
      <c r="N479" s="12" t="s">
        <v>1497</v>
      </c>
      <c r="O479" s="12" t="str">
        <f>CONCATENATE(N479,A479,"\",B479,"\",C479,".jpg")</f>
        <v>C:\Users\mbaptista\OneDrive - Biblioteca Nacional de Portugal\Documentos\python\camoniana\imagens\capas\852140\1\194.jpg</v>
      </c>
      <c r="P479" s="12" t="str">
        <f>HYPERLINK(O479)</f>
        <v>C:\Users\mbaptista\OneDrive - Biblioteca Nacional de Portugal\Documentos\python\camoniana\imagens\capas\852140\1\194.jpg</v>
      </c>
      <c r="Q479" s="12"/>
      <c r="R479" s="6"/>
      <c r="S479" s="12"/>
      <c r="T479" s="1"/>
      <c r="U479" s="13"/>
      <c r="V479" s="13"/>
      <c r="W479" s="5"/>
    </row>
    <row r="480" spans="1:23" ht="225">
      <c r="A480" s="1">
        <v>852140</v>
      </c>
      <c r="B480" s="1">
        <v>1</v>
      </c>
      <c r="C480" s="1">
        <v>198</v>
      </c>
      <c r="D480" s="2" t="s">
        <v>641</v>
      </c>
      <c r="E480" s="5" t="s">
        <v>641</v>
      </c>
      <c r="F480" s="5">
        <v>273814</v>
      </c>
      <c r="G480" s="2" t="s">
        <v>1494</v>
      </c>
      <c r="H480" s="2" t="s">
        <v>1495</v>
      </c>
      <c r="I480" s="2" t="s">
        <v>1496</v>
      </c>
      <c r="J480" s="2" t="str">
        <f>CONCATENATE(G480,F480,H480,C480,I480)</f>
        <v>https://permalinkbnd.bnportugal.gov.pt/viewer/273814/?offset=#page=198&amp;viewer=picture&amp;o=info&amp;n=0&amp;q=</v>
      </c>
      <c r="K480" s="1" t="s">
        <v>642</v>
      </c>
      <c r="L480" s="1" t="str">
        <f>VLOOKUP(A480,Folha2!$A$2:$B$2019,2,FALSE)</f>
        <v xml:space="preserve">António de Portugal Faria. Portugal e Itália: ensaio de dicionários bibliográficos. Roma. 1898.  [lista de obras, algumas sobre Camões. ex.: p. X, n.º 32; p. 106, n.os 512-515; imag. de um autógrafo do soneto de Tasso "Vasco da Gama"] </v>
      </c>
      <c r="M480" s="12" t="str">
        <f>HYPERLINK(J480)</f>
        <v>https://permalinkbnd.bnportugal.gov.pt/viewer/273814/?offset=#page=198&amp;viewer=picture&amp;o=info&amp;n=0&amp;q=</v>
      </c>
      <c r="N480" s="12" t="s">
        <v>1497</v>
      </c>
      <c r="O480" s="12" t="str">
        <f>CONCATENATE(N480,A480,"\",B480,"\",C480,".jpg")</f>
        <v>C:\Users\mbaptista\OneDrive - Biblioteca Nacional de Portugal\Documentos\python\camoniana\imagens\capas\852140\1\198.jpg</v>
      </c>
      <c r="P480" s="12" t="str">
        <f>HYPERLINK(O480)</f>
        <v>C:\Users\mbaptista\OneDrive - Biblioteca Nacional de Portugal\Documentos\python\camoniana\imagens\capas\852140\1\198.jpg</v>
      </c>
      <c r="Q480" s="12"/>
      <c r="R480" s="6" t="s">
        <v>646</v>
      </c>
      <c r="S480" s="12"/>
      <c r="T480" s="1" t="s">
        <v>643</v>
      </c>
      <c r="U480" s="13"/>
      <c r="V480" s="13"/>
      <c r="W480" s="5" t="s">
        <v>1491</v>
      </c>
    </row>
    <row r="481" spans="1:23" ht="225">
      <c r="A481" s="1">
        <v>256620</v>
      </c>
      <c r="B481" s="1">
        <v>1</v>
      </c>
      <c r="C481" s="1">
        <v>8</v>
      </c>
      <c r="D481" s="2" t="s">
        <v>647</v>
      </c>
      <c r="E481" s="11" t="s">
        <v>647</v>
      </c>
      <c r="F481" s="11">
        <v>277150</v>
      </c>
      <c r="G481" s="2" t="s">
        <v>1494</v>
      </c>
      <c r="H481" s="2" t="s">
        <v>1495</v>
      </c>
      <c r="I481" s="2" t="s">
        <v>1496</v>
      </c>
      <c r="J481" s="2" t="str">
        <f>CONCATENATE(G481,F481,H481,C481,I481)</f>
        <v>https://permalinkbnd.bnportugal.gov.pt/viewer/277150/?offset=#page=8&amp;viewer=picture&amp;o=info&amp;n=0&amp;q=</v>
      </c>
      <c r="K481" s="1" t="s">
        <v>648</v>
      </c>
      <c r="L481" s="1" t="str">
        <f>VLOOKUP(A481,Folha2!$A$2:$B$2019,2,FALSE)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1" s="12" t="str">
        <f>HYPERLINK(J481)</f>
        <v>https://permalinkbnd.bnportugal.gov.pt/viewer/277150/?offset=#page=8&amp;viewer=picture&amp;o=info&amp;n=0&amp;q=</v>
      </c>
      <c r="N481" s="12" t="s">
        <v>1497</v>
      </c>
      <c r="O481" s="12" t="str">
        <f>CONCATENATE(N481,A481,"\",B481,"\",C481,".jpg")</f>
        <v>C:\Users\mbaptista\OneDrive - Biblioteca Nacional de Portugal\Documentos\python\camoniana\imagens\capas\256620\1\8.jpg</v>
      </c>
      <c r="P481" s="12" t="str">
        <f>HYPERLINK(O481)</f>
        <v>C:\Users\mbaptista\OneDrive - Biblioteca Nacional de Portugal\Documentos\python\camoniana\imagens\capas\256620\1\8.jpg</v>
      </c>
      <c r="Q481" s="12"/>
      <c r="R481" s="6" t="s">
        <v>650</v>
      </c>
      <c r="S481" s="12"/>
      <c r="T481" s="1" t="s">
        <v>649</v>
      </c>
      <c r="U481" s="13"/>
      <c r="V481" s="13"/>
      <c r="W481" s="5" t="s">
        <v>1491</v>
      </c>
    </row>
    <row r="482" spans="1:23" ht="225">
      <c r="A482" s="1">
        <v>256620</v>
      </c>
      <c r="B482" s="1">
        <v>1</v>
      </c>
      <c r="C482" s="1">
        <v>9</v>
      </c>
      <c r="D482" s="2" t="s">
        <v>647</v>
      </c>
      <c r="E482" s="5" t="s">
        <v>647</v>
      </c>
      <c r="F482" s="5">
        <v>277150</v>
      </c>
      <c r="G482" s="2" t="s">
        <v>1494</v>
      </c>
      <c r="H482" s="2" t="s">
        <v>1495</v>
      </c>
      <c r="I482" s="2" t="s">
        <v>1496</v>
      </c>
      <c r="J482" s="2" t="str">
        <f>CONCATENATE(G482,F482,H482,C482,I482)</f>
        <v>https://permalinkbnd.bnportugal.gov.pt/viewer/277150/?offset=#page=9&amp;viewer=picture&amp;o=info&amp;n=0&amp;q=</v>
      </c>
      <c r="K482" s="1" t="s">
        <v>648</v>
      </c>
      <c r="L482" s="1" t="str">
        <f>VLOOKUP(A482,Folha2!$A$2:$B$2019,2,FALSE)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2" s="12" t="str">
        <f>HYPERLINK(J482)</f>
        <v>https://permalinkbnd.bnportugal.gov.pt/viewer/277150/?offset=#page=9&amp;viewer=picture&amp;o=info&amp;n=0&amp;q=</v>
      </c>
      <c r="N482" s="12" t="s">
        <v>1497</v>
      </c>
      <c r="O482" s="12" t="str">
        <f>CONCATENATE(N482,A482,"\",B482,"\",C482,".jpg")</f>
        <v>C:\Users\mbaptista\OneDrive - Biblioteca Nacional de Portugal\Documentos\python\camoniana\imagens\capas\256620\1\9.jpg</v>
      </c>
      <c r="P482" s="12" t="str">
        <f>HYPERLINK(O482)</f>
        <v>C:\Users\mbaptista\OneDrive - Biblioteca Nacional de Portugal\Documentos\python\camoniana\imagens\capas\256620\1\9.jpg</v>
      </c>
      <c r="Q482" s="12"/>
      <c r="R482" s="6"/>
      <c r="S482" s="12"/>
      <c r="T482" s="1"/>
      <c r="U482" s="13"/>
      <c r="V482" s="13"/>
      <c r="W482" s="5"/>
    </row>
    <row r="483" spans="1:23" ht="225">
      <c r="A483" s="1">
        <v>256620</v>
      </c>
      <c r="B483" s="1">
        <v>1</v>
      </c>
      <c r="C483" s="1">
        <v>59</v>
      </c>
      <c r="D483" s="2" t="s">
        <v>647</v>
      </c>
      <c r="E483" s="11" t="s">
        <v>647</v>
      </c>
      <c r="F483" s="11">
        <v>277150</v>
      </c>
      <c r="G483" s="2" t="s">
        <v>1494</v>
      </c>
      <c r="H483" s="2" t="s">
        <v>1495</v>
      </c>
      <c r="I483" s="2" t="s">
        <v>1496</v>
      </c>
      <c r="J483" s="2" t="str">
        <f>CONCATENATE(G483,F483,H483,C483,I483)</f>
        <v>https://permalinkbnd.bnportugal.gov.pt/viewer/277150/?offset=#page=59&amp;viewer=picture&amp;o=info&amp;n=0&amp;q=</v>
      </c>
      <c r="K483" s="1" t="s">
        <v>648</v>
      </c>
      <c r="L483" s="1" t="str">
        <f>VLOOKUP(A483,Folha2!$A$2:$B$2019,2,FALSE)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3" s="12" t="str">
        <f>HYPERLINK(J483)</f>
        <v>https://permalinkbnd.bnportugal.gov.pt/viewer/277150/?offset=#page=59&amp;viewer=picture&amp;o=info&amp;n=0&amp;q=</v>
      </c>
      <c r="N483" s="12" t="s">
        <v>1497</v>
      </c>
      <c r="O483" s="12" t="str">
        <f>CONCATENATE(N483,A483,"\",B483,"\",C483,".jpg")</f>
        <v>C:\Users\mbaptista\OneDrive - Biblioteca Nacional de Portugal\Documentos\python\camoniana\imagens\capas\256620\1\59.jpg</v>
      </c>
      <c r="P483" s="12" t="str">
        <f>HYPERLINK(O483)</f>
        <v>C:\Users\mbaptista\OneDrive - Biblioteca Nacional de Portugal\Documentos\python\camoniana\imagens\capas\256620\1\59.jpg</v>
      </c>
      <c r="Q483" s="12"/>
      <c r="R483" s="6" t="s">
        <v>651</v>
      </c>
      <c r="S483" s="12"/>
      <c r="T483" s="1" t="s">
        <v>649</v>
      </c>
      <c r="U483" s="13"/>
      <c r="V483" s="13"/>
      <c r="W483" s="5" t="s">
        <v>1491</v>
      </c>
    </row>
    <row r="484" spans="1:23" ht="225">
      <c r="A484" s="1">
        <v>256620</v>
      </c>
      <c r="B484" s="1">
        <v>1</v>
      </c>
      <c r="C484" s="1">
        <v>97</v>
      </c>
      <c r="D484" s="2" t="s">
        <v>647</v>
      </c>
      <c r="E484" s="5" t="s">
        <v>647</v>
      </c>
      <c r="F484" s="5">
        <v>277150</v>
      </c>
      <c r="G484" s="2" t="s">
        <v>1494</v>
      </c>
      <c r="H484" s="2" t="s">
        <v>1495</v>
      </c>
      <c r="I484" s="2" t="s">
        <v>1496</v>
      </c>
      <c r="J484" s="2" t="str">
        <f>CONCATENATE(G484,F484,H484,C484,I484)</f>
        <v>https://permalinkbnd.bnportugal.gov.pt/viewer/277150/?offset=#page=97&amp;viewer=picture&amp;o=info&amp;n=0&amp;q=</v>
      </c>
      <c r="K484" s="1" t="s">
        <v>648</v>
      </c>
      <c r="L484" s="1" t="str">
        <f>VLOOKUP(A484,Folha2!$A$2:$B$2019,2,FALSE)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4" s="12" t="str">
        <f>HYPERLINK(J484)</f>
        <v>https://permalinkbnd.bnportugal.gov.pt/viewer/277150/?offset=#page=97&amp;viewer=picture&amp;o=info&amp;n=0&amp;q=</v>
      </c>
      <c r="N484" s="12" t="s">
        <v>1497</v>
      </c>
      <c r="O484" s="12" t="str">
        <f>CONCATENATE(N484,A484,"\",B484,"\",C484,".jpg")</f>
        <v>C:\Users\mbaptista\OneDrive - Biblioteca Nacional de Portugal\Documentos\python\camoniana\imagens\capas\256620\1\97.jpg</v>
      </c>
      <c r="P484" s="12" t="str">
        <f>HYPERLINK(O484)</f>
        <v>C:\Users\mbaptista\OneDrive - Biblioteca Nacional de Portugal\Documentos\python\camoniana\imagens\capas\256620\1\97.jpg</v>
      </c>
      <c r="Q484" s="12"/>
      <c r="R484" s="6" t="s">
        <v>652</v>
      </c>
      <c r="S484" s="12"/>
      <c r="T484" s="1" t="s">
        <v>649</v>
      </c>
      <c r="U484" s="13"/>
      <c r="V484" s="13"/>
      <c r="W484" s="5" t="s">
        <v>1491</v>
      </c>
    </row>
    <row r="485" spans="1:23" ht="225">
      <c r="A485" s="1">
        <v>256620</v>
      </c>
      <c r="B485" s="1">
        <v>1</v>
      </c>
      <c r="C485" s="1">
        <v>139</v>
      </c>
      <c r="D485" s="2" t="s">
        <v>647</v>
      </c>
      <c r="E485" s="11" t="s">
        <v>647</v>
      </c>
      <c r="F485" s="11">
        <v>277150</v>
      </c>
      <c r="G485" s="2" t="s">
        <v>1494</v>
      </c>
      <c r="H485" s="2" t="s">
        <v>1495</v>
      </c>
      <c r="I485" s="2" t="s">
        <v>1496</v>
      </c>
      <c r="J485" s="2" t="str">
        <f>CONCATENATE(G485,F485,H485,C485,I485)</f>
        <v>https://permalinkbnd.bnportugal.gov.pt/viewer/277150/?offset=#page=139&amp;viewer=picture&amp;o=info&amp;n=0&amp;q=</v>
      </c>
      <c r="K485" s="1" t="s">
        <v>648</v>
      </c>
      <c r="L485" s="1" t="str">
        <f>VLOOKUP(A485,Folha2!$A$2:$B$2019,2,FALSE)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5" s="12" t="str">
        <f>HYPERLINK(J485)</f>
        <v>https://permalinkbnd.bnportugal.gov.pt/viewer/277150/?offset=#page=139&amp;viewer=picture&amp;o=info&amp;n=0&amp;q=</v>
      </c>
      <c r="N485" s="12" t="s">
        <v>1497</v>
      </c>
      <c r="O485" s="12" t="str">
        <f>CONCATENATE(N485,A485,"\",B485,"\",C485,".jpg")</f>
        <v>C:\Users\mbaptista\OneDrive - Biblioteca Nacional de Portugal\Documentos\python\camoniana\imagens\capas\256620\1\139.jpg</v>
      </c>
      <c r="P485" s="12" t="str">
        <f>HYPERLINK(O485)</f>
        <v>C:\Users\mbaptista\OneDrive - Biblioteca Nacional de Portugal\Documentos\python\camoniana\imagens\capas\256620\1\139.jpg</v>
      </c>
      <c r="Q485" s="12"/>
      <c r="R485" s="6" t="s">
        <v>653</v>
      </c>
      <c r="S485" s="12"/>
      <c r="T485" s="1" t="s">
        <v>649</v>
      </c>
      <c r="U485" s="13"/>
      <c r="V485" s="13"/>
      <c r="W485" s="5" t="s">
        <v>1491</v>
      </c>
    </row>
    <row r="486" spans="1:23" ht="225">
      <c r="A486" s="1">
        <v>256620</v>
      </c>
      <c r="B486" s="1">
        <v>1</v>
      </c>
      <c r="C486" s="1">
        <v>191</v>
      </c>
      <c r="D486" s="2" t="s">
        <v>647</v>
      </c>
      <c r="E486" s="5" t="s">
        <v>647</v>
      </c>
      <c r="F486" s="5">
        <v>277150</v>
      </c>
      <c r="G486" s="2" t="s">
        <v>1494</v>
      </c>
      <c r="H486" s="2" t="s">
        <v>1495</v>
      </c>
      <c r="I486" s="2" t="s">
        <v>1496</v>
      </c>
      <c r="J486" s="2" t="str">
        <f>CONCATENATE(G486,F486,H486,C486,I486)</f>
        <v>https://permalinkbnd.bnportugal.gov.pt/viewer/277150/?offset=#page=191&amp;viewer=picture&amp;o=info&amp;n=0&amp;q=</v>
      </c>
      <c r="K486" s="1" t="s">
        <v>648</v>
      </c>
      <c r="L486" s="1" t="str">
        <f>VLOOKUP(A486,Folha2!$A$2:$B$2019,2,FALSE)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6" s="12" t="str">
        <f>HYPERLINK(J486)</f>
        <v>https://permalinkbnd.bnportugal.gov.pt/viewer/277150/?offset=#page=191&amp;viewer=picture&amp;o=info&amp;n=0&amp;q=</v>
      </c>
      <c r="N486" s="12" t="s">
        <v>1497</v>
      </c>
      <c r="O486" s="12" t="str">
        <f>CONCATENATE(N486,A486,"\",B486,"\",C486,".jpg")</f>
        <v>C:\Users\mbaptista\OneDrive - Biblioteca Nacional de Portugal\Documentos\python\camoniana\imagens\capas\256620\1\191.jpg</v>
      </c>
      <c r="P486" s="12" t="str">
        <f>HYPERLINK(O486)</f>
        <v>C:\Users\mbaptista\OneDrive - Biblioteca Nacional de Portugal\Documentos\python\camoniana\imagens\capas\256620\1\191.jpg</v>
      </c>
      <c r="Q486" s="12"/>
      <c r="R486" s="6" t="s">
        <v>654</v>
      </c>
      <c r="S486" s="12"/>
      <c r="T486" s="1" t="s">
        <v>649</v>
      </c>
      <c r="U486" s="13"/>
      <c r="V486" s="13"/>
      <c r="W486" s="5" t="s">
        <v>1491</v>
      </c>
    </row>
    <row r="487" spans="1:23" ht="225">
      <c r="A487" s="1">
        <v>256620</v>
      </c>
      <c r="B487" s="1">
        <v>1</v>
      </c>
      <c r="C487" s="1">
        <v>229</v>
      </c>
      <c r="D487" s="2" t="s">
        <v>647</v>
      </c>
      <c r="E487" s="11" t="s">
        <v>647</v>
      </c>
      <c r="F487" s="11">
        <v>277150</v>
      </c>
      <c r="G487" s="2" t="s">
        <v>1494</v>
      </c>
      <c r="H487" s="2" t="s">
        <v>1495</v>
      </c>
      <c r="I487" s="2" t="s">
        <v>1496</v>
      </c>
      <c r="J487" s="2" t="str">
        <f>CONCATENATE(G487,F487,H487,C487,I487)</f>
        <v>https://permalinkbnd.bnportugal.gov.pt/viewer/277150/?offset=#page=229&amp;viewer=picture&amp;o=info&amp;n=0&amp;q=</v>
      </c>
      <c r="K487" s="1" t="s">
        <v>648</v>
      </c>
      <c r="L487" s="1" t="str">
        <f>VLOOKUP(A487,Folha2!$A$2:$B$2019,2,FALSE)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7" s="12" t="str">
        <f>HYPERLINK(J487)</f>
        <v>https://permalinkbnd.bnportugal.gov.pt/viewer/277150/?offset=#page=229&amp;viewer=picture&amp;o=info&amp;n=0&amp;q=</v>
      </c>
      <c r="N487" s="12" t="s">
        <v>1497</v>
      </c>
      <c r="O487" s="12" t="str">
        <f>CONCATENATE(N487,A487,"\",B487,"\",C487,".jpg")</f>
        <v>C:\Users\mbaptista\OneDrive - Biblioteca Nacional de Portugal\Documentos\python\camoniana\imagens\capas\256620\1\229.jpg</v>
      </c>
      <c r="P487" s="12" t="str">
        <f>HYPERLINK(O487)</f>
        <v>C:\Users\mbaptista\OneDrive - Biblioteca Nacional de Portugal\Documentos\python\camoniana\imagens\capas\256620\1\229.jpg</v>
      </c>
      <c r="Q487" s="12"/>
      <c r="R487" s="6" t="s">
        <v>655</v>
      </c>
      <c r="S487" s="12"/>
      <c r="T487" s="1" t="s">
        <v>649</v>
      </c>
      <c r="U487" s="13"/>
      <c r="V487" s="13"/>
      <c r="W487" s="5" t="s">
        <v>1491</v>
      </c>
    </row>
    <row r="488" spans="1:23" ht="225">
      <c r="A488" s="1">
        <v>256620</v>
      </c>
      <c r="B488" s="1">
        <v>1</v>
      </c>
      <c r="C488" s="1">
        <v>265</v>
      </c>
      <c r="D488" s="2" t="s">
        <v>647</v>
      </c>
      <c r="E488" s="5" t="s">
        <v>647</v>
      </c>
      <c r="F488" s="5">
        <v>277150</v>
      </c>
      <c r="G488" s="2" t="s">
        <v>1494</v>
      </c>
      <c r="H488" s="2" t="s">
        <v>1495</v>
      </c>
      <c r="I488" s="2" t="s">
        <v>1496</v>
      </c>
      <c r="J488" s="2" t="str">
        <f>CONCATENATE(G488,F488,H488,C488,I488)</f>
        <v>https://permalinkbnd.bnportugal.gov.pt/viewer/277150/?offset=#page=265&amp;viewer=picture&amp;o=info&amp;n=0&amp;q=</v>
      </c>
      <c r="K488" s="1" t="s">
        <v>648</v>
      </c>
      <c r="L488" s="1" t="str">
        <f>VLOOKUP(A488,Folha2!$A$2:$B$2019,2,FALSE)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8" s="12" t="str">
        <f>HYPERLINK(J488)</f>
        <v>https://permalinkbnd.bnportugal.gov.pt/viewer/277150/?offset=#page=265&amp;viewer=picture&amp;o=info&amp;n=0&amp;q=</v>
      </c>
      <c r="N488" s="12" t="s">
        <v>1497</v>
      </c>
      <c r="O488" s="12" t="str">
        <f>CONCATENATE(N488,A488,"\",B488,"\",C488,".jpg")</f>
        <v>C:\Users\mbaptista\OneDrive - Biblioteca Nacional de Portugal\Documentos\python\camoniana\imagens\capas\256620\1\265.jpg</v>
      </c>
      <c r="P488" s="12" t="str">
        <f>HYPERLINK(O488)</f>
        <v>C:\Users\mbaptista\OneDrive - Biblioteca Nacional de Portugal\Documentos\python\camoniana\imagens\capas\256620\1\265.jpg</v>
      </c>
      <c r="Q488" s="12"/>
      <c r="R488" s="6" t="s">
        <v>656</v>
      </c>
      <c r="S488" s="12"/>
      <c r="T488" s="1" t="s">
        <v>649</v>
      </c>
      <c r="U488" s="13"/>
      <c r="V488" s="13"/>
      <c r="W488" s="5" t="s">
        <v>1491</v>
      </c>
    </row>
    <row r="489" spans="1:23" ht="225">
      <c r="A489" s="1">
        <v>256620</v>
      </c>
      <c r="B489" s="1">
        <v>1</v>
      </c>
      <c r="C489" s="1">
        <v>301</v>
      </c>
      <c r="D489" s="2" t="s">
        <v>647</v>
      </c>
      <c r="E489" s="11" t="s">
        <v>647</v>
      </c>
      <c r="F489" s="11">
        <v>277150</v>
      </c>
      <c r="G489" s="2" t="s">
        <v>1494</v>
      </c>
      <c r="H489" s="2" t="s">
        <v>1495</v>
      </c>
      <c r="I489" s="2" t="s">
        <v>1496</v>
      </c>
      <c r="J489" s="2" t="str">
        <f>CONCATENATE(G489,F489,H489,C489,I489)</f>
        <v>https://permalinkbnd.bnportugal.gov.pt/viewer/277150/?offset=#page=301&amp;viewer=picture&amp;o=info&amp;n=0&amp;q=</v>
      </c>
      <c r="K489" s="1" t="s">
        <v>648</v>
      </c>
      <c r="L489" s="1" t="str">
        <f>VLOOKUP(A489,Folha2!$A$2:$B$2019,2,FALSE)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89" s="12" t="str">
        <f>HYPERLINK(J489)</f>
        <v>https://permalinkbnd.bnportugal.gov.pt/viewer/277150/?offset=#page=301&amp;viewer=picture&amp;o=info&amp;n=0&amp;q=</v>
      </c>
      <c r="N489" s="12" t="s">
        <v>1497</v>
      </c>
      <c r="O489" s="12" t="str">
        <f>CONCATENATE(N489,A489,"\",B489,"\",C489,".jpg")</f>
        <v>C:\Users\mbaptista\OneDrive - Biblioteca Nacional de Portugal\Documentos\python\camoniana\imagens\capas\256620\1\301.jpg</v>
      </c>
      <c r="P489" s="12" t="str">
        <f>HYPERLINK(O489)</f>
        <v>C:\Users\mbaptista\OneDrive - Biblioteca Nacional de Portugal\Documentos\python\camoniana\imagens\capas\256620\1\301.jpg</v>
      </c>
      <c r="Q489" s="12"/>
      <c r="R489" s="6" t="s">
        <v>657</v>
      </c>
      <c r="S489" s="12"/>
      <c r="T489" s="1" t="s">
        <v>649</v>
      </c>
      <c r="U489" s="13"/>
      <c r="V489" s="13"/>
      <c r="W489" s="5" t="s">
        <v>1491</v>
      </c>
    </row>
    <row r="490" spans="1:23" ht="225">
      <c r="A490" s="1">
        <v>256620</v>
      </c>
      <c r="B490" s="1">
        <v>1</v>
      </c>
      <c r="C490" s="1">
        <v>333</v>
      </c>
      <c r="D490" s="2" t="s">
        <v>647</v>
      </c>
      <c r="E490" s="5" t="s">
        <v>647</v>
      </c>
      <c r="F490" s="5">
        <v>277150</v>
      </c>
      <c r="G490" s="2" t="s">
        <v>1494</v>
      </c>
      <c r="H490" s="2" t="s">
        <v>1495</v>
      </c>
      <c r="I490" s="2" t="s">
        <v>1496</v>
      </c>
      <c r="J490" s="2" t="str">
        <f>CONCATENATE(G490,F490,H490,C490,I490)</f>
        <v>https://permalinkbnd.bnportugal.gov.pt/viewer/277150/?offset=#page=333&amp;viewer=picture&amp;o=info&amp;n=0&amp;q=</v>
      </c>
      <c r="K490" s="1" t="s">
        <v>648</v>
      </c>
      <c r="L490" s="1" t="str">
        <f>VLOOKUP(A490,Folha2!$A$2:$B$2019,2,FALSE)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0" s="12" t="str">
        <f>HYPERLINK(J490)</f>
        <v>https://permalinkbnd.bnportugal.gov.pt/viewer/277150/?offset=#page=333&amp;viewer=picture&amp;o=info&amp;n=0&amp;q=</v>
      </c>
      <c r="N490" s="12" t="s">
        <v>1497</v>
      </c>
      <c r="O490" s="12" t="str">
        <f>CONCATENATE(N490,A490,"\",B490,"\",C490,".jpg")</f>
        <v>C:\Users\mbaptista\OneDrive - Biblioteca Nacional de Portugal\Documentos\python\camoniana\imagens\capas\256620\1\333.jpg</v>
      </c>
      <c r="P490" s="12" t="str">
        <f>HYPERLINK(O490)</f>
        <v>C:\Users\mbaptista\OneDrive - Biblioteca Nacional de Portugal\Documentos\python\camoniana\imagens\capas\256620\1\333.jpg</v>
      </c>
      <c r="Q490" s="12"/>
      <c r="R490" s="6" t="s">
        <v>658</v>
      </c>
      <c r="S490" s="12"/>
      <c r="T490" s="1" t="s">
        <v>649</v>
      </c>
      <c r="U490" s="13"/>
      <c r="V490" s="13"/>
      <c r="W490" s="5" t="s">
        <v>1491</v>
      </c>
    </row>
    <row r="491" spans="1:23" ht="225">
      <c r="A491" s="1">
        <v>256620</v>
      </c>
      <c r="B491" s="1">
        <v>1</v>
      </c>
      <c r="C491" s="1">
        <v>369</v>
      </c>
      <c r="D491" s="2" t="s">
        <v>647</v>
      </c>
      <c r="E491" s="11" t="s">
        <v>647</v>
      </c>
      <c r="F491" s="11">
        <v>277150</v>
      </c>
      <c r="G491" s="2" t="s">
        <v>1494</v>
      </c>
      <c r="H491" s="2" t="s">
        <v>1495</v>
      </c>
      <c r="I491" s="2" t="s">
        <v>1496</v>
      </c>
      <c r="J491" s="2" t="str">
        <f>CONCATENATE(G491,F491,H491,C491,I491)</f>
        <v>https://permalinkbnd.bnportugal.gov.pt/viewer/277150/?offset=#page=369&amp;viewer=picture&amp;o=info&amp;n=0&amp;q=</v>
      </c>
      <c r="K491" s="1" t="s">
        <v>648</v>
      </c>
      <c r="L491" s="1" t="str">
        <f>VLOOKUP(A491,Folha2!$A$2:$B$2019,2,FALSE)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1" s="12" t="str">
        <f>HYPERLINK(J491)</f>
        <v>https://permalinkbnd.bnportugal.gov.pt/viewer/277150/?offset=#page=369&amp;viewer=picture&amp;o=info&amp;n=0&amp;q=</v>
      </c>
      <c r="N491" s="12" t="s">
        <v>1497</v>
      </c>
      <c r="O491" s="12" t="str">
        <f>CONCATENATE(N491,A491,"\",B491,"\",C491,".jpg")</f>
        <v>C:\Users\mbaptista\OneDrive - Biblioteca Nacional de Portugal\Documentos\python\camoniana\imagens\capas\256620\1\369.jpg</v>
      </c>
      <c r="P491" s="12" t="str">
        <f>HYPERLINK(O491)</f>
        <v>C:\Users\mbaptista\OneDrive - Biblioteca Nacional de Portugal\Documentos\python\camoniana\imagens\capas\256620\1\369.jpg</v>
      </c>
      <c r="Q491" s="12"/>
      <c r="R491" s="6" t="s">
        <v>659</v>
      </c>
      <c r="S491" s="12"/>
      <c r="T491" s="1" t="s">
        <v>649</v>
      </c>
      <c r="U491" s="13"/>
      <c r="V491" s="13"/>
      <c r="W491" s="5" t="s">
        <v>1491</v>
      </c>
    </row>
    <row r="492" spans="1:23" ht="225">
      <c r="A492" s="1">
        <v>256620</v>
      </c>
      <c r="B492" s="1">
        <v>1</v>
      </c>
      <c r="C492" s="1">
        <v>405</v>
      </c>
      <c r="D492" s="2" t="s">
        <v>647</v>
      </c>
      <c r="E492" s="5" t="s">
        <v>647</v>
      </c>
      <c r="F492" s="5">
        <v>277150</v>
      </c>
      <c r="G492" s="2" t="s">
        <v>1494</v>
      </c>
      <c r="H492" s="2" t="s">
        <v>1495</v>
      </c>
      <c r="I492" s="2" t="s">
        <v>1496</v>
      </c>
      <c r="J492" s="2" t="str">
        <f>CONCATENATE(G492,F492,H492,C492,I492)</f>
        <v>https://permalinkbnd.bnportugal.gov.pt/viewer/277150/?offset=#page=405&amp;viewer=picture&amp;o=info&amp;n=0&amp;q=</v>
      </c>
      <c r="K492" s="1" t="s">
        <v>648</v>
      </c>
      <c r="L492" s="1" t="str">
        <f>VLOOKUP(A492,Folha2!$A$2:$B$2019,2,FALSE)</f>
        <v>Os Lusiadas / poema epico de Luis de Camões. - Nova edição conforme á de 1817, in-4º de Dom José de Souza Botelho Morgado de Matteus / correcta e dada á luz por Paulino de Souza Bacharel em sciencias. - Pariz : em Casa de Vª J-P. Aillaud, Guillard e Cª 47, Rua Saint-André-des-Arts, 47, 1873. Paratextos vida e Paratextos argumentos.</v>
      </c>
      <c r="M492" s="12" t="str">
        <f>HYPERLINK(J492)</f>
        <v>https://permalinkbnd.bnportugal.gov.pt/viewer/277150/?offset=#page=405&amp;viewer=picture&amp;o=info&amp;n=0&amp;q=</v>
      </c>
      <c r="N492" s="12" t="s">
        <v>1497</v>
      </c>
      <c r="O492" s="12" t="str">
        <f>CONCATENATE(N492,A492,"\",B492,"\",C492,".jpg")</f>
        <v>C:\Users\mbaptista\OneDrive - Biblioteca Nacional de Portugal\Documentos\python\camoniana\imagens\capas\256620\1\405.jpg</v>
      </c>
      <c r="P492" s="12" t="str">
        <f>HYPERLINK(O492)</f>
        <v>C:\Users\mbaptista\OneDrive - Biblioteca Nacional de Portugal\Documentos\python\camoniana\imagens\capas\256620\1\405.jpg</v>
      </c>
      <c r="Q492" s="12"/>
      <c r="R492" s="6" t="s">
        <v>660</v>
      </c>
      <c r="S492" s="12"/>
      <c r="T492" s="1" t="s">
        <v>649</v>
      </c>
      <c r="U492" s="13"/>
      <c r="V492" s="13"/>
      <c r="W492" s="5" t="s">
        <v>1491</v>
      </c>
    </row>
    <row r="493" spans="1:23" ht="225">
      <c r="A493" s="1">
        <v>257364</v>
      </c>
      <c r="B493" s="1">
        <v>1</v>
      </c>
      <c r="C493" s="1">
        <v>6</v>
      </c>
      <c r="D493" s="2" t="s">
        <v>661</v>
      </c>
      <c r="E493" s="11" t="s">
        <v>661</v>
      </c>
      <c r="F493" s="11">
        <v>281138</v>
      </c>
      <c r="G493" s="2" t="s">
        <v>1494</v>
      </c>
      <c r="H493" s="2" t="s">
        <v>1495</v>
      </c>
      <c r="I493" s="2" t="s">
        <v>1496</v>
      </c>
      <c r="J493" s="2" t="str">
        <f>CONCATENATE(G493,F493,H493,C493,I493)</f>
        <v>https://permalinkbnd.bnportugal.gov.pt/viewer/281138/?offset=#page=6&amp;viewer=picture&amp;o=info&amp;n=0&amp;q=</v>
      </c>
      <c r="K493" s="1" t="s">
        <v>662</v>
      </c>
      <c r="L493" s="1" t="str">
        <f>VLOOKUP(A493,Folha2!$A$2:$B$2019,2,FALSE)</f>
        <v>Os Lusiadas / poema epico de Luiz de Camões. - Nova edição popular conforme á segunda de 1572 augmentada com a vida do poeta e com um glossario dos nomes proprios. - Lisboa : Rolland &amp; Semiond, 1875. Paratextos vida e Paratextos argumentos. Cf. obra truncada ou incompleta no original? Falta argumento do Canto I, que começa na estância III. Sara: Não consigo visualizar a obra digitalizada, os links da "cópia pública" e da "cópia pública em pdf" não abrem. 🙁 No entanto, dada a questão aqui colocada, verifica-se, de facto, que a obra original contém página de argumento do Canto I (pág. 2) e contém a página seguinte com est. I e II do referido canto. Pelo que me parece, falta digitalizar essas duas páginas.</v>
      </c>
      <c r="M493" s="12" t="str">
        <f>HYPERLINK(J493)</f>
        <v>https://permalinkbnd.bnportugal.gov.pt/viewer/281138/?offset=#page=6&amp;viewer=picture&amp;o=info&amp;n=0&amp;q=</v>
      </c>
      <c r="N493" s="12" t="s">
        <v>1497</v>
      </c>
      <c r="O493" s="12" t="str">
        <f>CONCATENATE(N493,A493,"\",B493,"\",C493,".jpg")</f>
        <v>C:\Users\mbaptista\OneDrive - Biblioteca Nacional de Portugal\Documentos\python\camoniana\imagens\capas\257364\1\6.jpg</v>
      </c>
      <c r="P493" s="12" t="str">
        <f>HYPERLINK(O493)</f>
        <v>C:\Users\mbaptista\OneDrive - Biblioteca Nacional de Portugal\Documentos\python\camoniana\imagens\capas\257364\1\6.jpg</v>
      </c>
      <c r="Q493" s="12"/>
      <c r="R493" s="6" t="s">
        <v>663</v>
      </c>
      <c r="S493" s="12"/>
      <c r="T493" s="1">
        <v>6</v>
      </c>
      <c r="U493" s="13"/>
      <c r="V493" s="13"/>
      <c r="W493" s="5" t="s">
        <v>1491</v>
      </c>
    </row>
    <row r="494" spans="1:23" ht="225">
      <c r="A494" s="1">
        <v>196562</v>
      </c>
      <c r="B494" s="1">
        <v>1</v>
      </c>
      <c r="C494" s="1">
        <v>11</v>
      </c>
      <c r="D494" s="2" t="s">
        <v>664</v>
      </c>
      <c r="E494" s="5" t="s">
        <v>664</v>
      </c>
      <c r="F494" s="5">
        <v>1892</v>
      </c>
      <c r="G494" s="2" t="s">
        <v>1494</v>
      </c>
      <c r="H494" s="2" t="s">
        <v>1495</v>
      </c>
      <c r="I494" s="2" t="s">
        <v>1496</v>
      </c>
      <c r="J494" s="2" t="str">
        <f>CONCATENATE(G494,F494,H494,C494,I494)</f>
        <v>https://permalinkbnd.bnportugal.gov.pt/viewer/1892/?offset=#page=11&amp;viewer=picture&amp;o=info&amp;n=0&amp;q=</v>
      </c>
      <c r="K494" s="1">
        <v>11</v>
      </c>
      <c r="L494" s="1" t="str">
        <f>VLOOKUP(A494,Folha2!$A$2:$B$2019,2,FALSE)</f>
        <v>O anniversario do passamento de Luis de Camões no anno de 1892 : ao nobre Conde de Samodães.... - Porto : Typographia Central, 1892. Opúsculo que refere Tricentenário e contém o discurso do Conde, cf. Im. 19. Celebrações (1880), recepção criativa, tematização, poema "O vulto de Camões" da autoria de Araújo e Silva, cf. Im. 27, entre outros.</v>
      </c>
      <c r="M494" s="12" t="str">
        <f>HYPERLINK(J494)</f>
        <v>https://permalinkbnd.bnportugal.gov.pt/viewer/1892/?offset=#page=11&amp;viewer=picture&amp;o=info&amp;n=0&amp;q=</v>
      </c>
      <c r="N494" s="12" t="s">
        <v>1497</v>
      </c>
      <c r="O494" s="12" t="str">
        <f>CONCATENATE(N494,A494,"\",B494,"\",C494,".jpg")</f>
        <v>C:\Users\mbaptista\OneDrive - Biblioteca Nacional de Portugal\Documentos\python\camoniana\imagens\capas\196562\1\11.jpg</v>
      </c>
      <c r="P494" s="12" t="str">
        <f>HYPERLINK(O494)</f>
        <v>C:\Users\mbaptista\OneDrive - Biblioteca Nacional de Portugal\Documentos\python\camoniana\imagens\capas\196562\1\11.jpg</v>
      </c>
      <c r="Q494" s="12"/>
      <c r="R494" s="6" t="s">
        <v>665</v>
      </c>
      <c r="S494" s="12"/>
      <c r="T494" s="1">
        <v>11</v>
      </c>
      <c r="U494" s="13"/>
      <c r="V494" s="13"/>
      <c r="W494" s="5" t="s">
        <v>1491</v>
      </c>
    </row>
    <row r="495" spans="1:23" ht="225">
      <c r="A495" s="1">
        <v>257368</v>
      </c>
      <c r="B495" s="1">
        <v>1</v>
      </c>
      <c r="C495" s="1">
        <v>6</v>
      </c>
      <c r="D495" s="2" t="s">
        <v>666</v>
      </c>
      <c r="E495" s="11" t="s">
        <v>666</v>
      </c>
      <c r="F495" s="11">
        <v>277143</v>
      </c>
      <c r="G495" s="2" t="s">
        <v>1494</v>
      </c>
      <c r="H495" s="2" t="s">
        <v>1495</v>
      </c>
      <c r="I495" s="2" t="s">
        <v>1496</v>
      </c>
      <c r="J495" s="2" t="str">
        <f>CONCATENATE(G495,F495,H495,C495,I495)</f>
        <v>https://permalinkbnd.bnportugal.gov.pt/viewer/277143/?offset=#page=6&amp;viewer=picture&amp;o=info&amp;n=0&amp;q=</v>
      </c>
      <c r="K495" s="1" t="s">
        <v>667</v>
      </c>
      <c r="L495" s="1" t="str">
        <f>VLOOKUP(A495,Folha2!$A$2:$B$2019,2,FALSE)</f>
        <v>Os Lusiadas / poema epico de Luiz de Camões. - Nova edição cuidadosamente revista e conforme ás de 1572, precedida da biographia do poeta e seguida de um diccionario dos nomes proprios. - Lisboa : Livraria de Antonio Maria Pereira, 1876 (Imprensa Nacional). Paratextos vida e Paratextos argumentos.</v>
      </c>
      <c r="M495" s="12" t="str">
        <f>HYPERLINK(J495)</f>
        <v>https://permalinkbnd.bnportugal.gov.pt/viewer/277143/?offset=#page=6&amp;viewer=picture&amp;o=info&amp;n=0&amp;q=</v>
      </c>
      <c r="N495" s="12" t="s">
        <v>1497</v>
      </c>
      <c r="O495" s="12" t="str">
        <f>CONCATENATE(N495,A495,"\",B495,"\",C495,".jpg")</f>
        <v>C:\Users\mbaptista\OneDrive - Biblioteca Nacional de Portugal\Documentos\python\camoniana\imagens\capas\257368\1\6.jpg</v>
      </c>
      <c r="P495" s="12" t="str">
        <f>HYPERLINK(O495)</f>
        <v>C:\Users\mbaptista\OneDrive - Biblioteca Nacional de Portugal\Documentos\python\camoniana\imagens\capas\257368\1\6.jpg</v>
      </c>
      <c r="Q495" s="12"/>
      <c r="R495" s="6" t="s">
        <v>668</v>
      </c>
      <c r="S495" s="12"/>
      <c r="T495" s="1">
        <v>6</v>
      </c>
      <c r="U495" s="13"/>
      <c r="V495" s="13"/>
      <c r="W495" s="5" t="s">
        <v>1491</v>
      </c>
    </row>
    <row r="496" spans="1:23" ht="225">
      <c r="A496" s="1">
        <v>257404</v>
      </c>
      <c r="B496" s="1">
        <v>1</v>
      </c>
      <c r="C496" s="1">
        <v>6</v>
      </c>
      <c r="D496" s="2" t="s">
        <v>669</v>
      </c>
      <c r="E496" s="5" t="s">
        <v>669</v>
      </c>
      <c r="F496" s="5">
        <v>277149</v>
      </c>
      <c r="G496" s="2" t="s">
        <v>1494</v>
      </c>
      <c r="H496" s="2" t="s">
        <v>1495</v>
      </c>
      <c r="I496" s="2" t="s">
        <v>1496</v>
      </c>
      <c r="J496" s="2" t="str">
        <f>CONCATENATE(G496,F496,H496,C496,I496)</f>
        <v>https://permalinkbnd.bnportugal.gov.pt/viewer/277149/?offset=#page=6&amp;viewer=picture&amp;o=info&amp;n=0&amp;q=</v>
      </c>
      <c r="K496" s="1" t="s">
        <v>670</v>
      </c>
      <c r="L496" s="1" t="str">
        <f>VLOOKUP(A496,Folha2!$A$2:$B$2019,2,FALSE)</f>
        <v>Os Lusiadas / poema epico de Luiz de Camões. - Nova edição com um Diccionario dos nomes proprios usados no mesmo poema. - Porto : em Casa de A. R. da Cruz Coutinho, 1880. Paratextos vida e Paratextos argumentos.</v>
      </c>
      <c r="M496" s="12" t="str">
        <f>HYPERLINK(J496)</f>
        <v>https://permalinkbnd.bnportugal.gov.pt/viewer/277149/?offset=#page=6&amp;viewer=picture&amp;o=info&amp;n=0&amp;q=</v>
      </c>
      <c r="N496" s="12" t="s">
        <v>1497</v>
      </c>
      <c r="O496" s="12" t="str">
        <f>CONCATENATE(N496,A496,"\",B496,"\",C496,".jpg")</f>
        <v>C:\Users\mbaptista\OneDrive - Biblioteca Nacional de Portugal\Documentos\python\camoniana\imagens\capas\257404\1\6.jpg</v>
      </c>
      <c r="P496" s="12" t="str">
        <f>HYPERLINK(O496)</f>
        <v>C:\Users\mbaptista\OneDrive - Biblioteca Nacional de Portugal\Documentos\python\camoniana\imagens\capas\257404\1\6.jpg</v>
      </c>
      <c r="Q496" s="12"/>
      <c r="R496" s="6" t="s">
        <v>672</v>
      </c>
      <c r="S496" s="12"/>
      <c r="T496" s="1" t="s">
        <v>671</v>
      </c>
      <c r="U496" s="13"/>
      <c r="V496" s="13"/>
      <c r="W496" s="5" t="s">
        <v>1491</v>
      </c>
    </row>
    <row r="497" spans="1:23" ht="225">
      <c r="A497" s="1">
        <v>257404</v>
      </c>
      <c r="B497" s="1">
        <v>1</v>
      </c>
      <c r="C497" s="1">
        <v>250</v>
      </c>
      <c r="D497" s="2" t="s">
        <v>669</v>
      </c>
      <c r="E497" s="11" t="s">
        <v>669</v>
      </c>
      <c r="F497" s="11">
        <v>277149</v>
      </c>
      <c r="G497" s="2" t="s">
        <v>1494</v>
      </c>
      <c r="H497" s="2" t="s">
        <v>1495</v>
      </c>
      <c r="I497" s="2" t="s">
        <v>1496</v>
      </c>
      <c r="J497" s="2" t="str">
        <f>CONCATENATE(G497,F497,H497,C497,I497)</f>
        <v>https://permalinkbnd.bnportugal.gov.pt/viewer/277149/?offset=#page=250&amp;viewer=picture&amp;o=info&amp;n=0&amp;q=</v>
      </c>
      <c r="K497" s="1" t="s">
        <v>670</v>
      </c>
      <c r="L497" s="1" t="str">
        <f>VLOOKUP(A497,Folha2!$A$2:$B$2019,2,FALSE)</f>
        <v>Os Lusiadas / poema epico de Luiz de Camões. - Nova edição com um Diccionario dos nomes proprios usados no mesmo poema. - Porto : em Casa de A. R. da Cruz Coutinho, 1880. Paratextos vida e Paratextos argumentos.</v>
      </c>
      <c r="M497" s="12" t="str">
        <f>HYPERLINK(J497)</f>
        <v>https://permalinkbnd.bnportugal.gov.pt/viewer/277149/?offset=#page=250&amp;viewer=picture&amp;o=info&amp;n=0&amp;q=</v>
      </c>
      <c r="N497" s="12" t="s">
        <v>1497</v>
      </c>
      <c r="O497" s="12" t="str">
        <f>CONCATENATE(N497,A497,"\",B497,"\",C497,".jpg")</f>
        <v>C:\Users\mbaptista\OneDrive - Biblioteca Nacional de Portugal\Documentos\python\camoniana\imagens\capas\257404\1\250.jpg</v>
      </c>
      <c r="P497" s="12" t="str">
        <f>HYPERLINK(O497)</f>
        <v>C:\Users\mbaptista\OneDrive - Biblioteca Nacional de Portugal\Documentos\python\camoniana\imagens\capas\257404\1\250.jpg</v>
      </c>
      <c r="Q497" s="12"/>
      <c r="R497" s="6"/>
      <c r="S497" s="12"/>
      <c r="T497" s="1"/>
      <c r="U497" s="13"/>
      <c r="V497" s="13"/>
      <c r="W497" s="5"/>
    </row>
    <row r="498" spans="1:23" ht="225">
      <c r="A498" s="1">
        <v>257404</v>
      </c>
      <c r="B498" s="1">
        <v>1</v>
      </c>
      <c r="C498" s="1">
        <v>282</v>
      </c>
      <c r="D498" s="2" t="s">
        <v>669</v>
      </c>
      <c r="E498" s="5" t="s">
        <v>669</v>
      </c>
      <c r="F498" s="5">
        <v>277149</v>
      </c>
      <c r="G498" s="2" t="s">
        <v>1494</v>
      </c>
      <c r="H498" s="2" t="s">
        <v>1495</v>
      </c>
      <c r="I498" s="2" t="s">
        <v>1496</v>
      </c>
      <c r="J498" s="2" t="str">
        <f>CONCATENATE(G498,F498,H498,C498,I498)</f>
        <v>https://permalinkbnd.bnportugal.gov.pt/viewer/277149/?offset=#page=282&amp;viewer=picture&amp;o=info&amp;n=0&amp;q=</v>
      </c>
      <c r="K498" s="1" t="s">
        <v>670</v>
      </c>
      <c r="L498" s="1" t="str">
        <f>VLOOKUP(A498,Folha2!$A$2:$B$2019,2,FALSE)</f>
        <v>Os Lusiadas / poema epico de Luiz de Camões. - Nova edição com um Diccionario dos nomes proprios usados no mesmo poema. - Porto : em Casa de A. R. da Cruz Coutinho, 1880. Paratextos vida e Paratextos argumentos.</v>
      </c>
      <c r="M498" s="12" t="str">
        <f>HYPERLINK(J498)</f>
        <v>https://permalinkbnd.bnportugal.gov.pt/viewer/277149/?offset=#page=282&amp;viewer=picture&amp;o=info&amp;n=0&amp;q=</v>
      </c>
      <c r="N498" s="12" t="s">
        <v>1497</v>
      </c>
      <c r="O498" s="12" t="str">
        <f>CONCATENATE(N498,A498,"\",B498,"\",C498,".jpg")</f>
        <v>C:\Users\mbaptista\OneDrive - Biblioteca Nacional de Portugal\Documentos\python\camoniana\imagens\capas\257404\1\282.jpg</v>
      </c>
      <c r="P498" s="12" t="str">
        <f>HYPERLINK(O498)</f>
        <v>C:\Users\mbaptista\OneDrive - Biblioteca Nacional de Portugal\Documentos\python\camoniana\imagens\capas\257404\1\282.jpg</v>
      </c>
      <c r="Q498" s="12"/>
      <c r="R498" s="6" t="s">
        <v>673</v>
      </c>
      <c r="S498" s="12"/>
      <c r="T498" s="1" t="s">
        <v>671</v>
      </c>
      <c r="U498" s="13"/>
      <c r="V498" s="13"/>
      <c r="W498" s="5" t="s">
        <v>1491</v>
      </c>
    </row>
    <row r="499" spans="1:23" ht="225">
      <c r="A499" s="1">
        <v>257404</v>
      </c>
      <c r="B499" s="1">
        <v>1</v>
      </c>
      <c r="C499" s="1">
        <v>318</v>
      </c>
      <c r="D499" s="2" t="s">
        <v>669</v>
      </c>
      <c r="E499" s="11" t="s">
        <v>669</v>
      </c>
      <c r="F499" s="11">
        <v>277149</v>
      </c>
      <c r="G499" s="2" t="s">
        <v>1494</v>
      </c>
      <c r="H499" s="2" t="s">
        <v>1495</v>
      </c>
      <c r="I499" s="2" t="s">
        <v>1496</v>
      </c>
      <c r="J499" s="2" t="str">
        <f>CONCATENATE(G499,F499,H499,C499,I499)</f>
        <v>https://permalinkbnd.bnportugal.gov.pt/viewer/277149/?offset=#page=318&amp;viewer=picture&amp;o=info&amp;n=0&amp;q=</v>
      </c>
      <c r="K499" s="1" t="s">
        <v>670</v>
      </c>
      <c r="L499" s="1" t="str">
        <f>VLOOKUP(A499,Folha2!$A$2:$B$2019,2,FALSE)</f>
        <v>Os Lusiadas / poema epico de Luiz de Camões. - Nova edição com um Diccionario dos nomes proprios usados no mesmo poema. - Porto : em Casa de A. R. da Cruz Coutinho, 1880. Paratextos vida e Paratextos argumentos.</v>
      </c>
      <c r="M499" s="12" t="str">
        <f>HYPERLINK(J499)</f>
        <v>https://permalinkbnd.bnportugal.gov.pt/viewer/277149/?offset=#page=318&amp;viewer=picture&amp;o=info&amp;n=0&amp;q=</v>
      </c>
      <c r="N499" s="12" t="s">
        <v>1497</v>
      </c>
      <c r="O499" s="12" t="str">
        <f>CONCATENATE(N499,A499,"\",B499,"\",C499,".jpg")</f>
        <v>C:\Users\mbaptista\OneDrive - Biblioteca Nacional de Portugal\Documentos\python\camoniana\imagens\capas\257404\1\318.jpg</v>
      </c>
      <c r="P499" s="12" t="str">
        <f>HYPERLINK(O499)</f>
        <v>C:\Users\mbaptista\OneDrive - Biblioteca Nacional de Portugal\Documentos\python\camoniana\imagens\capas\257404\1\318.jpg</v>
      </c>
      <c r="Q499" s="12"/>
      <c r="R499" s="6" t="s">
        <v>674</v>
      </c>
      <c r="S499" s="12"/>
      <c r="T499" s="1" t="s">
        <v>671</v>
      </c>
      <c r="U499" s="13"/>
      <c r="V499" s="13"/>
      <c r="W499" s="5" t="s">
        <v>1491</v>
      </c>
    </row>
    <row r="500" spans="1:23" ht="225">
      <c r="A500" s="1">
        <v>220128</v>
      </c>
      <c r="B500" s="1">
        <v>1</v>
      </c>
      <c r="C500" s="1">
        <v>63</v>
      </c>
      <c r="D500" s="2" t="s">
        <v>675</v>
      </c>
      <c r="E500" s="5" t="s">
        <v>675</v>
      </c>
      <c r="F500" s="5">
        <v>272672</v>
      </c>
      <c r="G500" s="2" t="s">
        <v>1494</v>
      </c>
      <c r="H500" s="2" t="s">
        <v>1495</v>
      </c>
      <c r="I500" s="2" t="s">
        <v>1496</v>
      </c>
      <c r="J500" s="2" t="str">
        <f>CONCATENATE(G500,F500,H500,C500,I500)</f>
        <v>https://permalinkbnd.bnportugal.gov.pt/viewer/272672/?offset=#page=63&amp;viewer=picture&amp;o=info&amp;n=0&amp;q=</v>
      </c>
      <c r="K500" s="1" t="s">
        <v>676</v>
      </c>
      <c r="L500" s="1" t="str">
        <f>VLOOKUP(A500,Folha2!$A$2:$B$2019,2,FALSE)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0" s="12" t="str">
        <f>HYPERLINK(J500)</f>
        <v>https://permalinkbnd.bnportugal.gov.pt/viewer/272672/?offset=#page=63&amp;viewer=picture&amp;o=info&amp;n=0&amp;q=</v>
      </c>
      <c r="N500" s="12" t="s">
        <v>1497</v>
      </c>
      <c r="O500" s="12" t="str">
        <f>CONCATENATE(N500,A500,"\",B500,"\",C500,".jpg")</f>
        <v>C:\Users\mbaptista\OneDrive - Biblioteca Nacional de Portugal\Documentos\python\camoniana\imagens\capas\220128\1\63.jpg</v>
      </c>
      <c r="P500" s="12" t="str">
        <f>HYPERLINK(O500)</f>
        <v>C:\Users\mbaptista\OneDrive - Biblioteca Nacional de Portugal\Documentos\python\camoniana\imagens\capas\220128\1\63.jpg</v>
      </c>
      <c r="Q500" s="12"/>
      <c r="R500" s="6"/>
      <c r="S500" s="12"/>
      <c r="T500" s="1"/>
      <c r="U500" s="13"/>
      <c r="V500" s="13"/>
      <c r="W500" s="5"/>
    </row>
    <row r="501" spans="1:23" ht="225">
      <c r="A501" s="1">
        <v>220128</v>
      </c>
      <c r="B501" s="1">
        <v>1</v>
      </c>
      <c r="C501" s="1">
        <v>101</v>
      </c>
      <c r="D501" s="2" t="s">
        <v>675</v>
      </c>
      <c r="E501" s="11" t="s">
        <v>675</v>
      </c>
      <c r="F501" s="11">
        <v>272672</v>
      </c>
      <c r="G501" s="2" t="s">
        <v>1494</v>
      </c>
      <c r="H501" s="2" t="s">
        <v>1495</v>
      </c>
      <c r="I501" s="2" t="s">
        <v>1496</v>
      </c>
      <c r="J501" s="2" t="str">
        <f>CONCATENATE(G501,F501,H501,C501,I501)</f>
        <v>https://permalinkbnd.bnportugal.gov.pt/viewer/272672/?offset=#page=101&amp;viewer=picture&amp;o=info&amp;n=0&amp;q=</v>
      </c>
      <c r="K501" s="1" t="s">
        <v>676</v>
      </c>
      <c r="L501" s="1" t="str">
        <f>VLOOKUP(A501,Folha2!$A$2:$B$2019,2,FALSE)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1" s="12" t="str">
        <f>HYPERLINK(J501)</f>
        <v>https://permalinkbnd.bnportugal.gov.pt/viewer/272672/?offset=#page=101&amp;viewer=picture&amp;o=info&amp;n=0&amp;q=</v>
      </c>
      <c r="N501" s="12" t="s">
        <v>1497</v>
      </c>
      <c r="O501" s="12" t="str">
        <f>CONCATENATE(N501,A501,"\",B501,"\",C501,".jpg")</f>
        <v>C:\Users\mbaptista\OneDrive - Biblioteca Nacional de Portugal\Documentos\python\camoniana\imagens\capas\220128\1\101.jpg</v>
      </c>
      <c r="P501" s="12" t="str">
        <f>HYPERLINK(O501)</f>
        <v>C:\Users\mbaptista\OneDrive - Biblioteca Nacional de Portugal\Documentos\python\camoniana\imagens\capas\220128\1\101.jpg</v>
      </c>
      <c r="Q501" s="12"/>
      <c r="R501" s="6" t="s">
        <v>678</v>
      </c>
      <c r="S501" s="12"/>
      <c r="T501" s="1" t="s">
        <v>677</v>
      </c>
      <c r="U501" s="13"/>
      <c r="V501" s="13"/>
      <c r="W501" s="5" t="s">
        <v>1491</v>
      </c>
    </row>
    <row r="502" spans="1:23" ht="225">
      <c r="A502" s="1">
        <v>220128</v>
      </c>
      <c r="B502" s="1">
        <v>1</v>
      </c>
      <c r="C502" s="1">
        <v>159</v>
      </c>
      <c r="D502" s="2" t="s">
        <v>675</v>
      </c>
      <c r="E502" s="5" t="s">
        <v>675</v>
      </c>
      <c r="F502" s="5">
        <v>272672</v>
      </c>
      <c r="G502" s="2" t="s">
        <v>1494</v>
      </c>
      <c r="H502" s="2" t="s">
        <v>1495</v>
      </c>
      <c r="I502" s="2" t="s">
        <v>1496</v>
      </c>
      <c r="J502" s="2" t="str">
        <f>CONCATENATE(G502,F502,H502,C502,I502)</f>
        <v>https://permalinkbnd.bnportugal.gov.pt/viewer/272672/?offset=#page=159&amp;viewer=picture&amp;o=info&amp;n=0&amp;q=</v>
      </c>
      <c r="K502" s="1" t="s">
        <v>676</v>
      </c>
      <c r="L502" s="1" t="str">
        <f>VLOOKUP(A502,Folha2!$A$2:$B$2019,2,FALSE)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2" s="12" t="str">
        <f>HYPERLINK(J502)</f>
        <v>https://permalinkbnd.bnportugal.gov.pt/viewer/272672/?offset=#page=159&amp;viewer=picture&amp;o=info&amp;n=0&amp;q=</v>
      </c>
      <c r="N502" s="12" t="s">
        <v>1497</v>
      </c>
      <c r="O502" s="12" t="str">
        <f>CONCATENATE(N502,A502,"\",B502,"\",C502,".jpg")</f>
        <v>C:\Users\mbaptista\OneDrive - Biblioteca Nacional de Portugal\Documentos\python\camoniana\imagens\capas\220128\1\159.jpg</v>
      </c>
      <c r="P502" s="12" t="str">
        <f>HYPERLINK(O502)</f>
        <v>C:\Users\mbaptista\OneDrive - Biblioteca Nacional de Portugal\Documentos\python\camoniana\imagens\capas\220128\1\159.jpg</v>
      </c>
      <c r="Q502" s="12"/>
      <c r="R502" s="6" t="s">
        <v>679</v>
      </c>
      <c r="S502" s="12"/>
      <c r="T502" s="1" t="s">
        <v>677</v>
      </c>
      <c r="U502" s="13"/>
      <c r="V502" s="13"/>
      <c r="W502" s="5" t="s">
        <v>1491</v>
      </c>
    </row>
    <row r="503" spans="1:23" ht="225">
      <c r="A503" s="1">
        <v>220128</v>
      </c>
      <c r="B503" s="1">
        <v>1</v>
      </c>
      <c r="C503" s="1">
        <v>201</v>
      </c>
      <c r="D503" s="2" t="s">
        <v>675</v>
      </c>
      <c r="E503" s="11" t="s">
        <v>675</v>
      </c>
      <c r="F503" s="11">
        <v>272672</v>
      </c>
      <c r="G503" s="2" t="s">
        <v>1494</v>
      </c>
      <c r="H503" s="2" t="s">
        <v>1495</v>
      </c>
      <c r="I503" s="2" t="s">
        <v>1496</v>
      </c>
      <c r="J503" s="2" t="str">
        <f>CONCATENATE(G503,F503,H503,C503,I503)</f>
        <v>https://permalinkbnd.bnportugal.gov.pt/viewer/272672/?offset=#page=201&amp;viewer=picture&amp;o=info&amp;n=0&amp;q=</v>
      </c>
      <c r="K503" s="1" t="s">
        <v>676</v>
      </c>
      <c r="L503" s="1" t="str">
        <f>VLOOKUP(A503,Folha2!$A$2:$B$2019,2,FALSE)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3" s="12" t="str">
        <f>HYPERLINK(J503)</f>
        <v>https://permalinkbnd.bnportugal.gov.pt/viewer/272672/?offset=#page=201&amp;viewer=picture&amp;o=info&amp;n=0&amp;q=</v>
      </c>
      <c r="N503" s="12" t="s">
        <v>1497</v>
      </c>
      <c r="O503" s="12" t="str">
        <f>CONCATENATE(N503,A503,"\",B503,"\",C503,".jpg")</f>
        <v>C:\Users\mbaptista\OneDrive - Biblioteca Nacional de Portugal\Documentos\python\camoniana\imagens\capas\220128\1\201.jpg</v>
      </c>
      <c r="P503" s="12" t="str">
        <f>HYPERLINK(O503)</f>
        <v>C:\Users\mbaptista\OneDrive - Biblioteca Nacional de Portugal\Documentos\python\camoniana\imagens\capas\220128\1\201.jpg</v>
      </c>
      <c r="Q503" s="12"/>
      <c r="R503" s="6" t="s">
        <v>680</v>
      </c>
      <c r="S503" s="12"/>
      <c r="T503" s="1" t="s">
        <v>677</v>
      </c>
      <c r="U503" s="13"/>
      <c r="V503" s="13"/>
      <c r="W503" s="5" t="s">
        <v>1491</v>
      </c>
    </row>
    <row r="504" spans="1:23" ht="225">
      <c r="A504" s="1">
        <v>220128</v>
      </c>
      <c r="B504" s="1">
        <v>1</v>
      </c>
      <c r="C504" s="1">
        <v>307</v>
      </c>
      <c r="D504" s="2" t="s">
        <v>675</v>
      </c>
      <c r="E504" s="5" t="s">
        <v>675</v>
      </c>
      <c r="F504" s="5">
        <v>272672</v>
      </c>
      <c r="G504" s="2" t="s">
        <v>1494</v>
      </c>
      <c r="H504" s="2" t="s">
        <v>1495</v>
      </c>
      <c r="I504" s="2" t="s">
        <v>1496</v>
      </c>
      <c r="J504" s="2" t="str">
        <f>CONCATENATE(G504,F504,H504,C504,I504)</f>
        <v>https://permalinkbnd.bnportugal.gov.pt/viewer/272672/?offset=#page=307&amp;viewer=picture&amp;o=info&amp;n=0&amp;q=</v>
      </c>
      <c r="K504" s="1" t="s">
        <v>676</v>
      </c>
      <c r="L504" s="1" t="str">
        <f>VLOOKUP(A504,Folha2!$A$2:$B$2019,2,FALSE)</f>
        <v>Os Lusíadas / Luís de Camões ; leitura, pref. e notas de Álvaro Júlio da Costa Pimpão ; apresentação de Aníbal Pinto de Castro. - 2ª ed. - Lisboa : Instituto de Cultura e Língua Portuguesa, 1989. Cópia pública não abre: direitos de autor, consultado PDF via Miguel.  Épica, sem argumentos. Paratextos notas cantos e Iconografia, outros? [padrão Vasco da Gama]</v>
      </c>
      <c r="M504" s="12" t="str">
        <f>HYPERLINK(J504)</f>
        <v>https://permalinkbnd.bnportugal.gov.pt/viewer/272672/?offset=#page=307&amp;viewer=picture&amp;o=info&amp;n=0&amp;q=</v>
      </c>
      <c r="N504" s="12" t="s">
        <v>1497</v>
      </c>
      <c r="O504" s="12" t="str">
        <f>CONCATENATE(N504,A504,"\",B504,"\",C504,".jpg")</f>
        <v>C:\Users\mbaptista\OneDrive - Biblioteca Nacional de Portugal\Documentos\python\camoniana\imagens\capas\220128\1\307.jpg</v>
      </c>
      <c r="P504" s="12" t="str">
        <f>HYPERLINK(O504)</f>
        <v>C:\Users\mbaptista\OneDrive - Biblioteca Nacional de Portugal\Documentos\python\camoniana\imagens\capas\220128\1\307.jpg</v>
      </c>
      <c r="Q504" s="12"/>
      <c r="R504" s="6" t="s">
        <v>681</v>
      </c>
      <c r="S504" s="12"/>
      <c r="T504" s="1" t="s">
        <v>677</v>
      </c>
      <c r="U504" s="13"/>
      <c r="V504" s="13"/>
      <c r="W504" s="5" t="s">
        <v>1491</v>
      </c>
    </row>
    <row r="505" spans="1:23" ht="225">
      <c r="A505" s="1">
        <v>453095</v>
      </c>
      <c r="B505" s="1">
        <v>1</v>
      </c>
      <c r="C505" s="1">
        <v>5</v>
      </c>
      <c r="D505" s="2" t="s">
        <v>682</v>
      </c>
      <c r="E505" s="11" t="s">
        <v>682</v>
      </c>
      <c r="F505" s="11">
        <v>272668</v>
      </c>
      <c r="G505" s="2" t="s">
        <v>1494</v>
      </c>
      <c r="H505" s="2" t="s">
        <v>1495</v>
      </c>
      <c r="I505" s="2" t="s">
        <v>1496</v>
      </c>
      <c r="J505" s="2" t="str">
        <f>CONCATENATE(G505,F505,H505,C505,I505)</f>
        <v>https://permalinkbnd.bnportugal.gov.pt/viewer/272668/?offset=#page=5&amp;viewer=picture&amp;o=info&amp;n=0&amp;q=</v>
      </c>
      <c r="K505" s="1" t="s">
        <v>683</v>
      </c>
      <c r="L505" s="1" t="str">
        <f>VLOOKUP(A505,Folha2!$A$2:$B$2019,2,FALSE)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5" s="12" t="str">
        <f>HYPERLINK(J505)</f>
        <v>https://permalinkbnd.bnportugal.gov.pt/viewer/272668/?offset=#page=5&amp;viewer=picture&amp;o=info&amp;n=0&amp;q=</v>
      </c>
      <c r="N505" s="12" t="s">
        <v>1497</v>
      </c>
      <c r="O505" s="12" t="str">
        <f>CONCATENATE(N505,A505,"\",B505,"\",C505,".jpg")</f>
        <v>C:\Users\mbaptista\OneDrive - Biblioteca Nacional de Portugal\Documentos\python\camoniana\imagens\capas\453095\1\5.jpg</v>
      </c>
      <c r="P505" s="12" t="str">
        <f>HYPERLINK(O505)</f>
        <v>C:\Users\mbaptista\OneDrive - Biblioteca Nacional de Portugal\Documentos\python\camoniana\imagens\capas\453095\1\5.jpg</v>
      </c>
      <c r="Q505" s="12"/>
      <c r="R505" s="6" t="s">
        <v>685</v>
      </c>
      <c r="S505" s="12"/>
      <c r="T505" s="1" t="s">
        <v>684</v>
      </c>
      <c r="U505" s="13"/>
      <c r="V505" s="13"/>
      <c r="W505" s="5" t="s">
        <v>1491</v>
      </c>
    </row>
    <row r="506" spans="1:23" ht="225">
      <c r="A506" s="1">
        <v>453095</v>
      </c>
      <c r="B506" s="1">
        <v>1</v>
      </c>
      <c r="C506" s="1">
        <v>63</v>
      </c>
      <c r="D506" s="2" t="s">
        <v>682</v>
      </c>
      <c r="E506" s="5" t="s">
        <v>682</v>
      </c>
      <c r="F506" s="5">
        <v>272668</v>
      </c>
      <c r="G506" s="2" t="s">
        <v>1494</v>
      </c>
      <c r="H506" s="2" t="s">
        <v>1495</v>
      </c>
      <c r="I506" s="2" t="s">
        <v>1496</v>
      </c>
      <c r="J506" s="2" t="str">
        <f>CONCATENATE(G506,F506,H506,C506,I506)</f>
        <v>https://permalinkbnd.bnportugal.gov.pt/viewer/272668/?offset=#page=63&amp;viewer=picture&amp;o=info&amp;n=0&amp;q=</v>
      </c>
      <c r="K506" s="1" t="s">
        <v>683</v>
      </c>
      <c r="L506" s="1" t="str">
        <f>VLOOKUP(A506,Folha2!$A$2:$B$2019,2,FALSE)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6" s="12" t="str">
        <f>HYPERLINK(J506)</f>
        <v>https://permalinkbnd.bnportugal.gov.pt/viewer/272668/?offset=#page=63&amp;viewer=picture&amp;o=info&amp;n=0&amp;q=</v>
      </c>
      <c r="N506" s="12" t="s">
        <v>1497</v>
      </c>
      <c r="O506" s="12" t="str">
        <f>CONCATENATE(N506,A506,"\",B506,"\",C506,".jpg")</f>
        <v>C:\Users\mbaptista\OneDrive - Biblioteca Nacional de Portugal\Documentos\python\camoniana\imagens\capas\453095\1\63.jpg</v>
      </c>
      <c r="P506" s="12" t="str">
        <f>HYPERLINK(O506)</f>
        <v>C:\Users\mbaptista\OneDrive - Biblioteca Nacional de Portugal\Documentos\python\camoniana\imagens\capas\453095\1\63.jpg</v>
      </c>
      <c r="Q506" s="12"/>
      <c r="R506" s="6" t="s">
        <v>686</v>
      </c>
      <c r="S506" s="12"/>
      <c r="T506" s="1" t="s">
        <v>684</v>
      </c>
      <c r="U506" s="13"/>
      <c r="V506" s="13"/>
      <c r="W506" s="5" t="s">
        <v>1491</v>
      </c>
    </row>
    <row r="507" spans="1:23" ht="225">
      <c r="A507" s="1">
        <v>453095</v>
      </c>
      <c r="B507" s="1">
        <v>1</v>
      </c>
      <c r="C507" s="1">
        <v>65</v>
      </c>
      <c r="D507" s="2" t="s">
        <v>682</v>
      </c>
      <c r="E507" s="11" t="s">
        <v>682</v>
      </c>
      <c r="F507" s="11">
        <v>272668</v>
      </c>
      <c r="G507" s="2" t="s">
        <v>1494</v>
      </c>
      <c r="H507" s="2" t="s">
        <v>1495</v>
      </c>
      <c r="I507" s="2" t="s">
        <v>1496</v>
      </c>
      <c r="J507" s="2" t="str">
        <f>CONCATENATE(G507,F507,H507,C507,I507)</f>
        <v>https://permalinkbnd.bnportugal.gov.pt/viewer/272668/?offset=#page=65&amp;viewer=picture&amp;o=info&amp;n=0&amp;q=</v>
      </c>
      <c r="K507" s="1" t="s">
        <v>683</v>
      </c>
      <c r="L507" s="1" t="str">
        <f>VLOOKUP(A507,Folha2!$A$2:$B$2019,2,FALSE)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7" s="12" t="str">
        <f>HYPERLINK(J507)</f>
        <v>https://permalinkbnd.bnportugal.gov.pt/viewer/272668/?offset=#page=65&amp;viewer=picture&amp;o=info&amp;n=0&amp;q=</v>
      </c>
      <c r="N507" s="12" t="s">
        <v>1497</v>
      </c>
      <c r="O507" s="12" t="str">
        <f>CONCATENATE(N507,A507,"\",B507,"\",C507,".jpg")</f>
        <v>C:\Users\mbaptista\OneDrive - Biblioteca Nacional de Portugal\Documentos\python\camoniana\imagens\capas\453095\1\65.jpg</v>
      </c>
      <c r="P507" s="12" t="str">
        <f>HYPERLINK(O507)</f>
        <v>C:\Users\mbaptista\OneDrive - Biblioteca Nacional de Portugal\Documentos\python\camoniana\imagens\capas\453095\1\65.jpg</v>
      </c>
      <c r="Q507" s="12"/>
      <c r="R507" s="6" t="s">
        <v>687</v>
      </c>
      <c r="S507" s="12"/>
      <c r="T507" s="1" t="s">
        <v>684</v>
      </c>
      <c r="U507" s="13"/>
      <c r="V507" s="13"/>
      <c r="W507" s="5" t="s">
        <v>1491</v>
      </c>
    </row>
    <row r="508" spans="1:23" ht="225">
      <c r="A508" s="1">
        <v>453095</v>
      </c>
      <c r="B508" s="1">
        <v>1</v>
      </c>
      <c r="C508" s="1">
        <v>203</v>
      </c>
      <c r="D508" s="2" t="s">
        <v>682</v>
      </c>
      <c r="E508" s="5" t="s">
        <v>682</v>
      </c>
      <c r="F508" s="5">
        <v>272668</v>
      </c>
      <c r="G508" s="2" t="s">
        <v>1494</v>
      </c>
      <c r="H508" s="2" t="s">
        <v>1495</v>
      </c>
      <c r="I508" s="2" t="s">
        <v>1496</v>
      </c>
      <c r="J508" s="2" t="str">
        <f>CONCATENATE(G508,F508,H508,C508,I508)</f>
        <v>https://permalinkbnd.bnportugal.gov.pt/viewer/272668/?offset=#page=203&amp;viewer=picture&amp;o=info&amp;n=0&amp;q=</v>
      </c>
      <c r="K508" s="1" t="s">
        <v>683</v>
      </c>
      <c r="L508" s="1" t="str">
        <f>VLOOKUP(A508,Folha2!$A$2:$B$2019,2,FALSE)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8" s="12" t="str">
        <f>HYPERLINK(J508)</f>
        <v>https://permalinkbnd.bnportugal.gov.pt/viewer/272668/?offset=#page=203&amp;viewer=picture&amp;o=info&amp;n=0&amp;q=</v>
      </c>
      <c r="N508" s="12" t="s">
        <v>1497</v>
      </c>
      <c r="O508" s="12" t="str">
        <f>CONCATENATE(N508,A508,"\",B508,"\",C508,".jpg")</f>
        <v>C:\Users\mbaptista\OneDrive - Biblioteca Nacional de Portugal\Documentos\python\camoniana\imagens\capas\453095\1\203.jpg</v>
      </c>
      <c r="P508" s="12" t="str">
        <f>HYPERLINK(O508)</f>
        <v>C:\Users\mbaptista\OneDrive - Biblioteca Nacional de Portugal\Documentos\python\camoniana\imagens\capas\453095\1\203.jpg</v>
      </c>
      <c r="Q508" s="12"/>
      <c r="R508" s="6" t="s">
        <v>688</v>
      </c>
      <c r="S508" s="12"/>
      <c r="T508" s="1" t="s">
        <v>684</v>
      </c>
      <c r="U508" s="13"/>
      <c r="V508" s="13"/>
      <c r="W508" s="5" t="s">
        <v>1491</v>
      </c>
    </row>
    <row r="509" spans="1:23" ht="225">
      <c r="A509" s="1">
        <v>453095</v>
      </c>
      <c r="B509" s="1">
        <v>1</v>
      </c>
      <c r="C509" s="1">
        <v>291</v>
      </c>
      <c r="D509" s="2" t="s">
        <v>682</v>
      </c>
      <c r="E509" s="11" t="s">
        <v>682</v>
      </c>
      <c r="F509" s="11">
        <v>272668</v>
      </c>
      <c r="G509" s="2" t="s">
        <v>1494</v>
      </c>
      <c r="H509" s="2" t="s">
        <v>1495</v>
      </c>
      <c r="I509" s="2" t="s">
        <v>1496</v>
      </c>
      <c r="J509" s="2" t="str">
        <f>CONCATENATE(G509,F509,H509,C509,I509)</f>
        <v>https://permalinkbnd.bnportugal.gov.pt/viewer/272668/?offset=#page=291&amp;viewer=picture&amp;o=info&amp;n=0&amp;q=</v>
      </c>
      <c r="K509" s="1" t="s">
        <v>683</v>
      </c>
      <c r="L509" s="1" t="str">
        <f>VLOOKUP(A509,Folha2!$A$2:$B$2019,2,FALSE)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09" s="12" t="str">
        <f>HYPERLINK(J509)</f>
        <v>https://permalinkbnd.bnportugal.gov.pt/viewer/272668/?offset=#page=291&amp;viewer=picture&amp;o=info&amp;n=0&amp;q=</v>
      </c>
      <c r="N509" s="12" t="s">
        <v>1497</v>
      </c>
      <c r="O509" s="12" t="str">
        <f>CONCATENATE(N509,A509,"\",B509,"\",C509,".jpg")</f>
        <v>C:\Users\mbaptista\OneDrive - Biblioteca Nacional de Portugal\Documentos\python\camoniana\imagens\capas\453095\1\291.jpg</v>
      </c>
      <c r="P509" s="12" t="str">
        <f>HYPERLINK(O509)</f>
        <v>C:\Users\mbaptista\OneDrive - Biblioteca Nacional de Portugal\Documentos\python\camoniana\imagens\capas\453095\1\291.jpg</v>
      </c>
      <c r="Q509" s="12"/>
      <c r="R509" s="6" t="s">
        <v>689</v>
      </c>
      <c r="S509" s="12"/>
      <c r="T509" s="1" t="s">
        <v>684</v>
      </c>
      <c r="U509" s="13"/>
      <c r="V509" s="13"/>
      <c r="W509" s="5" t="s">
        <v>1491</v>
      </c>
    </row>
    <row r="510" spans="1:23" ht="225">
      <c r="A510" s="1">
        <v>453095</v>
      </c>
      <c r="B510" s="1">
        <v>1</v>
      </c>
      <c r="C510" s="1">
        <v>397</v>
      </c>
      <c r="D510" s="2" t="s">
        <v>682</v>
      </c>
      <c r="E510" s="5" t="s">
        <v>682</v>
      </c>
      <c r="F510" s="5">
        <v>272668</v>
      </c>
      <c r="G510" s="2" t="s">
        <v>1494</v>
      </c>
      <c r="H510" s="2" t="s">
        <v>1495</v>
      </c>
      <c r="I510" s="2" t="s">
        <v>1496</v>
      </c>
      <c r="J510" s="2" t="str">
        <f>CONCATENATE(G510,F510,H510,C510,I510)</f>
        <v>https://permalinkbnd.bnportugal.gov.pt/viewer/272668/?offset=#page=397&amp;viewer=picture&amp;o=info&amp;n=0&amp;q=</v>
      </c>
      <c r="K510" s="1" t="s">
        <v>683</v>
      </c>
      <c r="L510" s="1" t="str">
        <f>VLOOKUP(A510,Folha2!$A$2:$B$2019,2,FALSE)</f>
        <v>Luís de Camões. Rimas [redondilhas, trovas, cantiga, voltas, cartas-poemas, mote, glosas, carta com glosa, acróstico, a.b.c. em motes, estâncias, improviso, a inserir esparsas, convite, labirinto, salmo sôbolos rios, sonetos, canções, elegias, capítulo, odes, oitavas, sextina, petição, éclogas, écloga dos Faunos, endechas.] Texto estabelecido, rev. e pref. Álvaro J. da Costa Pimpão. apres. Aníbal Pinto de Castro. Coimbra. 1994. Paratextos notas [aos subgéneros, com variantes]; Iconografia, outros.</v>
      </c>
      <c r="M510" s="12" t="str">
        <f>HYPERLINK(J510)</f>
        <v>https://permalinkbnd.bnportugal.gov.pt/viewer/272668/?offset=#page=397&amp;viewer=picture&amp;o=info&amp;n=0&amp;q=</v>
      </c>
      <c r="N510" s="12" t="s">
        <v>1497</v>
      </c>
      <c r="O510" s="12" t="str">
        <f>CONCATENATE(N510,A510,"\",B510,"\",C510,".jpg")</f>
        <v>C:\Users\mbaptista\OneDrive - Biblioteca Nacional de Portugal\Documentos\python\camoniana\imagens\capas\453095\1\397.jpg</v>
      </c>
      <c r="P510" s="12" t="str">
        <f>HYPERLINK(O510)</f>
        <v>C:\Users\mbaptista\OneDrive - Biblioteca Nacional de Portugal\Documentos\python\camoniana\imagens\capas\453095\1\397.jpg</v>
      </c>
      <c r="Q510" s="12"/>
      <c r="R510" s="6" t="s">
        <v>690</v>
      </c>
      <c r="S510" s="12"/>
      <c r="T510" s="1" t="s">
        <v>684</v>
      </c>
      <c r="U510" s="13"/>
      <c r="V510" s="13"/>
      <c r="W510" s="5" t="s">
        <v>1491</v>
      </c>
    </row>
    <row r="511" spans="1:23" ht="225">
      <c r="A511" s="1">
        <v>258477</v>
      </c>
      <c r="B511" s="1">
        <v>1</v>
      </c>
      <c r="C511" s="1">
        <v>10</v>
      </c>
      <c r="D511" s="2" t="s">
        <v>691</v>
      </c>
      <c r="E511" s="11" t="s">
        <v>691</v>
      </c>
      <c r="F511" s="11">
        <v>277147</v>
      </c>
      <c r="G511" s="2" t="s">
        <v>1494</v>
      </c>
      <c r="H511" s="2" t="s">
        <v>1495</v>
      </c>
      <c r="I511" s="2" t="s">
        <v>1496</v>
      </c>
      <c r="J511" s="2" t="str">
        <f>CONCATENATE(G511,F511,H511,C511,I511)</f>
        <v>https://permalinkbnd.bnportugal.gov.pt/viewer/277147/?offset=#page=10&amp;viewer=picture&amp;o=info&amp;n=0&amp;q=</v>
      </c>
      <c r="K511" s="1" t="s">
        <v>692</v>
      </c>
      <c r="L511" s="1" t="str">
        <f>VLOOKUP(A511,Folha2!$A$2:$B$2019,2,FALSE)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1" s="12" t="str">
        <f>HYPERLINK(J511)</f>
        <v>https://permalinkbnd.bnportugal.gov.pt/viewer/277147/?offset=#page=10&amp;viewer=picture&amp;o=info&amp;n=0&amp;q=</v>
      </c>
      <c r="N511" s="12" t="s">
        <v>1497</v>
      </c>
      <c r="O511" s="12" t="str">
        <f>CONCATENATE(N511,A511,"\",B511,"\",C511,".jpg")</f>
        <v>C:\Users\mbaptista\OneDrive - Biblioteca Nacional de Portugal\Documentos\python\camoniana\imagens\capas\258477\1\10.jpg</v>
      </c>
      <c r="P511" s="12" t="str">
        <f>HYPERLINK(O511)</f>
        <v>C:\Users\mbaptista\OneDrive - Biblioteca Nacional de Portugal\Documentos\python\camoniana\imagens\capas\258477\1\10.jpg</v>
      </c>
      <c r="Q511" s="12"/>
      <c r="R511" s="6" t="s">
        <v>693</v>
      </c>
      <c r="S511" s="12"/>
      <c r="T511" s="1">
        <v>10</v>
      </c>
      <c r="U511" s="13"/>
      <c r="V511" s="13"/>
      <c r="W511" s="5" t="s">
        <v>1491</v>
      </c>
    </row>
    <row r="512" spans="1:23" ht="225">
      <c r="A512" s="1">
        <v>258477</v>
      </c>
      <c r="B512" s="1">
        <v>1</v>
      </c>
      <c r="C512" s="1">
        <v>398</v>
      </c>
      <c r="D512" s="2" t="s">
        <v>691</v>
      </c>
      <c r="E512" s="5" t="s">
        <v>691</v>
      </c>
      <c r="F512" s="5">
        <v>277147</v>
      </c>
      <c r="G512" s="2" t="s">
        <v>1494</v>
      </c>
      <c r="H512" s="2" t="s">
        <v>1495</v>
      </c>
      <c r="I512" s="2" t="s">
        <v>1496</v>
      </c>
      <c r="J512" s="2" t="str">
        <f>CONCATENATE(G512,F512,H512,C512,I512)</f>
        <v>https://permalinkbnd.bnportugal.gov.pt/viewer/277147/?offset=#page=398&amp;viewer=picture&amp;o=info&amp;n=0&amp;q=</v>
      </c>
      <c r="K512" s="1" t="s">
        <v>692</v>
      </c>
      <c r="L512" s="1" t="str">
        <f>VLOOKUP(A512,Folha2!$A$2:$B$2019,2,FALSE)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2" s="12" t="str">
        <f>HYPERLINK(J512)</f>
        <v>https://permalinkbnd.bnportugal.gov.pt/viewer/277147/?offset=#page=398&amp;viewer=picture&amp;o=info&amp;n=0&amp;q=</v>
      </c>
      <c r="N512" s="12" t="s">
        <v>1497</v>
      </c>
      <c r="O512" s="12" t="str">
        <f>CONCATENATE(N512,A512,"\",B512,"\",C512,".jpg")</f>
        <v>C:\Users\mbaptista\OneDrive - Biblioteca Nacional de Portugal\Documentos\python\camoniana\imagens\capas\258477\1\398.jpg</v>
      </c>
      <c r="P512" s="12" t="str">
        <f>HYPERLINK(O512)</f>
        <v>C:\Users\mbaptista\OneDrive - Biblioteca Nacional de Portugal\Documentos\python\camoniana\imagens\capas\258477\1\398.jpg</v>
      </c>
      <c r="Q512" s="12"/>
      <c r="R512" s="6"/>
      <c r="S512" s="12"/>
      <c r="T512" s="1"/>
      <c r="U512" s="13"/>
      <c r="V512" s="13"/>
      <c r="W512" s="5"/>
    </row>
    <row r="513" spans="1:23" ht="225">
      <c r="A513" s="1">
        <v>258477</v>
      </c>
      <c r="B513" s="1">
        <v>1</v>
      </c>
      <c r="C513" s="1">
        <v>434</v>
      </c>
      <c r="D513" s="2" t="s">
        <v>691</v>
      </c>
      <c r="E513" s="11" t="s">
        <v>691</v>
      </c>
      <c r="F513" s="11">
        <v>277147</v>
      </c>
      <c r="G513" s="2" t="s">
        <v>1494</v>
      </c>
      <c r="H513" s="2" t="s">
        <v>1495</v>
      </c>
      <c r="I513" s="2" t="s">
        <v>1496</v>
      </c>
      <c r="J513" s="2" t="str">
        <f>CONCATENATE(G513,F513,H513,C513,I513)</f>
        <v>https://permalinkbnd.bnportugal.gov.pt/viewer/277147/?offset=#page=434&amp;viewer=picture&amp;o=info&amp;n=0&amp;q=</v>
      </c>
      <c r="K513" s="1" t="s">
        <v>692</v>
      </c>
      <c r="L513" s="1" t="str">
        <f>VLOOKUP(A513,Folha2!$A$2:$B$2019,2,FALSE)</f>
        <v>Os Lusiadas / poema epico de Luiz de Camões. - 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 - Porto : em Casa de A. R. da Cruz Coutinho, 1881. Paratextos vida e Paratextos argumentos.</v>
      </c>
      <c r="M513" s="12" t="str">
        <f>HYPERLINK(J513)</f>
        <v>https://permalinkbnd.bnportugal.gov.pt/viewer/277147/?offset=#page=434&amp;viewer=picture&amp;o=info&amp;n=0&amp;q=</v>
      </c>
      <c r="N513" s="12" t="s">
        <v>1497</v>
      </c>
      <c r="O513" s="12" t="str">
        <f>CONCATENATE(N513,A513,"\",B513,"\",C513,".jpg")</f>
        <v>C:\Users\mbaptista\OneDrive - Biblioteca Nacional de Portugal\Documentos\python\camoniana\imagens\capas\258477\1\434.jpg</v>
      </c>
      <c r="P513" s="12" t="str">
        <f>HYPERLINK(O513)</f>
        <v>C:\Users\mbaptista\OneDrive - Biblioteca Nacional de Portugal\Documentos\python\camoniana\imagens\capas\258477\1\434.jpg</v>
      </c>
      <c r="Q513" s="12"/>
      <c r="R513" s="6"/>
      <c r="S513" s="12"/>
      <c r="T513" s="1"/>
      <c r="U513" s="13"/>
      <c r="V513" s="13"/>
      <c r="W513" s="5"/>
    </row>
    <row r="514" spans="1:23" ht="225">
      <c r="A514" s="1">
        <v>258485</v>
      </c>
      <c r="B514" s="1">
        <v>1</v>
      </c>
      <c r="C514" s="1">
        <v>11</v>
      </c>
      <c r="D514" s="2" t="s">
        <v>694</v>
      </c>
      <c r="E514" s="5" t="s">
        <v>694</v>
      </c>
      <c r="F514" s="5">
        <v>276783</v>
      </c>
      <c r="G514" s="2" t="s">
        <v>1494</v>
      </c>
      <c r="H514" s="2" t="s">
        <v>1495</v>
      </c>
      <c r="I514" s="2" t="s">
        <v>1496</v>
      </c>
      <c r="J514" s="2" t="str">
        <f>CONCATENATE(G514,F514,H514,C514,I514)</f>
        <v>https://permalinkbnd.bnportugal.gov.pt/viewer/276783/?offset=#page=11&amp;viewer=picture&amp;o=info&amp;n=0&amp;q=</v>
      </c>
      <c r="K514" s="1" t="s">
        <v>695</v>
      </c>
      <c r="L514" s="1" t="str">
        <f>VLOOKUP(A514,Folha2!$A$2:$B$2019,2,FALSE)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4" s="12" t="str">
        <f>HYPERLINK(J514)</f>
        <v>https://permalinkbnd.bnportugal.gov.pt/viewer/276783/?offset=#page=11&amp;viewer=picture&amp;o=info&amp;n=0&amp;q=</v>
      </c>
      <c r="N514" s="12" t="s">
        <v>1497</v>
      </c>
      <c r="O514" s="12" t="str">
        <f>CONCATENATE(N514,A514,"\",B514,"\",C514,".jpg")</f>
        <v>C:\Users\mbaptista\OneDrive - Biblioteca Nacional de Portugal\Documentos\python\camoniana\imagens\capas\258485\1\11.jpg</v>
      </c>
      <c r="P514" s="12" t="str">
        <f>HYPERLINK(O514)</f>
        <v>C:\Users\mbaptista\OneDrive - Biblioteca Nacional de Portugal\Documentos\python\camoniana\imagens\capas\258485\1\11.jpg</v>
      </c>
      <c r="Q514" s="12"/>
      <c r="R514" s="6" t="s">
        <v>697</v>
      </c>
      <c r="S514" s="12"/>
      <c r="T514" s="1" t="s">
        <v>696</v>
      </c>
      <c r="U514" s="13"/>
      <c r="V514" s="13"/>
      <c r="W514" s="5" t="s">
        <v>1491</v>
      </c>
    </row>
    <row r="515" spans="1:23" ht="225">
      <c r="A515" s="1">
        <v>258485</v>
      </c>
      <c r="B515" s="1">
        <v>1</v>
      </c>
      <c r="C515" s="1">
        <v>180</v>
      </c>
      <c r="D515" s="2" t="s">
        <v>694</v>
      </c>
      <c r="E515" s="11" t="s">
        <v>694</v>
      </c>
      <c r="F515" s="11">
        <v>276783</v>
      </c>
      <c r="G515" s="2" t="s">
        <v>1494</v>
      </c>
      <c r="H515" s="2" t="s">
        <v>1495</v>
      </c>
      <c r="I515" s="2" t="s">
        <v>1496</v>
      </c>
      <c r="J515" s="2" t="str">
        <f>CONCATENATE(G515,F515,H515,C515,I515)</f>
        <v>https://permalinkbnd.bnportugal.gov.pt/viewer/276783/?offset=#page=180&amp;viewer=picture&amp;o=info&amp;n=0&amp;q=</v>
      </c>
      <c r="K515" s="1" t="s">
        <v>695</v>
      </c>
      <c r="L515" s="1" t="str">
        <f>VLOOKUP(A515,Folha2!$A$2:$B$2019,2,FALSE)</f>
        <v>Os Lusiadas / por Luiz de Camões. - Edição revista e prefaciada por Theophilo Braga e illustrada com os retratos de Camões e Gama. - Lisboa : Nova Livraria Internacional, 1882, sem argumentos. Paratextos vida; Iconografia, Figuras históricas [Vasco da Gama]. Refere centenário.</v>
      </c>
      <c r="M515" s="12" t="str">
        <f>HYPERLINK(J515)</f>
        <v>https://permalinkbnd.bnportugal.gov.pt/viewer/276783/?offset=#page=180&amp;viewer=picture&amp;o=info&amp;n=0&amp;q=</v>
      </c>
      <c r="N515" s="12" t="s">
        <v>1497</v>
      </c>
      <c r="O515" s="12" t="str">
        <f>CONCATENATE(N515,A515,"\",B515,"\",C515,".jpg")</f>
        <v>C:\Users\mbaptista\OneDrive - Biblioteca Nacional de Portugal\Documentos\python\camoniana\imagens\capas\258485\1\180.jpg</v>
      </c>
      <c r="P515" s="12" t="str">
        <f>HYPERLINK(O515)</f>
        <v>C:\Users\mbaptista\OneDrive - Biblioteca Nacional de Portugal\Documentos\python\camoniana\imagens\capas\258485\1\180.jpg</v>
      </c>
      <c r="Q515" s="12"/>
      <c r="R515" s="6" t="s">
        <v>698</v>
      </c>
      <c r="S515" s="12"/>
      <c r="T515" s="1" t="s">
        <v>696</v>
      </c>
      <c r="U515" s="13"/>
      <c r="V515" s="13"/>
      <c r="W515" s="5" t="s">
        <v>1491</v>
      </c>
    </row>
    <row r="516" spans="1:23" ht="225">
      <c r="A516" s="1">
        <v>258492</v>
      </c>
      <c r="B516" s="1">
        <v>1</v>
      </c>
      <c r="C516" s="1">
        <v>5</v>
      </c>
      <c r="D516" s="2" t="s">
        <v>699</v>
      </c>
      <c r="E516" s="5" t="s">
        <v>699</v>
      </c>
      <c r="F516" s="5">
        <v>276790</v>
      </c>
      <c r="G516" s="2" t="s">
        <v>1494</v>
      </c>
      <c r="H516" s="2" t="s">
        <v>1495</v>
      </c>
      <c r="I516" s="2" t="s">
        <v>1496</v>
      </c>
      <c r="J516" s="2" t="str">
        <f>CONCATENATE(G516,F516,H516,C516,I516)</f>
        <v>https://permalinkbnd.bnportugal.gov.pt/viewer/276790/?offset=#page=5&amp;viewer=picture&amp;o=info&amp;n=0&amp;q=</v>
      </c>
      <c r="K516" s="1" t="s">
        <v>700</v>
      </c>
      <c r="L516" s="1" t="str">
        <f>VLOOKUP(A516,Folha2!$A$2:$B$2019,2,FALSE)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6" s="12" t="str">
        <f>HYPERLINK(J516)</f>
        <v>https://permalinkbnd.bnportugal.gov.pt/viewer/276790/?offset=#page=5&amp;viewer=picture&amp;o=info&amp;n=0&amp;q=</v>
      </c>
      <c r="N516" s="12" t="s">
        <v>1497</v>
      </c>
      <c r="O516" s="12" t="str">
        <f>CONCATENATE(N516,A516,"\",B516,"\",C516,".jpg")</f>
        <v>C:\Users\mbaptista\OneDrive - Biblioteca Nacional de Portugal\Documentos\python\camoniana\imagens\capas\258492\1\5.jpg</v>
      </c>
      <c r="P516" s="12" t="str">
        <f>HYPERLINK(O516)</f>
        <v>C:\Users\mbaptista\OneDrive - Biblioteca Nacional de Portugal\Documentos\python\camoniana\imagens\capas\258492\1\5.jpg</v>
      </c>
      <c r="Q516" s="12"/>
      <c r="R516" s="6" t="s">
        <v>702</v>
      </c>
      <c r="S516" s="12"/>
      <c r="T516" s="1" t="s">
        <v>701</v>
      </c>
      <c r="U516" s="13"/>
      <c r="V516" s="13"/>
      <c r="W516" s="5" t="s">
        <v>1491</v>
      </c>
    </row>
    <row r="517" spans="1:23" ht="225">
      <c r="A517" s="1">
        <v>258492</v>
      </c>
      <c r="B517" s="1">
        <v>1</v>
      </c>
      <c r="C517" s="1">
        <v>6</v>
      </c>
      <c r="D517" s="2" t="s">
        <v>699</v>
      </c>
      <c r="E517" s="11" t="s">
        <v>699</v>
      </c>
      <c r="F517" s="11">
        <v>276790</v>
      </c>
      <c r="G517" s="2" t="s">
        <v>1494</v>
      </c>
      <c r="H517" s="2" t="s">
        <v>1495</v>
      </c>
      <c r="I517" s="2" t="s">
        <v>1496</v>
      </c>
      <c r="J517" s="2" t="str">
        <f>CONCATENATE(G517,F517,H517,C517,I517)</f>
        <v>https://permalinkbnd.bnportugal.gov.pt/viewer/276790/?offset=#page=6&amp;viewer=picture&amp;o=info&amp;n=0&amp;q=</v>
      </c>
      <c r="K517" s="1" t="s">
        <v>700</v>
      </c>
      <c r="L517" s="1" t="str">
        <f>VLOOKUP(A517,Folha2!$A$2:$B$2019,2,FALSE)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7" s="12" t="str">
        <f>HYPERLINK(J517)</f>
        <v>https://permalinkbnd.bnportugal.gov.pt/viewer/276790/?offset=#page=6&amp;viewer=picture&amp;o=info&amp;n=0&amp;q=</v>
      </c>
      <c r="N517" s="12" t="s">
        <v>1497</v>
      </c>
      <c r="O517" s="12" t="str">
        <f>CONCATENATE(N517,A517,"\",B517,"\",C517,".jpg")</f>
        <v>C:\Users\mbaptista\OneDrive - Biblioteca Nacional de Portugal\Documentos\python\camoniana\imagens\capas\258492\1\6.jpg</v>
      </c>
      <c r="P517" s="12" t="str">
        <f>HYPERLINK(O517)</f>
        <v>C:\Users\mbaptista\OneDrive - Biblioteca Nacional de Portugal\Documentos\python\camoniana\imagens\capas\258492\1\6.jpg</v>
      </c>
      <c r="Q517" s="12"/>
      <c r="R517" s="6" t="s">
        <v>703</v>
      </c>
      <c r="S517" s="12"/>
      <c r="T517" s="1" t="s">
        <v>701</v>
      </c>
      <c r="U517" s="13"/>
      <c r="V517" s="13"/>
      <c r="W517" s="5" t="s">
        <v>1491</v>
      </c>
    </row>
    <row r="518" spans="1:23" ht="225">
      <c r="A518" s="1">
        <v>258492</v>
      </c>
      <c r="B518" s="1">
        <v>1</v>
      </c>
      <c r="C518" s="1">
        <v>53</v>
      </c>
      <c r="D518" s="2" t="s">
        <v>699</v>
      </c>
      <c r="E518" s="5" t="s">
        <v>699</v>
      </c>
      <c r="F518" s="5">
        <v>276790</v>
      </c>
      <c r="G518" s="2" t="s">
        <v>1494</v>
      </c>
      <c r="H518" s="2" t="s">
        <v>1495</v>
      </c>
      <c r="I518" s="2" t="s">
        <v>1496</v>
      </c>
      <c r="J518" s="2" t="str">
        <f>CONCATENATE(G518,F518,H518,C518,I518)</f>
        <v>https://permalinkbnd.bnportugal.gov.pt/viewer/276790/?offset=#page=53&amp;viewer=picture&amp;o=info&amp;n=0&amp;q=</v>
      </c>
      <c r="K518" s="1" t="s">
        <v>700</v>
      </c>
      <c r="L518" s="1" t="str">
        <f>VLOOKUP(A518,Folha2!$A$2:$B$2019,2,FALSE)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8" s="12" t="str">
        <f>HYPERLINK(J518)</f>
        <v>https://permalinkbnd.bnportugal.gov.pt/viewer/276790/?offset=#page=53&amp;viewer=picture&amp;o=info&amp;n=0&amp;q=</v>
      </c>
      <c r="N518" s="12" t="s">
        <v>1497</v>
      </c>
      <c r="O518" s="12" t="str">
        <f>CONCATENATE(N518,A518,"\",B518,"\",C518,".jpg")</f>
        <v>C:\Users\mbaptista\OneDrive - Biblioteca Nacional de Portugal\Documentos\python\camoniana\imagens\capas\258492\1\53.jpg</v>
      </c>
      <c r="P518" s="12" t="str">
        <f>HYPERLINK(O518)</f>
        <v>C:\Users\mbaptista\OneDrive - Biblioteca Nacional de Portugal\Documentos\python\camoniana\imagens\capas\258492\1\53.jpg</v>
      </c>
      <c r="Q518" s="12"/>
      <c r="R518" s="6"/>
      <c r="S518" s="12"/>
      <c r="T518" s="1"/>
      <c r="U518" s="13"/>
      <c r="V518" s="13"/>
      <c r="W518" s="5"/>
    </row>
    <row r="519" spans="1:23" ht="225">
      <c r="A519" s="1">
        <v>258492</v>
      </c>
      <c r="B519" s="1">
        <v>1</v>
      </c>
      <c r="C519" s="1">
        <v>133</v>
      </c>
      <c r="D519" s="2" t="s">
        <v>699</v>
      </c>
      <c r="E519" s="11" t="s">
        <v>699</v>
      </c>
      <c r="F519" s="11">
        <v>276790</v>
      </c>
      <c r="G519" s="2" t="s">
        <v>1494</v>
      </c>
      <c r="H519" s="2" t="s">
        <v>1495</v>
      </c>
      <c r="I519" s="2" t="s">
        <v>1496</v>
      </c>
      <c r="J519" s="2" t="str">
        <f>CONCATENATE(G519,F519,H519,C519,I519)</f>
        <v>https://permalinkbnd.bnportugal.gov.pt/viewer/276790/?offset=#page=133&amp;viewer=picture&amp;o=info&amp;n=0&amp;q=</v>
      </c>
      <c r="K519" s="1" t="s">
        <v>700</v>
      </c>
      <c r="L519" s="1" t="str">
        <f>VLOOKUP(A519,Folha2!$A$2:$B$2019,2,FALSE)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19" s="12" t="str">
        <f>HYPERLINK(J519)</f>
        <v>https://permalinkbnd.bnportugal.gov.pt/viewer/276790/?offset=#page=133&amp;viewer=picture&amp;o=info&amp;n=0&amp;q=</v>
      </c>
      <c r="N519" s="12" t="s">
        <v>1497</v>
      </c>
      <c r="O519" s="12" t="str">
        <f>CONCATENATE(N519,A519,"\",B519,"\",C519,".jpg")</f>
        <v>C:\Users\mbaptista\OneDrive - Biblioteca Nacional de Portugal\Documentos\python\camoniana\imagens\capas\258492\1\133.jpg</v>
      </c>
      <c r="P519" s="12" t="str">
        <f>HYPERLINK(O519)</f>
        <v>C:\Users\mbaptista\OneDrive - Biblioteca Nacional de Portugal\Documentos\python\camoniana\imagens\capas\258492\1\133.jpg</v>
      </c>
      <c r="Q519" s="12"/>
      <c r="R519" s="6"/>
      <c r="S519" s="12"/>
      <c r="T519" s="1"/>
      <c r="U519" s="13"/>
      <c r="V519" s="13"/>
      <c r="W519" s="5"/>
    </row>
    <row r="520" spans="1:23" ht="225">
      <c r="A520" s="1">
        <v>258492</v>
      </c>
      <c r="B520" s="1">
        <v>1</v>
      </c>
      <c r="C520" s="1">
        <v>185</v>
      </c>
      <c r="D520" s="2" t="s">
        <v>699</v>
      </c>
      <c r="E520" s="5" t="s">
        <v>699</v>
      </c>
      <c r="F520" s="5">
        <v>276790</v>
      </c>
      <c r="G520" s="2" t="s">
        <v>1494</v>
      </c>
      <c r="H520" s="2" t="s">
        <v>1495</v>
      </c>
      <c r="I520" s="2" t="s">
        <v>1496</v>
      </c>
      <c r="J520" s="2" t="str">
        <f>CONCATENATE(G520,F520,H520,C520,I520)</f>
        <v>https://permalinkbnd.bnportugal.gov.pt/viewer/276790/?offset=#page=185&amp;viewer=picture&amp;o=info&amp;n=0&amp;q=</v>
      </c>
      <c r="K520" s="1" t="s">
        <v>700</v>
      </c>
      <c r="L520" s="1" t="str">
        <f>VLOOKUP(A520,Folha2!$A$2:$B$2019,2,FALSE)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0" s="12" t="str">
        <f>HYPERLINK(J520)</f>
        <v>https://permalinkbnd.bnportugal.gov.pt/viewer/276790/?offset=#page=185&amp;viewer=picture&amp;o=info&amp;n=0&amp;q=</v>
      </c>
      <c r="N520" s="12" t="s">
        <v>1497</v>
      </c>
      <c r="O520" s="12" t="str">
        <f>CONCATENATE(N520,A520,"\",B520,"\",C520,".jpg")</f>
        <v>C:\Users\mbaptista\OneDrive - Biblioteca Nacional de Portugal\Documentos\python\camoniana\imagens\capas\258492\1\185.jpg</v>
      </c>
      <c r="P520" s="12" t="str">
        <f>HYPERLINK(O520)</f>
        <v>C:\Users\mbaptista\OneDrive - Biblioteca Nacional de Portugal\Documentos\python\camoniana\imagens\capas\258492\1\185.jpg</v>
      </c>
      <c r="Q520" s="12"/>
      <c r="R520" s="6"/>
      <c r="S520" s="12"/>
      <c r="T520" s="1"/>
      <c r="U520" s="13"/>
      <c r="V520" s="13"/>
      <c r="W520" s="5"/>
    </row>
    <row r="521" spans="1:23" ht="225">
      <c r="A521" s="1">
        <v>258492</v>
      </c>
      <c r="B521" s="1">
        <v>1</v>
      </c>
      <c r="C521" s="1">
        <v>363</v>
      </c>
      <c r="D521" s="2" t="s">
        <v>699</v>
      </c>
      <c r="E521" s="11" t="s">
        <v>699</v>
      </c>
      <c r="F521" s="11">
        <v>276790</v>
      </c>
      <c r="G521" s="2" t="s">
        <v>1494</v>
      </c>
      <c r="H521" s="2" t="s">
        <v>1495</v>
      </c>
      <c r="I521" s="2" t="s">
        <v>1496</v>
      </c>
      <c r="J521" s="2" t="str">
        <f>CONCATENATE(G521,F521,H521,C521,I521)</f>
        <v>https://permalinkbnd.bnportugal.gov.pt/viewer/276790/?offset=#page=363&amp;viewer=picture&amp;o=info&amp;n=0&amp;q=</v>
      </c>
      <c r="K521" s="1" t="s">
        <v>700</v>
      </c>
      <c r="L521" s="1" t="str">
        <f>VLOOKUP(A521,Folha2!$A$2:$B$2019,2,FALSE)</f>
        <v>Os Lusiadas / de Luiz de Camões com Diccionario de todos os nomes próprios contidos no poema e uma crítica litteraria ; por Paulino de Souza. - Edição das Escolas. - Paris : Guillard, Aillaud &amp; C.a : a venda nas principaes livrarias de Portugal e do Brazil, [1883]. Paratextos vida e Paratextos argumentos.</v>
      </c>
      <c r="M521" s="12" t="str">
        <f>HYPERLINK(J521)</f>
        <v>https://permalinkbnd.bnportugal.gov.pt/viewer/276790/?offset=#page=363&amp;viewer=picture&amp;o=info&amp;n=0&amp;q=</v>
      </c>
      <c r="N521" s="12" t="s">
        <v>1497</v>
      </c>
      <c r="O521" s="12" t="str">
        <f>CONCATENATE(N521,A521,"\",B521,"\",C521,".jpg")</f>
        <v>C:\Users\mbaptista\OneDrive - Biblioteca Nacional de Portugal\Documentos\python\camoniana\imagens\capas\258492\1\363.jpg</v>
      </c>
      <c r="P521" s="12" t="str">
        <f>HYPERLINK(O521)</f>
        <v>C:\Users\mbaptista\OneDrive - Biblioteca Nacional de Portugal\Documentos\python\camoniana\imagens\capas\258492\1\363.jpg</v>
      </c>
      <c r="Q521" s="12"/>
      <c r="R521" s="6"/>
      <c r="S521" s="12"/>
      <c r="T521" s="1"/>
      <c r="U521" s="13"/>
      <c r="V521" s="13"/>
      <c r="W521" s="5"/>
    </row>
    <row r="522" spans="1:23" ht="225">
      <c r="A522" s="1">
        <v>252303</v>
      </c>
      <c r="B522" s="1">
        <v>1</v>
      </c>
      <c r="C522" s="1">
        <v>4</v>
      </c>
      <c r="D522" s="2" t="s">
        <v>704</v>
      </c>
      <c r="E522" s="5" t="s">
        <v>704</v>
      </c>
      <c r="F522" s="5">
        <v>276785</v>
      </c>
      <c r="G522" s="2" t="s">
        <v>1494</v>
      </c>
      <c r="H522" s="2" t="s">
        <v>1495</v>
      </c>
      <c r="I522" s="2" t="s">
        <v>1496</v>
      </c>
      <c r="J522" s="2" t="str">
        <f>CONCATENATE(G522,F522,H522,C522,I522)</f>
        <v>https://permalinkbnd.bnportugal.gov.pt/viewer/276785/?offset=#page=4&amp;viewer=picture&amp;o=info&amp;n=0&amp;q=</v>
      </c>
      <c r="K522" s="1" t="s">
        <v>705</v>
      </c>
      <c r="L522" s="1" t="str">
        <f>VLOOKUP(A522,Folha2!$A$2:$B$2019,2,FALSE)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2" s="12" t="str">
        <f>HYPERLINK(J522)</f>
        <v>https://permalinkbnd.bnportugal.gov.pt/viewer/276785/?offset=#page=4&amp;viewer=picture&amp;o=info&amp;n=0&amp;q=</v>
      </c>
      <c r="N522" s="12" t="s">
        <v>1497</v>
      </c>
      <c r="O522" s="12" t="str">
        <f>CONCATENATE(N522,A522,"\",B522,"\",C522,".jpg")</f>
        <v>C:\Users\mbaptista\OneDrive - Biblioteca Nacional de Portugal\Documentos\python\camoniana\imagens\capas\252303\1\4.jpg</v>
      </c>
      <c r="P522" s="12" t="str">
        <f>HYPERLINK(O522)</f>
        <v>C:\Users\mbaptista\OneDrive - Biblioteca Nacional de Portugal\Documentos\python\camoniana\imagens\capas\252303\1\4.jpg</v>
      </c>
      <c r="Q522" s="12"/>
      <c r="R522" s="6" t="s">
        <v>707</v>
      </c>
      <c r="S522" s="12"/>
      <c r="T522" s="1" t="s">
        <v>706</v>
      </c>
      <c r="U522" s="13"/>
      <c r="V522" s="13"/>
      <c r="W522" s="5" t="s">
        <v>1491</v>
      </c>
    </row>
    <row r="523" spans="1:23" ht="225">
      <c r="A523" s="1">
        <v>252303</v>
      </c>
      <c r="B523" s="1">
        <v>1</v>
      </c>
      <c r="C523" s="1">
        <v>162</v>
      </c>
      <c r="D523" s="2" t="s">
        <v>704</v>
      </c>
      <c r="E523" s="11" t="s">
        <v>704</v>
      </c>
      <c r="F523" s="11">
        <v>276785</v>
      </c>
      <c r="G523" s="2" t="s">
        <v>1494</v>
      </c>
      <c r="H523" s="2" t="s">
        <v>1495</v>
      </c>
      <c r="I523" s="2" t="s">
        <v>1496</v>
      </c>
      <c r="J523" s="2" t="str">
        <f>CONCATENATE(G523,F523,H523,C523,I523)</f>
        <v>https://permalinkbnd.bnportugal.gov.pt/viewer/276785/?offset=#page=162&amp;viewer=picture&amp;o=info&amp;n=0&amp;q=</v>
      </c>
      <c r="K523" s="1" t="s">
        <v>705</v>
      </c>
      <c r="L523" s="1" t="str">
        <f>VLOOKUP(A523,Folha2!$A$2:$B$2019,2,FALSE)</f>
        <v>Os Lusiadas / Luiz de Camões. - Edição revista e prefaciada por Theophilo Braga e illustrada com os retratos de Luiz de Camões e Vasco da Gama. - Lisboa : Pereira &amp; Amorim, 1881, sem argumentos. No prológo de TB é referido o tricentenário. Obra truncada/incompleta: termina no Canto X, CLV, falta a última CLVI. Paratextos vida; Iconografia: figuras históricas [Vasco da Gama]. Verifica-se, ​ a falta da est. CLVI na digitalização (a obra original está correta) - Falta digitalizar, portanto, a página 140 (CLVI) e a página seguinte do Índice (Sara).</v>
      </c>
      <c r="M523" s="12" t="str">
        <f>HYPERLINK(J523)</f>
        <v>https://permalinkbnd.bnportugal.gov.pt/viewer/276785/?offset=#page=162&amp;viewer=picture&amp;o=info&amp;n=0&amp;q=</v>
      </c>
      <c r="N523" s="12" t="s">
        <v>1497</v>
      </c>
      <c r="O523" s="12" t="str">
        <f>CONCATENATE(N523,A523,"\",B523,"\",C523,".jpg")</f>
        <v>C:\Users\mbaptista\OneDrive - Biblioteca Nacional de Portugal\Documentos\python\camoniana\imagens\capas\252303\1\162.jpg</v>
      </c>
      <c r="P523" s="12" t="str">
        <f>HYPERLINK(O523)</f>
        <v>C:\Users\mbaptista\OneDrive - Biblioteca Nacional de Portugal\Documentos\python\camoniana\imagens\capas\252303\1\162.jpg</v>
      </c>
      <c r="Q523" s="12"/>
      <c r="R523" s="6" t="s">
        <v>708</v>
      </c>
      <c r="S523" s="12"/>
      <c r="T523" s="1" t="s">
        <v>706</v>
      </c>
      <c r="U523" s="13"/>
      <c r="V523" s="13"/>
      <c r="W523" s="5" t="s">
        <v>1491</v>
      </c>
    </row>
    <row r="524" spans="1:23" ht="225">
      <c r="A524" s="1">
        <v>258529</v>
      </c>
      <c r="B524" s="1">
        <v>1</v>
      </c>
      <c r="C524" s="1">
        <v>6</v>
      </c>
      <c r="D524" s="2" t="s">
        <v>709</v>
      </c>
      <c r="E524" s="5" t="s">
        <v>709</v>
      </c>
      <c r="F524" s="5">
        <v>276792</v>
      </c>
      <c r="G524" s="2" t="s">
        <v>1494</v>
      </c>
      <c r="H524" s="2" t="s">
        <v>1495</v>
      </c>
      <c r="I524" s="2" t="s">
        <v>1496</v>
      </c>
      <c r="J524" s="2" t="str">
        <f>CONCATENATE(G524,F524,H524,C524,I524)</f>
        <v>https://permalinkbnd.bnportugal.gov.pt/viewer/276792/?offset=#page=6&amp;viewer=picture&amp;o=info&amp;n=0&amp;q=</v>
      </c>
      <c r="K524" s="1" t="s">
        <v>710</v>
      </c>
      <c r="L524" s="1" t="str">
        <f>VLOOKUP(A524,Folha2!$A$2:$B$2019,2,FALSE)</f>
        <v>Os Lusiadas / poema epico de Luiz de Camões. - 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 - Lisboa : Livraria de Antonio Maria Pereira, 1882. Paratextos vida; Paratextos argumentos; Iconografia, outros [Padrão]. Sem referência ao Tricentenário.</v>
      </c>
      <c r="M524" s="12" t="str">
        <f>HYPERLINK(J524)</f>
        <v>https://permalinkbnd.bnportugal.gov.pt/viewer/276792/?offset=#page=6&amp;viewer=picture&amp;o=info&amp;n=0&amp;q=</v>
      </c>
      <c r="N524" s="12" t="s">
        <v>1497</v>
      </c>
      <c r="O524" s="12" t="str">
        <f>CONCATENATE(N524,A524,"\",B524,"\",C524,".jpg")</f>
        <v>C:\Users\mbaptista\OneDrive - Biblioteca Nacional de Portugal\Documentos\python\camoniana\imagens\capas\258529\1\6.jpg</v>
      </c>
      <c r="P524" s="12" t="str">
        <f>HYPERLINK(O524)</f>
        <v>C:\Users\mbaptista\OneDrive - Biblioteca Nacional de Portugal\Documentos\python\camoniana\imagens\capas\258529\1\6.jpg</v>
      </c>
      <c r="Q524" s="12"/>
      <c r="R524" s="6" t="s">
        <v>711</v>
      </c>
      <c r="S524" s="12"/>
      <c r="T524" s="1">
        <v>6</v>
      </c>
      <c r="U524" s="13"/>
      <c r="V524" s="13"/>
      <c r="W524" s="5" t="s">
        <v>1491</v>
      </c>
    </row>
    <row r="525" spans="1:23" ht="225">
      <c r="A525" s="1">
        <v>397744</v>
      </c>
      <c r="B525" s="1">
        <v>1</v>
      </c>
      <c r="C525" s="1">
        <v>10</v>
      </c>
      <c r="D525" s="2" t="s">
        <v>712</v>
      </c>
      <c r="E525" s="11" t="s">
        <v>712</v>
      </c>
      <c r="F525" s="11">
        <v>279509</v>
      </c>
      <c r="G525" s="2" t="s">
        <v>1494</v>
      </c>
      <c r="H525" s="2" t="s">
        <v>1495</v>
      </c>
      <c r="I525" s="2" t="s">
        <v>1496</v>
      </c>
      <c r="J525" s="2" t="str">
        <f>CONCATENATE(G525,F525,H525,C525,I525)</f>
        <v>https://permalinkbnd.bnportugal.gov.pt/viewer/279509/?offset=#page=10&amp;viewer=picture&amp;o=info&amp;n=0&amp;q=</v>
      </c>
      <c r="K525" s="1" t="s">
        <v>713</v>
      </c>
      <c r="L525" s="1" t="str">
        <f>VLOOKUP(A525,Folha2!$A$2:$B$2019,2,FALSE)</f>
        <v>Apparição do gigante Adamastor a Vasco da Gama : episodio extrahido ... dos Lusiadas ... / Luís de Camöes ; pról. de António Vieira Lopes. - Porto : Empreza do Seminário "O Camöes", 1883. Não refere Tricentenário. Obra, fragmentos, épica, paratextos gerais: insere-se em paratextos gerais outros.</v>
      </c>
      <c r="M525" s="12" t="str">
        <f>HYPERLINK(J525)</f>
        <v>https://permalinkbnd.bnportugal.gov.pt/viewer/279509/?offset=#page=10&amp;viewer=picture&amp;o=info&amp;n=0&amp;q=</v>
      </c>
      <c r="N525" s="12" t="s">
        <v>1497</v>
      </c>
      <c r="O525" s="12" t="str">
        <f>CONCATENATE(N525,A525,"\",B525,"\",C525,".jpg")</f>
        <v>C:\Users\mbaptista\OneDrive - Biblioteca Nacional de Portugal\Documentos\python\camoniana\imagens\capas\397744\1\10.jpg</v>
      </c>
      <c r="P525" s="12" t="str">
        <f>HYPERLINK(O525)</f>
        <v>C:\Users\mbaptista\OneDrive - Biblioteca Nacional de Portugal\Documentos\python\camoniana\imagens\capas\397744\1\10.jpg</v>
      </c>
      <c r="Q525" s="12"/>
      <c r="R525" s="6" t="s">
        <v>714</v>
      </c>
      <c r="S525" s="12"/>
      <c r="T525" s="1">
        <v>10</v>
      </c>
      <c r="U525" s="13"/>
      <c r="V525" s="13"/>
      <c r="W525" s="5" t="s">
        <v>1491</v>
      </c>
    </row>
    <row r="526" spans="1:23" ht="225">
      <c r="A526" s="1">
        <v>382847</v>
      </c>
      <c r="B526" s="1">
        <v>1</v>
      </c>
      <c r="C526" s="1">
        <v>10</v>
      </c>
      <c r="D526" s="2" t="s">
        <v>715</v>
      </c>
      <c r="E526" s="5" t="s">
        <v>715</v>
      </c>
      <c r="F526" s="5">
        <v>279502</v>
      </c>
      <c r="G526" s="2" t="s">
        <v>1494</v>
      </c>
      <c r="H526" s="2" t="s">
        <v>1495</v>
      </c>
      <c r="I526" s="2" t="s">
        <v>1496</v>
      </c>
      <c r="J526" s="2" t="str">
        <f>CONCATENATE(G526,F526,H526,C526,I526)</f>
        <v>https://permalinkbnd.bnportugal.gov.pt/viewer/279502/?offset=#page=10&amp;viewer=picture&amp;o=info&amp;n=0&amp;q=</v>
      </c>
      <c r="K526" s="1" t="s">
        <v>255</v>
      </c>
      <c r="L526" s="1" t="str">
        <f>VLOOKUP(A526,Folha2!$A$2:$B$2019,2,FALSE)</f>
        <v>Camoneana Académica : a Camões, os estudantes do Porto em Junho de 1880.  Alunos que se farão ouvir no Real Teatro de S. João, na manhã do dia 10 de Junho, e encarregou-se da publicação da Camoniana Académica, inclui textos de autores consagrados. Celebrações (1880), recepção criativa, tematização.</v>
      </c>
      <c r="M526" s="12" t="str">
        <f>HYPERLINK(J526)</f>
        <v>https://permalinkbnd.bnportugal.gov.pt/viewer/279502/?offset=#page=10&amp;viewer=picture&amp;o=info&amp;n=0&amp;q=</v>
      </c>
      <c r="N526" s="12" t="s">
        <v>1497</v>
      </c>
      <c r="O526" s="12" t="str">
        <f>CONCATENATE(N526,A526,"\",B526,"\",C526,".jpg")</f>
        <v>C:\Users\mbaptista\OneDrive - Biblioteca Nacional de Portugal\Documentos\python\camoniana\imagens\capas\382847\1\10.jpg</v>
      </c>
      <c r="P526" s="12" t="str">
        <f>HYPERLINK(O526)</f>
        <v>C:\Users\mbaptista\OneDrive - Biblioteca Nacional de Portugal\Documentos\python\camoniana\imagens\capas\382847\1\10.jpg</v>
      </c>
      <c r="Q526" s="12"/>
      <c r="R526" s="6" t="s">
        <v>716</v>
      </c>
      <c r="S526" s="12"/>
      <c r="T526" s="1">
        <v>10</v>
      </c>
      <c r="U526" s="13"/>
      <c r="V526" s="13"/>
      <c r="W526" s="5" t="s">
        <v>1491</v>
      </c>
    </row>
    <row r="527" spans="1:23" ht="225">
      <c r="A527" s="1">
        <v>1072941</v>
      </c>
      <c r="B527" s="1">
        <v>1</v>
      </c>
      <c r="C527" s="1">
        <v>11</v>
      </c>
      <c r="D527" s="2" t="s">
        <v>717</v>
      </c>
      <c r="E527" s="11" t="s">
        <v>717</v>
      </c>
      <c r="F527" s="11">
        <v>279513</v>
      </c>
      <c r="G527" s="2" t="s">
        <v>1494</v>
      </c>
      <c r="H527" s="2" t="s">
        <v>1495</v>
      </c>
      <c r="I527" s="2" t="s">
        <v>1496</v>
      </c>
      <c r="J527" s="2" t="str">
        <f>CONCATENATE(G527,F527,H527,C527,I527)</f>
        <v>https://permalinkbnd.bnportugal.gov.pt/viewer/279513/?offset=#page=11&amp;viewer=picture&amp;o=info&amp;n=0&amp;q=</v>
      </c>
      <c r="K527" s="1" t="s">
        <v>718</v>
      </c>
      <c r="L527" s="1" t="str">
        <f>VLOOKUP(A527,Folha2!$A$2:$B$2019,2,FALSE)</f>
        <v>Ines de Castro : treurspel / Mr. Rhijnuis Feith. - Amsterdam : Johannes Allart, 1793.</v>
      </c>
      <c r="M527" s="12" t="str">
        <f>HYPERLINK(J527)</f>
        <v>https://permalinkbnd.bnportugal.gov.pt/viewer/279513/?offset=#page=11&amp;viewer=picture&amp;o=info&amp;n=0&amp;q=</v>
      </c>
      <c r="N527" s="12" t="s">
        <v>1497</v>
      </c>
      <c r="O527" s="12" t="str">
        <f>CONCATENATE(N527,A527,"\",B527,"\",C527,".jpg")</f>
        <v>C:\Users\mbaptista\OneDrive - Biblioteca Nacional de Portugal\Documentos\python\camoniana\imagens\capas\1072941\1\11.jpg</v>
      </c>
      <c r="P527" s="12" t="str">
        <f>HYPERLINK(O527)</f>
        <v>C:\Users\mbaptista\OneDrive - Biblioteca Nacional de Portugal\Documentos\python\camoniana\imagens\capas\1072941\1\11.jpg</v>
      </c>
      <c r="Q527" s="12"/>
      <c r="R527" s="6" t="s">
        <v>719</v>
      </c>
      <c r="S527" s="12"/>
      <c r="T527" s="1" t="s">
        <v>718</v>
      </c>
      <c r="U527" s="13"/>
      <c r="V527" s="13"/>
      <c r="W527" s="5" t="s">
        <v>1491</v>
      </c>
    </row>
    <row r="528" spans="1:23" ht="225">
      <c r="A528" s="1">
        <v>1072941</v>
      </c>
      <c r="B528" s="1">
        <v>1</v>
      </c>
      <c r="C528" s="1">
        <v>21</v>
      </c>
      <c r="D528" s="2" t="s">
        <v>717</v>
      </c>
      <c r="E528" s="5" t="s">
        <v>717</v>
      </c>
      <c r="F528" s="5">
        <v>279513</v>
      </c>
      <c r="G528" s="2" t="s">
        <v>1494</v>
      </c>
      <c r="H528" s="2" t="s">
        <v>1495</v>
      </c>
      <c r="I528" s="2" t="s">
        <v>1496</v>
      </c>
      <c r="J528" s="2" t="str">
        <f>CONCATENATE(G528,F528,H528,C528,I528)</f>
        <v>https://permalinkbnd.bnportugal.gov.pt/viewer/279513/?offset=#page=21&amp;viewer=picture&amp;o=info&amp;n=0&amp;q=</v>
      </c>
      <c r="K528" s="1" t="s">
        <v>718</v>
      </c>
      <c r="L528" s="1" t="str">
        <f>VLOOKUP(A528,Folha2!$A$2:$B$2019,2,FALSE)</f>
        <v>Ines de Castro : treurspel / Mr. Rhijnuis Feith. - Amsterdam : Johannes Allart, 1793.</v>
      </c>
      <c r="M528" s="12" t="str">
        <f>HYPERLINK(J528)</f>
        <v>https://permalinkbnd.bnportugal.gov.pt/viewer/279513/?offset=#page=21&amp;viewer=picture&amp;o=info&amp;n=0&amp;q=</v>
      </c>
      <c r="N528" s="12" t="s">
        <v>1497</v>
      </c>
      <c r="O528" s="12" t="str">
        <f>CONCATENATE(N528,A528,"\",B528,"\",C528,".jpg")</f>
        <v>C:\Users\mbaptista\OneDrive - Biblioteca Nacional de Portugal\Documentos\python\camoniana\imagens\capas\1072941\1\21.jpg</v>
      </c>
      <c r="P528" s="12" t="str">
        <f>HYPERLINK(O528)</f>
        <v>C:\Users\mbaptista\OneDrive - Biblioteca Nacional de Portugal\Documentos\python\camoniana\imagens\capas\1072941\1\21.jpg</v>
      </c>
      <c r="Q528" s="12"/>
      <c r="R528" s="6" t="s">
        <v>720</v>
      </c>
      <c r="S528" s="12"/>
      <c r="T528" s="1" t="s">
        <v>718</v>
      </c>
      <c r="U528" s="13"/>
      <c r="V528" s="13"/>
      <c r="W528" s="5" t="s">
        <v>1491</v>
      </c>
    </row>
    <row r="529" spans="1:23" ht="225">
      <c r="A529" s="1">
        <v>1073970</v>
      </c>
      <c r="B529" s="1">
        <v>1</v>
      </c>
      <c r="C529" s="1">
        <v>7</v>
      </c>
      <c r="D529" s="2" t="s">
        <v>721</v>
      </c>
      <c r="E529" s="11" t="s">
        <v>721</v>
      </c>
      <c r="F529" s="11">
        <v>279512</v>
      </c>
      <c r="G529" s="2" t="s">
        <v>1494</v>
      </c>
      <c r="H529" s="2" t="s">
        <v>1495</v>
      </c>
      <c r="I529" s="2" t="s">
        <v>1496</v>
      </c>
      <c r="J529" s="2" t="str">
        <f>CONCATENATE(G529,F529,H529,C529,I529)</f>
        <v>https://permalinkbnd.bnportugal.gov.pt/viewer/279512/?offset=#page=7&amp;viewer=picture&amp;o=info&amp;n=0&amp;q=</v>
      </c>
      <c r="K529" s="1">
        <v>7</v>
      </c>
      <c r="L529" s="1" t="str">
        <f>VLOOKUP(A529,Folha2!$A$2:$B$2019,2,FALSE)</f>
        <v>Italia drammatica : Camoens o un poeta ed un ministro : dramma in cinque atti ed epilogo / di Leone Fortis. - Torino : Tip. Italiana, : alle libr. Fontana, Schiepatti, Magnaghi, Giannini e Fiore, Toscanelli, 1851. Representado num teatro em Torino: imitação de um outro drama de Perrot e Mesnil, intitulado Camões.</v>
      </c>
      <c r="M529" s="12" t="str">
        <f>HYPERLINK(J529)</f>
        <v>https://permalinkbnd.bnportugal.gov.pt/viewer/279512/?offset=#page=7&amp;viewer=picture&amp;o=info&amp;n=0&amp;q=</v>
      </c>
      <c r="N529" s="12" t="s">
        <v>1497</v>
      </c>
      <c r="O529" s="12" t="str">
        <f>CONCATENATE(N529,A529,"\",B529,"\",C529,".jpg")</f>
        <v>C:\Users\mbaptista\OneDrive - Biblioteca Nacional de Portugal\Documentos\python\camoniana\imagens\capas\1073970\1\7.jpg</v>
      </c>
      <c r="P529" s="12" t="str">
        <f>HYPERLINK(O529)</f>
        <v>C:\Users\mbaptista\OneDrive - Biblioteca Nacional de Portugal\Documentos\python\camoniana\imagens\capas\1073970\1\7.jpg</v>
      </c>
      <c r="Q529" s="12"/>
      <c r="R529" s="6" t="s">
        <v>722</v>
      </c>
      <c r="S529" s="12"/>
      <c r="T529" s="1">
        <v>7</v>
      </c>
      <c r="U529" s="13"/>
      <c r="V529" s="13"/>
      <c r="W529" s="5" t="s">
        <v>1491</v>
      </c>
    </row>
    <row r="530" spans="1:23" ht="225">
      <c r="A530" s="1">
        <v>258643</v>
      </c>
      <c r="B530" s="1">
        <v>1</v>
      </c>
      <c r="C530" s="1">
        <v>10</v>
      </c>
      <c r="D530" s="2" t="s">
        <v>723</v>
      </c>
      <c r="E530" s="5" t="s">
        <v>723</v>
      </c>
      <c r="F530" s="5">
        <v>276787</v>
      </c>
      <c r="G530" s="2" t="s">
        <v>1494</v>
      </c>
      <c r="H530" s="2" t="s">
        <v>1495</v>
      </c>
      <c r="I530" s="2" t="s">
        <v>1496</v>
      </c>
      <c r="J530" s="2" t="str">
        <f>CONCATENATE(G530,F530,H530,C530,I530)</f>
        <v>https://permalinkbnd.bnportugal.gov.pt/viewer/276787/?offset=#page=10&amp;viewer=picture&amp;o=info&amp;n=0&amp;q=</v>
      </c>
      <c r="K530" s="1" t="s">
        <v>724</v>
      </c>
      <c r="L530" s="1" t="str">
        <f>VLOOKUP(A530,Folha2!$A$2:$B$2019,2,FALSE)</f>
        <v>Os Lusiadas : poema epico / Luiz de Camões ; edição classica com uma noticia sobre a vida e obras do auctor pelo conego Dr. J. C. Fernandes Pinheiro ; e com um estudo sobre Camões e os Lusiadas por José Verissimo da Academia Brazileira. - Rio de Janeiro ;. - Pariz : H. Garnier, [1899]. Paratextos vida; Paratextos argumentos; Paratextos notas.</v>
      </c>
      <c r="M530" s="12" t="str">
        <f>HYPERLINK(J530)</f>
        <v>https://permalinkbnd.bnportugal.gov.pt/viewer/276787/?offset=#page=10&amp;viewer=picture&amp;o=info&amp;n=0&amp;q=</v>
      </c>
      <c r="N530" s="12" t="s">
        <v>1497</v>
      </c>
      <c r="O530" s="12" t="str">
        <f>CONCATENATE(N530,A530,"\",B530,"\",C530,".jpg")</f>
        <v>C:\Users\mbaptista\OneDrive - Biblioteca Nacional de Portugal\Documentos\python\camoniana\imagens\capas\258643\1\10.jpg</v>
      </c>
      <c r="P530" s="12" t="str">
        <f>HYPERLINK(O530)</f>
        <v>C:\Users\mbaptista\OneDrive - Biblioteca Nacional de Portugal\Documentos\python\camoniana\imagens\capas\258643\1\10.jpg</v>
      </c>
      <c r="Q530" s="12"/>
      <c r="R530" s="6" t="s">
        <v>725</v>
      </c>
      <c r="S530" s="12"/>
      <c r="T530" s="1">
        <v>10</v>
      </c>
      <c r="U530" s="13"/>
      <c r="V530" s="13"/>
      <c r="W530" s="5" t="s">
        <v>1491</v>
      </c>
    </row>
    <row r="531" spans="1:23" ht="225">
      <c r="A531" s="1">
        <v>1725327</v>
      </c>
      <c r="B531" s="1">
        <v>1</v>
      </c>
      <c r="C531" s="1">
        <v>1</v>
      </c>
      <c r="D531" s="2" t="s">
        <v>726</v>
      </c>
      <c r="E531" s="11" t="s">
        <v>726</v>
      </c>
      <c r="F531" s="11">
        <v>275409</v>
      </c>
      <c r="G531" s="2" t="s">
        <v>1494</v>
      </c>
      <c r="H531" s="2" t="s">
        <v>1495</v>
      </c>
      <c r="I531" s="2" t="s">
        <v>1496</v>
      </c>
      <c r="J531" s="2" t="str">
        <f>CONCATENATE(G531,F531,H531,C531,I531)</f>
        <v>https://permalinkbnd.bnportugal.gov.pt/viewer/275409/?offset=#page=1&amp;viewer=picture&amp;o=info&amp;n=0&amp;q=</v>
      </c>
      <c r="K531" s="1" t="s">
        <v>727</v>
      </c>
      <c r="L531" s="1" t="str">
        <f>VLOOKUP(A531,Folha2!$A$2:$B$2019,2,FALSE)</f>
        <v>Giacomo Riccio. Luigi Camoens: dramma in quattro atti. Napoli. [1842].</v>
      </c>
      <c r="M531" s="12" t="str">
        <f>HYPERLINK(J531)</f>
        <v>https://permalinkbnd.bnportugal.gov.pt/viewer/275409/?offset=#page=1&amp;viewer=picture&amp;o=info&amp;n=0&amp;q=</v>
      </c>
      <c r="N531" s="12" t="s">
        <v>1497</v>
      </c>
      <c r="O531" s="12" t="str">
        <f>CONCATENATE(N531,A531,"\",B531,"\",C531,".jpg")</f>
        <v>C:\Users\mbaptista\OneDrive - Biblioteca Nacional de Portugal\Documentos\python\camoniana\imagens\capas\1725327\1\1.jpg</v>
      </c>
      <c r="P531" s="12" t="str">
        <f>HYPERLINK(O531)</f>
        <v>C:\Users\mbaptista\OneDrive - Biblioteca Nacional de Portugal\Documentos\python\camoniana\imagens\capas\1725327\1\1.jpg</v>
      </c>
      <c r="Q531" s="12"/>
      <c r="R531" s="6" t="s">
        <v>728</v>
      </c>
      <c r="S531" s="12"/>
      <c r="T531" s="1">
        <v>1</v>
      </c>
      <c r="U531" s="13"/>
      <c r="V531" s="13"/>
      <c r="W531" s="5" t="s">
        <v>1491</v>
      </c>
    </row>
    <row r="532" spans="1:23" ht="225">
      <c r="A532" s="1">
        <v>388329</v>
      </c>
      <c r="B532" s="1">
        <v>1</v>
      </c>
      <c r="C532" s="1">
        <v>14</v>
      </c>
      <c r="D532" s="2" t="s">
        <v>729</v>
      </c>
      <c r="E532" s="5" t="s">
        <v>729</v>
      </c>
      <c r="F532" s="5">
        <v>273746</v>
      </c>
      <c r="G532" s="2" t="s">
        <v>1494</v>
      </c>
      <c r="H532" s="2" t="s">
        <v>1495</v>
      </c>
      <c r="I532" s="2" t="s">
        <v>1496</v>
      </c>
      <c r="J532" s="2" t="str">
        <f>CONCATENATE(G532,F532,H532,C532,I532)</f>
        <v>https://permalinkbnd.bnportugal.gov.pt/viewer/273746/?offset=#page=14&amp;viewer=picture&amp;o=info&amp;n=0&amp;q=</v>
      </c>
      <c r="K532" s="1" t="s">
        <v>730</v>
      </c>
      <c r="L532" s="1" t="str">
        <f>VLOOKUP(A532,Folha2!$A$2:$B$2019,2,FALSE)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2" s="12" t="str">
        <f>HYPERLINK(J532)</f>
        <v>https://permalinkbnd.bnportugal.gov.pt/viewer/273746/?offset=#page=14&amp;viewer=picture&amp;o=info&amp;n=0&amp;q=</v>
      </c>
      <c r="N532" s="12" t="s">
        <v>1497</v>
      </c>
      <c r="O532" s="12" t="str">
        <f>CONCATENATE(N532,A532,"\",B532,"\",C532,".jpg")</f>
        <v>C:\Users\mbaptista\OneDrive - Biblioteca Nacional de Portugal\Documentos\python\camoniana\imagens\capas\388329\1\14.jpg</v>
      </c>
      <c r="P532" s="12" t="str">
        <f>HYPERLINK(O532)</f>
        <v>C:\Users\mbaptista\OneDrive - Biblioteca Nacional de Portugal\Documentos\python\camoniana\imagens\capas\388329\1\14.jpg</v>
      </c>
      <c r="Q532" s="12"/>
      <c r="R532" s="6" t="s">
        <v>732</v>
      </c>
      <c r="S532" s="12"/>
      <c r="T532" s="1" t="s">
        <v>731</v>
      </c>
      <c r="U532" s="13"/>
      <c r="V532" s="13"/>
      <c r="W532" s="5" t="s">
        <v>1491</v>
      </c>
    </row>
    <row r="533" spans="1:23" ht="225">
      <c r="A533" s="1">
        <v>388329</v>
      </c>
      <c r="B533" s="1">
        <v>1</v>
      </c>
      <c r="C533" s="1">
        <v>74</v>
      </c>
      <c r="D533" s="2" t="s">
        <v>729</v>
      </c>
      <c r="E533" s="11" t="s">
        <v>729</v>
      </c>
      <c r="F533" s="11">
        <v>273746</v>
      </c>
      <c r="G533" s="2" t="s">
        <v>1494</v>
      </c>
      <c r="H533" s="2" t="s">
        <v>1495</v>
      </c>
      <c r="I533" s="2" t="s">
        <v>1496</v>
      </c>
      <c r="J533" s="2" t="str">
        <f>CONCATENATE(G533,F533,H533,C533,I533)</f>
        <v>https://permalinkbnd.bnportugal.gov.pt/viewer/273746/?offset=#page=74&amp;viewer=picture&amp;o=info&amp;n=0&amp;q=</v>
      </c>
      <c r="K533" s="1" t="s">
        <v>730</v>
      </c>
      <c r="L533" s="1" t="str">
        <f>VLOOKUP(A533,Folha2!$A$2:$B$2019,2,FALSE)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3" s="12" t="str">
        <f>HYPERLINK(J533)</f>
        <v>https://permalinkbnd.bnportugal.gov.pt/viewer/273746/?offset=#page=74&amp;viewer=picture&amp;o=info&amp;n=0&amp;q=</v>
      </c>
      <c r="N533" s="12" t="s">
        <v>1497</v>
      </c>
      <c r="O533" s="12" t="str">
        <f>CONCATENATE(N533,A533,"\",B533,"\",C533,".jpg")</f>
        <v>C:\Users\mbaptista\OneDrive - Biblioteca Nacional de Portugal\Documentos\python\camoniana\imagens\capas\388329\1\74.jpg</v>
      </c>
      <c r="P533" s="12" t="str">
        <f>HYPERLINK(O533)</f>
        <v>C:\Users\mbaptista\OneDrive - Biblioteca Nacional de Portugal\Documentos\python\camoniana\imagens\capas\388329\1\74.jpg</v>
      </c>
      <c r="Q533" s="12"/>
      <c r="R533" s="6" t="s">
        <v>733</v>
      </c>
      <c r="S533" s="12"/>
      <c r="T533" s="1" t="s">
        <v>731</v>
      </c>
      <c r="U533" s="13"/>
      <c r="V533" s="13"/>
      <c r="W533" s="5" t="s">
        <v>1491</v>
      </c>
    </row>
    <row r="534" spans="1:23" ht="225">
      <c r="A534" s="1">
        <v>388329</v>
      </c>
      <c r="B534" s="1">
        <v>1</v>
      </c>
      <c r="C534" s="1">
        <v>89</v>
      </c>
      <c r="D534" s="2" t="s">
        <v>729</v>
      </c>
      <c r="E534" s="5" t="s">
        <v>729</v>
      </c>
      <c r="F534" s="5">
        <v>273746</v>
      </c>
      <c r="G534" s="2" t="s">
        <v>1494</v>
      </c>
      <c r="H534" s="2" t="s">
        <v>1495</v>
      </c>
      <c r="I534" s="2" t="s">
        <v>1496</v>
      </c>
      <c r="J534" s="2" t="str">
        <f>CONCATENATE(G534,F534,H534,C534,I534)</f>
        <v>https://permalinkbnd.bnportugal.gov.pt/viewer/273746/?offset=#page=89&amp;viewer=picture&amp;o=info&amp;n=0&amp;q=</v>
      </c>
      <c r="K534" s="1" t="s">
        <v>730</v>
      </c>
      <c r="L534" s="1" t="str">
        <f>VLOOKUP(A534,Folha2!$A$2:$B$2019,2,FALSE)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4" s="12" t="str">
        <f>HYPERLINK(J534)</f>
        <v>https://permalinkbnd.bnportugal.gov.pt/viewer/273746/?offset=#page=89&amp;viewer=picture&amp;o=info&amp;n=0&amp;q=</v>
      </c>
      <c r="N534" s="12" t="s">
        <v>1497</v>
      </c>
      <c r="O534" s="12" t="str">
        <f>CONCATENATE(N534,A534,"\",B534,"\",C534,".jpg")</f>
        <v>C:\Users\mbaptista\OneDrive - Biblioteca Nacional de Portugal\Documentos\python\camoniana\imagens\capas\388329\1\89.jpg</v>
      </c>
      <c r="P534" s="12" t="str">
        <f>HYPERLINK(O534)</f>
        <v>C:\Users\mbaptista\OneDrive - Biblioteca Nacional de Portugal\Documentos\python\camoniana\imagens\capas\388329\1\89.jpg</v>
      </c>
      <c r="Q534" s="12"/>
      <c r="R534" s="6" t="s">
        <v>734</v>
      </c>
      <c r="S534" s="12"/>
      <c r="T534" s="1" t="s">
        <v>731</v>
      </c>
      <c r="U534" s="13"/>
      <c r="V534" s="13"/>
      <c r="W534" s="5" t="s">
        <v>1491</v>
      </c>
    </row>
    <row r="535" spans="1:23" ht="225">
      <c r="A535" s="1">
        <v>388329</v>
      </c>
      <c r="B535" s="1">
        <v>1</v>
      </c>
      <c r="C535" s="1">
        <v>103</v>
      </c>
      <c r="D535" s="2" t="s">
        <v>729</v>
      </c>
      <c r="E535" s="11" t="s">
        <v>729</v>
      </c>
      <c r="F535" s="11">
        <v>273746</v>
      </c>
      <c r="G535" s="2" t="s">
        <v>1494</v>
      </c>
      <c r="H535" s="2" t="s">
        <v>1495</v>
      </c>
      <c r="I535" s="2" t="s">
        <v>1496</v>
      </c>
      <c r="J535" s="2" t="str">
        <f>CONCATENATE(G535,F535,H535,C535,I535)</f>
        <v>https://permalinkbnd.bnportugal.gov.pt/viewer/273746/?offset=#page=103&amp;viewer=picture&amp;o=info&amp;n=0&amp;q=</v>
      </c>
      <c r="K535" s="1" t="s">
        <v>730</v>
      </c>
      <c r="L535" s="1" t="str">
        <f>VLOOKUP(A535,Folha2!$A$2:$B$2019,2,FALSE)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5" s="12" t="str">
        <f>HYPERLINK(J535)</f>
        <v>https://permalinkbnd.bnportugal.gov.pt/viewer/273746/?offset=#page=103&amp;viewer=picture&amp;o=info&amp;n=0&amp;q=</v>
      </c>
      <c r="N535" s="12" t="s">
        <v>1497</v>
      </c>
      <c r="O535" s="12" t="str">
        <f>CONCATENATE(N535,A535,"\",B535,"\",C535,".jpg")</f>
        <v>C:\Users\mbaptista\OneDrive - Biblioteca Nacional de Portugal\Documentos\python\camoniana\imagens\capas\388329\1\103.jpg</v>
      </c>
      <c r="P535" s="12" t="str">
        <f>HYPERLINK(O535)</f>
        <v>C:\Users\mbaptista\OneDrive - Biblioteca Nacional de Portugal\Documentos\python\camoniana\imagens\capas\388329\1\103.jpg</v>
      </c>
      <c r="Q535" s="12"/>
      <c r="R535" s="6" t="s">
        <v>735</v>
      </c>
      <c r="S535" s="12"/>
      <c r="T535" s="1" t="s">
        <v>731</v>
      </c>
      <c r="U535" s="13"/>
      <c r="V535" s="13"/>
      <c r="W535" s="5" t="s">
        <v>1491</v>
      </c>
    </row>
    <row r="536" spans="1:23" ht="225">
      <c r="A536" s="1">
        <v>388329</v>
      </c>
      <c r="B536" s="1">
        <v>1</v>
      </c>
      <c r="C536" s="1">
        <v>210</v>
      </c>
      <c r="D536" s="2" t="s">
        <v>729</v>
      </c>
      <c r="E536" s="5" t="s">
        <v>729</v>
      </c>
      <c r="F536" s="5">
        <v>273746</v>
      </c>
      <c r="G536" s="2" t="s">
        <v>1494</v>
      </c>
      <c r="H536" s="2" t="s">
        <v>1495</v>
      </c>
      <c r="I536" s="2" t="s">
        <v>1496</v>
      </c>
      <c r="J536" s="2" t="str">
        <f>CONCATENATE(G536,F536,H536,C536,I536)</f>
        <v>https://permalinkbnd.bnportugal.gov.pt/viewer/273746/?offset=#page=210&amp;viewer=picture&amp;o=info&amp;n=0&amp;q=</v>
      </c>
      <c r="K536" s="1" t="s">
        <v>730</v>
      </c>
      <c r="L536" s="1" t="str">
        <f>VLOOKUP(A536,Folha2!$A$2:$B$2019,2,FALSE)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6" s="12" t="str">
        <f>HYPERLINK(J536)</f>
        <v>https://permalinkbnd.bnportugal.gov.pt/viewer/273746/?offset=#page=210&amp;viewer=picture&amp;o=info&amp;n=0&amp;q=</v>
      </c>
      <c r="N536" s="12" t="s">
        <v>1497</v>
      </c>
      <c r="O536" s="12" t="str">
        <f>CONCATENATE(N536,A536,"\",B536,"\",C536,".jpg")</f>
        <v>C:\Users\mbaptista\OneDrive - Biblioteca Nacional de Portugal\Documentos\python\camoniana\imagens\capas\388329\1\210.jpg</v>
      </c>
      <c r="P536" s="12" t="str">
        <f>HYPERLINK(O536)</f>
        <v>C:\Users\mbaptista\OneDrive - Biblioteca Nacional de Portugal\Documentos\python\camoniana\imagens\capas\388329\1\210.jpg</v>
      </c>
      <c r="Q536" s="12"/>
      <c r="R536" s="6"/>
      <c r="S536" s="12"/>
      <c r="T536" s="1"/>
      <c r="U536" s="13"/>
      <c r="V536" s="13"/>
      <c r="W536" s="5"/>
    </row>
    <row r="537" spans="1:23" ht="225">
      <c r="A537" s="1">
        <v>388329</v>
      </c>
      <c r="B537" s="1">
        <v>1</v>
      </c>
      <c r="C537" s="1">
        <v>221</v>
      </c>
      <c r="D537" s="2" t="s">
        <v>729</v>
      </c>
      <c r="E537" s="11" t="s">
        <v>729</v>
      </c>
      <c r="F537" s="11">
        <v>273746</v>
      </c>
      <c r="G537" s="2" t="s">
        <v>1494</v>
      </c>
      <c r="H537" s="2" t="s">
        <v>1495</v>
      </c>
      <c r="I537" s="2" t="s">
        <v>1496</v>
      </c>
      <c r="J537" s="2" t="str">
        <f>CONCATENATE(G537,F537,H537,C537,I537)</f>
        <v>https://permalinkbnd.bnportugal.gov.pt/viewer/273746/?offset=#page=221&amp;viewer=picture&amp;o=info&amp;n=0&amp;q=</v>
      </c>
      <c r="K537" s="1" t="s">
        <v>730</v>
      </c>
      <c r="L537" s="1" t="str">
        <f>VLOOKUP(A537,Folha2!$A$2:$B$2019,2,FALSE)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7" s="12" t="str">
        <f>HYPERLINK(J537)</f>
        <v>https://permalinkbnd.bnportugal.gov.pt/viewer/273746/?offset=#page=221&amp;viewer=picture&amp;o=info&amp;n=0&amp;q=</v>
      </c>
      <c r="N537" s="12" t="s">
        <v>1497</v>
      </c>
      <c r="O537" s="12" t="str">
        <f>CONCATENATE(N537,A537,"\",B537,"\",C537,".jpg")</f>
        <v>C:\Users\mbaptista\OneDrive - Biblioteca Nacional de Portugal\Documentos\python\camoniana\imagens\capas\388329\1\221.jpg</v>
      </c>
      <c r="P537" s="12" t="str">
        <f>HYPERLINK(O537)</f>
        <v>C:\Users\mbaptista\OneDrive - Biblioteca Nacional de Portugal\Documentos\python\camoniana\imagens\capas\388329\1\221.jpg</v>
      </c>
      <c r="Q537" s="12"/>
      <c r="R537" s="6"/>
      <c r="S537" s="12"/>
      <c r="T537" s="1"/>
      <c r="U537" s="13"/>
      <c r="V537" s="13"/>
      <c r="W537" s="5"/>
    </row>
    <row r="538" spans="1:23" ht="225">
      <c r="A538" s="1">
        <v>388329</v>
      </c>
      <c r="B538" s="1">
        <v>1</v>
      </c>
      <c r="C538" s="1">
        <v>232</v>
      </c>
      <c r="D538" s="2" t="s">
        <v>729</v>
      </c>
      <c r="E538" s="5" t="s">
        <v>729</v>
      </c>
      <c r="F538" s="5">
        <v>273746</v>
      </c>
      <c r="G538" s="2" t="s">
        <v>1494</v>
      </c>
      <c r="H538" s="2" t="s">
        <v>1495</v>
      </c>
      <c r="I538" s="2" t="s">
        <v>1496</v>
      </c>
      <c r="J538" s="2" t="str">
        <f>CONCATENATE(G538,F538,H538,C538,I538)</f>
        <v>https://permalinkbnd.bnportugal.gov.pt/viewer/273746/?offset=#page=232&amp;viewer=picture&amp;o=info&amp;n=0&amp;q=</v>
      </c>
      <c r="K538" s="1" t="s">
        <v>730</v>
      </c>
      <c r="L538" s="1" t="str">
        <f>VLOOKUP(A538,Folha2!$A$2:$B$2019,2,FALSE)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8" s="12" t="str">
        <f>HYPERLINK(J538)</f>
        <v>https://permalinkbnd.bnportugal.gov.pt/viewer/273746/?offset=#page=232&amp;viewer=picture&amp;o=info&amp;n=0&amp;q=</v>
      </c>
      <c r="N538" s="12" t="s">
        <v>1497</v>
      </c>
      <c r="O538" s="12" t="str">
        <f>CONCATENATE(N538,A538,"\",B538,"\",C538,".jpg")</f>
        <v>C:\Users\mbaptista\OneDrive - Biblioteca Nacional de Portugal\Documentos\python\camoniana\imagens\capas\388329\1\232.jpg</v>
      </c>
      <c r="P538" s="12" t="str">
        <f>HYPERLINK(O538)</f>
        <v>C:\Users\mbaptista\OneDrive - Biblioteca Nacional de Portugal\Documentos\python\camoniana\imagens\capas\388329\1\232.jpg</v>
      </c>
      <c r="Q538" s="12"/>
      <c r="R538" s="6"/>
      <c r="S538" s="12"/>
      <c r="T538" s="1"/>
      <c r="U538" s="13"/>
      <c r="V538" s="13"/>
      <c r="W538" s="5"/>
    </row>
    <row r="539" spans="1:23" ht="225">
      <c r="A539" s="1">
        <v>388329</v>
      </c>
      <c r="B539" s="1">
        <v>1</v>
      </c>
      <c r="C539" s="1">
        <v>241</v>
      </c>
      <c r="D539" s="2" t="s">
        <v>729</v>
      </c>
      <c r="E539" s="11" t="s">
        <v>729</v>
      </c>
      <c r="F539" s="11">
        <v>273746</v>
      </c>
      <c r="G539" s="2" t="s">
        <v>1494</v>
      </c>
      <c r="H539" s="2" t="s">
        <v>1495</v>
      </c>
      <c r="I539" s="2" t="s">
        <v>1496</v>
      </c>
      <c r="J539" s="2" t="str">
        <f>CONCATENATE(G539,F539,H539,C539,I539)</f>
        <v>https://permalinkbnd.bnportugal.gov.pt/viewer/273746/?offset=#page=241&amp;viewer=picture&amp;o=info&amp;n=0&amp;q=</v>
      </c>
      <c r="K539" s="1" t="s">
        <v>730</v>
      </c>
      <c r="L539" s="1" t="str">
        <f>VLOOKUP(A539,Folha2!$A$2:$B$2019,2,FALSE)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39" s="12" t="str">
        <f>HYPERLINK(J539)</f>
        <v>https://permalinkbnd.bnportugal.gov.pt/viewer/273746/?offset=#page=241&amp;viewer=picture&amp;o=info&amp;n=0&amp;q=</v>
      </c>
      <c r="N539" s="12" t="s">
        <v>1497</v>
      </c>
      <c r="O539" s="12" t="str">
        <f>CONCATENATE(N539,A539,"\",B539,"\",C539,".jpg")</f>
        <v>C:\Users\mbaptista\OneDrive - Biblioteca Nacional de Portugal\Documentos\python\camoniana\imagens\capas\388329\1\241.jpg</v>
      </c>
      <c r="P539" s="12" t="str">
        <f>HYPERLINK(O539)</f>
        <v>C:\Users\mbaptista\OneDrive - Biblioteca Nacional de Portugal\Documentos\python\camoniana\imagens\capas\388329\1\241.jpg</v>
      </c>
      <c r="Q539" s="12"/>
      <c r="R539" s="6"/>
      <c r="S539" s="12"/>
      <c r="T539" s="1"/>
      <c r="U539" s="13"/>
      <c r="V539" s="13"/>
      <c r="W539" s="5"/>
    </row>
    <row r="540" spans="1:23" ht="225">
      <c r="A540" s="1">
        <v>388329</v>
      </c>
      <c r="B540" s="1">
        <v>1</v>
      </c>
      <c r="C540" s="1">
        <v>256</v>
      </c>
      <c r="D540" s="2" t="s">
        <v>729</v>
      </c>
      <c r="E540" s="5" t="s">
        <v>729</v>
      </c>
      <c r="F540" s="5">
        <v>273746</v>
      </c>
      <c r="G540" s="2" t="s">
        <v>1494</v>
      </c>
      <c r="H540" s="2" t="s">
        <v>1495</v>
      </c>
      <c r="I540" s="2" t="s">
        <v>1496</v>
      </c>
      <c r="J540" s="2" t="str">
        <f>CONCATENATE(G540,F540,H540,C540,I540)</f>
        <v>https://permalinkbnd.bnportugal.gov.pt/viewer/273746/?offset=#page=256&amp;viewer=picture&amp;o=info&amp;n=0&amp;q=</v>
      </c>
      <c r="K540" s="1" t="s">
        <v>730</v>
      </c>
      <c r="L540" s="1" t="str">
        <f>VLOOKUP(A540,Folha2!$A$2:$B$2019,2,FALSE)</f>
        <v>A. C. Teixeira de Aragão. Vasco da Gama e a Vidigueira: estudo histórico. Contribuições da Sociedade de Geografia de Lisboa. Lisboa. 1898.  [várias menções a Camões; cap. X sobre a trasladação dos restos mortais do Poeta e de Vasco da Gama; comissão executiva do IV centenário da Índia]. Mapa rota Gama.</v>
      </c>
      <c r="M540" s="12" t="str">
        <f>HYPERLINK(J540)</f>
        <v>https://permalinkbnd.bnportugal.gov.pt/viewer/273746/?offset=#page=256&amp;viewer=picture&amp;o=info&amp;n=0&amp;q=</v>
      </c>
      <c r="N540" s="12" t="s">
        <v>1497</v>
      </c>
      <c r="O540" s="12" t="str">
        <f>CONCATENATE(N540,A540,"\",B540,"\",C540,".jpg")</f>
        <v>C:\Users\mbaptista\OneDrive - Biblioteca Nacional de Portugal\Documentos\python\camoniana\imagens\capas\388329\1\256.jpg</v>
      </c>
      <c r="P540" s="12" t="str">
        <f>HYPERLINK(O540)</f>
        <v>C:\Users\mbaptista\OneDrive - Biblioteca Nacional de Portugal\Documentos\python\camoniana\imagens\capas\388329\1\256.jpg</v>
      </c>
      <c r="Q540" s="12"/>
      <c r="R540" s="6"/>
      <c r="S540" s="12"/>
      <c r="T540" s="1"/>
      <c r="U540" s="13"/>
      <c r="V540" s="13"/>
      <c r="W540" s="5"/>
    </row>
    <row r="541" spans="1:23" ht="225">
      <c r="A541" s="1">
        <v>1951715</v>
      </c>
      <c r="B541" s="1">
        <v>1</v>
      </c>
      <c r="C541" s="1">
        <v>10</v>
      </c>
      <c r="D541" s="2" t="s">
        <v>736</v>
      </c>
      <c r="E541" s="11" t="s">
        <v>736</v>
      </c>
      <c r="F541" s="11">
        <v>275415</v>
      </c>
      <c r="G541" s="2" t="s">
        <v>1494</v>
      </c>
      <c r="H541" s="2" t="s">
        <v>1495</v>
      </c>
      <c r="I541" s="2" t="s">
        <v>1496</v>
      </c>
      <c r="J541" s="2" t="str">
        <f>CONCATENATE(G541,F541,H541,C541,I541)</f>
        <v>https://permalinkbnd.bnportugal.gov.pt/viewer/275415/?offset=#page=10&amp;viewer=picture&amp;o=info&amp;n=0&amp;q=</v>
      </c>
      <c r="K541" s="1" t="s">
        <v>737</v>
      </c>
      <c r="L541" s="1" t="str">
        <f>VLOOKUP(A541,Folha2!$A$2:$B$2019,2,FALSE)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1" s="12" t="str">
        <f>HYPERLINK(J541)</f>
        <v>https://permalinkbnd.bnportugal.gov.pt/viewer/275415/?offset=#page=10&amp;viewer=picture&amp;o=info&amp;n=0&amp;q=</v>
      </c>
      <c r="N541" s="12" t="s">
        <v>1497</v>
      </c>
      <c r="O541" s="12" t="str">
        <f>CONCATENATE(N541,A541,"\",B541,"\",C541,".jpg")</f>
        <v>C:\Users\mbaptista\OneDrive - Biblioteca Nacional de Portugal\Documentos\python\camoniana\imagens\capas\1951715\1\10.jpg</v>
      </c>
      <c r="P541" s="12" t="str">
        <f>HYPERLINK(O541)</f>
        <v>C:\Users\mbaptista\OneDrive - Biblioteca Nacional de Portugal\Documentos\python\camoniana\imagens\capas\1951715\1\10.jpg</v>
      </c>
      <c r="Q541" s="12"/>
      <c r="R541" s="6" t="s">
        <v>738</v>
      </c>
      <c r="S541" s="12"/>
      <c r="T541" s="1">
        <v>10</v>
      </c>
      <c r="U541" s="13"/>
      <c r="V541" s="13"/>
      <c r="W541" s="5" t="s">
        <v>1491</v>
      </c>
    </row>
    <row r="542" spans="1:23" ht="225">
      <c r="A542" s="1">
        <v>1951715</v>
      </c>
      <c r="B542" s="1">
        <v>1</v>
      </c>
      <c r="C542" s="1">
        <v>13</v>
      </c>
      <c r="D542" s="2" t="s">
        <v>736</v>
      </c>
      <c r="E542" s="5" t="s">
        <v>736</v>
      </c>
      <c r="F542" s="5">
        <v>275415</v>
      </c>
      <c r="G542" s="2" t="s">
        <v>1494</v>
      </c>
      <c r="H542" s="2" t="s">
        <v>1495</v>
      </c>
      <c r="I542" s="2" t="s">
        <v>1496</v>
      </c>
      <c r="J542" s="2" t="str">
        <f>CONCATENATE(G542,F542,H542,C542,I542)</f>
        <v>https://permalinkbnd.bnportugal.gov.pt/viewer/275415/?offset=#page=13&amp;viewer=picture&amp;o=info&amp;n=0&amp;q=</v>
      </c>
      <c r="K542" s="1" t="s">
        <v>737</v>
      </c>
      <c r="L542" s="1" t="str">
        <f>VLOOKUP(A542,Folha2!$A$2:$B$2019,2,FALSE)</f>
        <v>Martin-Deslandes. Camoëns. Drame historique en cinq actes. Paris. 1829. [Un mot au lecteur: o autor afirma no IV acto ter traduzido algumas poesias de Camões, que não surgem transcritas; nota bene no fim do IV acto a explicar que as letras A e B designam o lugar da recitação de algumas passagens de Os Lusíadas, cf. 106]</v>
      </c>
      <c r="M542" s="12" t="str">
        <f>HYPERLINK(J542)</f>
        <v>https://permalinkbnd.bnportugal.gov.pt/viewer/275415/?offset=#page=13&amp;viewer=picture&amp;o=info&amp;n=0&amp;q=</v>
      </c>
      <c r="N542" s="12" t="s">
        <v>1497</v>
      </c>
      <c r="O542" s="12" t="str">
        <f>CONCATENATE(N542,A542,"\",B542,"\",C542,".jpg")</f>
        <v>C:\Users\mbaptista\OneDrive - Biblioteca Nacional de Portugal\Documentos\python\camoniana\imagens\capas\1951715\1\13.jpg</v>
      </c>
      <c r="P542" s="12" t="str">
        <f>HYPERLINK(O542)</f>
        <v>C:\Users\mbaptista\OneDrive - Biblioteca Nacional de Portugal\Documentos\python\camoniana\imagens\capas\1951715\1\13.jpg</v>
      </c>
      <c r="Q542" s="12"/>
      <c r="R542" s="6"/>
      <c r="S542" s="12"/>
      <c r="T542" s="1"/>
      <c r="U542" s="13"/>
      <c r="V542" s="13"/>
      <c r="W542" s="5"/>
    </row>
    <row r="543" spans="1:23" ht="225">
      <c r="A543" s="1">
        <v>252438</v>
      </c>
      <c r="B543" s="1">
        <v>1</v>
      </c>
      <c r="C543" s="1">
        <v>5</v>
      </c>
      <c r="D543" s="2" t="s">
        <v>739</v>
      </c>
      <c r="E543" s="11" t="s">
        <v>739</v>
      </c>
      <c r="F543" s="11">
        <v>277335</v>
      </c>
      <c r="G543" s="2" t="s">
        <v>1494</v>
      </c>
      <c r="H543" s="2" t="s">
        <v>1495</v>
      </c>
      <c r="I543" s="2" t="s">
        <v>1496</v>
      </c>
      <c r="J543" s="2" t="str">
        <f>CONCATENATE(G543,F543,H543,C543,I543)</f>
        <v>https://permalinkbnd.bnportugal.gov.pt/viewer/277335/?offset=#page=5&amp;viewer=picture&amp;o=info&amp;n=0&amp;q=</v>
      </c>
      <c r="K543" s="1">
        <v>5</v>
      </c>
      <c r="L543" s="1" t="str">
        <f>VLOOKUP(A543,Folha2!$A$2:$B$2019,2,FALSE)</f>
        <v>O Literário. No registo não surge como periódico. Homenagem a Camões: 10 de Junho de 1880. [na referência da BN surge apenas a partir de Homenagem] [prosa, homenagem, vida. Recepção criativa: paródia  J. DIas. D. Nuno e Camões ou paródia da fala de D. Nuno Álvares Pereira, com as mesmas rimas (sátira ao gongorismo). Tematização [Poemas: D. João III e Camões; Camões, et al.]. Celebrações (1880), recepção criativa, tematização e paródia</v>
      </c>
      <c r="M543" s="12" t="str">
        <f>HYPERLINK(J543)</f>
        <v>https://permalinkbnd.bnportugal.gov.pt/viewer/277335/?offset=#page=5&amp;viewer=picture&amp;o=info&amp;n=0&amp;q=</v>
      </c>
      <c r="N543" s="12" t="s">
        <v>1497</v>
      </c>
      <c r="O543" s="12" t="str">
        <f>CONCATENATE(N543,A543,"\",B543,"\",C543,".jpg")</f>
        <v>C:\Users\mbaptista\OneDrive - Biblioteca Nacional de Portugal\Documentos\python\camoniana\imagens\capas\252438\1\5.jpg</v>
      </c>
      <c r="P543" s="12" t="str">
        <f>HYPERLINK(O543)</f>
        <v>C:\Users\mbaptista\OneDrive - Biblioteca Nacional de Portugal\Documentos\python\camoniana\imagens\capas\252438\1\5.jpg</v>
      </c>
      <c r="Q543" s="12"/>
      <c r="R543" s="6" t="s">
        <v>740</v>
      </c>
      <c r="S543" s="12"/>
      <c r="T543" s="1">
        <v>5</v>
      </c>
      <c r="U543" s="13"/>
      <c r="V543" s="13"/>
      <c r="W543" s="5" t="s">
        <v>1491</v>
      </c>
    </row>
    <row r="544" spans="1:23" ht="225">
      <c r="A544" s="1">
        <v>259140</v>
      </c>
      <c r="B544" s="1">
        <v>1</v>
      </c>
      <c r="C544" s="1">
        <v>8</v>
      </c>
      <c r="D544" s="2" t="s">
        <v>741</v>
      </c>
      <c r="E544" s="5" t="s">
        <v>741</v>
      </c>
      <c r="F544" s="5">
        <v>273811</v>
      </c>
      <c r="G544" s="2" t="s">
        <v>1494</v>
      </c>
      <c r="H544" s="2" t="s">
        <v>1495</v>
      </c>
      <c r="I544" s="2" t="s">
        <v>1496</v>
      </c>
      <c r="J544" s="2" t="str">
        <f>CONCATENATE(G544,F544,H544,C544,I544)</f>
        <v>https://permalinkbnd.bnportugal.gov.pt/viewer/273811/?offset=#page=8&amp;viewer=picture&amp;o=info&amp;n=0&amp;q=</v>
      </c>
      <c r="K544" s="1" t="s">
        <v>742</v>
      </c>
      <c r="L544" s="1" t="str">
        <f>VLOOKUP(A544,Folha2!$A$2:$B$2019,2,FALSE)</f>
        <v>La Lusiade de Louis Camoens poëme héroïque en dix chants, traduit du portugais, avec des notes et la vie de l'auteur, par La Harpe, de L'Académie française. - A Paris : chez Verdière, Libraire 1820. Trad. Paratextos gerais; Paratextos notas; Trad. Paratextos vida; Trad. Paratextos argumentos.</v>
      </c>
      <c r="M544" s="12" t="str">
        <f>HYPERLINK(J544)</f>
        <v>https://permalinkbnd.bnportugal.gov.pt/viewer/273811/?offset=#page=8&amp;viewer=picture&amp;o=info&amp;n=0&amp;q=</v>
      </c>
      <c r="N544" s="12" t="s">
        <v>1497</v>
      </c>
      <c r="O544" s="12" t="str">
        <f>CONCATENATE(N544,A544,"\",B544,"\",C544,".jpg")</f>
        <v>C:\Users\mbaptista\OneDrive - Biblioteca Nacional de Portugal\Documentos\python\camoniana\imagens\capas\259140\1\8.jpg</v>
      </c>
      <c r="P544" s="12" t="str">
        <f>HYPERLINK(O544)</f>
        <v>C:\Users\mbaptista\OneDrive - Biblioteca Nacional de Portugal\Documentos\python\camoniana\imagens\capas\259140\1\8.jpg</v>
      </c>
      <c r="Q544" s="12"/>
      <c r="R544" s="6" t="s">
        <v>743</v>
      </c>
      <c r="S544" s="12"/>
      <c r="T544" s="1">
        <v>8</v>
      </c>
      <c r="U544" s="13"/>
      <c r="V544" s="13"/>
      <c r="W544" s="5" t="s">
        <v>1491</v>
      </c>
    </row>
    <row r="545" spans="1:23" ht="225">
      <c r="A545" s="1">
        <v>855528</v>
      </c>
      <c r="B545" s="1">
        <v>1</v>
      </c>
      <c r="C545" s="1">
        <v>13</v>
      </c>
      <c r="D545" s="2" t="s">
        <v>744</v>
      </c>
      <c r="E545" s="11" t="s">
        <v>744</v>
      </c>
      <c r="F545" s="11">
        <v>273796</v>
      </c>
      <c r="G545" s="2" t="s">
        <v>1494</v>
      </c>
      <c r="H545" s="2" t="s">
        <v>1495</v>
      </c>
      <c r="I545" s="2" t="s">
        <v>1496</v>
      </c>
      <c r="J545" s="2" t="str">
        <f>CONCATENATE(G545,F545,H545,C545,I545)</f>
        <v>https://permalinkbnd.bnportugal.gov.pt/viewer/273796/?offset=#page=13&amp;viewer=picture&amp;o=info&amp;n=0&amp;q=</v>
      </c>
      <c r="K545" s="1" t="s">
        <v>745</v>
      </c>
      <c r="L545" s="1" t="str">
        <f>VLOOKUP(A545,Folha2!$A$2:$B$2019,2,FALSE)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5" s="12" t="str">
        <f>HYPERLINK(J545)</f>
        <v>https://permalinkbnd.bnportugal.gov.pt/viewer/273796/?offset=#page=13&amp;viewer=picture&amp;o=info&amp;n=0&amp;q=</v>
      </c>
      <c r="N545" s="12" t="s">
        <v>1497</v>
      </c>
      <c r="O545" s="12" t="str">
        <f>CONCATENATE(N545,A545,"\",B545,"\",C545,".jpg")</f>
        <v>C:\Users\mbaptista\OneDrive - Biblioteca Nacional de Portugal\Documentos\python\camoniana\imagens\capas\855528\1\13.jpg</v>
      </c>
      <c r="P545" s="12" t="str">
        <f>HYPERLINK(O545)</f>
        <v>C:\Users\mbaptista\OneDrive - Biblioteca Nacional de Portugal\Documentos\python\camoniana\imagens\capas\855528\1\13.jpg</v>
      </c>
      <c r="Q545" s="12"/>
      <c r="R545" s="6"/>
      <c r="S545" s="12"/>
      <c r="T545" s="1"/>
      <c r="U545" s="13"/>
      <c r="V545" s="13"/>
      <c r="W545" s="5"/>
    </row>
    <row r="546" spans="1:23" ht="225">
      <c r="A546" s="1">
        <v>855528</v>
      </c>
      <c r="B546" s="1">
        <v>1</v>
      </c>
      <c r="C546" s="1">
        <v>49</v>
      </c>
      <c r="D546" s="2" t="s">
        <v>744</v>
      </c>
      <c r="E546" s="5" t="s">
        <v>744</v>
      </c>
      <c r="F546" s="5">
        <v>273796</v>
      </c>
      <c r="G546" s="2" t="s">
        <v>1494</v>
      </c>
      <c r="H546" s="2" t="s">
        <v>1495</v>
      </c>
      <c r="I546" s="2" t="s">
        <v>1496</v>
      </c>
      <c r="J546" s="2" t="str">
        <f>CONCATENATE(G546,F546,H546,C546,I546)</f>
        <v>https://permalinkbnd.bnportugal.gov.pt/viewer/273796/?offset=#page=49&amp;viewer=picture&amp;o=info&amp;n=0&amp;q=</v>
      </c>
      <c r="K546" s="1" t="s">
        <v>745</v>
      </c>
      <c r="L546" s="1" t="str">
        <f>VLOOKUP(A546,Folha2!$A$2:$B$2019,2,FALSE)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6" s="12" t="str">
        <f>HYPERLINK(J546)</f>
        <v>https://permalinkbnd.bnportugal.gov.pt/viewer/273796/?offset=#page=49&amp;viewer=picture&amp;o=info&amp;n=0&amp;q=</v>
      </c>
      <c r="N546" s="12" t="s">
        <v>1497</v>
      </c>
      <c r="O546" s="12" t="str">
        <f>CONCATENATE(N546,A546,"\",B546,"\",C546,".jpg")</f>
        <v>C:\Users\mbaptista\OneDrive - Biblioteca Nacional de Portugal\Documentos\python\camoniana\imagens\capas\855528\1\49.jpg</v>
      </c>
      <c r="P546" s="12" t="str">
        <f>HYPERLINK(O546)</f>
        <v>C:\Users\mbaptista\OneDrive - Biblioteca Nacional de Portugal\Documentos\python\camoniana\imagens\capas\855528\1\49.jpg</v>
      </c>
      <c r="Q546" s="12"/>
      <c r="R546" s="6" t="s">
        <v>747</v>
      </c>
      <c r="S546" s="12"/>
      <c r="T546" s="1" t="s">
        <v>746</v>
      </c>
      <c r="U546" s="13"/>
      <c r="V546" s="13"/>
      <c r="W546" s="5" t="s">
        <v>1491</v>
      </c>
    </row>
    <row r="547" spans="1:23" ht="225">
      <c r="A547" s="1">
        <v>855528</v>
      </c>
      <c r="B547" s="1">
        <v>1</v>
      </c>
      <c r="C547" s="1">
        <v>51</v>
      </c>
      <c r="D547" s="2" t="s">
        <v>744</v>
      </c>
      <c r="E547" s="11" t="s">
        <v>744</v>
      </c>
      <c r="F547" s="11">
        <v>273796</v>
      </c>
      <c r="G547" s="2" t="s">
        <v>1494</v>
      </c>
      <c r="H547" s="2" t="s">
        <v>1495</v>
      </c>
      <c r="I547" s="2" t="s">
        <v>1496</v>
      </c>
      <c r="J547" s="2" t="str">
        <f>CONCATENATE(G547,F547,H547,C547,I547)</f>
        <v>https://permalinkbnd.bnportugal.gov.pt/viewer/273796/?offset=#page=51&amp;viewer=picture&amp;o=info&amp;n=0&amp;q=</v>
      </c>
      <c r="K547" s="1" t="s">
        <v>745</v>
      </c>
      <c r="L547" s="1" t="str">
        <f>VLOOKUP(A547,Folha2!$A$2:$B$2019,2,FALSE)</f>
        <v xml:space="preserve">Lembrança do quarto centenario do descobrimento da India... : composta dos trechos que mais se prendem com o assumpto, tirados do poema de Luiz de Camões "Os Lusiadas" / colligidos por Ernesto M. de Sá. - Lisboa : Typ. Castro Irmão, 1898. Referência a argumento, que não surge. Refere Canto I, Est. I a X, mas as provas vão até à Est. III: original em português, tradução em espanhol, italiano, francês, alemão, inglês. Plurilingue. Escrito do compilador a contextualizar a edição. Trad. Paratextos gerais; Iconografia, figuras históricas [Vasco da Gama]. </v>
      </c>
      <c r="M547" s="12" t="str">
        <f>HYPERLINK(J547)</f>
        <v>https://permalinkbnd.bnportugal.gov.pt/viewer/273796/?offset=#page=51&amp;viewer=picture&amp;o=info&amp;n=0&amp;q=</v>
      </c>
      <c r="N547" s="12" t="s">
        <v>1497</v>
      </c>
      <c r="O547" s="12" t="str">
        <f>CONCATENATE(N547,A547,"\",B547,"\",C547,".jpg")</f>
        <v>C:\Users\mbaptista\OneDrive - Biblioteca Nacional de Portugal\Documentos\python\camoniana\imagens\capas\855528\1\51.jpg</v>
      </c>
      <c r="P547" s="12" t="str">
        <f>HYPERLINK(O547)</f>
        <v>C:\Users\mbaptista\OneDrive - Biblioteca Nacional de Portugal\Documentos\python\camoniana\imagens\capas\855528\1\51.jpg</v>
      </c>
      <c r="Q547" s="12"/>
      <c r="R547" s="6" t="s">
        <v>748</v>
      </c>
      <c r="S547" s="12"/>
      <c r="T547" s="1" t="s">
        <v>746</v>
      </c>
      <c r="U547" s="13"/>
      <c r="V547" s="13"/>
      <c r="W547" s="5" t="s">
        <v>1491</v>
      </c>
    </row>
    <row r="548" spans="1:23" ht="225">
      <c r="A548" s="1">
        <v>381381</v>
      </c>
      <c r="B548" s="1">
        <v>1</v>
      </c>
      <c r="C548" s="1">
        <v>10</v>
      </c>
      <c r="D548" s="2" t="s">
        <v>749</v>
      </c>
      <c r="E548" s="5" t="s">
        <v>749</v>
      </c>
      <c r="F548" s="5">
        <v>273101</v>
      </c>
      <c r="G548" s="2" t="s">
        <v>1494</v>
      </c>
      <c r="H548" s="2" t="s">
        <v>1495</v>
      </c>
      <c r="I548" s="2" t="s">
        <v>1496</v>
      </c>
      <c r="J548" s="2" t="str">
        <f>CONCATENATE(G548,F548,H548,C548,I548)</f>
        <v>https://permalinkbnd.bnportugal.gov.pt/viewer/273101/?offset=#page=10&amp;viewer=picture&amp;o=info&amp;n=0&amp;q=</v>
      </c>
      <c r="K548" s="1" t="s">
        <v>750</v>
      </c>
      <c r="L548" s="1" t="str">
        <f>VLOOKUP(A548,Folha2!$A$2:$B$2019,2,FALSE)</f>
        <v xml:space="preserve">Luís de Camões. Os Lusíadas. Juízo crítico por José Maria Latino Coelho, sem argumentos. Edição comemorativa do Terceiro Centenário do Poeta. Lisboa. 1880. </v>
      </c>
      <c r="M548" s="12" t="str">
        <f>HYPERLINK(J548)</f>
        <v>https://permalinkbnd.bnportugal.gov.pt/viewer/273101/?offset=#page=10&amp;viewer=picture&amp;o=info&amp;n=0&amp;q=</v>
      </c>
      <c r="N548" s="12" t="s">
        <v>1497</v>
      </c>
      <c r="O548" s="12" t="str">
        <f>CONCATENATE(N548,A548,"\",B548,"\",C548,".jpg")</f>
        <v>C:\Users\mbaptista\OneDrive - Biblioteca Nacional de Portugal\Documentos\python\camoniana\imagens\capas\381381\1\10.jpg</v>
      </c>
      <c r="P548" s="12" t="str">
        <f>HYPERLINK(O548)</f>
        <v>C:\Users\mbaptista\OneDrive - Biblioteca Nacional de Portugal\Documentos\python\camoniana\imagens\capas\381381\1\10.jpg</v>
      </c>
      <c r="Q548" s="12"/>
      <c r="R548" s="6" t="s">
        <v>751</v>
      </c>
      <c r="S548" s="12"/>
      <c r="T548" s="1">
        <v>10</v>
      </c>
      <c r="U548" s="13"/>
      <c r="V548" s="13"/>
      <c r="W548" s="5" t="s">
        <v>1491</v>
      </c>
    </row>
    <row r="549" spans="1:23" ht="225">
      <c r="A549" s="1">
        <v>381381</v>
      </c>
      <c r="B549" s="1">
        <v>1</v>
      </c>
      <c r="C549" s="1">
        <v>13</v>
      </c>
      <c r="D549" s="2" t="s">
        <v>749</v>
      </c>
      <c r="E549" s="11" t="s">
        <v>749</v>
      </c>
      <c r="F549" s="11">
        <v>273101</v>
      </c>
      <c r="G549" s="2" t="s">
        <v>1494</v>
      </c>
      <c r="H549" s="2" t="s">
        <v>1495</v>
      </c>
      <c r="I549" s="2" t="s">
        <v>1496</v>
      </c>
      <c r="J549" s="2" t="str">
        <f>CONCATENATE(G549,F549,H549,C549,I549)</f>
        <v>https://permalinkbnd.bnportugal.gov.pt/viewer/273101/?offset=#page=13&amp;viewer=picture&amp;o=info&amp;n=0&amp;q=</v>
      </c>
      <c r="K549" s="1" t="s">
        <v>750</v>
      </c>
      <c r="L549" s="1" t="str">
        <f>VLOOKUP(A549,Folha2!$A$2:$B$2019,2,FALSE)</f>
        <v xml:space="preserve">Luís de Camões. Os Lusíadas. Juízo crítico por José Maria Latino Coelho, sem argumentos. Edição comemorativa do Terceiro Centenário do Poeta. Lisboa. 1880. </v>
      </c>
      <c r="M549" s="12" t="str">
        <f>HYPERLINK(J549)</f>
        <v>https://permalinkbnd.bnportugal.gov.pt/viewer/273101/?offset=#page=13&amp;viewer=picture&amp;o=info&amp;n=0&amp;q=</v>
      </c>
      <c r="N549" s="12" t="s">
        <v>1497</v>
      </c>
      <c r="O549" s="12" t="str">
        <f>CONCATENATE(N549,A549,"\",B549,"\",C549,".jpg")</f>
        <v>C:\Users\mbaptista\OneDrive - Biblioteca Nacional de Portugal\Documentos\python\camoniana\imagens\capas\381381\1\13.jpg</v>
      </c>
      <c r="P549" s="12" t="str">
        <f>HYPERLINK(O549)</f>
        <v>C:\Users\mbaptista\OneDrive - Biblioteca Nacional de Portugal\Documentos\python\camoniana\imagens\capas\381381\1\13.jpg</v>
      </c>
      <c r="Q549" s="12"/>
      <c r="R549" s="6"/>
      <c r="S549" s="12"/>
      <c r="T549" s="1"/>
      <c r="U549" s="13"/>
      <c r="V549" s="13"/>
      <c r="W549" s="5"/>
    </row>
    <row r="550" spans="1:23" ht="225">
      <c r="A550" s="1">
        <v>381381</v>
      </c>
      <c r="B550" s="1">
        <v>1</v>
      </c>
      <c r="C550" s="1">
        <v>39</v>
      </c>
      <c r="D550" s="2" t="s">
        <v>749</v>
      </c>
      <c r="E550" s="5" t="s">
        <v>749</v>
      </c>
      <c r="F550" s="5">
        <v>273101</v>
      </c>
      <c r="G550" s="2" t="s">
        <v>1494</v>
      </c>
      <c r="H550" s="2" t="s">
        <v>1495</v>
      </c>
      <c r="I550" s="2" t="s">
        <v>1496</v>
      </c>
      <c r="J550" s="2" t="str">
        <f>CONCATENATE(G550,F550,H550,C550,I550)</f>
        <v>https://permalinkbnd.bnportugal.gov.pt/viewer/273101/?offset=#page=39&amp;viewer=picture&amp;o=info&amp;n=0&amp;q=</v>
      </c>
      <c r="K550" s="1" t="s">
        <v>750</v>
      </c>
      <c r="L550" s="1" t="str">
        <f>VLOOKUP(A550,Folha2!$A$2:$B$2019,2,FALSE)</f>
        <v xml:space="preserve">Luís de Camões. Os Lusíadas. Juízo crítico por José Maria Latino Coelho, sem argumentos. Edição comemorativa do Terceiro Centenário do Poeta. Lisboa. 1880. </v>
      </c>
      <c r="M550" s="12" t="str">
        <f>HYPERLINK(J550)</f>
        <v>https://permalinkbnd.bnportugal.gov.pt/viewer/273101/?offset=#page=39&amp;viewer=picture&amp;o=info&amp;n=0&amp;q=</v>
      </c>
      <c r="N550" s="12" t="s">
        <v>1497</v>
      </c>
      <c r="O550" s="12" t="str">
        <f>CONCATENATE(N550,A550,"\",B550,"\",C550,".jpg")</f>
        <v>C:\Users\mbaptista\OneDrive - Biblioteca Nacional de Portugal\Documentos\python\camoniana\imagens\capas\381381\1\39.jpg</v>
      </c>
      <c r="P550" s="12" t="str">
        <f>HYPERLINK(O550)</f>
        <v>C:\Users\mbaptista\OneDrive - Biblioteca Nacional de Portugal\Documentos\python\camoniana\imagens\capas\381381\1\39.jpg</v>
      </c>
      <c r="Q550" s="12"/>
      <c r="R550" s="6"/>
      <c r="S550" s="12"/>
      <c r="T550" s="1"/>
      <c r="U550" s="13"/>
      <c r="V550" s="13"/>
      <c r="W550" s="5"/>
    </row>
    <row r="551" spans="1:23" ht="225">
      <c r="A551" s="1">
        <v>381381</v>
      </c>
      <c r="B551" s="1">
        <v>1</v>
      </c>
      <c r="C551" s="1">
        <v>115</v>
      </c>
      <c r="D551" s="2" t="s">
        <v>749</v>
      </c>
      <c r="E551" s="11" t="s">
        <v>749</v>
      </c>
      <c r="F551" s="11">
        <v>273101</v>
      </c>
      <c r="G551" s="2" t="s">
        <v>1494</v>
      </c>
      <c r="H551" s="2" t="s">
        <v>1495</v>
      </c>
      <c r="I551" s="2" t="s">
        <v>1496</v>
      </c>
      <c r="J551" s="2" t="str">
        <f>CONCATENATE(G551,F551,H551,C551,I551)</f>
        <v>https://permalinkbnd.bnportugal.gov.pt/viewer/273101/?offset=#page=115&amp;viewer=picture&amp;o=info&amp;n=0&amp;q=</v>
      </c>
      <c r="K551" s="1" t="s">
        <v>750</v>
      </c>
      <c r="L551" s="1" t="str">
        <f>VLOOKUP(A551,Folha2!$A$2:$B$2019,2,FALSE)</f>
        <v xml:space="preserve">Luís de Camões. Os Lusíadas. Juízo crítico por José Maria Latino Coelho, sem argumentos. Edição comemorativa do Terceiro Centenário do Poeta. Lisboa. 1880. </v>
      </c>
      <c r="M551" s="12" t="str">
        <f>HYPERLINK(J551)</f>
        <v>https://permalinkbnd.bnportugal.gov.pt/viewer/273101/?offset=#page=115&amp;viewer=picture&amp;o=info&amp;n=0&amp;q=</v>
      </c>
      <c r="N551" s="12" t="s">
        <v>1497</v>
      </c>
      <c r="O551" s="12" t="str">
        <f>CONCATENATE(N551,A551,"\",B551,"\",C551,".jpg")</f>
        <v>C:\Users\mbaptista\OneDrive - Biblioteca Nacional de Portugal\Documentos\python\camoniana\imagens\capas\381381\1\115.jpg</v>
      </c>
      <c r="P551" s="12" t="str">
        <f>HYPERLINK(O551)</f>
        <v>C:\Users\mbaptista\OneDrive - Biblioteca Nacional de Portugal\Documentos\python\camoniana\imagens\capas\381381\1\115.jpg</v>
      </c>
      <c r="Q551" s="12"/>
      <c r="R551" s="6"/>
      <c r="S551" s="12"/>
      <c r="T551" s="1"/>
      <c r="U551" s="13"/>
      <c r="V551" s="13"/>
      <c r="W551" s="5"/>
    </row>
    <row r="552" spans="1:23" ht="225">
      <c r="A552" s="1">
        <v>381381</v>
      </c>
      <c r="B552" s="1">
        <v>1</v>
      </c>
      <c r="C552" s="1">
        <v>206</v>
      </c>
      <c r="D552" s="2" t="s">
        <v>749</v>
      </c>
      <c r="E552" s="5" t="s">
        <v>749</v>
      </c>
      <c r="F552" s="5">
        <v>273101</v>
      </c>
      <c r="G552" s="2" t="s">
        <v>1494</v>
      </c>
      <c r="H552" s="2" t="s">
        <v>1495</v>
      </c>
      <c r="I552" s="2" t="s">
        <v>1496</v>
      </c>
      <c r="J552" s="2" t="str">
        <f>CONCATENATE(G552,F552,H552,C552,I552)</f>
        <v>https://permalinkbnd.bnportugal.gov.pt/viewer/273101/?offset=#page=206&amp;viewer=picture&amp;o=info&amp;n=0&amp;q=</v>
      </c>
      <c r="K552" s="1" t="s">
        <v>750</v>
      </c>
      <c r="L552" s="1" t="str">
        <f>VLOOKUP(A552,Folha2!$A$2:$B$2019,2,FALSE)</f>
        <v xml:space="preserve">Luís de Camões. Os Lusíadas. Juízo crítico por José Maria Latino Coelho, sem argumentos. Edição comemorativa do Terceiro Centenário do Poeta. Lisboa. 1880. </v>
      </c>
      <c r="M552" s="12" t="str">
        <f>HYPERLINK(J552)</f>
        <v>https://permalinkbnd.bnportugal.gov.pt/viewer/273101/?offset=#page=206&amp;viewer=picture&amp;o=info&amp;n=0&amp;q=</v>
      </c>
      <c r="N552" s="12" t="s">
        <v>1497</v>
      </c>
      <c r="O552" s="12" t="str">
        <f>CONCATENATE(N552,A552,"\",B552,"\",C552,".jpg")</f>
        <v>C:\Users\mbaptista\OneDrive - Biblioteca Nacional de Portugal\Documentos\python\camoniana\imagens\capas\381381\1\206.jpg</v>
      </c>
      <c r="P552" s="12" t="str">
        <f>HYPERLINK(O552)</f>
        <v>C:\Users\mbaptista\OneDrive - Biblioteca Nacional de Portugal\Documentos\python\camoniana\imagens\capas\381381\1\206.jpg</v>
      </c>
      <c r="Q552" s="12"/>
      <c r="R552" s="6"/>
      <c r="S552" s="12"/>
      <c r="T552" s="1"/>
      <c r="U552" s="13"/>
      <c r="V552" s="13"/>
      <c r="W552" s="5"/>
    </row>
    <row r="553" spans="1:23" ht="225">
      <c r="A553" s="1">
        <v>259434</v>
      </c>
      <c r="B553" s="1">
        <v>1</v>
      </c>
      <c r="C553" s="1">
        <v>10</v>
      </c>
      <c r="D553" s="2" t="s">
        <v>752</v>
      </c>
      <c r="E553" s="11" t="s">
        <v>752</v>
      </c>
      <c r="F553" s="11">
        <v>277366</v>
      </c>
      <c r="G553" s="2" t="s">
        <v>1494</v>
      </c>
      <c r="H553" s="2" t="s">
        <v>1495</v>
      </c>
      <c r="I553" s="2" t="s">
        <v>1496</v>
      </c>
      <c r="J553" s="2" t="str">
        <f>CONCATENATE(G553,F553,H553,C553,I553)</f>
        <v>https://permalinkbnd.bnportugal.gov.pt/viewer/277366/?offset=#page=10&amp;viewer=picture&amp;o=info&amp;n=0&amp;q=</v>
      </c>
      <c r="K553" s="1" t="s">
        <v>753</v>
      </c>
      <c r="L553" s="1" t="str">
        <f>VLOOKUP(A553,Folha2!$A$2:$B$2019,2,FALSE)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3" s="12" t="str">
        <f>HYPERLINK(J553)</f>
        <v>https://permalinkbnd.bnportugal.gov.pt/viewer/277366/?offset=#page=10&amp;viewer=picture&amp;o=info&amp;n=0&amp;q=</v>
      </c>
      <c r="N553" s="12" t="s">
        <v>1497</v>
      </c>
      <c r="O553" s="12" t="str">
        <f>CONCATENATE(N553,A553,"\",B553,"\",C553,".jpg")</f>
        <v>C:\Users\mbaptista\OneDrive - Biblioteca Nacional de Portugal\Documentos\python\camoniana\imagens\capas\259434\1\10.jpg</v>
      </c>
      <c r="P553" s="12" t="str">
        <f>HYPERLINK(O553)</f>
        <v>C:\Users\mbaptista\OneDrive - Biblioteca Nacional de Portugal\Documentos\python\camoniana\imagens\capas\259434\1\10.jpg</v>
      </c>
      <c r="Q553" s="12"/>
      <c r="R553" s="6" t="s">
        <v>754</v>
      </c>
      <c r="S553" s="12"/>
      <c r="T553" s="1">
        <v>10</v>
      </c>
      <c r="U553" s="13"/>
      <c r="V553" s="13"/>
      <c r="W553" s="5" t="s">
        <v>1491</v>
      </c>
    </row>
    <row r="554" spans="1:23" ht="225">
      <c r="A554" s="1">
        <v>259434</v>
      </c>
      <c r="B554" s="1">
        <v>1</v>
      </c>
      <c r="C554" s="1">
        <v>11</v>
      </c>
      <c r="D554" s="2" t="s">
        <v>752</v>
      </c>
      <c r="E554" s="5" t="s">
        <v>752</v>
      </c>
      <c r="F554" s="5">
        <v>277366</v>
      </c>
      <c r="G554" s="2" t="s">
        <v>1494</v>
      </c>
      <c r="H554" s="2" t="s">
        <v>1495</v>
      </c>
      <c r="I554" s="2" t="s">
        <v>1496</v>
      </c>
      <c r="J554" s="2" t="str">
        <f>CONCATENATE(G554,F554,H554,C554,I554)</f>
        <v>https://permalinkbnd.bnportugal.gov.pt/viewer/277366/?offset=#page=11&amp;viewer=picture&amp;o=info&amp;n=0&amp;q=</v>
      </c>
      <c r="K554" s="1" t="s">
        <v>753</v>
      </c>
      <c r="L554" s="1" t="str">
        <f>VLOOKUP(A554,Folha2!$A$2:$B$2019,2,FALSE)</f>
        <v>La Lusiade o sia la scorpeta delle Inde Orientali fatta da Portoghesi / di Luigi Camõens.... - Ed. ora nello stesso metro tradotta in italiano da N.N. piemontese. - Torino : presso li Fratelli Reycends, 1772.Trad. paratextos gerais; Trad. paratextos vida; Trad. Paratextos argumentos; Trad. paratextos notas ao longo do poema.</v>
      </c>
      <c r="M554" s="12" t="str">
        <f>HYPERLINK(J554)</f>
        <v>https://permalinkbnd.bnportugal.gov.pt/viewer/277366/?offset=#page=11&amp;viewer=picture&amp;o=info&amp;n=0&amp;q=</v>
      </c>
      <c r="N554" s="12" t="s">
        <v>1497</v>
      </c>
      <c r="O554" s="12" t="str">
        <f>CONCATENATE(N554,A554,"\",B554,"\",C554,".jpg")</f>
        <v>C:\Users\mbaptista\OneDrive - Biblioteca Nacional de Portugal\Documentos\python\camoniana\imagens\capas\259434\1\11.jpg</v>
      </c>
      <c r="P554" s="12" t="str">
        <f>HYPERLINK(O554)</f>
        <v>C:\Users\mbaptista\OneDrive - Biblioteca Nacional de Portugal\Documentos\python\camoniana\imagens\capas\259434\1\11.jpg</v>
      </c>
      <c r="Q554" s="12"/>
      <c r="R554" s="6"/>
      <c r="S554" s="12"/>
      <c r="T554" s="1"/>
      <c r="U554" s="13"/>
      <c r="V554" s="13"/>
      <c r="W554" s="5"/>
    </row>
    <row r="555" spans="1:23" ht="225">
      <c r="A555" s="1">
        <v>913393</v>
      </c>
      <c r="B555" s="1">
        <v>1</v>
      </c>
      <c r="C555" s="1">
        <v>9</v>
      </c>
      <c r="D555" s="2" t="s">
        <v>755</v>
      </c>
      <c r="E555" s="11" t="s">
        <v>755</v>
      </c>
      <c r="F555" s="11">
        <v>277369</v>
      </c>
      <c r="G555" s="2" t="s">
        <v>1494</v>
      </c>
      <c r="H555" s="2" t="s">
        <v>1495</v>
      </c>
      <c r="I555" s="2" t="s">
        <v>1496</v>
      </c>
      <c r="J555" s="2" t="str">
        <f>CONCATENATE(G555,F555,H555,C555,I555)</f>
        <v>https://permalinkbnd.bnportugal.gov.pt/viewer/277369/?offset=#page=9&amp;viewer=picture&amp;o=info&amp;n=0&amp;q=</v>
      </c>
      <c r="K555" s="1" t="s">
        <v>756</v>
      </c>
      <c r="L555" s="1" t="str">
        <f>VLOOKUP(A555,Folha2!$A$2:$B$2019,2,FALSE)</f>
        <v>Retrato de Luís de Camões [reprodução litográfica da gravura]. Edição comemorativa do terceiro aniversário do mesmo tricentenário (10 de junho de 1883). Lisboa.1883. </v>
      </c>
      <c r="M555" s="12" t="str">
        <f>HYPERLINK(J555)</f>
        <v>https://permalinkbnd.bnportugal.gov.pt/viewer/277369/?offset=#page=9&amp;viewer=picture&amp;o=info&amp;n=0&amp;q=</v>
      </c>
      <c r="N555" s="12" t="s">
        <v>1497</v>
      </c>
      <c r="O555" s="12" t="str">
        <f>CONCATENATE(N555,A555,"\",B555,"\",C555,".jpg")</f>
        <v>C:\Users\mbaptista\OneDrive - Biblioteca Nacional de Portugal\Documentos\python\camoniana\imagens\capas\913393\1\9.jpg</v>
      </c>
      <c r="P555" s="12" t="str">
        <f>HYPERLINK(O555)</f>
        <v>C:\Users\mbaptista\OneDrive - Biblioteca Nacional de Portugal\Documentos\python\camoniana\imagens\capas\913393\1\9.jpg</v>
      </c>
      <c r="Q555" s="12"/>
      <c r="R555" s="6" t="s">
        <v>757</v>
      </c>
      <c r="S555" s="12"/>
      <c r="T555" s="1">
        <v>9</v>
      </c>
      <c r="U555" s="13"/>
      <c r="V555" s="13"/>
      <c r="W555" s="5" t="s">
        <v>1491</v>
      </c>
    </row>
    <row r="556" spans="1:23" ht="225">
      <c r="A556" s="1">
        <v>857274</v>
      </c>
      <c r="B556" s="1">
        <v>1</v>
      </c>
      <c r="C556" s="1">
        <v>5</v>
      </c>
      <c r="D556" s="2" t="s">
        <v>758</v>
      </c>
      <c r="E556" s="5" t="s">
        <v>758</v>
      </c>
      <c r="F556" s="5">
        <v>277364</v>
      </c>
      <c r="G556" s="2" t="s">
        <v>1494</v>
      </c>
      <c r="H556" s="2" t="s">
        <v>1495</v>
      </c>
      <c r="I556" s="2" t="s">
        <v>1496</v>
      </c>
      <c r="J556" s="2" t="str">
        <f>CONCATENATE(G556,F556,H556,C556,I556)</f>
        <v>https://permalinkbnd.bnportugal.gov.pt/viewer/277364/?offset=#page=5&amp;viewer=picture&amp;o=info&amp;n=0&amp;q=</v>
      </c>
      <c r="K556" s="1" t="s">
        <v>759</v>
      </c>
      <c r="L556" s="1" t="str">
        <f>VLOOKUP(A556,Folha2!$A$2:$B$2019,2,FALSE)</f>
        <v>Os Lusiadas / de Luiz de Camões ; com um pref. do Dr. Theophilo Braga. - Facsimile da 1ª ed. - Lisboa : [Joaquim Eusébio dos Santos], 1898. Sem argumentos.</v>
      </c>
      <c r="M556" s="12" t="str">
        <f>HYPERLINK(J556)</f>
        <v>https://permalinkbnd.bnportugal.gov.pt/viewer/277364/?offset=#page=5&amp;viewer=picture&amp;o=info&amp;n=0&amp;q=</v>
      </c>
      <c r="N556" s="12" t="s">
        <v>1497</v>
      </c>
      <c r="O556" s="12" t="str">
        <f>CONCATENATE(N556,A556,"\",B556,"\",C556,".jpg")</f>
        <v>C:\Users\mbaptista\OneDrive - Biblioteca Nacional de Portugal\Documentos\python\camoniana\imagens\capas\857274\1\5.jpg</v>
      </c>
      <c r="P556" s="12" t="str">
        <f>HYPERLINK(O556)</f>
        <v>C:\Users\mbaptista\OneDrive - Biblioteca Nacional de Portugal\Documentos\python\camoniana\imagens\capas\857274\1\5.jpg</v>
      </c>
      <c r="Q556" s="12"/>
      <c r="R556" s="6"/>
      <c r="S556" s="12"/>
      <c r="T556" s="1"/>
      <c r="U556" s="13"/>
      <c r="V556" s="13"/>
      <c r="W556" s="5"/>
    </row>
    <row r="557" spans="1:23" ht="225">
      <c r="A557" s="1">
        <v>857274</v>
      </c>
      <c r="B557" s="1">
        <v>1</v>
      </c>
      <c r="C557" s="1">
        <v>15</v>
      </c>
      <c r="D557" s="2" t="s">
        <v>758</v>
      </c>
      <c r="E557" s="11" t="s">
        <v>758</v>
      </c>
      <c r="F557" s="11">
        <v>277364</v>
      </c>
      <c r="G557" s="2" t="s">
        <v>1494</v>
      </c>
      <c r="H557" s="2" t="s">
        <v>1495</v>
      </c>
      <c r="I557" s="2" t="s">
        <v>1496</v>
      </c>
      <c r="J557" s="2" t="str">
        <f>CONCATENATE(G557,F557,H557,C557,I557)</f>
        <v>https://permalinkbnd.bnportugal.gov.pt/viewer/277364/?offset=#page=15&amp;viewer=picture&amp;o=info&amp;n=0&amp;q=</v>
      </c>
      <c r="K557" s="1" t="s">
        <v>759</v>
      </c>
      <c r="L557" s="1" t="str">
        <f>VLOOKUP(A557,Folha2!$A$2:$B$2019,2,FALSE)</f>
        <v>Os Lusiadas / de Luiz de Camões ; com um pref. do Dr. Theophilo Braga. - Facsimile da 1ª ed. - Lisboa : [Joaquim Eusébio dos Santos], 1898. Sem argumentos.</v>
      </c>
      <c r="M557" s="12" t="str">
        <f>HYPERLINK(J557)</f>
        <v>https://permalinkbnd.bnportugal.gov.pt/viewer/277364/?offset=#page=15&amp;viewer=picture&amp;o=info&amp;n=0&amp;q=</v>
      </c>
      <c r="N557" s="12" t="s">
        <v>1497</v>
      </c>
      <c r="O557" s="12" t="str">
        <f>CONCATENATE(N557,A557,"\",B557,"\",C557,".jpg")</f>
        <v>C:\Users\mbaptista\OneDrive - Biblioteca Nacional de Portugal\Documentos\python\camoniana\imagens\capas\857274\1\15.jpg</v>
      </c>
      <c r="P557" s="12" t="str">
        <f>HYPERLINK(O557)</f>
        <v>C:\Users\mbaptista\OneDrive - Biblioteca Nacional de Portugal\Documentos\python\camoniana\imagens\capas\857274\1\15.jpg</v>
      </c>
      <c r="Q557" s="12"/>
      <c r="R557" s="6" t="s">
        <v>760</v>
      </c>
      <c r="S557" s="12"/>
      <c r="T557" s="1">
        <v>15</v>
      </c>
      <c r="U557" s="13"/>
      <c r="V557" s="13"/>
      <c r="W557" s="5" t="s">
        <v>1491</v>
      </c>
    </row>
    <row r="558" spans="1:23" ht="225">
      <c r="A558" s="1">
        <v>259614</v>
      </c>
      <c r="B558" s="1">
        <v>1</v>
      </c>
      <c r="C558" s="1">
        <v>8</v>
      </c>
      <c r="D558" s="2" t="s">
        <v>761</v>
      </c>
      <c r="E558" s="5" t="s">
        <v>761</v>
      </c>
      <c r="F558" s="5">
        <v>277455</v>
      </c>
      <c r="G558" s="2" t="s">
        <v>1494</v>
      </c>
      <c r="H558" s="2" t="s">
        <v>1495</v>
      </c>
      <c r="I558" s="2" t="s">
        <v>1496</v>
      </c>
      <c r="J558" s="2" t="str">
        <f>CONCATENATE(G558,F558,H558,C558,I558)</f>
        <v>https://permalinkbnd.bnportugal.gov.pt/viewer/277455/?offset=#page=8&amp;viewer=picture&amp;o=info&amp;n=0&amp;q=</v>
      </c>
      <c r="K558" s="1" t="s">
        <v>762</v>
      </c>
      <c r="L558" s="1" t="str">
        <f>VLOOKUP(A558,Folha2!$A$2:$B$2019,2,FALSE)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8" s="12" t="str">
        <f>HYPERLINK(J558)</f>
        <v>https://permalinkbnd.bnportugal.gov.pt/viewer/277455/?offset=#page=8&amp;viewer=picture&amp;o=info&amp;n=0&amp;q=</v>
      </c>
      <c r="N558" s="12" t="s">
        <v>1497</v>
      </c>
      <c r="O558" s="12" t="str">
        <f>CONCATENATE(N558,A558,"\",B558,"\",C558,".jpg")</f>
        <v>C:\Users\mbaptista\OneDrive - Biblioteca Nacional de Portugal\Documentos\python\camoniana\imagens\capas\259614\1\8.jpg</v>
      </c>
      <c r="P558" s="12" t="str">
        <f>HYPERLINK(O558)</f>
        <v>C:\Users\mbaptista\OneDrive - Biblioteca Nacional de Portugal\Documentos\python\camoniana\imagens\capas\259614\1\8.jpg</v>
      </c>
      <c r="Q558" s="12"/>
      <c r="R558" s="6" t="s">
        <v>763</v>
      </c>
      <c r="S558" s="12"/>
      <c r="T558" s="1" t="s">
        <v>762</v>
      </c>
      <c r="U558" s="13"/>
      <c r="V558" s="13"/>
      <c r="W558" s="5" t="s">
        <v>1491</v>
      </c>
    </row>
    <row r="559" spans="1:23" ht="225">
      <c r="A559" s="1">
        <v>259614</v>
      </c>
      <c r="B559" s="1">
        <v>1</v>
      </c>
      <c r="C559" s="1">
        <v>77</v>
      </c>
      <c r="D559" s="2" t="s">
        <v>761</v>
      </c>
      <c r="E559" s="11" t="s">
        <v>761</v>
      </c>
      <c r="F559" s="11">
        <v>277455</v>
      </c>
      <c r="G559" s="2" t="s">
        <v>1494</v>
      </c>
      <c r="H559" s="2" t="s">
        <v>1495</v>
      </c>
      <c r="I559" s="2" t="s">
        <v>1496</v>
      </c>
      <c r="J559" s="2" t="str">
        <f>CONCATENATE(G559,F559,H559,C559,I559)</f>
        <v>https://permalinkbnd.bnportugal.gov.pt/viewer/277455/?offset=#page=77&amp;viewer=picture&amp;o=info&amp;n=0&amp;q=</v>
      </c>
      <c r="K559" s="1" t="s">
        <v>762</v>
      </c>
      <c r="L559" s="1" t="str">
        <f>VLOOKUP(A559,Folha2!$A$2:$B$2019,2,FALSE)</f>
        <v>Die Lusiaden : epische díchtung / von Luis de Camöens ; nach José da Fonseca's portugiesischer Ausgabe im Versmaake des Originals. - Leipzig : Arnoldische Buchhandung, 1854, sem argumentos. Parecem existir duas imagens deslocadas (estrofes) na digitalização, pois antecedem o prefácio, cf. Im. 13 e 14.</v>
      </c>
      <c r="M559" s="12" t="str">
        <f>HYPERLINK(J559)</f>
        <v>https://permalinkbnd.bnportugal.gov.pt/viewer/277455/?offset=#page=77&amp;viewer=picture&amp;o=info&amp;n=0&amp;q=</v>
      </c>
      <c r="N559" s="12" t="s">
        <v>1497</v>
      </c>
      <c r="O559" s="12" t="str">
        <f>CONCATENATE(N559,A559,"\",B559,"\",C559,".jpg")</f>
        <v>C:\Users\mbaptista\OneDrive - Biblioteca Nacional de Portugal\Documentos\python\camoniana\imagens\capas\259614\1\77.jpg</v>
      </c>
      <c r="P559" s="12" t="str">
        <f>HYPERLINK(O559)</f>
        <v>C:\Users\mbaptista\OneDrive - Biblioteca Nacional de Portugal\Documentos\python\camoniana\imagens\capas\259614\1\77.jpg</v>
      </c>
      <c r="Q559" s="12"/>
      <c r="R559" s="6" t="s">
        <v>764</v>
      </c>
      <c r="S559" s="12"/>
      <c r="T559" s="1" t="s">
        <v>762</v>
      </c>
      <c r="U559" s="13"/>
      <c r="V559" s="13"/>
      <c r="W559" s="5" t="s">
        <v>1491</v>
      </c>
    </row>
    <row r="560" spans="1:23" ht="225">
      <c r="A560" s="1">
        <v>381386</v>
      </c>
      <c r="B560" s="1">
        <v>1</v>
      </c>
      <c r="C560" s="1">
        <v>9</v>
      </c>
      <c r="D560" s="2" t="s">
        <v>765</v>
      </c>
      <c r="E560" s="5" t="s">
        <v>765</v>
      </c>
      <c r="F560" s="5">
        <v>273117</v>
      </c>
      <c r="G560" s="2" t="s">
        <v>1494</v>
      </c>
      <c r="H560" s="2" t="s">
        <v>1495</v>
      </c>
      <c r="I560" s="2" t="s">
        <v>1496</v>
      </c>
      <c r="J560" s="2" t="str">
        <f>CONCATENATE(G560,F560,H560,C560,I560)</f>
        <v>https://permalinkbnd.bnportugal.gov.pt/viewer/273117/?offset=#page=9&amp;viewer=picture&amp;o=info&amp;n=0&amp;q=</v>
      </c>
      <c r="K560" s="1" t="s">
        <v>766</v>
      </c>
      <c r="L560" s="1" t="str">
        <f>VLOOKUP(A560,Folha2!$A$2:$B$2019,2,FALSE)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0" s="12" t="str">
        <f>HYPERLINK(J560)</f>
        <v>https://permalinkbnd.bnportugal.gov.pt/viewer/273117/?offset=#page=9&amp;viewer=picture&amp;o=info&amp;n=0&amp;q=</v>
      </c>
      <c r="N560" s="12" t="s">
        <v>1497</v>
      </c>
      <c r="O560" s="12" t="str">
        <f>CONCATENATE(N560,A560,"\",B560,"\",C560,".jpg")</f>
        <v>C:\Users\mbaptista\OneDrive - Biblioteca Nacional de Portugal\Documentos\python\camoniana\imagens\capas\381386\1\9.jpg</v>
      </c>
      <c r="P560" s="12" t="str">
        <f>HYPERLINK(O560)</f>
        <v>C:\Users\mbaptista\OneDrive - Biblioteca Nacional de Portugal\Documentos\python\camoniana\imagens\capas\381386\1\9.jpg</v>
      </c>
      <c r="Q560" s="12"/>
      <c r="R560" s="6"/>
      <c r="S560" s="12"/>
      <c r="T560" s="1"/>
      <c r="U560" s="13"/>
      <c r="V560" s="13"/>
      <c r="W560" s="5"/>
    </row>
    <row r="561" spans="1:23" ht="225">
      <c r="A561" s="1">
        <v>381386</v>
      </c>
      <c r="B561" s="1">
        <v>1</v>
      </c>
      <c r="C561" s="1">
        <v>11</v>
      </c>
      <c r="D561" s="2" t="s">
        <v>765</v>
      </c>
      <c r="E561" s="11" t="s">
        <v>765</v>
      </c>
      <c r="F561" s="11">
        <v>273117</v>
      </c>
      <c r="G561" s="2" t="s">
        <v>1494</v>
      </c>
      <c r="H561" s="2" t="s">
        <v>1495</v>
      </c>
      <c r="I561" s="2" t="s">
        <v>1496</v>
      </c>
      <c r="J561" s="2" t="str">
        <f>CONCATENATE(G561,F561,H561,C561,I561)</f>
        <v>https://permalinkbnd.bnportugal.gov.pt/viewer/273117/?offset=#page=11&amp;viewer=picture&amp;o=info&amp;n=0&amp;q=</v>
      </c>
      <c r="K561" s="1" t="s">
        <v>766</v>
      </c>
      <c r="L561" s="1" t="str">
        <f>VLOOKUP(A561,Folha2!$A$2:$B$2019,2,FALSE)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1" s="12" t="str">
        <f>HYPERLINK(J561)</f>
        <v>https://permalinkbnd.bnportugal.gov.pt/viewer/273117/?offset=#page=11&amp;viewer=picture&amp;o=info&amp;n=0&amp;q=</v>
      </c>
      <c r="N561" s="12" t="s">
        <v>1497</v>
      </c>
      <c r="O561" s="12" t="str">
        <f>CONCATENATE(N561,A561,"\",B561,"\",C561,".jpg")</f>
        <v>C:\Users\mbaptista\OneDrive - Biblioteca Nacional de Portugal\Documentos\python\camoniana\imagens\capas\381386\1\11.jpg</v>
      </c>
      <c r="P561" s="12" t="str">
        <f>HYPERLINK(O561)</f>
        <v>C:\Users\mbaptista\OneDrive - Biblioteca Nacional de Portugal\Documentos\python\camoniana\imagens\capas\381386\1\11.jpg</v>
      </c>
      <c r="Q561" s="12"/>
      <c r="R561" s="6"/>
      <c r="S561" s="12"/>
      <c r="T561" s="1"/>
      <c r="U561" s="13"/>
      <c r="V561" s="13"/>
      <c r="W561" s="5"/>
    </row>
    <row r="562" spans="1:23" ht="225">
      <c r="A562" s="1">
        <v>381386</v>
      </c>
      <c r="B562" s="1">
        <v>1</v>
      </c>
      <c r="C562" s="1">
        <v>21</v>
      </c>
      <c r="D562" s="2" t="s">
        <v>765</v>
      </c>
      <c r="E562" s="5" t="s">
        <v>765</v>
      </c>
      <c r="F562" s="5">
        <v>273117</v>
      </c>
      <c r="G562" s="2" t="s">
        <v>1494</v>
      </c>
      <c r="H562" s="2" t="s">
        <v>1495</v>
      </c>
      <c r="I562" s="2" t="s">
        <v>1496</v>
      </c>
      <c r="J562" s="2" t="str">
        <f>CONCATENATE(G562,F562,H562,C562,I562)</f>
        <v>https://permalinkbnd.bnportugal.gov.pt/viewer/273117/?offset=#page=21&amp;viewer=picture&amp;o=info&amp;n=0&amp;q=</v>
      </c>
      <c r="K562" s="1" t="s">
        <v>766</v>
      </c>
      <c r="L562" s="1" t="str">
        <f>VLOOKUP(A562,Folha2!$A$2:$B$2019,2,FALSE)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2" s="12" t="str">
        <f>HYPERLINK(J562)</f>
        <v>https://permalinkbnd.bnportugal.gov.pt/viewer/273117/?offset=#page=21&amp;viewer=picture&amp;o=info&amp;n=0&amp;q=</v>
      </c>
      <c r="N562" s="12" t="s">
        <v>1497</v>
      </c>
      <c r="O562" s="12" t="str">
        <f>CONCATENATE(N562,A562,"\",B562,"\",C562,".jpg")</f>
        <v>C:\Users\mbaptista\OneDrive - Biblioteca Nacional de Portugal\Documentos\python\camoniana\imagens\capas\381386\1\21.jpg</v>
      </c>
      <c r="P562" s="12" t="str">
        <f>HYPERLINK(O562)</f>
        <v>C:\Users\mbaptista\OneDrive - Biblioteca Nacional de Portugal\Documentos\python\camoniana\imagens\capas\381386\1\21.jpg</v>
      </c>
      <c r="Q562" s="12"/>
      <c r="R562" s="6"/>
      <c r="S562" s="12"/>
      <c r="T562" s="1"/>
      <c r="U562" s="13"/>
      <c r="V562" s="13"/>
      <c r="W562" s="5"/>
    </row>
    <row r="563" spans="1:23" ht="225">
      <c r="A563" s="1">
        <v>381386</v>
      </c>
      <c r="B563" s="1">
        <v>1</v>
      </c>
      <c r="C563" s="1">
        <v>23</v>
      </c>
      <c r="D563" s="2" t="s">
        <v>765</v>
      </c>
      <c r="E563" s="11" t="s">
        <v>765</v>
      </c>
      <c r="F563" s="11">
        <v>273117</v>
      </c>
      <c r="G563" s="2" t="s">
        <v>1494</v>
      </c>
      <c r="H563" s="2" t="s">
        <v>1495</v>
      </c>
      <c r="I563" s="2" t="s">
        <v>1496</v>
      </c>
      <c r="J563" s="2" t="str">
        <f>CONCATENATE(G563,F563,H563,C563,I563)</f>
        <v>https://permalinkbnd.bnportugal.gov.pt/viewer/273117/?offset=#page=23&amp;viewer=picture&amp;o=info&amp;n=0&amp;q=</v>
      </c>
      <c r="K563" s="1" t="s">
        <v>766</v>
      </c>
      <c r="L563" s="1" t="str">
        <f>VLOOKUP(A563,Folha2!$A$2:$B$2019,2,FALSE)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3" s="12" t="str">
        <f>HYPERLINK(J563)</f>
        <v>https://permalinkbnd.bnportugal.gov.pt/viewer/273117/?offset=#page=23&amp;viewer=picture&amp;o=info&amp;n=0&amp;q=</v>
      </c>
      <c r="N563" s="12" t="s">
        <v>1497</v>
      </c>
      <c r="O563" s="12" t="str">
        <f>CONCATENATE(N563,A563,"\",B563,"\",C563,".jpg")</f>
        <v>C:\Users\mbaptista\OneDrive - Biblioteca Nacional de Portugal\Documentos\python\camoniana\imagens\capas\381386\1\23.jpg</v>
      </c>
      <c r="P563" s="12" t="str">
        <f>HYPERLINK(O563)</f>
        <v>C:\Users\mbaptista\OneDrive - Biblioteca Nacional de Portugal\Documentos\python\camoniana\imagens\capas\381386\1\23.jpg</v>
      </c>
      <c r="Q563" s="12"/>
      <c r="R563" s="6" t="s">
        <v>768</v>
      </c>
      <c r="S563" s="12"/>
      <c r="T563" s="1" t="s">
        <v>767</v>
      </c>
      <c r="U563" s="13"/>
      <c r="V563" s="13"/>
      <c r="W563" s="5" t="s">
        <v>1491</v>
      </c>
    </row>
    <row r="564" spans="1:23" ht="225">
      <c r="A564" s="1">
        <v>381386</v>
      </c>
      <c r="B564" s="1">
        <v>1</v>
      </c>
      <c r="C564" s="1">
        <v>79</v>
      </c>
      <c r="D564" s="2" t="s">
        <v>765</v>
      </c>
      <c r="E564" s="5" t="s">
        <v>765</v>
      </c>
      <c r="F564" s="5">
        <v>273117</v>
      </c>
      <c r="G564" s="2" t="s">
        <v>1494</v>
      </c>
      <c r="H564" s="2" t="s">
        <v>1495</v>
      </c>
      <c r="I564" s="2" t="s">
        <v>1496</v>
      </c>
      <c r="J564" s="2" t="str">
        <f>CONCATENATE(G564,F564,H564,C564,I564)</f>
        <v>https://permalinkbnd.bnportugal.gov.pt/viewer/273117/?offset=#page=79&amp;viewer=picture&amp;o=info&amp;n=0&amp;q=</v>
      </c>
      <c r="K564" s="1" t="s">
        <v>766</v>
      </c>
      <c r="L564" s="1" t="str">
        <f>VLOOKUP(A564,Folha2!$A$2:$B$2019,2,FALSE)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4" s="12" t="str">
        <f>HYPERLINK(J564)</f>
        <v>https://permalinkbnd.bnportugal.gov.pt/viewer/273117/?offset=#page=79&amp;viewer=picture&amp;o=info&amp;n=0&amp;q=</v>
      </c>
      <c r="N564" s="12" t="s">
        <v>1497</v>
      </c>
      <c r="O564" s="12" t="str">
        <f>CONCATENATE(N564,A564,"\",B564,"\",C564,".jpg")</f>
        <v>C:\Users\mbaptista\OneDrive - Biblioteca Nacional de Portugal\Documentos\python\camoniana\imagens\capas\381386\1\79.jpg</v>
      </c>
      <c r="P564" s="12" t="str">
        <f>HYPERLINK(O564)</f>
        <v>C:\Users\mbaptista\OneDrive - Biblioteca Nacional de Portugal\Documentos\python\camoniana\imagens\capas\381386\1\79.jpg</v>
      </c>
      <c r="Q564" s="12"/>
      <c r="R564" s="6" t="s">
        <v>769</v>
      </c>
      <c r="S564" s="12"/>
      <c r="T564" s="1" t="s">
        <v>767</v>
      </c>
      <c r="U564" s="13"/>
      <c r="V564" s="13"/>
      <c r="W564" s="5" t="s">
        <v>1491</v>
      </c>
    </row>
    <row r="565" spans="1:23" ht="225">
      <c r="A565" s="1">
        <v>381386</v>
      </c>
      <c r="B565" s="1">
        <v>1</v>
      </c>
      <c r="C565" s="1">
        <v>139</v>
      </c>
      <c r="D565" s="2" t="s">
        <v>765</v>
      </c>
      <c r="E565" s="11" t="s">
        <v>765</v>
      </c>
      <c r="F565" s="11">
        <v>273117</v>
      </c>
      <c r="G565" s="2" t="s">
        <v>1494</v>
      </c>
      <c r="H565" s="2" t="s">
        <v>1495</v>
      </c>
      <c r="I565" s="2" t="s">
        <v>1496</v>
      </c>
      <c r="J565" s="2" t="str">
        <f>CONCATENATE(G565,F565,H565,C565,I565)</f>
        <v>https://permalinkbnd.bnportugal.gov.pt/viewer/273117/?offset=#page=139&amp;viewer=picture&amp;o=info&amp;n=0&amp;q=</v>
      </c>
      <c r="K565" s="1" t="s">
        <v>766</v>
      </c>
      <c r="L565" s="1" t="str">
        <f>VLOOKUP(A565,Folha2!$A$2:$B$2019,2,FALSE)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5" s="12" t="str">
        <f>HYPERLINK(J565)</f>
        <v>https://permalinkbnd.bnportugal.gov.pt/viewer/273117/?offset=#page=139&amp;viewer=picture&amp;o=info&amp;n=0&amp;q=</v>
      </c>
      <c r="N565" s="12" t="s">
        <v>1497</v>
      </c>
      <c r="O565" s="12" t="str">
        <f>CONCATENATE(N565,A565,"\",B565,"\",C565,".jpg")</f>
        <v>C:\Users\mbaptista\OneDrive - Biblioteca Nacional de Portugal\Documentos\python\camoniana\imagens\capas\381386\1\139.jpg</v>
      </c>
      <c r="P565" s="12" t="str">
        <f>HYPERLINK(O565)</f>
        <v>C:\Users\mbaptista\OneDrive - Biblioteca Nacional de Portugal\Documentos\python\camoniana\imagens\capas\381386\1\139.jpg</v>
      </c>
      <c r="Q565" s="12"/>
      <c r="R565" s="6" t="s">
        <v>770</v>
      </c>
      <c r="S565" s="12"/>
      <c r="T565" s="1" t="s">
        <v>767</v>
      </c>
      <c r="U565" s="13"/>
      <c r="V565" s="13"/>
      <c r="W565" s="5" t="s">
        <v>1491</v>
      </c>
    </row>
    <row r="566" spans="1:23" ht="225">
      <c r="A566" s="1">
        <v>381386</v>
      </c>
      <c r="B566" s="1">
        <v>1</v>
      </c>
      <c r="C566" s="1">
        <v>141</v>
      </c>
      <c r="D566" s="2" t="s">
        <v>765</v>
      </c>
      <c r="E566" s="5" t="s">
        <v>765</v>
      </c>
      <c r="F566" s="5">
        <v>273117</v>
      </c>
      <c r="G566" s="2" t="s">
        <v>1494</v>
      </c>
      <c r="H566" s="2" t="s">
        <v>1495</v>
      </c>
      <c r="I566" s="2" t="s">
        <v>1496</v>
      </c>
      <c r="J566" s="2" t="str">
        <f>CONCATENATE(G566,F566,H566,C566,I566)</f>
        <v>https://permalinkbnd.bnportugal.gov.pt/viewer/273117/?offset=#page=141&amp;viewer=picture&amp;o=info&amp;n=0&amp;q=</v>
      </c>
      <c r="K566" s="1" t="s">
        <v>766</v>
      </c>
      <c r="L566" s="1" t="str">
        <f>VLOOKUP(A566,Folha2!$A$2:$B$2019,2,FALSE)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6" s="12" t="str">
        <f>HYPERLINK(J566)</f>
        <v>https://permalinkbnd.bnportugal.gov.pt/viewer/273117/?offset=#page=141&amp;viewer=picture&amp;o=info&amp;n=0&amp;q=</v>
      </c>
      <c r="N566" s="12" t="s">
        <v>1497</v>
      </c>
      <c r="O566" s="12" t="str">
        <f>CONCATENATE(N566,A566,"\",B566,"\",C566,".jpg")</f>
        <v>C:\Users\mbaptista\OneDrive - Biblioteca Nacional de Portugal\Documentos\python\camoniana\imagens\capas\381386\1\141.jpg</v>
      </c>
      <c r="P566" s="12" t="str">
        <f>HYPERLINK(O566)</f>
        <v>C:\Users\mbaptista\OneDrive - Biblioteca Nacional de Portugal\Documentos\python\camoniana\imagens\capas\381386\1\141.jpg</v>
      </c>
      <c r="Q566" s="12"/>
      <c r="R566" s="6" t="s">
        <v>771</v>
      </c>
      <c r="S566" s="12"/>
      <c r="T566" s="1" t="s">
        <v>767</v>
      </c>
      <c r="U566" s="13"/>
      <c r="V566" s="13"/>
      <c r="W566" s="5" t="s">
        <v>1491</v>
      </c>
    </row>
    <row r="567" spans="1:23" ht="225">
      <c r="A567" s="1">
        <v>381386</v>
      </c>
      <c r="B567" s="1">
        <v>1</v>
      </c>
      <c r="C567" s="1">
        <v>213</v>
      </c>
      <c r="D567" s="2" t="s">
        <v>765</v>
      </c>
      <c r="E567" s="11" t="s">
        <v>765</v>
      </c>
      <c r="F567" s="11">
        <v>273117</v>
      </c>
      <c r="G567" s="2" t="s">
        <v>1494</v>
      </c>
      <c r="H567" s="2" t="s">
        <v>1495</v>
      </c>
      <c r="I567" s="2" t="s">
        <v>1496</v>
      </c>
      <c r="J567" s="2" t="str">
        <f>CONCATENATE(G567,F567,H567,C567,I567)</f>
        <v>https://permalinkbnd.bnportugal.gov.pt/viewer/273117/?offset=#page=213&amp;viewer=picture&amp;o=info&amp;n=0&amp;q=</v>
      </c>
      <c r="K567" s="1" t="s">
        <v>766</v>
      </c>
      <c r="L567" s="1" t="str">
        <f>VLOOKUP(A567,Folha2!$A$2:$B$2019,2,FALSE)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7" s="12" t="str">
        <f>HYPERLINK(J567)</f>
        <v>https://permalinkbnd.bnportugal.gov.pt/viewer/273117/?offset=#page=213&amp;viewer=picture&amp;o=info&amp;n=0&amp;q=</v>
      </c>
      <c r="N567" s="12" t="s">
        <v>1497</v>
      </c>
      <c r="O567" s="12" t="str">
        <f>CONCATENATE(N567,A567,"\",B567,"\",C567,".jpg")</f>
        <v>C:\Users\mbaptista\OneDrive - Biblioteca Nacional de Portugal\Documentos\python\camoniana\imagens\capas\381386\1\213.jpg</v>
      </c>
      <c r="P567" s="12" t="str">
        <f>HYPERLINK(O567)</f>
        <v>C:\Users\mbaptista\OneDrive - Biblioteca Nacional de Portugal\Documentos\python\camoniana\imagens\capas\381386\1\213.jpg</v>
      </c>
      <c r="Q567" s="12"/>
      <c r="R567" s="6" t="s">
        <v>772</v>
      </c>
      <c r="S567" s="12"/>
      <c r="T567" s="1" t="s">
        <v>767</v>
      </c>
      <c r="U567" s="13"/>
      <c r="V567" s="13"/>
      <c r="W567" s="5" t="s">
        <v>1491</v>
      </c>
    </row>
    <row r="568" spans="1:23" ht="225">
      <c r="A568" s="1">
        <v>381386</v>
      </c>
      <c r="B568" s="1">
        <v>1</v>
      </c>
      <c r="C568" s="1">
        <v>215</v>
      </c>
      <c r="D568" s="2" t="s">
        <v>765</v>
      </c>
      <c r="E568" s="5" t="s">
        <v>765</v>
      </c>
      <c r="F568" s="5">
        <v>273117</v>
      </c>
      <c r="G568" s="2" t="s">
        <v>1494</v>
      </c>
      <c r="H568" s="2" t="s">
        <v>1495</v>
      </c>
      <c r="I568" s="2" t="s">
        <v>1496</v>
      </c>
      <c r="J568" s="2" t="str">
        <f>CONCATENATE(G568,F568,H568,C568,I568)</f>
        <v>https://permalinkbnd.bnportugal.gov.pt/viewer/273117/?offset=#page=215&amp;viewer=picture&amp;o=info&amp;n=0&amp;q=</v>
      </c>
      <c r="K568" s="1" t="s">
        <v>766</v>
      </c>
      <c r="L568" s="1" t="str">
        <f>VLOOKUP(A568,Folha2!$A$2:$B$2019,2,FALSE)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8" s="12" t="str">
        <f>HYPERLINK(J568)</f>
        <v>https://permalinkbnd.bnportugal.gov.pt/viewer/273117/?offset=#page=215&amp;viewer=picture&amp;o=info&amp;n=0&amp;q=</v>
      </c>
      <c r="N568" s="12" t="s">
        <v>1497</v>
      </c>
      <c r="O568" s="12" t="str">
        <f>CONCATENATE(N568,A568,"\",B568,"\",C568,".jpg")</f>
        <v>C:\Users\mbaptista\OneDrive - Biblioteca Nacional de Portugal\Documentos\python\camoniana\imagens\capas\381386\1\215.jpg</v>
      </c>
      <c r="P568" s="12" t="str">
        <f>HYPERLINK(O568)</f>
        <v>C:\Users\mbaptista\OneDrive - Biblioteca Nacional de Portugal\Documentos\python\camoniana\imagens\capas\381386\1\215.jpg</v>
      </c>
      <c r="Q568" s="12"/>
      <c r="R568" s="6" t="s">
        <v>773</v>
      </c>
      <c r="S568" s="12"/>
      <c r="T568" s="1" t="s">
        <v>767</v>
      </c>
      <c r="U568" s="13"/>
      <c r="V568" s="13"/>
      <c r="W568" s="5" t="s">
        <v>1491</v>
      </c>
    </row>
    <row r="569" spans="1:23" ht="225">
      <c r="A569" s="1">
        <v>381386</v>
      </c>
      <c r="B569" s="1">
        <v>1</v>
      </c>
      <c r="C569" s="1">
        <v>269</v>
      </c>
      <c r="D569" s="2" t="s">
        <v>765</v>
      </c>
      <c r="E569" s="11" t="s">
        <v>765</v>
      </c>
      <c r="F569" s="11">
        <v>273117</v>
      </c>
      <c r="G569" s="2" t="s">
        <v>1494</v>
      </c>
      <c r="H569" s="2" t="s">
        <v>1495</v>
      </c>
      <c r="I569" s="2" t="s">
        <v>1496</v>
      </c>
      <c r="J569" s="2" t="str">
        <f>CONCATENATE(G569,F569,H569,C569,I569)</f>
        <v>https://permalinkbnd.bnportugal.gov.pt/viewer/273117/?offset=#page=269&amp;viewer=picture&amp;o=info&amp;n=0&amp;q=</v>
      </c>
      <c r="K569" s="1" t="s">
        <v>766</v>
      </c>
      <c r="L569" s="1" t="str">
        <f>VLOOKUP(A569,Folha2!$A$2:$B$2019,2,FALSE)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69" s="12" t="str">
        <f>HYPERLINK(J569)</f>
        <v>https://permalinkbnd.bnportugal.gov.pt/viewer/273117/?offset=#page=269&amp;viewer=picture&amp;o=info&amp;n=0&amp;q=</v>
      </c>
      <c r="N569" s="12" t="s">
        <v>1497</v>
      </c>
      <c r="O569" s="12" t="str">
        <f>CONCATENATE(N569,A569,"\",B569,"\",C569,".jpg")</f>
        <v>C:\Users\mbaptista\OneDrive - Biblioteca Nacional de Portugal\Documentos\python\camoniana\imagens\capas\381386\1\269.jpg</v>
      </c>
      <c r="P569" s="12" t="str">
        <f>HYPERLINK(O569)</f>
        <v>C:\Users\mbaptista\OneDrive - Biblioteca Nacional de Portugal\Documentos\python\camoniana\imagens\capas\381386\1\269.jpg</v>
      </c>
      <c r="Q569" s="12"/>
      <c r="R569" s="6" t="s">
        <v>774</v>
      </c>
      <c r="S569" s="12"/>
      <c r="T569" s="1" t="s">
        <v>767</v>
      </c>
      <c r="U569" s="13"/>
      <c r="V569" s="13"/>
      <c r="W569" s="5" t="s">
        <v>1491</v>
      </c>
    </row>
    <row r="570" spans="1:23" ht="225">
      <c r="A570" s="1">
        <v>381386</v>
      </c>
      <c r="B570" s="1">
        <v>1</v>
      </c>
      <c r="C570" s="1">
        <v>271</v>
      </c>
      <c r="D570" s="2" t="s">
        <v>765</v>
      </c>
      <c r="E570" s="5" t="s">
        <v>765</v>
      </c>
      <c r="F570" s="5">
        <v>273117</v>
      </c>
      <c r="G570" s="2" t="s">
        <v>1494</v>
      </c>
      <c r="H570" s="2" t="s">
        <v>1495</v>
      </c>
      <c r="I570" s="2" t="s">
        <v>1496</v>
      </c>
      <c r="J570" s="2" t="str">
        <f>CONCATENATE(G570,F570,H570,C570,I570)</f>
        <v>https://permalinkbnd.bnportugal.gov.pt/viewer/273117/?offset=#page=271&amp;viewer=picture&amp;o=info&amp;n=0&amp;q=</v>
      </c>
      <c r="K570" s="1" t="s">
        <v>766</v>
      </c>
      <c r="L570" s="1" t="str">
        <f>VLOOKUP(A570,Folha2!$A$2:$B$2019,2,FALSE)</f>
        <v>Até ao C. V, est. LXXIX. Paratextos argumentos e Figuras Femininas/Mulheres [Teresa Cristina Maria, Imperatriz do Brasil; Adelina Amélia Lopes Vieira, poetisa; Isabel, condessa d'Eu e princesa do Brasil; Margarida Víctor, conferencista do Tricentenário; Maria de Lemos e Roxos, descendente de Gaspar de Lemos e dama honorária; Ana Maria Ribeiro, escritora; Guiomar Torrezão, escritora; Margarida Augusta Relvas, fotógrafa; Alice Munró dos Anjos, directora da sociedade de Casas de Asilo; Elisa Curado, escritora; Condessa de Rio Maior; Clorinda de Macedo, poetisa; Eugénia Vizeu, pianista e compositora; Maria Augusta Bordalo Pinheiro, pintora; Maria José da Silva Canuto, escritora e professora; Maria Manuela Vaz de Carvalho, escritora; Amélia Janny, poetisa.]</v>
      </c>
      <c r="M570" s="12" t="str">
        <f>HYPERLINK(J570)</f>
        <v>https://permalinkbnd.bnportugal.gov.pt/viewer/273117/?offset=#page=271&amp;viewer=picture&amp;o=info&amp;n=0&amp;q=</v>
      </c>
      <c r="N570" s="12" t="s">
        <v>1497</v>
      </c>
      <c r="O570" s="12" t="str">
        <f>CONCATENATE(N570,A570,"\",B570,"\",C570,".jpg")</f>
        <v>C:\Users\mbaptista\OneDrive - Biblioteca Nacional de Portugal\Documentos\python\camoniana\imagens\capas\381386\1\271.jpg</v>
      </c>
      <c r="P570" s="12" t="str">
        <f>HYPERLINK(O570)</f>
        <v>C:\Users\mbaptista\OneDrive - Biblioteca Nacional de Portugal\Documentos\python\camoniana\imagens\capas\381386\1\271.jpg</v>
      </c>
      <c r="Q570" s="12"/>
      <c r="R570" s="6" t="s">
        <v>775</v>
      </c>
      <c r="S570" s="12"/>
      <c r="T570" s="1" t="s">
        <v>767</v>
      </c>
      <c r="U570" s="13"/>
      <c r="V570" s="13"/>
      <c r="W570" s="5" t="s">
        <v>1491</v>
      </c>
    </row>
    <row r="571" spans="1:23" ht="225">
      <c r="A571" s="1">
        <v>804973</v>
      </c>
      <c r="B571" s="1">
        <v>1</v>
      </c>
      <c r="C571" s="1">
        <v>10</v>
      </c>
      <c r="D571" s="2" t="s">
        <v>776</v>
      </c>
      <c r="E571" s="11" t="s">
        <v>776</v>
      </c>
      <c r="F571" s="11">
        <v>273120</v>
      </c>
      <c r="G571" s="2" t="s">
        <v>1494</v>
      </c>
      <c r="H571" s="2" t="s">
        <v>1495</v>
      </c>
      <c r="I571" s="2" t="s">
        <v>1496</v>
      </c>
      <c r="J571" s="2" t="str">
        <f>CONCATENATE(G571,F571,H571,C571,I571)</f>
        <v>https://permalinkbnd.bnportugal.gov.pt/viewer/273120/?offset=#page=10&amp;viewer=picture&amp;o=info&amp;n=0&amp;q=</v>
      </c>
      <c r="K571" s="1" t="s">
        <v>777</v>
      </c>
      <c r="L571" s="1" t="str">
        <f>VLOOKUP(A571,Folha2!$A$2:$B$2019,2,FALSE)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1" s="12" t="str">
        <f>HYPERLINK(J571)</f>
        <v>https://permalinkbnd.bnportugal.gov.pt/viewer/273120/?offset=#page=10&amp;viewer=picture&amp;o=info&amp;n=0&amp;q=</v>
      </c>
      <c r="N571" s="12" t="s">
        <v>1497</v>
      </c>
      <c r="O571" s="12" t="str">
        <f>CONCATENATE(N571,A571,"\",B571,"\",C571,".jpg")</f>
        <v>C:\Users\mbaptista\OneDrive - Biblioteca Nacional de Portugal\Documentos\python\camoniana\imagens\capas\804973\1\10.jpg</v>
      </c>
      <c r="P571" s="12" t="str">
        <f>HYPERLINK(O571)</f>
        <v>C:\Users\mbaptista\OneDrive - Biblioteca Nacional de Portugal\Documentos\python\camoniana\imagens\capas\804973\1\10.jpg</v>
      </c>
      <c r="Q571" s="12"/>
      <c r="R571" s="6" t="s">
        <v>778</v>
      </c>
      <c r="S571" s="12"/>
      <c r="T571" s="1">
        <v>10</v>
      </c>
      <c r="U571" s="13"/>
      <c r="V571" s="13"/>
      <c r="W571" s="5" t="s">
        <v>1491</v>
      </c>
    </row>
    <row r="572" spans="1:23" ht="225">
      <c r="A572" s="1">
        <v>804973</v>
      </c>
      <c r="B572" s="1">
        <v>1</v>
      </c>
      <c r="C572" s="1">
        <v>345</v>
      </c>
      <c r="D572" s="2" t="s">
        <v>776</v>
      </c>
      <c r="E572" s="5" t="s">
        <v>776</v>
      </c>
      <c r="F572" s="5">
        <v>273120</v>
      </c>
      <c r="G572" s="2" t="s">
        <v>1494</v>
      </c>
      <c r="H572" s="2" t="s">
        <v>1495</v>
      </c>
      <c r="I572" s="2" t="s">
        <v>1496</v>
      </c>
      <c r="J572" s="2" t="str">
        <f>CONCATENATE(G572,F572,H572,C572,I572)</f>
        <v>https://permalinkbnd.bnportugal.gov.pt/viewer/273120/?offset=#page=345&amp;viewer=picture&amp;o=info&amp;n=0&amp;q=</v>
      </c>
      <c r="K572" s="1" t="s">
        <v>777</v>
      </c>
      <c r="L572" s="1" t="str">
        <f>VLOOKUP(A572,Folha2!$A$2:$B$2019,2,FALSE)</f>
        <v>Sonetos / Luis de Camões ; com uma introd. e vida do poeta por A. de Sousa Pinto. - Ed. especial do Gabinete Portuguez de Leitura de Pernambuco para commemorar o terceiro centenario do grande epico, em 10 de Junho de 1880, segundo a ed. de Hamburgo de B. Feio e G. Monteiro. - Porto : Imprensa Portugueza, 1880. Antologia, paratextos gerais. Paratextos Vida: A inserir em paratextos gerais, lírica, outros.</v>
      </c>
      <c r="M572" s="12" t="str">
        <f>HYPERLINK(J572)</f>
        <v>https://permalinkbnd.bnportugal.gov.pt/viewer/273120/?offset=#page=345&amp;viewer=picture&amp;o=info&amp;n=0&amp;q=</v>
      </c>
      <c r="N572" s="12" t="s">
        <v>1497</v>
      </c>
      <c r="O572" s="12" t="str">
        <f>CONCATENATE(N572,A572,"\",B572,"\",C572,".jpg")</f>
        <v>C:\Users\mbaptista\OneDrive - Biblioteca Nacional de Portugal\Documentos\python\camoniana\imagens\capas\804973\1\345.jpg</v>
      </c>
      <c r="P572" s="12" t="str">
        <f>HYPERLINK(O572)</f>
        <v>C:\Users\mbaptista\OneDrive - Biblioteca Nacional de Portugal\Documentos\python\camoniana\imagens\capas\804973\1\345.jpg</v>
      </c>
      <c r="Q572" s="12"/>
      <c r="R572" s="6"/>
      <c r="S572" s="12"/>
      <c r="T572" s="1"/>
      <c r="U572" s="13"/>
      <c r="V572" s="13"/>
      <c r="W572" s="5"/>
    </row>
    <row r="573" spans="1:23" ht="225">
      <c r="A573" s="1">
        <v>252299</v>
      </c>
      <c r="B573" s="1">
        <v>1</v>
      </c>
      <c r="C573" s="1">
        <v>2</v>
      </c>
      <c r="D573" s="2" t="s">
        <v>779</v>
      </c>
      <c r="E573" s="11" t="s">
        <v>779</v>
      </c>
      <c r="F573" s="11">
        <v>277449</v>
      </c>
      <c r="G573" s="2" t="s">
        <v>1494</v>
      </c>
      <c r="H573" s="2" t="s">
        <v>1495</v>
      </c>
      <c r="I573" s="2" t="s">
        <v>1496</v>
      </c>
      <c r="J573" s="2" t="str">
        <f>CONCATENATE(G573,F573,H573,C573,I573)</f>
        <v>https://permalinkbnd.bnportugal.gov.pt/viewer/277449/?offset=#page=2&amp;viewer=picture&amp;o=info&amp;n=0&amp;q=</v>
      </c>
      <c r="K573" s="1" t="s">
        <v>780</v>
      </c>
      <c r="L573" s="1" t="str">
        <f>VLOOKUP(A573,Folha2!$A$2:$B$2019,2,FALSE)</f>
        <v>Die Lusiaden / von Luís de Camoens ; uebersetzt von J.J.C. Donner ; mit einer Einleitung von Otto von Leimer. - Stuttgart : Verlag von W. Spemann, [1883]</v>
      </c>
      <c r="M573" s="12" t="str">
        <f>HYPERLINK(J573)</f>
        <v>https://permalinkbnd.bnportugal.gov.pt/viewer/277449/?offset=#page=2&amp;viewer=picture&amp;o=info&amp;n=0&amp;q=</v>
      </c>
      <c r="N573" s="12" t="s">
        <v>1497</v>
      </c>
      <c r="O573" s="12" t="str">
        <f>CONCATENATE(N573,A573,"\",B573,"\",C573,".jpg")</f>
        <v>C:\Users\mbaptista\OneDrive - Biblioteca Nacional de Portugal\Documentos\python\camoniana\imagens\capas\252299\1\2.jpg</v>
      </c>
      <c r="P573" s="12" t="str">
        <f>HYPERLINK(O573)</f>
        <v>C:\Users\mbaptista\OneDrive - Biblioteca Nacional de Portugal\Documentos\python\camoniana\imagens\capas\252299\1\2.jpg</v>
      </c>
      <c r="Q573" s="12"/>
      <c r="R573" s="6"/>
      <c r="S573" s="12"/>
      <c r="T573" s="1"/>
      <c r="U573" s="13"/>
      <c r="V573" s="13"/>
      <c r="W573" s="5"/>
    </row>
    <row r="574" spans="1:23" ht="225">
      <c r="A574" s="1">
        <v>252299</v>
      </c>
      <c r="B574" s="1">
        <v>1</v>
      </c>
      <c r="C574" s="1">
        <v>7</v>
      </c>
      <c r="D574" s="2" t="s">
        <v>779</v>
      </c>
      <c r="E574" s="5" t="s">
        <v>779</v>
      </c>
      <c r="F574" s="5">
        <v>277449</v>
      </c>
      <c r="G574" s="2" t="s">
        <v>1494</v>
      </c>
      <c r="H574" s="2" t="s">
        <v>1495</v>
      </c>
      <c r="I574" s="2" t="s">
        <v>1496</v>
      </c>
      <c r="J574" s="2" t="str">
        <f>CONCATENATE(G574,F574,H574,C574,I574)</f>
        <v>https://permalinkbnd.bnportugal.gov.pt/viewer/277449/?offset=#page=7&amp;viewer=picture&amp;o=info&amp;n=0&amp;q=</v>
      </c>
      <c r="K574" s="1" t="s">
        <v>780</v>
      </c>
      <c r="L574" s="1" t="str">
        <f>VLOOKUP(A574,Folha2!$A$2:$B$2019,2,FALSE)</f>
        <v>Die Lusiaden / von Luís de Camoens ; uebersetzt von J.J.C. Donner ; mit einer Einleitung von Otto von Leimer. - Stuttgart : Verlag von W. Spemann, [1883]</v>
      </c>
      <c r="M574" s="12" t="str">
        <f>HYPERLINK(J574)</f>
        <v>https://permalinkbnd.bnportugal.gov.pt/viewer/277449/?offset=#page=7&amp;viewer=picture&amp;o=info&amp;n=0&amp;q=</v>
      </c>
      <c r="N574" s="12" t="s">
        <v>1497</v>
      </c>
      <c r="O574" s="12" t="str">
        <f>CONCATENATE(N574,A574,"\",B574,"\",C574,".jpg")</f>
        <v>C:\Users\mbaptista\OneDrive - Biblioteca Nacional de Portugal\Documentos\python\camoniana\imagens\capas\252299\1\7.jpg</v>
      </c>
      <c r="P574" s="12" t="str">
        <f>HYPERLINK(O574)</f>
        <v>C:\Users\mbaptista\OneDrive - Biblioteca Nacional de Portugal\Documentos\python\camoniana\imagens\capas\252299\1\7.jpg</v>
      </c>
      <c r="Q574" s="12"/>
      <c r="R574" s="6" t="s">
        <v>781</v>
      </c>
      <c r="S574" s="12"/>
      <c r="T574" s="1">
        <v>7</v>
      </c>
      <c r="U574" s="13"/>
      <c r="V574" s="13"/>
      <c r="W574" s="5" t="s">
        <v>1491</v>
      </c>
    </row>
    <row r="575" spans="1:23" ht="225">
      <c r="A575" s="1">
        <v>860111</v>
      </c>
      <c r="B575" s="1">
        <v>1</v>
      </c>
      <c r="C575" s="1">
        <v>45</v>
      </c>
      <c r="D575" s="2" t="s">
        <v>782</v>
      </c>
      <c r="E575" s="11" t="s">
        <v>782</v>
      </c>
      <c r="F575" s="11">
        <v>277452</v>
      </c>
      <c r="G575" s="2" t="s">
        <v>1494</v>
      </c>
      <c r="H575" s="2" t="s">
        <v>1495</v>
      </c>
      <c r="I575" s="2" t="s">
        <v>1496</v>
      </c>
      <c r="J575" s="2" t="str">
        <f>CONCATENATE(G575,F575,H575,C575,I575)</f>
        <v>https://permalinkbnd.bnportugal.gov.pt/viewer/277452/?offset=#page=45&amp;viewer=picture&amp;o=info&amp;n=0&amp;q=</v>
      </c>
      <c r="K575" s="1" t="s">
        <v>783</v>
      </c>
      <c r="L575" s="1" t="str">
        <f>VLOOKUP(A575,Folha2!$A$2:$B$2019,2,FALSE)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5" s="12" t="str">
        <f>HYPERLINK(J575)</f>
        <v>https://permalinkbnd.bnportugal.gov.pt/viewer/277452/?offset=#page=45&amp;viewer=picture&amp;o=info&amp;n=0&amp;q=</v>
      </c>
      <c r="N575" s="12" t="s">
        <v>1497</v>
      </c>
      <c r="O575" s="12" t="str">
        <f>CONCATENATE(N575,A575,"\",B575,"\",C575,".jpg")</f>
        <v>C:\Users\mbaptista\OneDrive - Biblioteca Nacional de Portugal\Documentos\python\camoniana\imagens\capas\860111\1\45.jpg</v>
      </c>
      <c r="P575" s="12" t="str">
        <f>HYPERLINK(O575)</f>
        <v>C:\Users\mbaptista\OneDrive - Biblioteca Nacional de Portugal\Documentos\python\camoniana\imagens\capas\860111\1\45.jpg</v>
      </c>
      <c r="Q575" s="12"/>
      <c r="R575" s="6" t="s">
        <v>785</v>
      </c>
      <c r="S575" s="12"/>
      <c r="T575" s="1" t="s">
        <v>784</v>
      </c>
      <c r="U575" s="13"/>
      <c r="V575" s="13"/>
      <c r="W575" s="5" t="s">
        <v>1491</v>
      </c>
    </row>
    <row r="576" spans="1:23" ht="225">
      <c r="A576" s="1">
        <v>860111</v>
      </c>
      <c r="B576" s="1">
        <v>1</v>
      </c>
      <c r="C576" s="1">
        <v>47</v>
      </c>
      <c r="D576" s="2" t="s">
        <v>782</v>
      </c>
      <c r="E576" s="5" t="s">
        <v>782</v>
      </c>
      <c r="F576" s="5">
        <v>277452</v>
      </c>
      <c r="G576" s="2" t="s">
        <v>1494</v>
      </c>
      <c r="H576" s="2" t="s">
        <v>1495</v>
      </c>
      <c r="I576" s="2" t="s">
        <v>1496</v>
      </c>
      <c r="J576" s="2" t="str">
        <f>CONCATENATE(G576,F576,H576,C576,I576)</f>
        <v>https://permalinkbnd.bnportugal.gov.pt/viewer/277452/?offset=#page=47&amp;viewer=picture&amp;o=info&amp;n=0&amp;q=</v>
      </c>
      <c r="K576" s="1" t="s">
        <v>783</v>
      </c>
      <c r="L576" s="1" t="str">
        <f>VLOOKUP(A576,Folha2!$A$2:$B$2019,2,FALSE)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6" s="12" t="str">
        <f>HYPERLINK(J576)</f>
        <v>https://permalinkbnd.bnportugal.gov.pt/viewer/277452/?offset=#page=47&amp;viewer=picture&amp;o=info&amp;n=0&amp;q=</v>
      </c>
      <c r="N576" s="12" t="s">
        <v>1497</v>
      </c>
      <c r="O576" s="12" t="str">
        <f>CONCATENATE(N576,A576,"\",B576,"\",C576,".jpg")</f>
        <v>C:\Users\mbaptista\OneDrive - Biblioteca Nacional de Portugal\Documentos\python\camoniana\imagens\capas\860111\1\47.jpg</v>
      </c>
      <c r="P576" s="12" t="str">
        <f>HYPERLINK(O576)</f>
        <v>C:\Users\mbaptista\OneDrive - Biblioteca Nacional de Portugal\Documentos\python\camoniana\imagens\capas\860111\1\47.jpg</v>
      </c>
      <c r="Q576" s="12"/>
      <c r="R576" s="6" t="s">
        <v>786</v>
      </c>
      <c r="S576" s="12"/>
      <c r="T576" s="1" t="s">
        <v>784</v>
      </c>
      <c r="U576" s="13"/>
      <c r="V576" s="13"/>
      <c r="W576" s="5" t="s">
        <v>1491</v>
      </c>
    </row>
    <row r="577" spans="1:23" ht="225">
      <c r="A577" s="1">
        <v>860111</v>
      </c>
      <c r="B577" s="1">
        <v>1</v>
      </c>
      <c r="C577" s="1">
        <v>49</v>
      </c>
      <c r="D577" s="2" t="s">
        <v>782</v>
      </c>
      <c r="E577" s="11" t="s">
        <v>782</v>
      </c>
      <c r="F577" s="11">
        <v>277452</v>
      </c>
      <c r="G577" s="2" t="s">
        <v>1494</v>
      </c>
      <c r="H577" s="2" t="s">
        <v>1495</v>
      </c>
      <c r="I577" s="2" t="s">
        <v>1496</v>
      </c>
      <c r="J577" s="2" t="str">
        <f>CONCATENATE(G577,F577,H577,C577,I577)</f>
        <v>https://permalinkbnd.bnportugal.gov.pt/viewer/277452/?offset=#page=49&amp;viewer=picture&amp;o=info&amp;n=0&amp;q=</v>
      </c>
      <c r="K577" s="1" t="s">
        <v>783</v>
      </c>
      <c r="L577" s="1" t="str">
        <f>VLOOKUP(A577,Folha2!$A$2:$B$2019,2,FALSE)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7" s="12" t="str">
        <f>HYPERLINK(J577)</f>
        <v>https://permalinkbnd.bnportugal.gov.pt/viewer/277452/?offset=#page=49&amp;viewer=picture&amp;o=info&amp;n=0&amp;q=</v>
      </c>
      <c r="N577" s="12" t="s">
        <v>1497</v>
      </c>
      <c r="O577" s="12" t="str">
        <f>CONCATENATE(N577,A577,"\",B577,"\",C577,".jpg")</f>
        <v>C:\Users\mbaptista\OneDrive - Biblioteca Nacional de Portugal\Documentos\python\camoniana\imagens\capas\860111\1\49.jpg</v>
      </c>
      <c r="P577" s="12" t="str">
        <f>HYPERLINK(O577)</f>
        <v>C:\Users\mbaptista\OneDrive - Biblioteca Nacional de Portugal\Documentos\python\camoniana\imagens\capas\860111\1\49.jpg</v>
      </c>
      <c r="Q577" s="12"/>
      <c r="R577" s="6"/>
      <c r="S577" s="12"/>
      <c r="T577" s="1"/>
      <c r="U577" s="13"/>
      <c r="V577" s="13"/>
      <c r="W577" s="5"/>
    </row>
    <row r="578" spans="1:23" ht="225">
      <c r="A578" s="1">
        <v>860111</v>
      </c>
      <c r="B578" s="1">
        <v>1</v>
      </c>
      <c r="C578" s="1">
        <v>77</v>
      </c>
      <c r="D578" s="2" t="s">
        <v>782</v>
      </c>
      <c r="E578" s="5" t="s">
        <v>782</v>
      </c>
      <c r="F578" s="5">
        <v>277452</v>
      </c>
      <c r="G578" s="2" t="s">
        <v>1494</v>
      </c>
      <c r="H578" s="2" t="s">
        <v>1495</v>
      </c>
      <c r="I578" s="2" t="s">
        <v>1496</v>
      </c>
      <c r="J578" s="2" t="str">
        <f>CONCATENATE(G578,F578,H578,C578,I578)</f>
        <v>https://permalinkbnd.bnportugal.gov.pt/viewer/277452/?offset=#page=77&amp;viewer=picture&amp;o=info&amp;n=0&amp;q=</v>
      </c>
      <c r="K578" s="1" t="s">
        <v>783</v>
      </c>
      <c r="L578" s="1" t="str">
        <f>VLOOKUP(A578,Folha2!$A$2:$B$2019,2,FALSE)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8" s="12" t="str">
        <f>HYPERLINK(J578)</f>
        <v>https://permalinkbnd.bnportugal.gov.pt/viewer/277452/?offset=#page=77&amp;viewer=picture&amp;o=info&amp;n=0&amp;q=</v>
      </c>
      <c r="N578" s="12" t="s">
        <v>1497</v>
      </c>
      <c r="O578" s="12" t="str">
        <f>CONCATENATE(N578,A578,"\",B578,"\",C578,".jpg")</f>
        <v>C:\Users\mbaptista\OneDrive - Biblioteca Nacional de Portugal\Documentos\python\camoniana\imagens\capas\860111\1\77.jpg</v>
      </c>
      <c r="P578" s="12" t="str">
        <f>HYPERLINK(O578)</f>
        <v>C:\Users\mbaptista\OneDrive - Biblioteca Nacional de Portugal\Documentos\python\camoniana\imagens\capas\860111\1\77.jpg</v>
      </c>
      <c r="Q578" s="12"/>
      <c r="R578" s="6" t="s">
        <v>787</v>
      </c>
      <c r="S578" s="12"/>
      <c r="T578" s="1" t="s">
        <v>784</v>
      </c>
      <c r="U578" s="13"/>
      <c r="V578" s="13"/>
      <c r="W578" s="5" t="s">
        <v>1491</v>
      </c>
    </row>
    <row r="579" spans="1:23" ht="225">
      <c r="A579" s="1">
        <v>860111</v>
      </c>
      <c r="B579" s="1">
        <v>1</v>
      </c>
      <c r="C579" s="1">
        <v>105</v>
      </c>
      <c r="D579" s="2" t="s">
        <v>782</v>
      </c>
      <c r="E579" s="11" t="s">
        <v>782</v>
      </c>
      <c r="F579" s="11">
        <v>277452</v>
      </c>
      <c r="G579" s="2" t="s">
        <v>1494</v>
      </c>
      <c r="H579" s="2" t="s">
        <v>1495</v>
      </c>
      <c r="I579" s="2" t="s">
        <v>1496</v>
      </c>
      <c r="J579" s="2" t="str">
        <f>CONCATENATE(G579,F579,H579,C579,I579)</f>
        <v>https://permalinkbnd.bnportugal.gov.pt/viewer/277452/?offset=#page=105&amp;viewer=picture&amp;o=info&amp;n=0&amp;q=</v>
      </c>
      <c r="K579" s="1" t="s">
        <v>783</v>
      </c>
      <c r="L579" s="1" t="str">
        <f>VLOOKUP(A579,Folha2!$A$2:$B$2019,2,FALSE)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79" s="12" t="str">
        <f>HYPERLINK(J579)</f>
        <v>https://permalinkbnd.bnportugal.gov.pt/viewer/277452/?offset=#page=105&amp;viewer=picture&amp;o=info&amp;n=0&amp;q=</v>
      </c>
      <c r="N579" s="12" t="s">
        <v>1497</v>
      </c>
      <c r="O579" s="12" t="str">
        <f>CONCATENATE(N579,A579,"\",B579,"\",C579,".jpg")</f>
        <v>C:\Users\mbaptista\OneDrive - Biblioteca Nacional de Portugal\Documentos\python\camoniana\imagens\capas\860111\1\105.jpg</v>
      </c>
      <c r="P579" s="12" t="str">
        <f>HYPERLINK(O579)</f>
        <v>C:\Users\mbaptista\OneDrive - Biblioteca Nacional de Portugal\Documentos\python\camoniana\imagens\capas\860111\1\105.jpg</v>
      </c>
      <c r="Q579" s="12"/>
      <c r="R579" s="6" t="s">
        <v>788</v>
      </c>
      <c r="S579" s="12"/>
      <c r="T579" s="1" t="s">
        <v>784</v>
      </c>
      <c r="U579" s="13"/>
      <c r="V579" s="13"/>
      <c r="W579" s="5" t="s">
        <v>1491</v>
      </c>
    </row>
    <row r="580" spans="1:23" ht="225">
      <c r="A580" s="1">
        <v>860111</v>
      </c>
      <c r="B580" s="1">
        <v>1</v>
      </c>
      <c r="C580" s="1">
        <v>131</v>
      </c>
      <c r="D580" s="2" t="s">
        <v>782</v>
      </c>
      <c r="E580" s="5" t="s">
        <v>782</v>
      </c>
      <c r="F580" s="5">
        <v>277452</v>
      </c>
      <c r="G580" s="2" t="s">
        <v>1494</v>
      </c>
      <c r="H580" s="2" t="s">
        <v>1495</v>
      </c>
      <c r="I580" s="2" t="s">
        <v>1496</v>
      </c>
      <c r="J580" s="2" t="str">
        <f>CONCATENATE(G580,F580,H580,C580,I580)</f>
        <v>https://permalinkbnd.bnportugal.gov.pt/viewer/277452/?offset=#page=131&amp;viewer=picture&amp;o=info&amp;n=0&amp;q=</v>
      </c>
      <c r="K580" s="1" t="s">
        <v>783</v>
      </c>
      <c r="L580" s="1" t="str">
        <f>VLOOKUP(A580,Folha2!$A$2:$B$2019,2,FALSE)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0" s="12" t="str">
        <f>HYPERLINK(J580)</f>
        <v>https://permalinkbnd.bnportugal.gov.pt/viewer/277452/?offset=#page=131&amp;viewer=picture&amp;o=info&amp;n=0&amp;q=</v>
      </c>
      <c r="N580" s="12" t="s">
        <v>1497</v>
      </c>
      <c r="O580" s="12" t="str">
        <f>CONCATENATE(N580,A580,"\",B580,"\",C580,".jpg")</f>
        <v>C:\Users\mbaptista\OneDrive - Biblioteca Nacional de Portugal\Documentos\python\camoniana\imagens\capas\860111\1\131.jpg</v>
      </c>
      <c r="P580" s="12" t="str">
        <f>HYPERLINK(O580)</f>
        <v>C:\Users\mbaptista\OneDrive - Biblioteca Nacional de Portugal\Documentos\python\camoniana\imagens\capas\860111\1\131.jpg</v>
      </c>
      <c r="Q580" s="12"/>
      <c r="R580" s="6" t="s">
        <v>789</v>
      </c>
      <c r="S580" s="12"/>
      <c r="T580" s="1" t="s">
        <v>784</v>
      </c>
      <c r="U580" s="13"/>
      <c r="V580" s="13"/>
      <c r="W580" s="5" t="s">
        <v>1491</v>
      </c>
    </row>
    <row r="581" spans="1:23" ht="225">
      <c r="A581" s="1">
        <v>860111</v>
      </c>
      <c r="B581" s="1">
        <v>1</v>
      </c>
      <c r="C581" s="1">
        <v>227</v>
      </c>
      <c r="D581" s="2" t="s">
        <v>782</v>
      </c>
      <c r="E581" s="11" t="s">
        <v>782</v>
      </c>
      <c r="F581" s="11">
        <v>277452</v>
      </c>
      <c r="G581" s="2" t="s">
        <v>1494</v>
      </c>
      <c r="H581" s="2" t="s">
        <v>1495</v>
      </c>
      <c r="I581" s="2" t="s">
        <v>1496</v>
      </c>
      <c r="J581" s="2" t="str">
        <f>CONCATENATE(G581,F581,H581,C581,I581)</f>
        <v>https://permalinkbnd.bnportugal.gov.pt/viewer/277452/?offset=#page=227&amp;viewer=picture&amp;o=info&amp;n=0&amp;q=</v>
      </c>
      <c r="K581" s="1" t="s">
        <v>783</v>
      </c>
      <c r="L581" s="1" t="str">
        <f>VLOOKUP(A581,Folha2!$A$2:$B$2019,2,FALSE)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1" s="12" t="str">
        <f>HYPERLINK(J581)</f>
        <v>https://permalinkbnd.bnportugal.gov.pt/viewer/277452/?offset=#page=227&amp;viewer=picture&amp;o=info&amp;n=0&amp;q=</v>
      </c>
      <c r="N581" s="12" t="s">
        <v>1497</v>
      </c>
      <c r="O581" s="12" t="str">
        <f>CONCATENATE(N581,A581,"\",B581,"\",C581,".jpg")</f>
        <v>C:\Users\mbaptista\OneDrive - Biblioteca Nacional de Portugal\Documentos\python\camoniana\imagens\capas\860111\1\227.jpg</v>
      </c>
      <c r="P581" s="12" t="str">
        <f>HYPERLINK(O581)</f>
        <v>C:\Users\mbaptista\OneDrive - Biblioteca Nacional de Portugal\Documentos\python\camoniana\imagens\capas\860111\1\227.jpg</v>
      </c>
      <c r="Q581" s="12"/>
      <c r="R581" s="6" t="s">
        <v>790</v>
      </c>
      <c r="S581" s="12"/>
      <c r="T581" s="1" t="s">
        <v>784</v>
      </c>
      <c r="U581" s="13"/>
      <c r="V581" s="13"/>
      <c r="W581" s="5" t="s">
        <v>1491</v>
      </c>
    </row>
    <row r="582" spans="1:23" ht="225">
      <c r="A582" s="1">
        <v>860111</v>
      </c>
      <c r="B582" s="1">
        <v>1</v>
      </c>
      <c r="C582" s="1">
        <v>473</v>
      </c>
      <c r="D582" s="2" t="s">
        <v>782</v>
      </c>
      <c r="E582" s="5" t="s">
        <v>782</v>
      </c>
      <c r="F582" s="5">
        <v>277452</v>
      </c>
      <c r="G582" s="2" t="s">
        <v>1494</v>
      </c>
      <c r="H582" s="2" t="s">
        <v>1495</v>
      </c>
      <c r="I582" s="2" t="s">
        <v>1496</v>
      </c>
      <c r="J582" s="2" t="str">
        <f>CONCATENATE(G582,F582,H582,C582,I582)</f>
        <v>https://permalinkbnd.bnportugal.gov.pt/viewer/277452/?offset=#page=473&amp;viewer=picture&amp;o=info&amp;n=0&amp;q=</v>
      </c>
      <c r="K582" s="1" t="s">
        <v>783</v>
      </c>
      <c r="L582" s="1" t="str">
        <f>VLOOKUP(A582,Folha2!$A$2:$B$2019,2,FALSE)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2" s="12" t="str">
        <f>HYPERLINK(J582)</f>
        <v>https://permalinkbnd.bnportugal.gov.pt/viewer/277452/?offset=#page=473&amp;viewer=picture&amp;o=info&amp;n=0&amp;q=</v>
      </c>
      <c r="N582" s="12" t="s">
        <v>1497</v>
      </c>
      <c r="O582" s="12" t="str">
        <f>CONCATENATE(N582,A582,"\",B582,"\",C582,".jpg")</f>
        <v>C:\Users\mbaptista\OneDrive - Biblioteca Nacional de Portugal\Documentos\python\camoniana\imagens\capas\860111\1\473.jpg</v>
      </c>
      <c r="P582" s="12" t="str">
        <f>HYPERLINK(O582)</f>
        <v>C:\Users\mbaptista\OneDrive - Biblioteca Nacional de Portugal\Documentos\python\camoniana\imagens\capas\860111\1\473.jpg</v>
      </c>
      <c r="Q582" s="12"/>
      <c r="R582" s="6" t="s">
        <v>791</v>
      </c>
      <c r="S582" s="12"/>
      <c r="T582" s="1" t="s">
        <v>784</v>
      </c>
      <c r="U582" s="13"/>
      <c r="V582" s="13"/>
      <c r="W582" s="5" t="s">
        <v>1491</v>
      </c>
    </row>
    <row r="583" spans="1:23" ht="225">
      <c r="A583" s="1">
        <v>860111</v>
      </c>
      <c r="B583" s="1">
        <v>1</v>
      </c>
      <c r="C583" s="1">
        <v>493</v>
      </c>
      <c r="D583" s="2" t="s">
        <v>782</v>
      </c>
      <c r="E583" s="11" t="s">
        <v>782</v>
      </c>
      <c r="F583" s="11">
        <v>277452</v>
      </c>
      <c r="G583" s="2" t="s">
        <v>1494</v>
      </c>
      <c r="H583" s="2" t="s">
        <v>1495</v>
      </c>
      <c r="I583" s="2" t="s">
        <v>1496</v>
      </c>
      <c r="J583" s="2" t="str">
        <f>CONCATENATE(G583,F583,H583,C583,I583)</f>
        <v>https://permalinkbnd.bnportugal.gov.pt/viewer/277452/?offset=#page=493&amp;viewer=picture&amp;o=info&amp;n=0&amp;q=</v>
      </c>
      <c r="K583" s="1" t="s">
        <v>783</v>
      </c>
      <c r="L583" s="1" t="str">
        <f>VLOOKUP(A583,Folha2!$A$2:$B$2019,2,FALSE)</f>
        <v>De Portugal à Índia : a viagem de Vasco da Gama : trechos que mais se prendem com o assumpto, tirados do poema de Luiz de Camões "Os Lusiadas" acompanhados de versões em espanhol, italiano, francez, alemão e inglez / colligidos por Ernesto Moreira de Sá. - Lisboa : Typ. Castro Irmão, 1898. Mapa rota.</v>
      </c>
      <c r="M583" s="12" t="str">
        <f>HYPERLINK(J583)</f>
        <v>https://permalinkbnd.bnportugal.gov.pt/viewer/277452/?offset=#page=493&amp;viewer=picture&amp;o=info&amp;n=0&amp;q=</v>
      </c>
      <c r="N583" s="12" t="s">
        <v>1497</v>
      </c>
      <c r="O583" s="12" t="str">
        <f>CONCATENATE(N583,A583,"\",B583,"\",C583,".jpg")</f>
        <v>C:\Users\mbaptista\OneDrive - Biblioteca Nacional de Portugal\Documentos\python\camoniana\imagens\capas\860111\1\493.jpg</v>
      </c>
      <c r="P583" s="12" t="str">
        <f>HYPERLINK(O583)</f>
        <v>C:\Users\mbaptista\OneDrive - Biblioteca Nacional de Portugal\Documentos\python\camoniana\imagens\capas\860111\1\493.jpg</v>
      </c>
      <c r="Q583" s="12"/>
      <c r="R583" s="6" t="s">
        <v>792</v>
      </c>
      <c r="S583" s="12"/>
      <c r="T583" s="1" t="s">
        <v>784</v>
      </c>
      <c r="U583" s="13"/>
      <c r="V583" s="13"/>
      <c r="W583" s="5" t="s">
        <v>1491</v>
      </c>
    </row>
    <row r="584" spans="1:23" ht="225">
      <c r="A584" s="1">
        <v>259979</v>
      </c>
      <c r="B584" s="1">
        <v>1</v>
      </c>
      <c r="C584" s="1">
        <v>10</v>
      </c>
      <c r="D584" s="2" t="s">
        <v>793</v>
      </c>
      <c r="E584" s="5" t="s">
        <v>793</v>
      </c>
      <c r="F584" s="5">
        <v>277482</v>
      </c>
      <c r="G584" s="2" t="s">
        <v>1494</v>
      </c>
      <c r="H584" s="2" t="s">
        <v>1495</v>
      </c>
      <c r="I584" s="2" t="s">
        <v>1496</v>
      </c>
      <c r="J584" s="2" t="str">
        <f>CONCATENATE(G584,F584,H584,C584,I584)</f>
        <v>https://permalinkbnd.bnportugal.gov.pt/viewer/277482/?offset=#page=10&amp;viewer=picture&amp;o=info&amp;n=0&amp;q=</v>
      </c>
      <c r="K584" s="1">
        <v>10</v>
      </c>
      <c r="L584" s="1" t="str">
        <f>VLOOKUP(A584,Folha2!$A$2:$B$2019,2,FALSE)</f>
        <v>Poems from the portuguese of Luis de Camoens with remarks on his life and writings, notes etc / by Lord Viscount Strangford. - London : J. Carpenter, 1810. Notas e épica bilingues [canções, madrigais, voltas, estanças, cantigas, fragmentos elegias, sonetos], Fragmentos Épica: C. VI, Os Doze de Inglaterra.</v>
      </c>
      <c r="M584" s="12" t="str">
        <f>HYPERLINK(J584)</f>
        <v>https://permalinkbnd.bnportugal.gov.pt/viewer/277482/?offset=#page=10&amp;viewer=picture&amp;o=info&amp;n=0&amp;q=</v>
      </c>
      <c r="N584" s="12" t="s">
        <v>1497</v>
      </c>
      <c r="O584" s="12" t="str">
        <f>CONCATENATE(N584,A584,"\",B584,"\",C584,".jpg")</f>
        <v>C:\Users\mbaptista\OneDrive - Biblioteca Nacional de Portugal\Documentos\python\camoniana\imagens\capas\259979\1\10.jpg</v>
      </c>
      <c r="P584" s="12" t="str">
        <f>HYPERLINK(O584)</f>
        <v>C:\Users\mbaptista\OneDrive - Biblioteca Nacional de Portugal\Documentos\python\camoniana\imagens\capas\259979\1\10.jpg</v>
      </c>
      <c r="Q584" s="12"/>
      <c r="R584" s="6" t="s">
        <v>794</v>
      </c>
      <c r="S584" s="12"/>
      <c r="T584" s="1">
        <v>10</v>
      </c>
      <c r="U584" s="13"/>
      <c r="V584" s="13"/>
      <c r="W584" s="5" t="s">
        <v>1491</v>
      </c>
    </row>
    <row r="585" spans="1:23" ht="225">
      <c r="A585" s="1">
        <v>865247</v>
      </c>
      <c r="B585" s="1">
        <v>1</v>
      </c>
      <c r="C585" s="1">
        <v>12</v>
      </c>
      <c r="D585" s="2" t="s">
        <v>795</v>
      </c>
      <c r="E585" s="11" t="s">
        <v>795</v>
      </c>
      <c r="F585" s="11">
        <v>277488</v>
      </c>
      <c r="G585" s="2" t="s">
        <v>1494</v>
      </c>
      <c r="H585" s="2" t="s">
        <v>1495</v>
      </c>
      <c r="I585" s="2" t="s">
        <v>1496</v>
      </c>
      <c r="J585" s="2" t="str">
        <f>CONCATENATE(G585,F585,H585,C585,I585)</f>
        <v>https://permalinkbnd.bnportugal.gov.pt/viewer/277488/?offset=#page=12&amp;viewer=picture&amp;o=info&amp;n=0&amp;q=</v>
      </c>
      <c r="K585" s="1">
        <v>12</v>
      </c>
      <c r="L585" s="1" t="str">
        <f>VLOOKUP(A585,Folha2!$A$2:$B$2019,2,FALSE)</f>
        <v>Intorno al genovese Carlo Antonio Paggi : cenni / Joaquim de Araujo. - Genova : Tip. R. Istituto Sordo-muti, 1899</v>
      </c>
      <c r="M585" s="12" t="str">
        <f>HYPERLINK(J585)</f>
        <v>https://permalinkbnd.bnportugal.gov.pt/viewer/277488/?offset=#page=12&amp;viewer=picture&amp;o=info&amp;n=0&amp;q=</v>
      </c>
      <c r="N585" s="12" t="s">
        <v>1497</v>
      </c>
      <c r="O585" s="12" t="str">
        <f>CONCATENATE(N585,A585,"\",B585,"\",C585,".jpg")</f>
        <v>C:\Users\mbaptista\OneDrive - Biblioteca Nacional de Portugal\Documentos\python\camoniana\imagens\capas\865247\1\12.jpg</v>
      </c>
      <c r="P585" s="12" t="str">
        <f>HYPERLINK(O585)</f>
        <v>C:\Users\mbaptista\OneDrive - Biblioteca Nacional de Portugal\Documentos\python\camoniana\imagens\capas\865247\1\12.jpg</v>
      </c>
      <c r="Q585" s="12"/>
      <c r="R585" s="6" t="s">
        <v>796</v>
      </c>
      <c r="S585" s="12"/>
      <c r="T585" s="1">
        <v>12</v>
      </c>
      <c r="U585" s="13"/>
      <c r="V585" s="13"/>
      <c r="W585" s="5" t="s">
        <v>1491</v>
      </c>
    </row>
    <row r="586" spans="1:23" ht="225">
      <c r="A586" s="1">
        <v>397837</v>
      </c>
      <c r="B586" s="1">
        <v>1</v>
      </c>
      <c r="C586" s="1">
        <v>9</v>
      </c>
      <c r="D586" s="2" t="s">
        <v>797</v>
      </c>
      <c r="E586" s="5" t="s">
        <v>797</v>
      </c>
      <c r="F586" s="5">
        <v>272638</v>
      </c>
      <c r="G586" s="2" t="s">
        <v>1494</v>
      </c>
      <c r="H586" s="2" t="s">
        <v>1495</v>
      </c>
      <c r="I586" s="2" t="s">
        <v>1496</v>
      </c>
      <c r="J586" s="2" t="str">
        <f>CONCATENATE(G586,F586,H586,C586,I586)</f>
        <v>https://permalinkbnd.bnportugal.gov.pt/viewer/272638/?offset=#page=9&amp;viewer=picture&amp;o=info&amp;n=0&amp;q=</v>
      </c>
      <c r="K586" s="1" t="s">
        <v>798</v>
      </c>
      <c r="L586" s="1" t="str">
        <f>VLOOKUP(A586,Folha2!$A$2:$B$2019,2,FALSE)</f>
        <v>Os Lusíadas : segundo o texto da primeira edição de 1572, com as variantes da 2ª edição 1584. - Coimbra : Imprensa da Universidade. - Braga : Livraria Cruz, 1923. Épica, sem argumentos, com variantes. Um ano antes da celebração: não agregar.</v>
      </c>
      <c r="M586" s="12" t="str">
        <f>HYPERLINK(J586)</f>
        <v>https://permalinkbnd.bnportugal.gov.pt/viewer/272638/?offset=#page=9&amp;viewer=picture&amp;o=info&amp;n=0&amp;q=</v>
      </c>
      <c r="N586" s="12" t="s">
        <v>1497</v>
      </c>
      <c r="O586" s="12" t="str">
        <f>CONCATENATE(N586,A586,"\",B586,"\",C586,".jpg")</f>
        <v>C:\Users\mbaptista\OneDrive - Biblioteca Nacional de Portugal\Documentos\python\camoniana\imagens\capas\397837\1\9.jpg</v>
      </c>
      <c r="P586" s="12" t="str">
        <f>HYPERLINK(O586)</f>
        <v>C:\Users\mbaptista\OneDrive - Biblioteca Nacional de Portugal\Documentos\python\camoniana\imagens\capas\397837\1\9.jpg</v>
      </c>
      <c r="Q586" s="12"/>
      <c r="R586" s="6" t="s">
        <v>799</v>
      </c>
      <c r="S586" s="12"/>
      <c r="T586" s="1"/>
      <c r="U586" s="13"/>
      <c r="V586" s="13"/>
      <c r="W586" s="5" t="s">
        <v>1491</v>
      </c>
    </row>
    <row r="587" spans="1:23" ht="225">
      <c r="A587" s="1">
        <v>397837</v>
      </c>
      <c r="B587" s="1">
        <v>1</v>
      </c>
      <c r="C587" s="1">
        <v>27</v>
      </c>
      <c r="D587" s="2" t="s">
        <v>797</v>
      </c>
      <c r="E587" s="11" t="s">
        <v>797</v>
      </c>
      <c r="F587" s="11">
        <v>272638</v>
      </c>
      <c r="G587" s="2" t="s">
        <v>1494</v>
      </c>
      <c r="H587" s="2" t="s">
        <v>1495</v>
      </c>
      <c r="I587" s="2" t="s">
        <v>1496</v>
      </c>
      <c r="J587" s="2" t="str">
        <f>CONCATENATE(G587,F587,H587,C587,I587)</f>
        <v>https://permalinkbnd.bnportugal.gov.pt/viewer/272638/?offset=#page=27&amp;viewer=picture&amp;o=info&amp;n=0&amp;q=</v>
      </c>
      <c r="K587" s="1" t="s">
        <v>798</v>
      </c>
      <c r="L587" s="1" t="str">
        <f>VLOOKUP(A587,Folha2!$A$2:$B$2019,2,FALSE)</f>
        <v>Os Lusíadas : segundo o texto da primeira edição de 1572, com as variantes da 2ª edição 1584. - Coimbra : Imprensa da Universidade. - Braga : Livraria Cruz, 1923. Épica, sem argumentos, com variantes. Um ano antes da celebração: não agregar.</v>
      </c>
      <c r="M587" s="12" t="str">
        <f>HYPERLINK(J587)</f>
        <v>https://permalinkbnd.bnportugal.gov.pt/viewer/272638/?offset=#page=27&amp;viewer=picture&amp;o=info&amp;n=0&amp;q=</v>
      </c>
      <c r="N587" s="12" t="s">
        <v>1497</v>
      </c>
      <c r="O587" s="12" t="str">
        <f>CONCATENATE(N587,A587,"\",B587,"\",C587,".jpg")</f>
        <v>C:\Users\mbaptista\OneDrive - Biblioteca Nacional de Portugal\Documentos\python\camoniana\imagens\capas\397837\1\27.jpg</v>
      </c>
      <c r="P587" s="12" t="str">
        <f>HYPERLINK(O587)</f>
        <v>C:\Users\mbaptista\OneDrive - Biblioteca Nacional de Portugal\Documentos\python\camoniana\imagens\capas\397837\1\27.jpg</v>
      </c>
      <c r="Q587" s="12"/>
      <c r="R587" s="6" t="s">
        <v>800</v>
      </c>
      <c r="S587" s="12"/>
      <c r="T587" s="1"/>
      <c r="U587" s="13"/>
      <c r="V587" s="13"/>
      <c r="W587" s="5" t="s">
        <v>1491</v>
      </c>
    </row>
    <row r="588" spans="1:23" ht="225">
      <c r="A588" s="1">
        <v>397837</v>
      </c>
      <c r="B588" s="1">
        <v>1</v>
      </c>
      <c r="C588" s="1">
        <v>404</v>
      </c>
      <c r="D588" s="2" t="s">
        <v>797</v>
      </c>
      <c r="E588" s="5" t="s">
        <v>797</v>
      </c>
      <c r="F588" s="5">
        <v>272638</v>
      </c>
      <c r="G588" s="2" t="s">
        <v>1494</v>
      </c>
      <c r="H588" s="2" t="s">
        <v>1495</v>
      </c>
      <c r="I588" s="2" t="s">
        <v>1496</v>
      </c>
      <c r="J588" s="2" t="str">
        <f>CONCATENATE(G588,F588,H588,C588,I588)</f>
        <v>https://permalinkbnd.bnportugal.gov.pt/viewer/272638/?offset=#page=404&amp;viewer=picture&amp;o=info&amp;n=0&amp;q=</v>
      </c>
      <c r="K588" s="1" t="s">
        <v>798</v>
      </c>
      <c r="L588" s="1" t="str">
        <f>VLOOKUP(A588,Folha2!$A$2:$B$2019,2,FALSE)</f>
        <v>Os Lusíadas : segundo o texto da primeira edição de 1572, com as variantes da 2ª edição 1584. - Coimbra : Imprensa da Universidade. - Braga : Livraria Cruz, 1923. Épica, sem argumentos, com variantes. Um ano antes da celebração: não agregar.</v>
      </c>
      <c r="M588" s="12" t="str">
        <f>HYPERLINK(J588)</f>
        <v>https://permalinkbnd.bnportugal.gov.pt/viewer/272638/?offset=#page=404&amp;viewer=picture&amp;o=info&amp;n=0&amp;q=</v>
      </c>
      <c r="N588" s="12" t="s">
        <v>1497</v>
      </c>
      <c r="O588" s="12" t="str">
        <f>CONCATENATE(N588,A588,"\",B588,"\",C588,".jpg")</f>
        <v>C:\Users\mbaptista\OneDrive - Biblioteca Nacional de Portugal\Documentos\python\camoniana\imagens\capas\397837\1\404.jpg</v>
      </c>
      <c r="P588" s="12" t="str">
        <f>HYPERLINK(O588)</f>
        <v>C:\Users\mbaptista\OneDrive - Biblioteca Nacional de Portugal\Documentos\python\camoniana\imagens\capas\397837\1\404.jpg</v>
      </c>
      <c r="Q588" s="12"/>
      <c r="R588" s="6" t="s">
        <v>801</v>
      </c>
      <c r="S588" s="12"/>
      <c r="T588" s="1"/>
      <c r="U588" s="13"/>
      <c r="V588" s="13"/>
      <c r="W588" s="5" t="s">
        <v>1491</v>
      </c>
    </row>
    <row r="589" spans="1:23" ht="225">
      <c r="A589" s="1">
        <v>277515</v>
      </c>
      <c r="B589" s="1">
        <v>1</v>
      </c>
      <c r="C589" s="1">
        <v>1</v>
      </c>
      <c r="D589" s="2" t="s">
        <v>802</v>
      </c>
      <c r="E589" s="11" t="s">
        <v>802</v>
      </c>
      <c r="F589" s="11">
        <v>273872</v>
      </c>
      <c r="G589" s="2" t="s">
        <v>1494</v>
      </c>
      <c r="H589" s="2" t="s">
        <v>1495</v>
      </c>
      <c r="I589" s="2" t="s">
        <v>1496</v>
      </c>
      <c r="J589" s="2" t="str">
        <f>CONCATENATE(G589,F589,H589,C589,I589)</f>
        <v>https://permalinkbnd.bnportugal.gov.pt/viewer/273872/?offset=#page=1&amp;viewer=picture&amp;o=info&amp;n=0&amp;q=</v>
      </c>
      <c r="K589" s="1" t="s">
        <v>573</v>
      </c>
      <c r="L589" s="1" t="str">
        <f>VLOOKUP(A589,Folha2!$A$2:$B$2019,2,FALSE)</f>
        <v>Fragmentos [proposição; invocação e excerto da descrição da ilha dos Amores, Canto IX]. Trad. Paratextos gerais; Trad. Paratextos notas.</v>
      </c>
      <c r="M589" s="12" t="str">
        <f>HYPERLINK(J589)</f>
        <v>https://permalinkbnd.bnportugal.gov.pt/viewer/273872/?offset=#page=1&amp;viewer=picture&amp;o=info&amp;n=0&amp;q=</v>
      </c>
      <c r="N589" s="12" t="s">
        <v>1497</v>
      </c>
      <c r="O589" s="12" t="str">
        <f>CONCATENATE(N589,A589,"\",B589,"\",C589,".jpg")</f>
        <v>C:\Users\mbaptista\OneDrive - Biblioteca Nacional de Portugal\Documentos\python\camoniana\imagens\capas\277515\1\1.jpg</v>
      </c>
      <c r="P589" s="12" t="str">
        <f>HYPERLINK(O589)</f>
        <v>C:\Users\mbaptista\OneDrive - Biblioteca Nacional de Portugal\Documentos\python\camoniana\imagens\capas\277515\1\1.jpg</v>
      </c>
      <c r="Q589" s="12"/>
      <c r="R589" s="6" t="s">
        <v>803</v>
      </c>
      <c r="S589" s="12"/>
      <c r="T589" s="1"/>
      <c r="U589" s="13"/>
      <c r="V589" s="13"/>
      <c r="W589" s="5" t="s">
        <v>1491</v>
      </c>
    </row>
    <row r="590" spans="1:23" ht="225">
      <c r="A590" s="1">
        <v>865420</v>
      </c>
      <c r="B590" s="1">
        <v>1</v>
      </c>
      <c r="C590" s="1">
        <v>8</v>
      </c>
      <c r="D590" s="2" t="s">
        <v>804</v>
      </c>
      <c r="E590" s="5" t="s">
        <v>804</v>
      </c>
      <c r="F590" s="5">
        <v>277739</v>
      </c>
      <c r="G590" s="2" t="s">
        <v>1494</v>
      </c>
      <c r="H590" s="2" t="s">
        <v>1495</v>
      </c>
      <c r="I590" s="2" t="s">
        <v>1496</v>
      </c>
      <c r="J590" s="2" t="str">
        <f>CONCATENATE(G590,F590,H590,C590,I590)</f>
        <v>https://permalinkbnd.bnportugal.gov.pt/viewer/277739/?offset=#page=8&amp;viewer=picture&amp;o=info&amp;n=0&amp;q=</v>
      </c>
      <c r="K590" s="1" t="s">
        <v>805</v>
      </c>
      <c r="L590" s="1" t="str">
        <f>VLOOKUP(A590,Folha2!$A$2:$B$2019,2,FALSE)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0" s="12" t="str">
        <f>HYPERLINK(J590)</f>
        <v>https://permalinkbnd.bnportugal.gov.pt/viewer/277739/?offset=#page=8&amp;viewer=picture&amp;o=info&amp;n=0&amp;q=</v>
      </c>
      <c r="N590" s="12" t="s">
        <v>1497</v>
      </c>
      <c r="O590" s="12" t="str">
        <f>CONCATENATE(N590,A590,"\",B590,"\",C590,".jpg")</f>
        <v>C:\Users\mbaptista\OneDrive - Biblioteca Nacional de Portugal\Documentos\python\camoniana\imagens\capas\865420\1\8.jpg</v>
      </c>
      <c r="P590" s="12" t="str">
        <f>HYPERLINK(O590)</f>
        <v>C:\Users\mbaptista\OneDrive - Biblioteca Nacional de Portugal\Documentos\python\camoniana\imagens\capas\865420\1\8.jpg</v>
      </c>
      <c r="Q590" s="12"/>
      <c r="R590" s="6" t="s">
        <v>806</v>
      </c>
      <c r="S590" s="12"/>
      <c r="T590" s="1">
        <v>8</v>
      </c>
      <c r="U590" s="13"/>
      <c r="V590" s="13"/>
      <c r="W590" s="5" t="s">
        <v>1491</v>
      </c>
    </row>
    <row r="591" spans="1:23" ht="225">
      <c r="A591" s="1">
        <v>865420</v>
      </c>
      <c r="B591" s="1">
        <v>1</v>
      </c>
      <c r="C591" s="1">
        <v>40</v>
      </c>
      <c r="D591" s="2" t="s">
        <v>804</v>
      </c>
      <c r="E591" s="11" t="s">
        <v>804</v>
      </c>
      <c r="F591" s="11">
        <v>277739</v>
      </c>
      <c r="G591" s="2" t="s">
        <v>1494</v>
      </c>
      <c r="H591" s="2" t="s">
        <v>1495</v>
      </c>
      <c r="I591" s="2" t="s">
        <v>1496</v>
      </c>
      <c r="J591" s="2" t="str">
        <f>CONCATENATE(G591,F591,H591,C591,I591)</f>
        <v>https://permalinkbnd.bnportugal.gov.pt/viewer/277739/?offset=#page=40&amp;viewer=picture&amp;o=info&amp;n=0&amp;q=</v>
      </c>
      <c r="K591" s="1" t="s">
        <v>805</v>
      </c>
      <c r="L591" s="1" t="str">
        <f>VLOOKUP(A591,Folha2!$A$2:$B$2019,2,FALSE)</f>
        <v>Os Lusiadas : poema epico / de Luis de Camões... ; notas philologicas, historicas, geograficas e mythologicas por José da Fonseca. - Paris : na Livr. Europea de Baudry, 1846, sem argumentos, mas com lições várias e estrofes rejeitadas. Paratextos vida e Paratextos notas. Salto na paginação do C. II, pp. 65-68, cf. Im. 107-108: truncada ou assim no original?</v>
      </c>
      <c r="M591" s="12" t="str">
        <f>HYPERLINK(J591)</f>
        <v>https://permalinkbnd.bnportugal.gov.pt/viewer/277739/?offset=#page=40&amp;viewer=picture&amp;o=info&amp;n=0&amp;q=</v>
      </c>
      <c r="N591" s="12" t="s">
        <v>1497</v>
      </c>
      <c r="O591" s="12" t="str">
        <f>CONCATENATE(N591,A591,"\",B591,"\",C591,".jpg")</f>
        <v>C:\Users\mbaptista\OneDrive - Biblioteca Nacional de Portugal\Documentos\python\camoniana\imagens\capas\865420\1\40.jpg</v>
      </c>
      <c r="P591" s="12" t="str">
        <f>HYPERLINK(O591)</f>
        <v>C:\Users\mbaptista\OneDrive - Biblioteca Nacional de Portugal\Documentos\python\camoniana\imagens\capas\865420\1\40.jpg</v>
      </c>
      <c r="Q591" s="12"/>
      <c r="R591" s="6"/>
      <c r="S591" s="12"/>
      <c r="T591" s="1"/>
      <c r="U591" s="13"/>
      <c r="V591" s="13"/>
      <c r="W591" s="5"/>
    </row>
    <row r="592" spans="1:23" ht="225">
      <c r="A592" s="1">
        <v>321756</v>
      </c>
      <c r="B592" s="1">
        <v>1</v>
      </c>
      <c r="C592" s="1">
        <v>12</v>
      </c>
      <c r="D592" s="2" t="s">
        <v>807</v>
      </c>
      <c r="E592" s="5" t="s">
        <v>807</v>
      </c>
      <c r="F592" s="5">
        <v>273879</v>
      </c>
      <c r="G592" s="2" t="s">
        <v>1494</v>
      </c>
      <c r="H592" s="2" t="s">
        <v>1495</v>
      </c>
      <c r="I592" s="2" t="s">
        <v>1496</v>
      </c>
      <c r="J592" s="2" t="str">
        <f>CONCATENATE(G592,F592,H592,C592,I592)</f>
        <v>https://permalinkbnd.bnportugal.gov.pt/viewer/273879/?offset=#page=12&amp;viewer=picture&amp;o=info&amp;n=0&amp;q=</v>
      </c>
      <c r="K592" s="1">
        <v>12</v>
      </c>
      <c r="L592" s="1" t="str">
        <f>VLOOKUP(A592,Folha2!$A$2:$B$2019,2,FALSE)</f>
        <v xml:space="preserve">O memorial de Camões: registo de aniversários e lembranças coligido entre todas as obras do poeta por Fernandes Costa. Comemoração do 312.º Aniversário do falecimento de Luís de Camões. Lisboa. 1892.  [espécie de calendário poético, com epígrafes camonianas] </v>
      </c>
      <c r="M592" s="12" t="str">
        <f>HYPERLINK(J592)</f>
        <v>https://permalinkbnd.bnportugal.gov.pt/viewer/273879/?offset=#page=12&amp;viewer=picture&amp;o=info&amp;n=0&amp;q=</v>
      </c>
      <c r="N592" s="12" t="s">
        <v>1497</v>
      </c>
      <c r="O592" s="12" t="str">
        <f>CONCATENATE(N592,A592,"\",B592,"\",C592,".jpg")</f>
        <v>C:\Users\mbaptista\OneDrive - Biblioteca Nacional de Portugal\Documentos\python\camoniana\imagens\capas\321756\1\12.jpg</v>
      </c>
      <c r="P592" s="12" t="str">
        <f>HYPERLINK(O592)</f>
        <v>C:\Users\mbaptista\OneDrive - Biblioteca Nacional de Portugal\Documentos\python\camoniana\imagens\capas\321756\1\12.jpg</v>
      </c>
      <c r="Q592" s="12"/>
      <c r="R592" s="6" t="s">
        <v>808</v>
      </c>
      <c r="S592" s="12"/>
      <c r="T592" s="1">
        <v>12</v>
      </c>
      <c r="U592" s="13"/>
      <c r="V592" s="13"/>
      <c r="W592" s="5" t="s">
        <v>1491</v>
      </c>
    </row>
    <row r="593" spans="1:23" ht="225">
      <c r="A593" s="1">
        <v>321919</v>
      </c>
      <c r="B593" s="1">
        <v>1</v>
      </c>
      <c r="C593" s="1">
        <v>31</v>
      </c>
      <c r="D593" s="2" t="s">
        <v>809</v>
      </c>
      <c r="E593" s="11" t="s">
        <v>809</v>
      </c>
      <c r="F593" s="11">
        <v>273869</v>
      </c>
      <c r="G593" s="2" t="s">
        <v>1494</v>
      </c>
      <c r="H593" s="2" t="s">
        <v>1495</v>
      </c>
      <c r="I593" s="2" t="s">
        <v>1496</v>
      </c>
      <c r="J593" s="2" t="str">
        <f>CONCATENATE(G593,F593,H593,C593,I593)</f>
        <v>https://permalinkbnd.bnportugal.gov.pt/viewer/273869/?offset=#page=31&amp;viewer=picture&amp;o=info&amp;n=0&amp;q=</v>
      </c>
      <c r="K593" s="1" t="s">
        <v>810</v>
      </c>
      <c r="L593" s="1" t="str">
        <f>VLOOKUP(A593,Folha2!$A$2:$B$2019,2,FALSE)</f>
        <v>Trad. Paratextos gerais. Poesias líricas / José Lamarque de Nova ; com um prólogo de Fernando de Gabriel y Ruiz de Apodaca. contém traduções de sonetos de Camões.</v>
      </c>
      <c r="M593" s="12" t="str">
        <f>HYPERLINK(J593)</f>
        <v>https://permalinkbnd.bnportugal.gov.pt/viewer/273869/?offset=#page=31&amp;viewer=picture&amp;o=info&amp;n=0&amp;q=</v>
      </c>
      <c r="N593" s="12" t="s">
        <v>1497</v>
      </c>
      <c r="O593" s="12" t="str">
        <f>CONCATENATE(N593,A593,"\",B593,"\",C593,".jpg")</f>
        <v>C:\Users\mbaptista\OneDrive - Biblioteca Nacional de Portugal\Documentos\python\camoniana\imagens\capas\321919\1\31.jpg</v>
      </c>
      <c r="P593" s="12" t="str">
        <f>HYPERLINK(O593)</f>
        <v>C:\Users\mbaptista\OneDrive - Biblioteca Nacional de Portugal\Documentos\python\camoniana\imagens\capas\321919\1\31.jpg</v>
      </c>
      <c r="Q593" s="12"/>
      <c r="R593" s="6" t="s">
        <v>811</v>
      </c>
      <c r="S593" s="12"/>
      <c r="T593" s="1"/>
      <c r="U593" s="13"/>
      <c r="V593" s="13"/>
      <c r="W593" s="5" t="s">
        <v>1491</v>
      </c>
    </row>
    <row r="594" spans="1:23" ht="225">
      <c r="A594" s="1">
        <v>321919</v>
      </c>
      <c r="B594" s="1">
        <v>1</v>
      </c>
      <c r="C594" s="1">
        <v>35</v>
      </c>
      <c r="D594" s="2" t="s">
        <v>809</v>
      </c>
      <c r="E594" s="5" t="s">
        <v>809</v>
      </c>
      <c r="F594" s="5">
        <v>273869</v>
      </c>
      <c r="G594" s="2" t="s">
        <v>1494</v>
      </c>
      <c r="H594" s="2" t="s">
        <v>1495</v>
      </c>
      <c r="I594" s="2" t="s">
        <v>1496</v>
      </c>
      <c r="J594" s="2" t="str">
        <f>CONCATENATE(G594,F594,H594,C594,I594)</f>
        <v>https://permalinkbnd.bnportugal.gov.pt/viewer/273869/?offset=#page=35&amp;viewer=picture&amp;o=info&amp;n=0&amp;q=</v>
      </c>
      <c r="K594" s="1" t="s">
        <v>810</v>
      </c>
      <c r="L594" s="1" t="str">
        <f>VLOOKUP(A594,Folha2!$A$2:$B$2019,2,FALSE)</f>
        <v>Trad. Paratextos gerais. Poesias líricas / José Lamarque de Nova ; com um prólogo de Fernando de Gabriel y Ruiz de Apodaca. contém traduções de sonetos de Camões.</v>
      </c>
      <c r="M594" s="12" t="str">
        <f>HYPERLINK(J594)</f>
        <v>https://permalinkbnd.bnportugal.gov.pt/viewer/273869/?offset=#page=35&amp;viewer=picture&amp;o=info&amp;n=0&amp;q=</v>
      </c>
      <c r="N594" s="12" t="s">
        <v>1497</v>
      </c>
      <c r="O594" s="12" t="str">
        <f>CONCATENATE(N594,A594,"\",B594,"\",C594,".jpg")</f>
        <v>C:\Users\mbaptista\OneDrive - Biblioteca Nacional de Portugal\Documentos\python\camoniana\imagens\capas\321919\1\35.jpg</v>
      </c>
      <c r="P594" s="12" t="str">
        <f>HYPERLINK(O594)</f>
        <v>C:\Users\mbaptista\OneDrive - Biblioteca Nacional de Portugal\Documentos\python\camoniana\imagens\capas\321919\1\35.jpg</v>
      </c>
      <c r="Q594" s="12"/>
      <c r="R594" s="6" t="s">
        <v>812</v>
      </c>
      <c r="S594" s="12"/>
      <c r="T594" s="1"/>
      <c r="U594" s="13"/>
      <c r="V594" s="13"/>
      <c r="W594" s="5" t="s">
        <v>1491</v>
      </c>
    </row>
    <row r="595" spans="1:23" ht="225">
      <c r="A595" s="1">
        <v>321919</v>
      </c>
      <c r="B595" s="1">
        <v>1</v>
      </c>
      <c r="C595" s="1">
        <v>39</v>
      </c>
      <c r="D595" s="2" t="s">
        <v>809</v>
      </c>
      <c r="E595" s="11" t="s">
        <v>809</v>
      </c>
      <c r="F595" s="11">
        <v>273869</v>
      </c>
      <c r="G595" s="2" t="s">
        <v>1494</v>
      </c>
      <c r="H595" s="2" t="s">
        <v>1495</v>
      </c>
      <c r="I595" s="2" t="s">
        <v>1496</v>
      </c>
      <c r="J595" s="2" t="str">
        <f>CONCATENATE(G595,F595,H595,C595,I595)</f>
        <v>https://permalinkbnd.bnportugal.gov.pt/viewer/273869/?offset=#page=39&amp;viewer=picture&amp;o=info&amp;n=0&amp;q=</v>
      </c>
      <c r="K595" s="1" t="s">
        <v>810</v>
      </c>
      <c r="L595" s="1" t="str">
        <f>VLOOKUP(A595,Folha2!$A$2:$B$2019,2,FALSE)</f>
        <v>Trad. Paratextos gerais. Poesias líricas / José Lamarque de Nova ; com um prólogo de Fernando de Gabriel y Ruiz de Apodaca. contém traduções de sonetos de Camões.</v>
      </c>
      <c r="M595" s="12" t="str">
        <f>HYPERLINK(J595)</f>
        <v>https://permalinkbnd.bnportugal.gov.pt/viewer/273869/?offset=#page=39&amp;viewer=picture&amp;o=info&amp;n=0&amp;q=</v>
      </c>
      <c r="N595" s="12" t="s">
        <v>1497</v>
      </c>
      <c r="O595" s="12" t="str">
        <f>CONCATENATE(N595,A595,"\",B595,"\",C595,".jpg")</f>
        <v>C:\Users\mbaptista\OneDrive - Biblioteca Nacional de Portugal\Documentos\python\camoniana\imagens\capas\321919\1\39.jpg</v>
      </c>
      <c r="P595" s="12" t="str">
        <f>HYPERLINK(O595)</f>
        <v>C:\Users\mbaptista\OneDrive - Biblioteca Nacional de Portugal\Documentos\python\camoniana\imagens\capas\321919\1\39.jpg</v>
      </c>
      <c r="Q595" s="12"/>
      <c r="R595" s="6" t="s">
        <v>813</v>
      </c>
      <c r="S595" s="12"/>
      <c r="T595" s="1"/>
      <c r="U595" s="13"/>
      <c r="V595" s="13"/>
      <c r="W595" s="5" t="s">
        <v>1491</v>
      </c>
    </row>
    <row r="596" spans="1:23" ht="225">
      <c r="A596" s="1">
        <v>321919</v>
      </c>
      <c r="B596" s="1">
        <v>1</v>
      </c>
      <c r="C596" s="1">
        <v>40</v>
      </c>
      <c r="D596" s="2" t="s">
        <v>809</v>
      </c>
      <c r="E596" s="5" t="s">
        <v>809</v>
      </c>
      <c r="F596" s="5">
        <v>273869</v>
      </c>
      <c r="G596" s="2" t="s">
        <v>1494</v>
      </c>
      <c r="H596" s="2" t="s">
        <v>1495</v>
      </c>
      <c r="I596" s="2" t="s">
        <v>1496</v>
      </c>
      <c r="J596" s="2" t="str">
        <f>CONCATENATE(G596,F596,H596,C596,I596)</f>
        <v>https://permalinkbnd.bnportugal.gov.pt/viewer/273869/?offset=#page=40&amp;viewer=picture&amp;o=info&amp;n=0&amp;q=</v>
      </c>
      <c r="K596" s="1" t="s">
        <v>810</v>
      </c>
      <c r="L596" s="1" t="str">
        <f>VLOOKUP(A596,Folha2!$A$2:$B$2019,2,FALSE)</f>
        <v>Trad. Paratextos gerais. Poesias líricas / José Lamarque de Nova ; com um prólogo de Fernando de Gabriel y Ruiz de Apodaca. contém traduções de sonetos de Camões.</v>
      </c>
      <c r="M596" s="12" t="str">
        <f>HYPERLINK(J596)</f>
        <v>https://permalinkbnd.bnportugal.gov.pt/viewer/273869/?offset=#page=40&amp;viewer=picture&amp;o=info&amp;n=0&amp;q=</v>
      </c>
      <c r="N596" s="12" t="s">
        <v>1497</v>
      </c>
      <c r="O596" s="12" t="str">
        <f>CONCATENATE(N596,A596,"\",B596,"\",C596,".jpg")</f>
        <v>C:\Users\mbaptista\OneDrive - Biblioteca Nacional de Portugal\Documentos\python\camoniana\imagens\capas\321919\1\40.jpg</v>
      </c>
      <c r="P596" s="12" t="str">
        <f>HYPERLINK(O596)</f>
        <v>C:\Users\mbaptista\OneDrive - Biblioteca Nacional de Portugal\Documentos\python\camoniana\imagens\capas\321919\1\40.jpg</v>
      </c>
      <c r="Q596" s="12"/>
      <c r="R596" s="6" t="s">
        <v>814</v>
      </c>
      <c r="S596" s="12"/>
      <c r="T596" s="1"/>
      <c r="U596" s="13"/>
      <c r="V596" s="13"/>
      <c r="W596" s="5" t="s">
        <v>1491</v>
      </c>
    </row>
    <row r="597" spans="1:23" ht="225">
      <c r="A597" s="1">
        <v>321919</v>
      </c>
      <c r="B597" s="1">
        <v>1</v>
      </c>
      <c r="C597" s="1">
        <v>41</v>
      </c>
      <c r="D597" s="2" t="s">
        <v>809</v>
      </c>
      <c r="E597" s="11" t="s">
        <v>809</v>
      </c>
      <c r="F597" s="11">
        <v>273869</v>
      </c>
      <c r="G597" s="2" t="s">
        <v>1494</v>
      </c>
      <c r="H597" s="2" t="s">
        <v>1495</v>
      </c>
      <c r="I597" s="2" t="s">
        <v>1496</v>
      </c>
      <c r="J597" s="2" t="str">
        <f>CONCATENATE(G597,F597,H597,C597,I597)</f>
        <v>https://permalinkbnd.bnportugal.gov.pt/viewer/273869/?offset=#page=41&amp;viewer=picture&amp;o=info&amp;n=0&amp;q=</v>
      </c>
      <c r="K597" s="1" t="s">
        <v>810</v>
      </c>
      <c r="L597" s="1" t="str">
        <f>VLOOKUP(A597,Folha2!$A$2:$B$2019,2,FALSE)</f>
        <v>Trad. Paratextos gerais. Poesias líricas / José Lamarque de Nova ; com um prólogo de Fernando de Gabriel y Ruiz de Apodaca. contém traduções de sonetos de Camões.</v>
      </c>
      <c r="M597" s="12" t="str">
        <f>HYPERLINK(J597)</f>
        <v>https://permalinkbnd.bnportugal.gov.pt/viewer/273869/?offset=#page=41&amp;viewer=picture&amp;o=info&amp;n=0&amp;q=</v>
      </c>
      <c r="N597" s="12" t="s">
        <v>1497</v>
      </c>
      <c r="O597" s="12" t="str">
        <f>CONCATENATE(N597,A597,"\",B597,"\",C597,".jpg")</f>
        <v>C:\Users\mbaptista\OneDrive - Biblioteca Nacional de Portugal\Documentos\python\camoniana\imagens\capas\321919\1\41.jpg</v>
      </c>
      <c r="P597" s="12" t="str">
        <f>HYPERLINK(O597)</f>
        <v>C:\Users\mbaptista\OneDrive - Biblioteca Nacional de Portugal\Documentos\python\camoniana\imagens\capas\321919\1\41.jpg</v>
      </c>
      <c r="Q597" s="12"/>
      <c r="R597" s="6" t="s">
        <v>815</v>
      </c>
      <c r="S597" s="12"/>
      <c r="T597" s="1"/>
      <c r="U597" s="13"/>
      <c r="V597" s="13"/>
      <c r="W597" s="5" t="s">
        <v>1491</v>
      </c>
    </row>
    <row r="598" spans="1:23" ht="225">
      <c r="A598" s="1">
        <v>321919</v>
      </c>
      <c r="B598" s="1">
        <v>1</v>
      </c>
      <c r="C598" s="1">
        <v>52</v>
      </c>
      <c r="D598" s="2" t="s">
        <v>809</v>
      </c>
      <c r="E598" s="5" t="s">
        <v>809</v>
      </c>
      <c r="F598" s="5">
        <v>273869</v>
      </c>
      <c r="G598" s="2" t="s">
        <v>1494</v>
      </c>
      <c r="H598" s="2" t="s">
        <v>1495</v>
      </c>
      <c r="I598" s="2" t="s">
        <v>1496</v>
      </c>
      <c r="J598" s="2" t="str">
        <f>CONCATENATE(G598,F598,H598,C598,I598)</f>
        <v>https://permalinkbnd.bnportugal.gov.pt/viewer/273869/?offset=#page=52&amp;viewer=picture&amp;o=info&amp;n=0&amp;q=</v>
      </c>
      <c r="K598" s="1" t="s">
        <v>810</v>
      </c>
      <c r="L598" s="1" t="str">
        <f>VLOOKUP(A598,Folha2!$A$2:$B$2019,2,FALSE)</f>
        <v>Trad. Paratextos gerais. Poesias líricas / José Lamarque de Nova ; com um prólogo de Fernando de Gabriel y Ruiz de Apodaca. contém traduções de sonetos de Camões.</v>
      </c>
      <c r="M598" s="12" t="str">
        <f>HYPERLINK(J598)</f>
        <v>https://permalinkbnd.bnportugal.gov.pt/viewer/273869/?offset=#page=52&amp;viewer=picture&amp;o=info&amp;n=0&amp;q=</v>
      </c>
      <c r="N598" s="12" t="s">
        <v>1497</v>
      </c>
      <c r="O598" s="12" t="str">
        <f>CONCATENATE(N598,A598,"\",B598,"\",C598,".jpg")</f>
        <v>C:\Users\mbaptista\OneDrive - Biblioteca Nacional de Portugal\Documentos\python\camoniana\imagens\capas\321919\1\52.jpg</v>
      </c>
      <c r="P598" s="12" t="str">
        <f>HYPERLINK(O598)</f>
        <v>C:\Users\mbaptista\OneDrive - Biblioteca Nacional de Portugal\Documentos\python\camoniana\imagens\capas\321919\1\52.jpg</v>
      </c>
      <c r="Q598" s="12"/>
      <c r="R598" s="6" t="s">
        <v>816</v>
      </c>
      <c r="S598" s="12"/>
      <c r="T598" s="1"/>
      <c r="U598" s="13"/>
      <c r="V598" s="13"/>
      <c r="W598" s="5" t="s">
        <v>1491</v>
      </c>
    </row>
    <row r="599" spans="1:23" ht="225">
      <c r="A599" s="1">
        <v>321919</v>
      </c>
      <c r="B599" s="1">
        <v>1</v>
      </c>
      <c r="C599" s="1">
        <v>58</v>
      </c>
      <c r="D599" s="2" t="s">
        <v>809</v>
      </c>
      <c r="E599" s="11" t="s">
        <v>809</v>
      </c>
      <c r="F599" s="11">
        <v>273869</v>
      </c>
      <c r="G599" s="2" t="s">
        <v>1494</v>
      </c>
      <c r="H599" s="2" t="s">
        <v>1495</v>
      </c>
      <c r="I599" s="2" t="s">
        <v>1496</v>
      </c>
      <c r="J599" s="2" t="str">
        <f>CONCATENATE(G599,F599,H599,C599,I599)</f>
        <v>https://permalinkbnd.bnportugal.gov.pt/viewer/273869/?offset=#page=58&amp;viewer=picture&amp;o=info&amp;n=0&amp;q=</v>
      </c>
      <c r="K599" s="1" t="s">
        <v>810</v>
      </c>
      <c r="L599" s="1" t="str">
        <f>VLOOKUP(A599,Folha2!$A$2:$B$2019,2,FALSE)</f>
        <v>Trad. Paratextos gerais. Poesias líricas / José Lamarque de Nova ; com um prólogo de Fernando de Gabriel y Ruiz de Apodaca. contém traduções de sonetos de Camões.</v>
      </c>
      <c r="M599" s="12" t="str">
        <f>HYPERLINK(J599)</f>
        <v>https://permalinkbnd.bnportugal.gov.pt/viewer/273869/?offset=#page=58&amp;viewer=picture&amp;o=info&amp;n=0&amp;q=</v>
      </c>
      <c r="N599" s="12" t="s">
        <v>1497</v>
      </c>
      <c r="O599" s="12" t="str">
        <f>CONCATENATE(N599,A599,"\",B599,"\",C599,".jpg")</f>
        <v>C:\Users\mbaptista\OneDrive - Biblioteca Nacional de Portugal\Documentos\python\camoniana\imagens\capas\321919\1\58.jpg</v>
      </c>
      <c r="P599" s="12" t="str">
        <f>HYPERLINK(O599)</f>
        <v>C:\Users\mbaptista\OneDrive - Biblioteca Nacional de Portugal\Documentos\python\camoniana\imagens\capas\321919\1\58.jpg</v>
      </c>
      <c r="Q599" s="12"/>
      <c r="R599" s="6" t="s">
        <v>817</v>
      </c>
      <c r="S599" s="12"/>
      <c r="T599" s="1"/>
      <c r="U599" s="13"/>
      <c r="V599" s="13"/>
      <c r="W599" s="5" t="s">
        <v>1491</v>
      </c>
    </row>
    <row r="600" spans="1:23" ht="225">
      <c r="A600" s="1">
        <v>321919</v>
      </c>
      <c r="B600" s="1">
        <v>1</v>
      </c>
      <c r="C600" s="1">
        <v>92</v>
      </c>
      <c r="D600" s="2" t="s">
        <v>809</v>
      </c>
      <c r="E600" s="5" t="s">
        <v>809</v>
      </c>
      <c r="F600" s="5">
        <v>273869</v>
      </c>
      <c r="G600" s="2" t="s">
        <v>1494</v>
      </c>
      <c r="H600" s="2" t="s">
        <v>1495</v>
      </c>
      <c r="I600" s="2" t="s">
        <v>1496</v>
      </c>
      <c r="J600" s="2" t="str">
        <f>CONCATENATE(G600,F600,H600,C600,I600)</f>
        <v>https://permalinkbnd.bnportugal.gov.pt/viewer/273869/?offset=#page=92&amp;viewer=picture&amp;o=info&amp;n=0&amp;q=</v>
      </c>
      <c r="K600" s="1" t="s">
        <v>810</v>
      </c>
      <c r="L600" s="1" t="str">
        <f>VLOOKUP(A600,Folha2!$A$2:$B$2019,2,FALSE)</f>
        <v>Trad. Paratextos gerais. Poesias líricas / José Lamarque de Nova ; com um prólogo de Fernando de Gabriel y Ruiz de Apodaca. contém traduções de sonetos de Camões.</v>
      </c>
      <c r="M600" s="12" t="str">
        <f>HYPERLINK(J600)</f>
        <v>https://permalinkbnd.bnportugal.gov.pt/viewer/273869/?offset=#page=92&amp;viewer=picture&amp;o=info&amp;n=0&amp;q=</v>
      </c>
      <c r="N600" s="12" t="s">
        <v>1497</v>
      </c>
      <c r="O600" s="12" t="str">
        <f>CONCATENATE(N600,A600,"\",B600,"\",C600,".jpg")</f>
        <v>C:\Users\mbaptista\OneDrive - Biblioteca Nacional de Portugal\Documentos\python\camoniana\imagens\capas\321919\1\92.jpg</v>
      </c>
      <c r="P600" s="12" t="str">
        <f>HYPERLINK(O600)</f>
        <v>C:\Users\mbaptista\OneDrive - Biblioteca Nacional de Portugal\Documentos\python\camoniana\imagens\capas\321919\1\92.jpg</v>
      </c>
      <c r="Q600" s="12"/>
      <c r="R600" s="6" t="s">
        <v>818</v>
      </c>
      <c r="S600" s="12"/>
      <c r="T600" s="1"/>
      <c r="U600" s="13"/>
      <c r="V600" s="13"/>
      <c r="W600" s="5" t="s">
        <v>1491</v>
      </c>
    </row>
    <row r="601" spans="1:23" ht="225">
      <c r="A601" s="1">
        <v>321919</v>
      </c>
      <c r="B601" s="1">
        <v>1</v>
      </c>
      <c r="C601" s="1">
        <v>115</v>
      </c>
      <c r="D601" s="2" t="s">
        <v>809</v>
      </c>
      <c r="E601" s="11" t="s">
        <v>809</v>
      </c>
      <c r="F601" s="11">
        <v>273869</v>
      </c>
      <c r="G601" s="2" t="s">
        <v>1494</v>
      </c>
      <c r="H601" s="2" t="s">
        <v>1495</v>
      </c>
      <c r="I601" s="2" t="s">
        <v>1496</v>
      </c>
      <c r="J601" s="2" t="str">
        <f>CONCATENATE(G601,F601,H601,C601,I601)</f>
        <v>https://permalinkbnd.bnportugal.gov.pt/viewer/273869/?offset=#page=115&amp;viewer=picture&amp;o=info&amp;n=0&amp;q=</v>
      </c>
      <c r="K601" s="1" t="s">
        <v>810</v>
      </c>
      <c r="L601" s="1" t="str">
        <f>VLOOKUP(A601,Folha2!$A$2:$B$2019,2,FALSE)</f>
        <v>Trad. Paratextos gerais. Poesias líricas / José Lamarque de Nova ; com um prólogo de Fernando de Gabriel y Ruiz de Apodaca. contém traduções de sonetos de Camões.</v>
      </c>
      <c r="M601" s="12" t="str">
        <f>HYPERLINK(J601)</f>
        <v>https://permalinkbnd.bnportugal.gov.pt/viewer/273869/?offset=#page=115&amp;viewer=picture&amp;o=info&amp;n=0&amp;q=</v>
      </c>
      <c r="N601" s="12" t="s">
        <v>1497</v>
      </c>
      <c r="O601" s="12" t="str">
        <f>CONCATENATE(N601,A601,"\",B601,"\",C601,".jpg")</f>
        <v>C:\Users\mbaptista\OneDrive - Biblioteca Nacional de Portugal\Documentos\python\camoniana\imagens\capas\321919\1\115.jpg</v>
      </c>
      <c r="P601" s="12" t="str">
        <f>HYPERLINK(O601)</f>
        <v>C:\Users\mbaptista\OneDrive - Biblioteca Nacional de Portugal\Documentos\python\camoniana\imagens\capas\321919\1\115.jpg</v>
      </c>
      <c r="Q601" s="12"/>
      <c r="R601" s="6" t="s">
        <v>819</v>
      </c>
      <c r="S601" s="12"/>
      <c r="T601" s="1"/>
      <c r="U601" s="13"/>
      <c r="V601" s="13"/>
      <c r="W601" s="5" t="s">
        <v>1491</v>
      </c>
    </row>
    <row r="602" spans="1:23" ht="225">
      <c r="A602" s="1">
        <v>321919</v>
      </c>
      <c r="B602" s="1">
        <v>1</v>
      </c>
      <c r="C602" s="1">
        <v>139</v>
      </c>
      <c r="D602" s="2" t="s">
        <v>809</v>
      </c>
      <c r="E602" s="5" t="s">
        <v>809</v>
      </c>
      <c r="F602" s="5">
        <v>273869</v>
      </c>
      <c r="G602" s="2" t="s">
        <v>1494</v>
      </c>
      <c r="H602" s="2" t="s">
        <v>1495</v>
      </c>
      <c r="I602" s="2" t="s">
        <v>1496</v>
      </c>
      <c r="J602" s="2" t="str">
        <f>CONCATENATE(G602,F602,H602,C602,I602)</f>
        <v>https://permalinkbnd.bnportugal.gov.pt/viewer/273869/?offset=#page=139&amp;viewer=picture&amp;o=info&amp;n=0&amp;q=</v>
      </c>
      <c r="K602" s="1" t="s">
        <v>810</v>
      </c>
      <c r="L602" s="1" t="str">
        <f>VLOOKUP(A602,Folha2!$A$2:$B$2019,2,FALSE)</f>
        <v>Trad. Paratextos gerais. Poesias líricas / José Lamarque de Nova ; com um prólogo de Fernando de Gabriel y Ruiz de Apodaca. contém traduções de sonetos de Camões.</v>
      </c>
      <c r="M602" s="12" t="str">
        <f>HYPERLINK(J602)</f>
        <v>https://permalinkbnd.bnportugal.gov.pt/viewer/273869/?offset=#page=139&amp;viewer=picture&amp;o=info&amp;n=0&amp;q=</v>
      </c>
      <c r="N602" s="12" t="s">
        <v>1497</v>
      </c>
      <c r="O602" s="12" t="str">
        <f>CONCATENATE(N602,A602,"\",B602,"\",C602,".jpg")</f>
        <v>C:\Users\mbaptista\OneDrive - Biblioteca Nacional de Portugal\Documentos\python\camoniana\imagens\capas\321919\1\139.jpg</v>
      </c>
      <c r="P602" s="12" t="str">
        <f>HYPERLINK(O602)</f>
        <v>C:\Users\mbaptista\OneDrive - Biblioteca Nacional de Portugal\Documentos\python\camoniana\imagens\capas\321919\1\139.jpg</v>
      </c>
      <c r="Q602" s="12"/>
      <c r="R602" s="6" t="s">
        <v>820</v>
      </c>
      <c r="S602" s="12"/>
      <c r="T602" s="1"/>
      <c r="U602" s="13"/>
      <c r="V602" s="13"/>
      <c r="W602" s="5" t="s">
        <v>1491</v>
      </c>
    </row>
    <row r="603" spans="1:23" ht="225">
      <c r="A603" s="1">
        <v>321919</v>
      </c>
      <c r="B603" s="1">
        <v>1</v>
      </c>
      <c r="C603" s="1">
        <v>155</v>
      </c>
      <c r="D603" s="2" t="s">
        <v>809</v>
      </c>
      <c r="E603" s="11" t="s">
        <v>809</v>
      </c>
      <c r="F603" s="11">
        <v>273869</v>
      </c>
      <c r="G603" s="2" t="s">
        <v>1494</v>
      </c>
      <c r="H603" s="2" t="s">
        <v>1495</v>
      </c>
      <c r="I603" s="2" t="s">
        <v>1496</v>
      </c>
      <c r="J603" s="2" t="str">
        <f>CONCATENATE(G603,F603,H603,C603,I603)</f>
        <v>https://permalinkbnd.bnportugal.gov.pt/viewer/273869/?offset=#page=155&amp;viewer=picture&amp;o=info&amp;n=0&amp;q=</v>
      </c>
      <c r="K603" s="1" t="s">
        <v>810</v>
      </c>
      <c r="L603" s="1" t="str">
        <f>VLOOKUP(A603,Folha2!$A$2:$B$2019,2,FALSE)</f>
        <v>Trad. Paratextos gerais. Poesias líricas / José Lamarque de Nova ; com um prólogo de Fernando de Gabriel y Ruiz de Apodaca. contém traduções de sonetos de Camões.</v>
      </c>
      <c r="M603" s="12" t="str">
        <f>HYPERLINK(J603)</f>
        <v>https://permalinkbnd.bnportugal.gov.pt/viewer/273869/?offset=#page=155&amp;viewer=picture&amp;o=info&amp;n=0&amp;q=</v>
      </c>
      <c r="N603" s="12" t="s">
        <v>1497</v>
      </c>
      <c r="O603" s="12" t="str">
        <f>CONCATENATE(N603,A603,"\",B603,"\",C603,".jpg")</f>
        <v>C:\Users\mbaptista\OneDrive - Biblioteca Nacional de Portugal\Documentos\python\camoniana\imagens\capas\321919\1\155.jpg</v>
      </c>
      <c r="P603" s="12" t="str">
        <f>HYPERLINK(O603)</f>
        <v>C:\Users\mbaptista\OneDrive - Biblioteca Nacional de Portugal\Documentos\python\camoniana\imagens\capas\321919\1\155.jpg</v>
      </c>
      <c r="Q603" s="12"/>
      <c r="R603" s="6" t="s">
        <v>821</v>
      </c>
      <c r="S603" s="12"/>
      <c r="T603" s="1"/>
      <c r="U603" s="13"/>
      <c r="V603" s="13"/>
      <c r="W603" s="5" t="s">
        <v>1491</v>
      </c>
    </row>
    <row r="604" spans="1:23" ht="225">
      <c r="A604" s="1">
        <v>322212</v>
      </c>
      <c r="B604" s="1">
        <v>1</v>
      </c>
      <c r="C604" s="1">
        <v>7</v>
      </c>
      <c r="D604" s="2" t="s">
        <v>822</v>
      </c>
      <c r="E604" s="5" t="s">
        <v>822</v>
      </c>
      <c r="F604" s="5">
        <v>277738</v>
      </c>
      <c r="G604" s="2" t="s">
        <v>1494</v>
      </c>
      <c r="H604" s="2" t="s">
        <v>1495</v>
      </c>
      <c r="I604" s="2" t="s">
        <v>1496</v>
      </c>
      <c r="J604" s="2" t="str">
        <f>CONCATENATE(G604,F604,H604,C604,I604)</f>
        <v>https://permalinkbnd.bnportugal.gov.pt/viewer/277738/?offset=#page=7&amp;viewer=picture&amp;o=info&amp;n=0&amp;q=</v>
      </c>
      <c r="K604" s="1" t="s">
        <v>823</v>
      </c>
      <c r="L604" s="1" t="str">
        <f>VLOOKUP(A604,Folha2!$A$2:$B$2019,2,FALSE)</f>
        <v>CXXIV Sonnets / Dante, Petrarch, Camõens ; translated by Richard Garnett. - London : John Lane. - Boston : Copeland &amp; Day, 1896.</v>
      </c>
      <c r="M604" s="12" t="str">
        <f>HYPERLINK(J604)</f>
        <v>https://permalinkbnd.bnportugal.gov.pt/viewer/277738/?offset=#page=7&amp;viewer=picture&amp;o=info&amp;n=0&amp;q=</v>
      </c>
      <c r="N604" s="12" t="s">
        <v>1497</v>
      </c>
      <c r="O604" s="12" t="str">
        <f>CONCATENATE(N604,A604,"\",B604,"\",C604,".jpg")</f>
        <v>C:\Users\mbaptista\OneDrive - Biblioteca Nacional de Portugal\Documentos\python\camoniana\imagens\capas\322212\1\7.jpg</v>
      </c>
      <c r="P604" s="12" t="str">
        <f>HYPERLINK(O604)</f>
        <v>C:\Users\mbaptista\OneDrive - Biblioteca Nacional de Portugal\Documentos\python\camoniana\imagens\capas\322212\1\7.jpg</v>
      </c>
      <c r="Q604" s="12"/>
      <c r="R604" s="6" t="s">
        <v>824</v>
      </c>
      <c r="S604" s="12"/>
      <c r="T604" s="1">
        <v>7</v>
      </c>
      <c r="U604" s="13"/>
      <c r="V604" s="13"/>
      <c r="W604" s="5" t="s">
        <v>1491</v>
      </c>
    </row>
    <row r="605" spans="1:23" ht="225">
      <c r="A605" s="1">
        <v>322214</v>
      </c>
      <c r="B605" s="1">
        <v>1</v>
      </c>
      <c r="C605" s="1">
        <v>10</v>
      </c>
      <c r="D605" s="2" t="s">
        <v>825</v>
      </c>
      <c r="E605" s="11" t="s">
        <v>825</v>
      </c>
      <c r="F605" s="11">
        <v>273912</v>
      </c>
      <c r="G605" s="2" t="s">
        <v>1494</v>
      </c>
      <c r="H605" s="2" t="s">
        <v>1495</v>
      </c>
      <c r="I605" s="2" t="s">
        <v>1496</v>
      </c>
      <c r="J605" s="2" t="str">
        <f>CONCATENATE(G605,F605,H605,C605,I605)</f>
        <v>https://permalinkbnd.bnportugal.gov.pt/viewer/273912/?offset=#page=10&amp;viewer=picture&amp;o=info&amp;n=0&amp;q=</v>
      </c>
      <c r="K605" s="1" t="s">
        <v>826</v>
      </c>
      <c r="L605" s="1" t="str">
        <f>VLOOKUP(A605,Folha2!$A$2:$B$2019,2,FALSE)</f>
        <v>Magazin der Spanischen und portugiesischen litteratur. Herausgegeben von F. J. Bertuch. Weimar. 1780. Mapa Vasco da Gama.</v>
      </c>
      <c r="M605" s="12" t="str">
        <f>HYPERLINK(J605)</f>
        <v>https://permalinkbnd.bnportugal.gov.pt/viewer/273912/?offset=#page=10&amp;viewer=picture&amp;o=info&amp;n=0&amp;q=</v>
      </c>
      <c r="N605" s="12" t="s">
        <v>1497</v>
      </c>
      <c r="O605" s="12" t="str">
        <f>CONCATENATE(N605,A605,"\",B605,"\",C605,".jpg")</f>
        <v>C:\Users\mbaptista\OneDrive - Biblioteca Nacional de Portugal\Documentos\python\camoniana\imagens\capas\322214\1\10.jpg</v>
      </c>
      <c r="P605" s="12" t="str">
        <f>HYPERLINK(O605)</f>
        <v>C:\Users\mbaptista\OneDrive - Biblioteca Nacional de Portugal\Documentos\python\camoniana\imagens\capas\322214\1\10.jpg</v>
      </c>
      <c r="Q605" s="12"/>
      <c r="R605" s="6" t="s">
        <v>828</v>
      </c>
      <c r="S605" s="12"/>
      <c r="T605" s="1" t="s">
        <v>827</v>
      </c>
      <c r="U605" s="13"/>
      <c r="V605" s="13"/>
      <c r="W605" s="5" t="s">
        <v>1491</v>
      </c>
    </row>
    <row r="606" spans="1:23" ht="225">
      <c r="A606" s="1">
        <v>322214</v>
      </c>
      <c r="B606" s="1">
        <v>1</v>
      </c>
      <c r="C606" s="1">
        <v>271</v>
      </c>
      <c r="D606" s="2" t="s">
        <v>825</v>
      </c>
      <c r="E606" s="5" t="s">
        <v>825</v>
      </c>
      <c r="F606" s="5">
        <v>273912</v>
      </c>
      <c r="G606" s="2" t="s">
        <v>1494</v>
      </c>
      <c r="H606" s="2" t="s">
        <v>1495</v>
      </c>
      <c r="I606" s="2" t="s">
        <v>1496</v>
      </c>
      <c r="J606" s="2" t="str">
        <f>CONCATENATE(G606,F606,H606,C606,I606)</f>
        <v>https://permalinkbnd.bnportugal.gov.pt/viewer/273912/?offset=#page=271&amp;viewer=picture&amp;o=info&amp;n=0&amp;q=</v>
      </c>
      <c r="K606" s="1" t="s">
        <v>826</v>
      </c>
      <c r="L606" s="1" t="str">
        <f>VLOOKUP(A606,Folha2!$A$2:$B$2019,2,FALSE)</f>
        <v>Magazin der Spanischen und portugiesischen litteratur. Herausgegeben von F. J. Bertuch. Weimar. 1780. Mapa Vasco da Gama.</v>
      </c>
      <c r="M606" s="12" t="str">
        <f>HYPERLINK(J606)</f>
        <v>https://permalinkbnd.bnportugal.gov.pt/viewer/273912/?offset=#page=271&amp;viewer=picture&amp;o=info&amp;n=0&amp;q=</v>
      </c>
      <c r="N606" s="12" t="s">
        <v>1497</v>
      </c>
      <c r="O606" s="12" t="str">
        <f>CONCATENATE(N606,A606,"\",B606,"\",C606,".jpg")</f>
        <v>C:\Users\mbaptista\OneDrive - Biblioteca Nacional de Portugal\Documentos\python\camoniana\imagens\capas\322214\1\271.jpg</v>
      </c>
      <c r="P606" s="12" t="str">
        <f>HYPERLINK(O606)</f>
        <v>C:\Users\mbaptista\OneDrive - Biblioteca Nacional de Portugal\Documentos\python\camoniana\imagens\capas\322214\1\271.jpg</v>
      </c>
      <c r="Q606" s="12"/>
      <c r="R606" s="6" t="s">
        <v>829</v>
      </c>
      <c r="S606" s="12"/>
      <c r="T606" s="1" t="s">
        <v>827</v>
      </c>
      <c r="U606" s="13"/>
      <c r="V606" s="13"/>
      <c r="W606" s="5" t="s">
        <v>1491</v>
      </c>
    </row>
    <row r="607" spans="1:23" ht="225">
      <c r="A607" s="1">
        <v>866522</v>
      </c>
      <c r="B607" s="1">
        <v>1</v>
      </c>
      <c r="C607" s="1">
        <v>12</v>
      </c>
      <c r="D607" s="2" t="s">
        <v>830</v>
      </c>
      <c r="E607" s="11" t="s">
        <v>830</v>
      </c>
      <c r="F607" s="11">
        <v>272639</v>
      </c>
      <c r="G607" s="2" t="s">
        <v>1494</v>
      </c>
      <c r="H607" s="2" t="s">
        <v>1495</v>
      </c>
      <c r="I607" s="2" t="s">
        <v>1496</v>
      </c>
      <c r="J607" s="2" t="str">
        <f>CONCATENATE(G607,F607,H607,C607,I607)</f>
        <v>https://permalinkbnd.bnportugal.gov.pt/viewer/272639/?offset=#page=12&amp;viewer=picture&amp;o=info&amp;n=0&amp;q=</v>
      </c>
      <c r="K607" s="1" t="s">
        <v>831</v>
      </c>
      <c r="L607" s="1" t="str">
        <f>VLOOKUP(A607,Folha2!$A$2:$B$2019,2,FALSE)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7" s="12" t="str">
        <f>HYPERLINK(J607)</f>
        <v>https://permalinkbnd.bnportugal.gov.pt/viewer/272639/?offset=#page=12&amp;viewer=picture&amp;o=info&amp;n=0&amp;q=</v>
      </c>
      <c r="N607" s="12" t="s">
        <v>1497</v>
      </c>
      <c r="O607" s="12" t="str">
        <f>CONCATENATE(N607,A607,"\",B607,"\",C607,".jpg")</f>
        <v>C:\Users\mbaptista\OneDrive - Biblioteca Nacional de Portugal\Documentos\python\camoniana\imagens\capas\866522\1\12.jpg</v>
      </c>
      <c r="P607" s="12" t="str">
        <f>HYPERLINK(O607)</f>
        <v>C:\Users\mbaptista\OneDrive - Biblioteca Nacional de Portugal\Documentos\python\camoniana\imagens\capas\866522\1\12.jpg</v>
      </c>
      <c r="Q607" s="12"/>
      <c r="R607" s="6" t="s">
        <v>833</v>
      </c>
      <c r="S607" s="12"/>
      <c r="T607" s="1" t="s">
        <v>832</v>
      </c>
      <c r="U607" s="13"/>
      <c r="V607" s="13"/>
      <c r="W607" s="5" t="s">
        <v>1491</v>
      </c>
    </row>
    <row r="608" spans="1:23" ht="225">
      <c r="A608" s="1">
        <v>866522</v>
      </c>
      <c r="B608" s="1">
        <v>1</v>
      </c>
      <c r="C608" s="1">
        <v>13</v>
      </c>
      <c r="D608" s="2" t="s">
        <v>830</v>
      </c>
      <c r="E608" s="5" t="s">
        <v>830</v>
      </c>
      <c r="F608" s="5">
        <v>272639</v>
      </c>
      <c r="G608" s="2" t="s">
        <v>1494</v>
      </c>
      <c r="H608" s="2" t="s">
        <v>1495</v>
      </c>
      <c r="I608" s="2" t="s">
        <v>1496</v>
      </c>
      <c r="J608" s="2" t="str">
        <f>CONCATENATE(G608,F608,H608,C608,I608)</f>
        <v>https://permalinkbnd.bnportugal.gov.pt/viewer/272639/?offset=#page=13&amp;viewer=picture&amp;o=info&amp;n=0&amp;q=</v>
      </c>
      <c r="K608" s="1" t="s">
        <v>831</v>
      </c>
      <c r="L608" s="1" t="str">
        <f>VLOOKUP(A608,Folha2!$A$2:$B$2019,2,FALSE)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8" s="12" t="str">
        <f>HYPERLINK(J608)</f>
        <v>https://permalinkbnd.bnportugal.gov.pt/viewer/272639/?offset=#page=13&amp;viewer=picture&amp;o=info&amp;n=0&amp;q=</v>
      </c>
      <c r="N608" s="12" t="s">
        <v>1497</v>
      </c>
      <c r="O608" s="12" t="str">
        <f>CONCATENATE(N608,A608,"\",B608,"\",C608,".jpg")</f>
        <v>C:\Users\mbaptista\OneDrive - Biblioteca Nacional de Portugal\Documentos\python\camoniana\imagens\capas\866522\1\13.jpg</v>
      </c>
      <c r="P608" s="12" t="str">
        <f>HYPERLINK(O608)</f>
        <v>C:\Users\mbaptista\OneDrive - Biblioteca Nacional de Portugal\Documentos\python\camoniana\imagens\capas\866522\1\13.jpg</v>
      </c>
      <c r="Q608" s="12"/>
      <c r="R608" s="6"/>
      <c r="S608" s="12"/>
      <c r="T608" s="1"/>
      <c r="U608" s="13"/>
      <c r="V608" s="13"/>
      <c r="W608" s="5"/>
    </row>
    <row r="609" spans="1:23" ht="225">
      <c r="A609" s="1">
        <v>866522</v>
      </c>
      <c r="B609" s="1">
        <v>1</v>
      </c>
      <c r="C609" s="1">
        <v>173</v>
      </c>
      <c r="D609" s="2" t="s">
        <v>830</v>
      </c>
      <c r="E609" s="11" t="s">
        <v>830</v>
      </c>
      <c r="F609" s="11">
        <v>272639</v>
      </c>
      <c r="G609" s="2" t="s">
        <v>1494</v>
      </c>
      <c r="H609" s="2" t="s">
        <v>1495</v>
      </c>
      <c r="I609" s="2" t="s">
        <v>1496</v>
      </c>
      <c r="J609" s="2" t="str">
        <f>CONCATENATE(G609,F609,H609,C609,I609)</f>
        <v>https://permalinkbnd.bnportugal.gov.pt/viewer/272639/?offset=#page=173&amp;viewer=picture&amp;o=info&amp;n=0&amp;q=</v>
      </c>
      <c r="K609" s="1" t="s">
        <v>831</v>
      </c>
      <c r="L609" s="1" t="str">
        <f>VLOOKUP(A609,Folha2!$A$2:$B$2019,2,FALSE)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09" s="12" t="str">
        <f>HYPERLINK(J609)</f>
        <v>https://permalinkbnd.bnportugal.gov.pt/viewer/272639/?offset=#page=173&amp;viewer=picture&amp;o=info&amp;n=0&amp;q=</v>
      </c>
      <c r="N609" s="12" t="s">
        <v>1497</v>
      </c>
      <c r="O609" s="12" t="str">
        <f>CONCATENATE(N609,A609,"\",B609,"\",C609,".jpg")</f>
        <v>C:\Users\mbaptista\OneDrive - Biblioteca Nacional de Portugal\Documentos\python\camoniana\imagens\capas\866522\1\173.jpg</v>
      </c>
      <c r="P609" s="12" t="str">
        <f>HYPERLINK(O609)</f>
        <v>C:\Users\mbaptista\OneDrive - Biblioteca Nacional de Portugal\Documentos\python\camoniana\imagens\capas\866522\1\173.jpg</v>
      </c>
      <c r="Q609" s="12"/>
      <c r="R609" s="6" t="s">
        <v>834</v>
      </c>
      <c r="S609" s="12"/>
      <c r="T609" s="1" t="s">
        <v>832</v>
      </c>
      <c r="U609" s="13"/>
      <c r="V609" s="13"/>
      <c r="W609" s="5" t="s">
        <v>1491</v>
      </c>
    </row>
    <row r="610" spans="1:23" ht="225">
      <c r="A610" s="1">
        <v>866522</v>
      </c>
      <c r="B610" s="1">
        <v>1</v>
      </c>
      <c r="C610" s="1">
        <v>363</v>
      </c>
      <c r="D610" s="2" t="s">
        <v>830</v>
      </c>
      <c r="E610" s="5" t="s">
        <v>830</v>
      </c>
      <c r="F610" s="5">
        <v>272639</v>
      </c>
      <c r="G610" s="2" t="s">
        <v>1494</v>
      </c>
      <c r="H610" s="2" t="s">
        <v>1495</v>
      </c>
      <c r="I610" s="2" t="s">
        <v>1496</v>
      </c>
      <c r="J610" s="2" t="str">
        <f>CONCATENATE(G610,F610,H610,C610,I610)</f>
        <v>https://permalinkbnd.bnportugal.gov.pt/viewer/272639/?offset=#page=363&amp;viewer=picture&amp;o=info&amp;n=0&amp;q=</v>
      </c>
      <c r="K610" s="1" t="s">
        <v>831</v>
      </c>
      <c r="L610" s="1" t="str">
        <f>VLOOKUP(A610,Folha2!$A$2:$B$2019,2,FALSE)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0" s="12" t="str">
        <f>HYPERLINK(J610)</f>
        <v>https://permalinkbnd.bnportugal.gov.pt/viewer/272639/?offset=#page=363&amp;viewer=picture&amp;o=info&amp;n=0&amp;q=</v>
      </c>
      <c r="N610" s="12" t="s">
        <v>1497</v>
      </c>
      <c r="O610" s="12" t="str">
        <f>CONCATENATE(N610,A610,"\",B610,"\",C610,".jpg")</f>
        <v>C:\Users\mbaptista\OneDrive - Biblioteca Nacional de Portugal\Documentos\python\camoniana\imagens\capas\866522\1\363.jpg</v>
      </c>
      <c r="P610" s="12" t="str">
        <f>HYPERLINK(O610)</f>
        <v>C:\Users\mbaptista\OneDrive - Biblioteca Nacional de Portugal\Documentos\python\camoniana\imagens\capas\866522\1\363.jpg</v>
      </c>
      <c r="Q610" s="12"/>
      <c r="R610" s="6" t="s">
        <v>835</v>
      </c>
      <c r="S610" s="12"/>
      <c r="T610" s="1" t="s">
        <v>832</v>
      </c>
      <c r="U610" s="13"/>
      <c r="V610" s="13"/>
      <c r="W610" s="5" t="s">
        <v>1491</v>
      </c>
    </row>
    <row r="611" spans="1:23" ht="225">
      <c r="A611" s="1">
        <v>866522</v>
      </c>
      <c r="B611" s="1">
        <v>1</v>
      </c>
      <c r="C611" s="1">
        <v>391</v>
      </c>
      <c r="D611" s="2" t="s">
        <v>830</v>
      </c>
      <c r="E611" s="11" t="s">
        <v>830</v>
      </c>
      <c r="F611" s="11">
        <v>272639</v>
      </c>
      <c r="G611" s="2" t="s">
        <v>1494</v>
      </c>
      <c r="H611" s="2" t="s">
        <v>1495</v>
      </c>
      <c r="I611" s="2" t="s">
        <v>1496</v>
      </c>
      <c r="J611" s="2" t="str">
        <f>CONCATENATE(G611,F611,H611,C611,I611)</f>
        <v>https://permalinkbnd.bnportugal.gov.pt/viewer/272639/?offset=#page=391&amp;viewer=picture&amp;o=info&amp;n=0&amp;q=</v>
      </c>
      <c r="K611" s="1" t="s">
        <v>831</v>
      </c>
      <c r="L611" s="1" t="str">
        <f>VLOOKUP(A611,Folha2!$A$2:$B$2019,2,FALSE)</f>
        <v>Lírica: redondilhas, sôbolos rios [Babel e Sião], sem explicitação de esparsas, mote, voltas, vilancete, cantiga, glosa, cartas-poemas, endechas, a.b.c. em motes, trovas, labirinto, disparates, sonetos, éclogas, odes, sextinas, oitavas, elegias, canções e Cartas. Iconografia, figuras históricas [infanta D. Maria], mapas, e outros [nau de S. Bento?]; Paratextos vida [apenas datas].</v>
      </c>
      <c r="M611" s="12" t="str">
        <f>HYPERLINK(J611)</f>
        <v>https://permalinkbnd.bnportugal.gov.pt/viewer/272639/?offset=#page=391&amp;viewer=picture&amp;o=info&amp;n=0&amp;q=</v>
      </c>
      <c r="N611" s="12" t="s">
        <v>1497</v>
      </c>
      <c r="O611" s="12" t="str">
        <f>CONCATENATE(N611,A611,"\",B611,"\",C611,".jpg")</f>
        <v>C:\Users\mbaptista\OneDrive - Biblioteca Nacional de Portugal\Documentos\python\camoniana\imagens\capas\866522\1\391.jpg</v>
      </c>
      <c r="P611" s="12" t="str">
        <f>HYPERLINK(O611)</f>
        <v>C:\Users\mbaptista\OneDrive - Biblioteca Nacional de Portugal\Documentos\python\camoniana\imagens\capas\866522\1\391.jpg</v>
      </c>
      <c r="Q611" s="12"/>
      <c r="R611" s="6" t="s">
        <v>836</v>
      </c>
      <c r="S611" s="12"/>
      <c r="T611" s="1" t="s">
        <v>832</v>
      </c>
      <c r="U611" s="13"/>
      <c r="V611" s="13"/>
      <c r="W611" s="5" t="s">
        <v>1491</v>
      </c>
    </row>
    <row r="612" spans="1:23" ht="225">
      <c r="A612" s="1">
        <v>328432</v>
      </c>
      <c r="B612" s="1">
        <v>1</v>
      </c>
      <c r="C612" s="1">
        <v>1</v>
      </c>
      <c r="D612" s="2" t="s">
        <v>837</v>
      </c>
      <c r="E612" s="5" t="s">
        <v>837</v>
      </c>
      <c r="F612" s="5">
        <v>277836</v>
      </c>
      <c r="G612" s="2" t="s">
        <v>1494</v>
      </c>
      <c r="H612" s="2" t="s">
        <v>1495</v>
      </c>
      <c r="I612" s="2" t="s">
        <v>1496</v>
      </c>
      <c r="J612" s="2" t="str">
        <f>CONCATENATE(G612,F612,H612,C612,I612)</f>
        <v>https://permalinkbnd.bnportugal.gov.pt/viewer/277836/?offset=#page=1&amp;viewer=picture&amp;o=info&amp;n=0&amp;q=</v>
      </c>
      <c r="K612" s="1">
        <v>1</v>
      </c>
      <c r="L612" s="1" t="str">
        <f>VLOOKUP(A612,Folha2!$A$2:$B$2019,2,FALSE)</f>
        <v>Luís de Camões o príncipe dos poetas portuguezes : breve notícia sobre a vida e merecimentos... / coordenada por Mendes Canuto. - Lisboa : Typ. Progressista de P. A. Borges, 1880. </v>
      </c>
      <c r="M612" s="12" t="str">
        <f>HYPERLINK(J612)</f>
        <v>https://permalinkbnd.bnportugal.gov.pt/viewer/277836/?offset=#page=1&amp;viewer=picture&amp;o=info&amp;n=0&amp;q=</v>
      </c>
      <c r="N612" s="12" t="s">
        <v>1497</v>
      </c>
      <c r="O612" s="12" t="str">
        <f>CONCATENATE(N612,A612,"\",B612,"\",C612,".jpg")</f>
        <v>C:\Users\mbaptista\OneDrive - Biblioteca Nacional de Portugal\Documentos\python\camoniana\imagens\capas\328432\1\1.jpg</v>
      </c>
      <c r="P612" s="12" t="str">
        <f>HYPERLINK(O612)</f>
        <v>C:\Users\mbaptista\OneDrive - Biblioteca Nacional de Portugal\Documentos\python\camoniana\imagens\capas\328432\1\1.jpg</v>
      </c>
      <c r="Q612" s="12"/>
      <c r="R612" s="6" t="s">
        <v>838</v>
      </c>
      <c r="S612" s="12"/>
      <c r="T612" s="1">
        <v>1</v>
      </c>
      <c r="U612" s="13"/>
      <c r="V612" s="13"/>
      <c r="W612" s="5" t="s">
        <v>1491</v>
      </c>
    </row>
    <row r="613" spans="1:23" ht="225">
      <c r="A613" s="1">
        <v>328922</v>
      </c>
      <c r="B613" s="1">
        <v>1</v>
      </c>
      <c r="C613" s="1">
        <v>10</v>
      </c>
      <c r="D613" s="2" t="s">
        <v>839</v>
      </c>
      <c r="E613" s="11" t="s">
        <v>839</v>
      </c>
      <c r="F613" s="11">
        <v>277820</v>
      </c>
      <c r="G613" s="2" t="s">
        <v>1494</v>
      </c>
      <c r="H613" s="2" t="s">
        <v>1495</v>
      </c>
      <c r="I613" s="2" t="s">
        <v>1496</v>
      </c>
      <c r="J613" s="2" t="str">
        <f>CONCATENATE(G613,F613,H613,C613,I613)</f>
        <v>https://permalinkbnd.bnportugal.gov.pt/viewer/277820/?offset=#page=10&amp;viewer=picture&amp;o=info&amp;n=0&amp;q=</v>
      </c>
      <c r="K613" s="1">
        <v>10</v>
      </c>
      <c r="L613" s="1" t="str">
        <f>VLOOKUP(A613,Folha2!$A$2:$B$2019,2,FALSE)</f>
        <v>O Portugal de Camões : offerecido à Mocidade Portugueza e Brazileira seguido de um elucidario e indice chronologico / por A. A. Daux. - Paris : Typ. Guillard, Aillaud &amp; C.ie, 1889. </v>
      </c>
      <c r="M613" s="12" t="str">
        <f>HYPERLINK(J613)</f>
        <v>https://permalinkbnd.bnportugal.gov.pt/viewer/277820/?offset=#page=10&amp;viewer=picture&amp;o=info&amp;n=0&amp;q=</v>
      </c>
      <c r="N613" s="12" t="s">
        <v>1497</v>
      </c>
      <c r="O613" s="12" t="str">
        <f>CONCATENATE(N613,A613,"\",B613,"\",C613,".jpg")</f>
        <v>C:\Users\mbaptista\OneDrive - Biblioteca Nacional de Portugal\Documentos\python\camoniana\imagens\capas\328922\1\10.jpg</v>
      </c>
      <c r="P613" s="12" t="str">
        <f>HYPERLINK(O613)</f>
        <v>C:\Users\mbaptista\OneDrive - Biblioteca Nacional de Portugal\Documentos\python\camoniana\imagens\capas\328922\1\10.jpg</v>
      </c>
      <c r="Q613" s="12"/>
      <c r="R613" s="6" t="s">
        <v>840</v>
      </c>
      <c r="S613" s="12"/>
      <c r="T613" s="1">
        <v>10</v>
      </c>
      <c r="U613" s="13"/>
      <c r="V613" s="13"/>
      <c r="W613" s="5" t="s">
        <v>1491</v>
      </c>
    </row>
    <row r="614" spans="1:23" ht="225">
      <c r="A614" s="1">
        <v>329068</v>
      </c>
      <c r="B614" s="1">
        <v>1</v>
      </c>
      <c r="C614" s="1">
        <v>8</v>
      </c>
      <c r="D614" s="2" t="s">
        <v>841</v>
      </c>
      <c r="E614" s="5" t="s">
        <v>841</v>
      </c>
      <c r="F614" s="5">
        <v>277966</v>
      </c>
      <c r="G614" s="2" t="s">
        <v>1494</v>
      </c>
      <c r="H614" s="2" t="s">
        <v>1495</v>
      </c>
      <c r="I614" s="2" t="s">
        <v>1496</v>
      </c>
      <c r="J614" s="2" t="str">
        <f>CONCATENATE(G614,F614,H614,C614,I614)</f>
        <v>https://permalinkbnd.bnportugal.gov.pt/viewer/277966/?offset=#page=8&amp;viewer=picture&amp;o=info&amp;n=0&amp;q=</v>
      </c>
      <c r="K614" s="1" t="s">
        <v>842</v>
      </c>
      <c r="L614" s="1" t="str">
        <f>VLOOKUP(A614,Folha2!$A$2:$B$2019,2,FALSE)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4" s="12" t="str">
        <f>HYPERLINK(J614)</f>
        <v>https://permalinkbnd.bnportugal.gov.pt/viewer/277966/?offset=#page=8&amp;viewer=picture&amp;o=info&amp;n=0&amp;q=</v>
      </c>
      <c r="N614" s="12" t="s">
        <v>1497</v>
      </c>
      <c r="O614" s="12" t="str">
        <f>CONCATENATE(N614,A614,"\",B614,"\",C614,".jpg")</f>
        <v>C:\Users\mbaptista\OneDrive - Biblioteca Nacional de Portugal\Documentos\python\camoniana\imagens\capas\329068\1\8.jpg</v>
      </c>
      <c r="P614" s="12" t="str">
        <f>HYPERLINK(O614)</f>
        <v>C:\Users\mbaptista\OneDrive - Biblioteca Nacional de Portugal\Documentos\python\camoniana\imagens\capas\329068\1\8.jpg</v>
      </c>
      <c r="Q614" s="12"/>
      <c r="R614" s="6" t="s">
        <v>844</v>
      </c>
      <c r="S614" s="12"/>
      <c r="T614" s="1" t="s">
        <v>843</v>
      </c>
      <c r="U614" s="13"/>
      <c r="V614" s="13"/>
      <c r="W614" s="5" t="s">
        <v>1491</v>
      </c>
    </row>
    <row r="615" spans="1:23" ht="225">
      <c r="A615" s="1">
        <v>329068</v>
      </c>
      <c r="B615" s="1">
        <v>1</v>
      </c>
      <c r="C615" s="1">
        <v>118</v>
      </c>
      <c r="D615" s="2" t="s">
        <v>841</v>
      </c>
      <c r="E615" s="11" t="s">
        <v>841</v>
      </c>
      <c r="F615" s="11">
        <v>277966</v>
      </c>
      <c r="G615" s="2" t="s">
        <v>1494</v>
      </c>
      <c r="H615" s="2" t="s">
        <v>1495</v>
      </c>
      <c r="I615" s="2" t="s">
        <v>1496</v>
      </c>
      <c r="J615" s="2" t="str">
        <f>CONCATENATE(G615,F615,H615,C615,I615)</f>
        <v>https://permalinkbnd.bnportugal.gov.pt/viewer/277966/?offset=#page=118&amp;viewer=picture&amp;o=info&amp;n=0&amp;q=</v>
      </c>
      <c r="K615" s="1" t="s">
        <v>842</v>
      </c>
      <c r="L615" s="1" t="str">
        <f>VLOOKUP(A615,Folha2!$A$2:$B$2019,2,FALSE)</f>
        <v>Album de homenagens a Luiz de Camões. - Nova edição dos principais escriptos em verso e prosa publicados pela imprensa periodica por occasião de se erigir o monumento que à memoria do egrégio poeta .... - Lisboa : Lallemant Fréres, 1870. Poetisa Mariana Angélica de Andrade, poema em homenagem a Camões, cf. Im. 51. Artigos da década de 60.</v>
      </c>
      <c r="M615" s="12" t="str">
        <f>HYPERLINK(J615)</f>
        <v>https://permalinkbnd.bnportugal.gov.pt/viewer/277966/?offset=#page=118&amp;viewer=picture&amp;o=info&amp;n=0&amp;q=</v>
      </c>
      <c r="N615" s="12" t="s">
        <v>1497</v>
      </c>
      <c r="O615" s="12" t="str">
        <f>CONCATENATE(N615,A615,"\",B615,"\",C615,".jpg")</f>
        <v>C:\Users\mbaptista\OneDrive - Biblioteca Nacional de Portugal\Documentos\python\camoniana\imagens\capas\329068\1\118.jpg</v>
      </c>
      <c r="P615" s="12" t="str">
        <f>HYPERLINK(O615)</f>
        <v>C:\Users\mbaptista\OneDrive - Biblioteca Nacional de Portugal\Documentos\python\camoniana\imagens\capas\329068\1\118.jpg</v>
      </c>
      <c r="Q615" s="12"/>
      <c r="R615" s="6" t="s">
        <v>845</v>
      </c>
      <c r="S615" s="12"/>
      <c r="T615" s="1" t="s">
        <v>843</v>
      </c>
      <c r="U615" s="13"/>
      <c r="V615" s="13"/>
      <c r="W615" s="5" t="s">
        <v>1491</v>
      </c>
    </row>
    <row r="616" spans="1:23" ht="225">
      <c r="A616" s="1">
        <v>330080</v>
      </c>
      <c r="B616" s="1">
        <v>1</v>
      </c>
      <c r="C616" s="1">
        <v>24</v>
      </c>
      <c r="D616" s="2" t="s">
        <v>846</v>
      </c>
      <c r="E616" s="5" t="s">
        <v>846</v>
      </c>
      <c r="F616" s="5">
        <v>278039</v>
      </c>
      <c r="G616" s="2" t="s">
        <v>1494</v>
      </c>
      <c r="H616" s="2" t="s">
        <v>1495</v>
      </c>
      <c r="I616" s="2" t="s">
        <v>1496</v>
      </c>
      <c r="J616" s="2" t="str">
        <f>CONCATENATE(G616,F616,H616,C616,I616)</f>
        <v>https://permalinkbnd.bnportugal.gov.pt/viewer/278039/?offset=#page=24&amp;viewer=picture&amp;o=info&amp;n=0&amp;q=</v>
      </c>
      <c r="K616" s="1" t="s">
        <v>847</v>
      </c>
      <c r="L616" s="1" t="str">
        <f>VLOOKUP(A616,Folha2!$A$2:$B$2019,2,FALSE)</f>
        <v>A varanda de Nathercia / de Alberto Pimentel. - Lisboa : Empresa Litteraria de Lisboa, [1880]. Celebrações (1880), recepção criativa.</v>
      </c>
      <c r="M616" s="12" t="str">
        <f>HYPERLINK(J616)</f>
        <v>https://permalinkbnd.bnportugal.gov.pt/viewer/278039/?offset=#page=24&amp;viewer=picture&amp;o=info&amp;n=0&amp;q=</v>
      </c>
      <c r="N616" s="12" t="s">
        <v>1497</v>
      </c>
      <c r="O616" s="12" t="str">
        <f>CONCATENATE(N616,A616,"\",B616,"\",C616,".jpg")</f>
        <v>C:\Users\mbaptista\OneDrive - Biblioteca Nacional de Portugal\Documentos\python\camoniana\imagens\capas\330080\1\24.jpg</v>
      </c>
      <c r="P616" s="12" t="str">
        <f>HYPERLINK(O616)</f>
        <v>C:\Users\mbaptista\OneDrive - Biblioteca Nacional de Portugal\Documentos\python\camoniana\imagens\capas\330080\1\24.jpg</v>
      </c>
      <c r="Q616" s="12"/>
      <c r="R616" s="6" t="s">
        <v>848</v>
      </c>
      <c r="S616" s="12"/>
      <c r="T616" s="1">
        <v>24</v>
      </c>
      <c r="U616" s="13"/>
      <c r="V616" s="13"/>
      <c r="W616" s="5" t="s">
        <v>1491</v>
      </c>
    </row>
    <row r="617" spans="1:23" ht="225">
      <c r="A617" s="1">
        <v>330133</v>
      </c>
      <c r="B617" s="1">
        <v>1</v>
      </c>
      <c r="C617" s="1">
        <v>8</v>
      </c>
      <c r="D617" s="2" t="s">
        <v>849</v>
      </c>
      <c r="E617" s="11" t="s">
        <v>849</v>
      </c>
      <c r="F617" s="11">
        <v>278038</v>
      </c>
      <c r="G617" s="2" t="s">
        <v>1494</v>
      </c>
      <c r="H617" s="2" t="s">
        <v>1495</v>
      </c>
      <c r="I617" s="2" t="s">
        <v>1496</v>
      </c>
      <c r="J617" s="2" t="str">
        <f>CONCATENATE(G617,F617,H617,C617,I617)</f>
        <v>https://permalinkbnd.bnportugal.gov.pt/viewer/278038/?offset=#page=8&amp;viewer=picture&amp;o=info&amp;n=0&amp;q=</v>
      </c>
      <c r="K617" s="1" t="s">
        <v>850</v>
      </c>
      <c r="L617" s="1" t="str">
        <f>VLOOKUP(A617,Folha2!$A$2:$B$2019,2,FALSE)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7" s="12" t="str">
        <f>HYPERLINK(J617)</f>
        <v>https://permalinkbnd.bnportugal.gov.pt/viewer/278038/?offset=#page=8&amp;viewer=picture&amp;o=info&amp;n=0&amp;q=</v>
      </c>
      <c r="N617" s="12" t="s">
        <v>1497</v>
      </c>
      <c r="O617" s="12" t="str">
        <f>CONCATENATE(N617,A617,"\",B617,"\",C617,".jpg")</f>
        <v>C:\Users\mbaptista\OneDrive - Biblioteca Nacional de Portugal\Documentos\python\camoniana\imagens\capas\330133\1\8.jpg</v>
      </c>
      <c r="P617" s="12" t="str">
        <f>HYPERLINK(O617)</f>
        <v>C:\Users\mbaptista\OneDrive - Biblioteca Nacional de Portugal\Documentos\python\camoniana\imagens\capas\330133\1\8.jpg</v>
      </c>
      <c r="Q617" s="12"/>
      <c r="R617" s="6" t="s">
        <v>852</v>
      </c>
      <c r="S617" s="12"/>
      <c r="T617" s="1" t="s">
        <v>851</v>
      </c>
      <c r="U617" s="13"/>
      <c r="V617" s="13"/>
      <c r="W617" s="5" t="s">
        <v>1491</v>
      </c>
    </row>
    <row r="618" spans="1:23" ht="225">
      <c r="A618" s="1">
        <v>330133</v>
      </c>
      <c r="B618" s="1">
        <v>1</v>
      </c>
      <c r="C618" s="1">
        <v>303</v>
      </c>
      <c r="D618" s="2" t="s">
        <v>849</v>
      </c>
      <c r="E618" s="5" t="s">
        <v>849</v>
      </c>
      <c r="F618" s="5">
        <v>278038</v>
      </c>
      <c r="G618" s="2" t="s">
        <v>1494</v>
      </c>
      <c r="H618" s="2" t="s">
        <v>1495</v>
      </c>
      <c r="I618" s="2" t="s">
        <v>1496</v>
      </c>
      <c r="J618" s="2" t="str">
        <f>CONCATENATE(G618,F618,H618,C618,I618)</f>
        <v>https://permalinkbnd.bnportugal.gov.pt/viewer/278038/?offset=#page=303&amp;viewer=picture&amp;o=info&amp;n=0&amp;q=</v>
      </c>
      <c r="K618" s="1" t="s">
        <v>850</v>
      </c>
      <c r="L618" s="1" t="str">
        <f>VLOOKUP(A618,Folha2!$A$2:$B$2019,2,FALSE)</f>
        <v>Camões : estudo histórico poetico liberrimamente fundado sobre um drama francez dos senhores Victor Perrot e Armando du Mesnil / por Antonio Feliciano de Castilho. - Ponta Delgada : Typ. da Rua das Artes 68, 1849. Referência a Maria Leonor da Câmara Sampaio, autora de um retrato/desenho de Camões, cf. Im. 213. Refere trasladação de Camões. "Talentos feminis", cf. Im. 275.</v>
      </c>
      <c r="M618" s="12" t="str">
        <f>HYPERLINK(J618)</f>
        <v>https://permalinkbnd.bnportugal.gov.pt/viewer/278038/?offset=#page=303&amp;viewer=picture&amp;o=info&amp;n=0&amp;q=</v>
      </c>
      <c r="N618" s="12" t="s">
        <v>1497</v>
      </c>
      <c r="O618" s="12" t="str">
        <f>CONCATENATE(N618,A618,"\",B618,"\",C618,".jpg")</f>
        <v>C:\Users\mbaptista\OneDrive - Biblioteca Nacional de Portugal\Documentos\python\camoniana\imagens\capas\330133\1\303.jpg</v>
      </c>
      <c r="P618" s="12" t="str">
        <f>HYPERLINK(O618)</f>
        <v>C:\Users\mbaptista\OneDrive - Biblioteca Nacional de Portugal\Documentos\python\camoniana\imagens\capas\330133\1\303.jpg</v>
      </c>
      <c r="Q618" s="12"/>
      <c r="R618" s="6" t="s">
        <v>853</v>
      </c>
      <c r="S618" s="12"/>
      <c r="T618" s="1" t="s">
        <v>851</v>
      </c>
      <c r="U618" s="13"/>
      <c r="V618" s="13"/>
      <c r="W618" s="5" t="s">
        <v>1491</v>
      </c>
    </row>
    <row r="619" spans="1:23" ht="225">
      <c r="A619" s="1">
        <v>473486</v>
      </c>
      <c r="B619" s="1">
        <v>1</v>
      </c>
      <c r="C619" s="1">
        <v>68</v>
      </c>
      <c r="D619" s="2" t="s">
        <v>854</v>
      </c>
      <c r="E619" s="11" t="s">
        <v>854</v>
      </c>
      <c r="F619" s="11">
        <v>278031</v>
      </c>
      <c r="G619" s="2" t="s">
        <v>1494</v>
      </c>
      <c r="H619" s="2" t="s">
        <v>1495</v>
      </c>
      <c r="I619" s="2" t="s">
        <v>1496</v>
      </c>
      <c r="J619" s="2" t="str">
        <f>CONCATENATE(G619,F619,H619,C619,I619)</f>
        <v>https://permalinkbnd.bnportugal.gov.pt/viewer/278031/?offset=#page=68&amp;viewer=picture&amp;o=info&amp;n=0&amp;q=</v>
      </c>
      <c r="K619" s="1" t="s">
        <v>855</v>
      </c>
      <c r="L619" s="1" t="str">
        <f>VLOOKUP(A619,Folha2!$A$2:$B$2019,2,FALSE)</f>
        <v>Discurso apologético a favor do insigne poeta Luis de Camões contra o L do Manoel Pires de Almeida / João Franco Barreto ; pref. Tomás Norton. 1847 . Manuscrito. Fragmento impresso de notícia sobre os restos mortais de Gama, cf. 67.</v>
      </c>
      <c r="M619" s="12" t="str">
        <f>HYPERLINK(J619)</f>
        <v>https://permalinkbnd.bnportugal.gov.pt/viewer/278031/?offset=#page=68&amp;viewer=picture&amp;o=info&amp;n=0&amp;q=</v>
      </c>
      <c r="N619" s="12" t="s">
        <v>1497</v>
      </c>
      <c r="O619" s="12" t="str">
        <f>CONCATENATE(N619,A619,"\",B619,"\",C619,".jpg")</f>
        <v>C:\Users\mbaptista\OneDrive - Biblioteca Nacional de Portugal\Documentos\python\camoniana\imagens\capas\473486\1\68.jpg</v>
      </c>
      <c r="P619" s="12" t="str">
        <f>HYPERLINK(O619)</f>
        <v>C:\Users\mbaptista\OneDrive - Biblioteca Nacional de Portugal\Documentos\python\camoniana\imagens\capas\473486\1\68.jpg</v>
      </c>
      <c r="Q619" s="12"/>
      <c r="R619" s="6" t="s">
        <v>856</v>
      </c>
      <c r="S619" s="12"/>
      <c r="T619" s="1"/>
      <c r="U619" s="13"/>
      <c r="V619" s="13"/>
      <c r="W619" s="5" t="s">
        <v>1491</v>
      </c>
    </row>
    <row r="620" spans="1:23" ht="225">
      <c r="A620" s="1">
        <v>473496</v>
      </c>
      <c r="B620" s="1">
        <v>1</v>
      </c>
      <c r="C620" s="1">
        <v>1</v>
      </c>
      <c r="D620" s="2" t="s">
        <v>857</v>
      </c>
      <c r="E620" s="5" t="s">
        <v>857</v>
      </c>
      <c r="F620" s="5">
        <v>278032</v>
      </c>
      <c r="G620" s="2" t="s">
        <v>1494</v>
      </c>
      <c r="H620" s="2" t="s">
        <v>1495</v>
      </c>
      <c r="I620" s="2" t="s">
        <v>1496</v>
      </c>
      <c r="J620" s="2" t="str">
        <f>CONCATENATE(G620,F620,H620,C620,I620)</f>
        <v>https://permalinkbnd.bnportugal.gov.pt/viewer/278032/?offset=#page=1&amp;viewer=picture&amp;o=info&amp;n=0&amp;q=</v>
      </c>
      <c r="K620" s="1" t="s">
        <v>858</v>
      </c>
      <c r="L620" s="1" t="str">
        <f>VLOOKUP(A620,Folha2!$A$2:$B$2019,2,FALSE)</f>
        <v>[Notas biográficas e bibliográficas e relação das obras de Luís de Camões] / Tomás Norton. Manuscrito. Contém traduções de estrofes de Os Lusíadas, cf. Im. 113-114.</v>
      </c>
      <c r="M620" s="12" t="str">
        <f>HYPERLINK(J620)</f>
        <v>https://permalinkbnd.bnportugal.gov.pt/viewer/278032/?offset=#page=1&amp;viewer=picture&amp;o=info&amp;n=0&amp;q=</v>
      </c>
      <c r="N620" s="12" t="s">
        <v>1497</v>
      </c>
      <c r="O620" s="12" t="str">
        <f>CONCATENATE(N620,A620,"\",B620,"\",C620,".jpg")</f>
        <v>C:\Users\mbaptista\OneDrive - Biblioteca Nacional de Portugal\Documentos\python\camoniana\imagens\capas\473496\1\1.jpg</v>
      </c>
      <c r="P620" s="12" t="str">
        <f>HYPERLINK(O620)</f>
        <v>C:\Users\mbaptista\OneDrive - Biblioteca Nacional de Portugal\Documentos\python\camoniana\imagens\capas\473496\1\1.jpg</v>
      </c>
      <c r="Q620" s="12"/>
      <c r="R620" s="6" t="s">
        <v>859</v>
      </c>
      <c r="S620" s="12"/>
      <c r="T620" s="1">
        <v>1</v>
      </c>
      <c r="U620" s="13"/>
      <c r="V620" s="13"/>
      <c r="W620" s="5" t="s">
        <v>1491</v>
      </c>
    </row>
    <row r="621" spans="1:23" ht="225">
      <c r="A621" s="1">
        <v>330264</v>
      </c>
      <c r="B621" s="1">
        <v>1</v>
      </c>
      <c r="C621" s="1">
        <v>136</v>
      </c>
      <c r="D621" s="2" t="s">
        <v>860</v>
      </c>
      <c r="E621" s="11" t="s">
        <v>860</v>
      </c>
      <c r="F621" s="11">
        <v>278097</v>
      </c>
      <c r="G621" s="2" t="s">
        <v>1494</v>
      </c>
      <c r="H621" s="2" t="s">
        <v>1495</v>
      </c>
      <c r="I621" s="2" t="s">
        <v>1496</v>
      </c>
      <c r="J621" s="2" t="str">
        <f>CONCATENATE(G621,F621,H621,C621,I621)</f>
        <v>https://permalinkbnd.bnportugal.gov.pt/viewer/278097/?offset=#page=136&amp;viewer=picture&amp;o=info&amp;n=0&amp;q=</v>
      </c>
      <c r="K621" s="1" t="s">
        <v>861</v>
      </c>
      <c r="L621" s="1" t="str">
        <f>VLOOKUP(A621,Folha2!$A$2:$B$2019,2,FALSE)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1" s="12" t="str">
        <f>HYPERLINK(J621)</f>
        <v>https://permalinkbnd.bnportugal.gov.pt/viewer/278097/?offset=#page=136&amp;viewer=picture&amp;o=info&amp;n=0&amp;q=</v>
      </c>
      <c r="N621" s="12" t="s">
        <v>1497</v>
      </c>
      <c r="O621" s="12" t="str">
        <f>CONCATENATE(N621,A621,"\",B621,"\",C621,".jpg")</f>
        <v>C:\Users\mbaptista\OneDrive - Biblioteca Nacional de Portugal\Documentos\python\camoniana\imagens\capas\330264\1\136.jpg</v>
      </c>
      <c r="P621" s="12" t="str">
        <f>HYPERLINK(O621)</f>
        <v>C:\Users\mbaptista\OneDrive - Biblioteca Nacional de Portugal\Documentos\python\camoniana\imagens\capas\330264\1\136.jpg</v>
      </c>
      <c r="Q621" s="12"/>
      <c r="R621" s="6" t="s">
        <v>863</v>
      </c>
      <c r="S621" s="12"/>
      <c r="T621" s="1" t="s">
        <v>862</v>
      </c>
      <c r="U621" s="13"/>
      <c r="V621" s="13"/>
      <c r="W621" s="5" t="s">
        <v>1491</v>
      </c>
    </row>
    <row r="622" spans="1:23" ht="225">
      <c r="A622" s="1">
        <v>330264</v>
      </c>
      <c r="B622" s="1">
        <v>1</v>
      </c>
      <c r="C622" s="1">
        <v>138</v>
      </c>
      <c r="D622" s="2" t="s">
        <v>860</v>
      </c>
      <c r="E622" s="5" t="s">
        <v>860</v>
      </c>
      <c r="F622" s="5">
        <v>278097</v>
      </c>
      <c r="G622" s="2" t="s">
        <v>1494</v>
      </c>
      <c r="H622" s="2" t="s">
        <v>1495</v>
      </c>
      <c r="I622" s="2" t="s">
        <v>1496</v>
      </c>
      <c r="J622" s="2" t="str">
        <f>CONCATENATE(G622,F622,H622,C622,I622)</f>
        <v>https://permalinkbnd.bnportugal.gov.pt/viewer/278097/?offset=#page=138&amp;viewer=picture&amp;o=info&amp;n=0&amp;q=</v>
      </c>
      <c r="K622" s="1" t="s">
        <v>861</v>
      </c>
      <c r="L622" s="1" t="str">
        <f>VLOOKUP(A622,Folha2!$A$2:$B$2019,2,FALSE)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2" s="12" t="str">
        <f>HYPERLINK(J622)</f>
        <v>https://permalinkbnd.bnportugal.gov.pt/viewer/278097/?offset=#page=138&amp;viewer=picture&amp;o=info&amp;n=0&amp;q=</v>
      </c>
      <c r="N622" s="12" t="s">
        <v>1497</v>
      </c>
      <c r="O622" s="12" t="str">
        <f>CONCATENATE(N622,A622,"\",B622,"\",C622,".jpg")</f>
        <v>C:\Users\mbaptista\OneDrive - Biblioteca Nacional de Portugal\Documentos\python\camoniana\imagens\capas\330264\1\138.jpg</v>
      </c>
      <c r="P622" s="12" t="str">
        <f>HYPERLINK(O622)</f>
        <v>C:\Users\mbaptista\OneDrive - Biblioteca Nacional de Portugal\Documentos\python\camoniana\imagens\capas\330264\1\138.jpg</v>
      </c>
      <c r="Q622" s="12"/>
      <c r="R622" s="6" t="s">
        <v>864</v>
      </c>
      <c r="S622" s="12"/>
      <c r="T622" s="1" t="s">
        <v>862</v>
      </c>
      <c r="U622" s="13"/>
      <c r="V622" s="13"/>
      <c r="W622" s="5" t="s">
        <v>1491</v>
      </c>
    </row>
    <row r="623" spans="1:23" ht="225">
      <c r="A623" s="1">
        <v>330264</v>
      </c>
      <c r="B623" s="1">
        <v>1</v>
      </c>
      <c r="C623" s="1">
        <v>140</v>
      </c>
      <c r="D623" s="2" t="s">
        <v>860</v>
      </c>
      <c r="E623" s="11" t="s">
        <v>860</v>
      </c>
      <c r="F623" s="11">
        <v>278097</v>
      </c>
      <c r="G623" s="2" t="s">
        <v>1494</v>
      </c>
      <c r="H623" s="2" t="s">
        <v>1495</v>
      </c>
      <c r="I623" s="2" t="s">
        <v>1496</v>
      </c>
      <c r="J623" s="2" t="str">
        <f>CONCATENATE(G623,F623,H623,C623,I623)</f>
        <v>https://permalinkbnd.bnportugal.gov.pt/viewer/278097/?offset=#page=140&amp;viewer=picture&amp;o=info&amp;n=0&amp;q=</v>
      </c>
      <c r="K623" s="1" t="s">
        <v>861</v>
      </c>
      <c r="L623" s="1" t="str">
        <f>VLOOKUP(A623,Folha2!$A$2:$B$2019,2,FALSE)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3" s="12" t="str">
        <f>HYPERLINK(J623)</f>
        <v>https://permalinkbnd.bnportugal.gov.pt/viewer/278097/?offset=#page=140&amp;viewer=picture&amp;o=info&amp;n=0&amp;q=</v>
      </c>
      <c r="N623" s="12" t="s">
        <v>1497</v>
      </c>
      <c r="O623" s="12" t="str">
        <f>CONCATENATE(N623,A623,"\",B623,"\",C623,".jpg")</f>
        <v>C:\Users\mbaptista\OneDrive - Biblioteca Nacional de Portugal\Documentos\python\camoniana\imagens\capas\330264\1\140.jpg</v>
      </c>
      <c r="P623" s="12" t="str">
        <f>HYPERLINK(O623)</f>
        <v>C:\Users\mbaptista\OneDrive - Biblioteca Nacional de Portugal\Documentos\python\camoniana\imagens\capas\330264\1\140.jpg</v>
      </c>
      <c r="Q623" s="12"/>
      <c r="R623" s="6" t="s">
        <v>865</v>
      </c>
      <c r="S623" s="12"/>
      <c r="T623" s="1" t="s">
        <v>862</v>
      </c>
      <c r="U623" s="13"/>
      <c r="V623" s="13"/>
      <c r="W623" s="5" t="s">
        <v>1491</v>
      </c>
    </row>
    <row r="624" spans="1:23" ht="225">
      <c r="A624" s="1">
        <v>330264</v>
      </c>
      <c r="B624" s="1">
        <v>1</v>
      </c>
      <c r="C624" s="1">
        <v>142</v>
      </c>
      <c r="D624" s="2" t="s">
        <v>860</v>
      </c>
      <c r="E624" s="5" t="s">
        <v>860</v>
      </c>
      <c r="F624" s="5">
        <v>278097</v>
      </c>
      <c r="G624" s="2" t="s">
        <v>1494</v>
      </c>
      <c r="H624" s="2" t="s">
        <v>1495</v>
      </c>
      <c r="I624" s="2" t="s">
        <v>1496</v>
      </c>
      <c r="J624" s="2" t="str">
        <f>CONCATENATE(G624,F624,H624,C624,I624)</f>
        <v>https://permalinkbnd.bnportugal.gov.pt/viewer/278097/?offset=#page=142&amp;viewer=picture&amp;o=info&amp;n=0&amp;q=</v>
      </c>
      <c r="K624" s="1" t="s">
        <v>861</v>
      </c>
      <c r="L624" s="1" t="str">
        <f>VLOOKUP(A624,Folha2!$A$2:$B$2019,2,FALSE)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4" s="12" t="str">
        <f>HYPERLINK(J624)</f>
        <v>https://permalinkbnd.bnportugal.gov.pt/viewer/278097/?offset=#page=142&amp;viewer=picture&amp;o=info&amp;n=0&amp;q=</v>
      </c>
      <c r="N624" s="12" t="s">
        <v>1497</v>
      </c>
      <c r="O624" s="12" t="str">
        <f>CONCATENATE(N624,A624,"\",B624,"\",C624,".jpg")</f>
        <v>C:\Users\mbaptista\OneDrive - Biblioteca Nacional de Portugal\Documentos\python\camoniana\imagens\capas\330264\1\142.jpg</v>
      </c>
      <c r="P624" s="12" t="str">
        <f>HYPERLINK(O624)</f>
        <v>C:\Users\mbaptista\OneDrive - Biblioteca Nacional de Portugal\Documentos\python\camoniana\imagens\capas\330264\1\142.jpg</v>
      </c>
      <c r="Q624" s="12"/>
      <c r="R624" s="6" t="s">
        <v>866</v>
      </c>
      <c r="S624" s="12"/>
      <c r="T624" s="1" t="s">
        <v>862</v>
      </c>
      <c r="U624" s="13"/>
      <c r="V624" s="13"/>
      <c r="W624" s="5" t="s">
        <v>1491</v>
      </c>
    </row>
    <row r="625" spans="1:23" ht="225">
      <c r="A625" s="1">
        <v>330264</v>
      </c>
      <c r="B625" s="1">
        <v>1</v>
      </c>
      <c r="C625" s="1">
        <v>144</v>
      </c>
      <c r="D625" s="2" t="s">
        <v>860</v>
      </c>
      <c r="E625" s="11" t="s">
        <v>860</v>
      </c>
      <c r="F625" s="11">
        <v>278097</v>
      </c>
      <c r="G625" s="2" t="s">
        <v>1494</v>
      </c>
      <c r="H625" s="2" t="s">
        <v>1495</v>
      </c>
      <c r="I625" s="2" t="s">
        <v>1496</v>
      </c>
      <c r="J625" s="2" t="str">
        <f>CONCATENATE(G625,F625,H625,C625,I625)</f>
        <v>https://permalinkbnd.bnportugal.gov.pt/viewer/278097/?offset=#page=144&amp;viewer=picture&amp;o=info&amp;n=0&amp;q=</v>
      </c>
      <c r="K625" s="1" t="s">
        <v>861</v>
      </c>
      <c r="L625" s="1" t="str">
        <f>VLOOKUP(A625,Folha2!$A$2:$B$2019,2,FALSE)</f>
        <v>A verdade ácerca dos ossos de Camões / pelo padre Sebastião de Almeida Viegas.... - Lisboa : Typ. da Acdemia Real das Sciencias, 1893. Planta da Igreja do Mosteiro das Freiras de Santana; planta da pedra da sepultura; alçado de parede, Im. 140;  a mesma Igreja, Im. 142; planta da Biblioteca de Lisboa, Im. 144. Lugares de Memória.</v>
      </c>
      <c r="M625" s="12" t="str">
        <f>HYPERLINK(J625)</f>
        <v>https://permalinkbnd.bnportugal.gov.pt/viewer/278097/?offset=#page=144&amp;viewer=picture&amp;o=info&amp;n=0&amp;q=</v>
      </c>
      <c r="N625" s="12" t="s">
        <v>1497</v>
      </c>
      <c r="O625" s="12" t="str">
        <f>CONCATENATE(N625,A625,"\",B625,"\",C625,".jpg")</f>
        <v>C:\Users\mbaptista\OneDrive - Biblioteca Nacional de Portugal\Documentos\python\camoniana\imagens\capas\330264\1\144.jpg</v>
      </c>
      <c r="P625" s="12" t="str">
        <f>HYPERLINK(O625)</f>
        <v>C:\Users\mbaptista\OneDrive - Biblioteca Nacional de Portugal\Documentos\python\camoniana\imagens\capas\330264\1\144.jpg</v>
      </c>
      <c r="Q625" s="12"/>
      <c r="R625" s="6" t="s">
        <v>867</v>
      </c>
      <c r="S625" s="12"/>
      <c r="T625" s="1" t="s">
        <v>862</v>
      </c>
      <c r="U625" s="13"/>
      <c r="V625" s="13"/>
      <c r="W625" s="5" t="s">
        <v>1491</v>
      </c>
    </row>
    <row r="626" spans="1:23" ht="225">
      <c r="A626" s="1">
        <v>455278</v>
      </c>
      <c r="B626" s="1">
        <v>1</v>
      </c>
      <c r="C626" s="1">
        <v>8</v>
      </c>
      <c r="D626" s="2" t="s">
        <v>868</v>
      </c>
      <c r="E626" s="5" t="s">
        <v>868</v>
      </c>
      <c r="F626" s="5">
        <v>278099</v>
      </c>
      <c r="G626" s="2" t="s">
        <v>1494</v>
      </c>
      <c r="H626" s="2" t="s">
        <v>1495</v>
      </c>
      <c r="I626" s="2" t="s">
        <v>1496</v>
      </c>
      <c r="J626" s="2" t="str">
        <f>CONCATENATE(G626,F626,H626,C626,I626)</f>
        <v>https://permalinkbnd.bnportugal.gov.pt/viewer/278099/?offset=#page=8&amp;viewer=picture&amp;o=info&amp;n=0&amp;q=</v>
      </c>
      <c r="K626" s="1" t="s">
        <v>869</v>
      </c>
      <c r="L626" s="1" t="str">
        <f>VLOOKUP(A626,Folha2!$A$2:$B$2019,2,FALSE)</f>
        <v>Les portugais : poëme en dix chants / par Camoens. - Limoges : Impr. Marc Barbou et C i e, [18-], sem argumentos.</v>
      </c>
      <c r="M626" s="12" t="str">
        <f>HYPERLINK(J626)</f>
        <v>https://permalinkbnd.bnportugal.gov.pt/viewer/278099/?offset=#page=8&amp;viewer=picture&amp;o=info&amp;n=0&amp;q=</v>
      </c>
      <c r="N626" s="12" t="s">
        <v>1497</v>
      </c>
      <c r="O626" s="12" t="str">
        <f>CONCATENATE(N626,A626,"\",B626,"\",C626,".jpg")</f>
        <v>C:\Users\mbaptista\OneDrive - Biblioteca Nacional de Portugal\Documentos\python\camoniana\imagens\capas\455278\1\8.jpg</v>
      </c>
      <c r="P626" s="12" t="str">
        <f>HYPERLINK(O626)</f>
        <v>C:\Users\mbaptista\OneDrive - Biblioteca Nacional de Portugal\Documentos\python\camoniana\imagens\capas\455278\1\8.jpg</v>
      </c>
      <c r="Q626" s="12"/>
      <c r="R626" s="6" t="s">
        <v>870</v>
      </c>
      <c r="S626" s="12"/>
      <c r="T626" s="1">
        <v>8</v>
      </c>
      <c r="U626" s="13"/>
      <c r="V626" s="13"/>
      <c r="W626" s="5" t="s">
        <v>1491</v>
      </c>
    </row>
    <row r="627" spans="1:23" ht="225">
      <c r="A627" s="1">
        <v>367321</v>
      </c>
      <c r="B627" s="1">
        <v>1</v>
      </c>
      <c r="C627" s="1">
        <v>5</v>
      </c>
      <c r="D627" s="2" t="s">
        <v>871</v>
      </c>
      <c r="E627" s="11" t="s">
        <v>871</v>
      </c>
      <c r="F627" s="11">
        <v>1897</v>
      </c>
      <c r="G627" s="2" t="s">
        <v>1494</v>
      </c>
      <c r="H627" s="2" t="s">
        <v>1495</v>
      </c>
      <c r="I627" s="2" t="s">
        <v>1496</v>
      </c>
      <c r="J627" s="2" t="str">
        <f>CONCATENATE(G627,F627,H627,C627,I627)</f>
        <v>https://permalinkbnd.bnportugal.gov.pt/viewer/1897/?offset=#page=5&amp;viewer=picture&amp;o=info&amp;n=0&amp;q=</v>
      </c>
      <c r="K627" s="1" t="s">
        <v>872</v>
      </c>
      <c r="L627" s="1" t="str">
        <f>VLOOKUP(A627,Folha2!$A$2:$B$2019,2,FALSE)</f>
        <v>Almanach Vasco da Gama para o anno de 1897 / por Eduardo Braga. - A. 1 (1897). Epígrafes de Camões: Canto X; Canto III; Canto I; Fragmentos: Canto VIII; Canto I; C. X;  Nota sobre o valor que o Poeta recebia do Estado, cf. Im. 63. Insere-se em periódicos (1898)?</v>
      </c>
      <c r="M627" s="12" t="str">
        <f>HYPERLINK(J627)</f>
        <v>https://permalinkbnd.bnportugal.gov.pt/viewer/1897/?offset=#page=5&amp;viewer=picture&amp;o=info&amp;n=0&amp;q=</v>
      </c>
      <c r="N627" s="12" t="s">
        <v>1497</v>
      </c>
      <c r="O627" s="12" t="str">
        <f>CONCATENATE(N627,A627,"\",B627,"\",C627,".jpg")</f>
        <v>C:\Users\mbaptista\OneDrive - Biblioteca Nacional de Portugal\Documentos\python\camoniana\imagens\capas\367321\1\5.jpg</v>
      </c>
      <c r="P627" s="12" t="str">
        <f>HYPERLINK(O627)</f>
        <v>C:\Users\mbaptista\OneDrive - Biblioteca Nacional de Portugal\Documentos\python\camoniana\imagens\capas\367321\1\5.jpg</v>
      </c>
      <c r="Q627" s="12"/>
      <c r="R627" s="6" t="s">
        <v>874</v>
      </c>
      <c r="S627" s="12"/>
      <c r="T627" s="1" t="s">
        <v>873</v>
      </c>
      <c r="U627" s="13"/>
      <c r="V627" s="13"/>
      <c r="W627" s="5" t="s">
        <v>1491</v>
      </c>
    </row>
    <row r="628" spans="1:23" ht="225">
      <c r="A628" s="1">
        <v>367321</v>
      </c>
      <c r="B628" s="1">
        <v>1</v>
      </c>
      <c r="C628" s="1">
        <v>39</v>
      </c>
      <c r="D628" s="2" t="s">
        <v>871</v>
      </c>
      <c r="E628" s="5" t="s">
        <v>871</v>
      </c>
      <c r="F628" s="5">
        <v>1897</v>
      </c>
      <c r="G628" s="2" t="s">
        <v>1494</v>
      </c>
      <c r="H628" s="2" t="s">
        <v>1495</v>
      </c>
      <c r="I628" s="2" t="s">
        <v>1496</v>
      </c>
      <c r="J628" s="2" t="str">
        <f>CONCATENATE(G628,F628,H628,C628,I628)</f>
        <v>https://permalinkbnd.bnportugal.gov.pt/viewer/1897/?offset=#page=39&amp;viewer=picture&amp;o=info&amp;n=0&amp;q=</v>
      </c>
      <c r="K628" s="1" t="s">
        <v>872</v>
      </c>
      <c r="L628" s="1" t="str">
        <f>VLOOKUP(A628,Folha2!$A$2:$B$2019,2,FALSE)</f>
        <v>Almanach Vasco da Gama para o anno de 1897 / por Eduardo Braga. - A. 1 (1897). Epígrafes de Camões: Canto X; Canto III; Canto I; Fragmentos: Canto VIII; Canto I; C. X;  Nota sobre o valor que o Poeta recebia do Estado, cf. Im. 63. Insere-se em periódicos (1898)?</v>
      </c>
      <c r="M628" s="12" t="str">
        <f>HYPERLINK(J628)</f>
        <v>https://permalinkbnd.bnportugal.gov.pt/viewer/1897/?offset=#page=39&amp;viewer=picture&amp;o=info&amp;n=0&amp;q=</v>
      </c>
      <c r="N628" s="12" t="s">
        <v>1497</v>
      </c>
      <c r="O628" s="12" t="str">
        <f>CONCATENATE(N628,A628,"\",B628,"\",C628,".jpg")</f>
        <v>C:\Users\mbaptista\OneDrive - Biblioteca Nacional de Portugal\Documentos\python\camoniana\imagens\capas\367321\1\39.jpg</v>
      </c>
      <c r="P628" s="12" t="str">
        <f>HYPERLINK(O628)</f>
        <v>C:\Users\mbaptista\OneDrive - Biblioteca Nacional de Portugal\Documentos\python\camoniana\imagens\capas\367321\1\39.jpg</v>
      </c>
      <c r="Q628" s="12"/>
      <c r="R628" s="6" t="s">
        <v>875</v>
      </c>
      <c r="S628" s="12"/>
      <c r="T628" s="1" t="s">
        <v>873</v>
      </c>
      <c r="U628" s="13"/>
      <c r="V628" s="13"/>
      <c r="W628" s="5" t="s">
        <v>1491</v>
      </c>
    </row>
    <row r="629" spans="1:23" ht="225">
      <c r="A629" s="1">
        <v>367321</v>
      </c>
      <c r="B629" s="1">
        <v>1</v>
      </c>
      <c r="C629" s="1">
        <v>71</v>
      </c>
      <c r="D629" s="2" t="s">
        <v>871</v>
      </c>
      <c r="E629" s="11" t="s">
        <v>871</v>
      </c>
      <c r="F629" s="11">
        <v>1897</v>
      </c>
      <c r="G629" s="2" t="s">
        <v>1494</v>
      </c>
      <c r="H629" s="2" t="s">
        <v>1495</v>
      </c>
      <c r="I629" s="2" t="s">
        <v>1496</v>
      </c>
      <c r="J629" s="2" t="str">
        <f>CONCATENATE(G629,F629,H629,C629,I629)</f>
        <v>https://permalinkbnd.bnportugal.gov.pt/viewer/1897/?offset=#page=71&amp;viewer=picture&amp;o=info&amp;n=0&amp;q=</v>
      </c>
      <c r="K629" s="1" t="s">
        <v>872</v>
      </c>
      <c r="L629" s="1" t="str">
        <f>VLOOKUP(A629,Folha2!$A$2:$B$2019,2,FALSE)</f>
        <v>Almanach Vasco da Gama para o anno de 1897 / por Eduardo Braga. - A. 1 (1897). Epígrafes de Camões: Canto X; Canto III; Canto I; Fragmentos: Canto VIII; Canto I; C. X;  Nota sobre o valor que o Poeta recebia do Estado, cf. Im. 63. Insere-se em periódicos (1898)?</v>
      </c>
      <c r="M629" s="12" t="str">
        <f>HYPERLINK(J629)</f>
        <v>https://permalinkbnd.bnportugal.gov.pt/viewer/1897/?offset=#page=71&amp;viewer=picture&amp;o=info&amp;n=0&amp;q=</v>
      </c>
      <c r="N629" s="12" t="s">
        <v>1497</v>
      </c>
      <c r="O629" s="12" t="str">
        <f>CONCATENATE(N629,A629,"\",B629,"\",C629,".jpg")</f>
        <v>C:\Users\mbaptista\OneDrive - Biblioteca Nacional de Portugal\Documentos\python\camoniana\imagens\capas\367321\1\71.jpg</v>
      </c>
      <c r="P629" s="12" t="str">
        <f>HYPERLINK(O629)</f>
        <v>C:\Users\mbaptista\OneDrive - Biblioteca Nacional de Portugal\Documentos\python\camoniana\imagens\capas\367321\1\71.jpg</v>
      </c>
      <c r="Q629" s="12"/>
      <c r="R629" s="6" t="s">
        <v>876</v>
      </c>
      <c r="S629" s="12"/>
      <c r="T629" s="1" t="s">
        <v>873</v>
      </c>
      <c r="U629" s="13"/>
      <c r="V629" s="13"/>
      <c r="W629" s="5" t="s">
        <v>1491</v>
      </c>
    </row>
    <row r="630" spans="1:23" ht="225">
      <c r="A630" s="1">
        <v>367321</v>
      </c>
      <c r="B630" s="1">
        <v>1</v>
      </c>
      <c r="C630" s="1">
        <v>151</v>
      </c>
      <c r="D630" s="2" t="s">
        <v>871</v>
      </c>
      <c r="E630" s="5" t="s">
        <v>871</v>
      </c>
      <c r="F630" s="5">
        <v>1897</v>
      </c>
      <c r="G630" s="2" t="s">
        <v>1494</v>
      </c>
      <c r="H630" s="2" t="s">
        <v>1495</v>
      </c>
      <c r="I630" s="2" t="s">
        <v>1496</v>
      </c>
      <c r="J630" s="2" t="str">
        <f>CONCATENATE(G630,F630,H630,C630,I630)</f>
        <v>https://permalinkbnd.bnportugal.gov.pt/viewer/1897/?offset=#page=151&amp;viewer=picture&amp;o=info&amp;n=0&amp;q=</v>
      </c>
      <c r="K630" s="1" t="s">
        <v>872</v>
      </c>
      <c r="L630" s="1" t="str">
        <f>VLOOKUP(A630,Folha2!$A$2:$B$2019,2,FALSE)</f>
        <v>Almanach Vasco da Gama para o anno de 1897 / por Eduardo Braga. - A. 1 (1897). Epígrafes de Camões: Canto X; Canto III; Canto I; Fragmentos: Canto VIII; Canto I; C. X;  Nota sobre o valor que o Poeta recebia do Estado, cf. Im. 63. Insere-se em periódicos (1898)?</v>
      </c>
      <c r="M630" s="12" t="str">
        <f>HYPERLINK(J630)</f>
        <v>https://permalinkbnd.bnportugal.gov.pt/viewer/1897/?offset=#page=151&amp;viewer=picture&amp;o=info&amp;n=0&amp;q=</v>
      </c>
      <c r="N630" s="12" t="s">
        <v>1497</v>
      </c>
      <c r="O630" s="12" t="str">
        <f>CONCATENATE(N630,A630,"\",B630,"\",C630,".jpg")</f>
        <v>C:\Users\mbaptista\OneDrive - Biblioteca Nacional de Portugal\Documentos\python\camoniana\imagens\capas\367321\1\151.jpg</v>
      </c>
      <c r="P630" s="12" t="str">
        <f>HYPERLINK(O630)</f>
        <v>C:\Users\mbaptista\OneDrive - Biblioteca Nacional de Portugal\Documentos\python\camoniana\imagens\capas\367321\1\151.jpg</v>
      </c>
      <c r="Q630" s="12"/>
      <c r="R630" s="6" t="s">
        <v>877</v>
      </c>
      <c r="S630" s="12"/>
      <c r="T630" s="1" t="s">
        <v>873</v>
      </c>
      <c r="U630" s="13"/>
      <c r="V630" s="13"/>
      <c r="W630" s="5" t="s">
        <v>1491</v>
      </c>
    </row>
    <row r="631" spans="1:23" ht="225">
      <c r="A631" s="1">
        <v>367315</v>
      </c>
      <c r="B631" s="1">
        <v>1</v>
      </c>
      <c r="C631" s="1">
        <v>9</v>
      </c>
      <c r="D631" s="2" t="s">
        <v>878</v>
      </c>
      <c r="E631" s="11" t="s">
        <v>878</v>
      </c>
      <c r="F631" s="11">
        <v>278157</v>
      </c>
      <c r="G631" s="2" t="s">
        <v>1494</v>
      </c>
      <c r="H631" s="2" t="s">
        <v>1495</v>
      </c>
      <c r="I631" s="2" t="s">
        <v>1496</v>
      </c>
      <c r="J631" s="2" t="str">
        <f>CONCATENATE(G631,F631,H631,C631,I631)</f>
        <v>https://permalinkbnd.bnportugal.gov.pt/viewer/278157/?offset=#page=9&amp;viewer=picture&amp;o=info&amp;n=0&amp;q=</v>
      </c>
      <c r="K631" s="1" t="s">
        <v>879</v>
      </c>
      <c r="L631" s="1" t="str">
        <f>VLOOKUP(A631,Folha2!$A$2:$B$2019,2,FALSE)</f>
        <v>Centenario indiano : Album do Século : Marinha histórica do seculo XV e XVI. - Lisboa : Emp. jornal "O Seculo", [1897]. [Imagens: passagem do cabo das Tormentas; Mapa rota de Vasco da Gama e lugares de memória [Mosteiro de Belém].</v>
      </c>
      <c r="M631" s="12" t="str">
        <f>HYPERLINK(J631)</f>
        <v>https://permalinkbnd.bnportugal.gov.pt/viewer/278157/?offset=#page=9&amp;viewer=picture&amp;o=info&amp;n=0&amp;q=</v>
      </c>
      <c r="N631" s="12" t="s">
        <v>1497</v>
      </c>
      <c r="O631" s="12" t="str">
        <f>CONCATENATE(N631,A631,"\",B631,"\",C631,".jpg")</f>
        <v>C:\Users\mbaptista\OneDrive - Biblioteca Nacional de Portugal\Documentos\python\camoniana\imagens\capas\367315\1\9.jpg</v>
      </c>
      <c r="P631" s="12" t="str">
        <f>HYPERLINK(O631)</f>
        <v>C:\Users\mbaptista\OneDrive - Biblioteca Nacional de Portugal\Documentos\python\camoniana\imagens\capas\367315\1\9.jpg</v>
      </c>
      <c r="Q631" s="12"/>
      <c r="R631" s="6" t="s">
        <v>881</v>
      </c>
      <c r="S631" s="12"/>
      <c r="T631" s="1" t="s">
        <v>880</v>
      </c>
      <c r="U631" s="13"/>
      <c r="V631" s="13"/>
      <c r="W631" s="5" t="s">
        <v>1491</v>
      </c>
    </row>
    <row r="632" spans="1:23" ht="225">
      <c r="A632" s="1">
        <v>367315</v>
      </c>
      <c r="B632" s="1">
        <v>1</v>
      </c>
      <c r="C632" s="1">
        <v>10</v>
      </c>
      <c r="D632" s="2" t="s">
        <v>878</v>
      </c>
      <c r="E632" s="5" t="s">
        <v>878</v>
      </c>
      <c r="F632" s="5">
        <v>278157</v>
      </c>
      <c r="G632" s="2" t="s">
        <v>1494</v>
      </c>
      <c r="H632" s="2" t="s">
        <v>1495</v>
      </c>
      <c r="I632" s="2" t="s">
        <v>1496</v>
      </c>
      <c r="J632" s="2" t="str">
        <f>CONCATENATE(G632,F632,H632,C632,I632)</f>
        <v>https://permalinkbnd.bnportugal.gov.pt/viewer/278157/?offset=#page=10&amp;viewer=picture&amp;o=info&amp;n=0&amp;q=</v>
      </c>
      <c r="K632" s="1" t="s">
        <v>879</v>
      </c>
      <c r="L632" s="1" t="str">
        <f>VLOOKUP(A632,Folha2!$A$2:$B$2019,2,FALSE)</f>
        <v>Centenario indiano : Album do Século : Marinha histórica do seculo XV e XVI. - Lisboa : Emp. jornal "O Seculo", [1897]. [Imagens: passagem do cabo das Tormentas; Mapa rota de Vasco da Gama e lugares de memória [Mosteiro de Belém].</v>
      </c>
      <c r="M632" s="12" t="str">
        <f>HYPERLINK(J632)</f>
        <v>https://permalinkbnd.bnportugal.gov.pt/viewer/278157/?offset=#page=10&amp;viewer=picture&amp;o=info&amp;n=0&amp;q=</v>
      </c>
      <c r="N632" s="12" t="s">
        <v>1497</v>
      </c>
      <c r="O632" s="12" t="str">
        <f>CONCATENATE(N632,A632,"\",B632,"\",C632,".jpg")</f>
        <v>C:\Users\mbaptista\OneDrive - Biblioteca Nacional de Portugal\Documentos\python\camoniana\imagens\capas\367315\1\10.jpg</v>
      </c>
      <c r="P632" s="12" t="str">
        <f>HYPERLINK(O632)</f>
        <v>C:\Users\mbaptista\OneDrive - Biblioteca Nacional de Portugal\Documentos\python\camoniana\imagens\capas\367315\1\10.jpg</v>
      </c>
      <c r="Q632" s="12"/>
      <c r="R632" s="6"/>
      <c r="S632" s="12"/>
      <c r="T632" s="1"/>
      <c r="U632" s="13"/>
      <c r="V632" s="13"/>
      <c r="W632" s="5"/>
    </row>
    <row r="633" spans="1:23" ht="225">
      <c r="A633" s="1">
        <v>367315</v>
      </c>
      <c r="B633" s="1">
        <v>1</v>
      </c>
      <c r="C633" s="1">
        <v>11</v>
      </c>
      <c r="D633" s="2" t="s">
        <v>878</v>
      </c>
      <c r="E633" s="11" t="s">
        <v>878</v>
      </c>
      <c r="F633" s="11">
        <v>278157</v>
      </c>
      <c r="G633" s="2" t="s">
        <v>1494</v>
      </c>
      <c r="H633" s="2" t="s">
        <v>1495</v>
      </c>
      <c r="I633" s="2" t="s">
        <v>1496</v>
      </c>
      <c r="J633" s="2" t="str">
        <f>CONCATENATE(G633,F633,H633,C633,I633)</f>
        <v>https://permalinkbnd.bnportugal.gov.pt/viewer/278157/?offset=#page=11&amp;viewer=picture&amp;o=info&amp;n=0&amp;q=</v>
      </c>
      <c r="K633" s="1" t="s">
        <v>879</v>
      </c>
      <c r="L633" s="1" t="str">
        <f>VLOOKUP(A633,Folha2!$A$2:$B$2019,2,FALSE)</f>
        <v>Centenario indiano : Album do Século : Marinha histórica do seculo XV e XVI. - Lisboa : Emp. jornal "O Seculo", [1897]. [Imagens: passagem do cabo das Tormentas; Mapa rota de Vasco da Gama e lugares de memória [Mosteiro de Belém].</v>
      </c>
      <c r="M633" s="12" t="str">
        <f>HYPERLINK(J633)</f>
        <v>https://permalinkbnd.bnportugal.gov.pt/viewer/278157/?offset=#page=11&amp;viewer=picture&amp;o=info&amp;n=0&amp;q=</v>
      </c>
      <c r="N633" s="12" t="s">
        <v>1497</v>
      </c>
      <c r="O633" s="12" t="str">
        <f>CONCATENATE(N633,A633,"\",B633,"\",C633,".jpg")</f>
        <v>C:\Users\mbaptista\OneDrive - Biblioteca Nacional de Portugal\Documentos\python\camoniana\imagens\capas\367315\1\11.jpg</v>
      </c>
      <c r="P633" s="12" t="str">
        <f>HYPERLINK(O633)</f>
        <v>C:\Users\mbaptista\OneDrive - Biblioteca Nacional de Portugal\Documentos\python\camoniana\imagens\capas\367315\1\11.jpg</v>
      </c>
      <c r="Q633" s="12"/>
      <c r="R633" s="6" t="s">
        <v>882</v>
      </c>
      <c r="S633" s="12"/>
      <c r="T633" s="1" t="s">
        <v>880</v>
      </c>
      <c r="U633" s="13"/>
      <c r="V633" s="13"/>
      <c r="W633" s="5" t="s">
        <v>1491</v>
      </c>
    </row>
    <row r="634" spans="1:23" ht="225">
      <c r="A634" s="1">
        <v>367315</v>
      </c>
      <c r="B634" s="1">
        <v>1</v>
      </c>
      <c r="C634" s="1">
        <v>12</v>
      </c>
      <c r="D634" s="2" t="s">
        <v>878</v>
      </c>
      <c r="E634" s="5" t="s">
        <v>878</v>
      </c>
      <c r="F634" s="5">
        <v>278157</v>
      </c>
      <c r="G634" s="2" t="s">
        <v>1494</v>
      </c>
      <c r="H634" s="2" t="s">
        <v>1495</v>
      </c>
      <c r="I634" s="2" t="s">
        <v>1496</v>
      </c>
      <c r="J634" s="2" t="str">
        <f>CONCATENATE(G634,F634,H634,C634,I634)</f>
        <v>https://permalinkbnd.bnportugal.gov.pt/viewer/278157/?offset=#page=12&amp;viewer=picture&amp;o=info&amp;n=0&amp;q=</v>
      </c>
      <c r="K634" s="1" t="s">
        <v>879</v>
      </c>
      <c r="L634" s="1" t="str">
        <f>VLOOKUP(A634,Folha2!$A$2:$B$2019,2,FALSE)</f>
        <v>Centenario indiano : Album do Século : Marinha histórica do seculo XV e XVI. - Lisboa : Emp. jornal "O Seculo", [1897]. [Imagens: passagem do cabo das Tormentas; Mapa rota de Vasco da Gama e lugares de memória [Mosteiro de Belém].</v>
      </c>
      <c r="M634" s="12" t="str">
        <f>HYPERLINK(J634)</f>
        <v>https://permalinkbnd.bnportugal.gov.pt/viewer/278157/?offset=#page=12&amp;viewer=picture&amp;o=info&amp;n=0&amp;q=</v>
      </c>
      <c r="N634" s="12" t="s">
        <v>1497</v>
      </c>
      <c r="O634" s="12" t="str">
        <f>CONCATENATE(N634,A634,"\",B634,"\",C634,".jpg")</f>
        <v>C:\Users\mbaptista\OneDrive - Biblioteca Nacional de Portugal\Documentos\python\camoniana\imagens\capas\367315\1\12.jpg</v>
      </c>
      <c r="P634" s="12" t="str">
        <f>HYPERLINK(O634)</f>
        <v>C:\Users\mbaptista\OneDrive - Biblioteca Nacional de Portugal\Documentos\python\camoniana\imagens\capas\367315\1\12.jpg</v>
      </c>
      <c r="Q634" s="12"/>
      <c r="R634" s="6"/>
      <c r="S634" s="12"/>
      <c r="T634" s="1"/>
      <c r="U634" s="13"/>
      <c r="V634" s="13"/>
      <c r="W634" s="5"/>
    </row>
    <row r="635" spans="1:23" ht="225">
      <c r="A635" s="1">
        <v>367315</v>
      </c>
      <c r="B635" s="1">
        <v>1</v>
      </c>
      <c r="C635" s="1">
        <v>13</v>
      </c>
      <c r="D635" s="2" t="s">
        <v>878</v>
      </c>
      <c r="E635" s="11" t="s">
        <v>878</v>
      </c>
      <c r="F635" s="11">
        <v>278157</v>
      </c>
      <c r="G635" s="2" t="s">
        <v>1494</v>
      </c>
      <c r="H635" s="2" t="s">
        <v>1495</v>
      </c>
      <c r="I635" s="2" t="s">
        <v>1496</v>
      </c>
      <c r="J635" s="2" t="str">
        <f>CONCATENATE(G635,F635,H635,C635,I635)</f>
        <v>https://permalinkbnd.bnportugal.gov.pt/viewer/278157/?offset=#page=13&amp;viewer=picture&amp;o=info&amp;n=0&amp;q=</v>
      </c>
      <c r="K635" s="1" t="s">
        <v>879</v>
      </c>
      <c r="L635" s="1" t="str">
        <f>VLOOKUP(A635,Folha2!$A$2:$B$2019,2,FALSE)</f>
        <v>Centenario indiano : Album do Século : Marinha histórica do seculo XV e XVI. - Lisboa : Emp. jornal "O Seculo", [1897]. [Imagens: passagem do cabo das Tormentas; Mapa rota de Vasco da Gama e lugares de memória [Mosteiro de Belém].</v>
      </c>
      <c r="M635" s="12" t="str">
        <f>HYPERLINK(J635)</f>
        <v>https://permalinkbnd.bnportugal.gov.pt/viewer/278157/?offset=#page=13&amp;viewer=picture&amp;o=info&amp;n=0&amp;q=</v>
      </c>
      <c r="N635" s="12" t="s">
        <v>1497</v>
      </c>
      <c r="O635" s="12" t="str">
        <f>CONCATENATE(N635,A635,"\",B635,"\",C635,".jpg")</f>
        <v>C:\Users\mbaptista\OneDrive - Biblioteca Nacional de Portugal\Documentos\python\camoniana\imagens\capas\367315\1\13.jpg</v>
      </c>
      <c r="P635" s="12" t="str">
        <f>HYPERLINK(O635)</f>
        <v>C:\Users\mbaptista\OneDrive - Biblioteca Nacional de Portugal\Documentos\python\camoniana\imagens\capas\367315\1\13.jpg</v>
      </c>
      <c r="Q635" s="12"/>
      <c r="R635" s="6"/>
      <c r="S635" s="12"/>
      <c r="T635" s="1"/>
      <c r="U635" s="13"/>
      <c r="V635" s="13"/>
      <c r="W635" s="5"/>
    </row>
    <row r="636" spans="1:23" ht="225">
      <c r="A636" s="1">
        <v>367315</v>
      </c>
      <c r="B636" s="1">
        <v>1</v>
      </c>
      <c r="C636" s="1">
        <v>14</v>
      </c>
      <c r="D636" s="2" t="s">
        <v>878</v>
      </c>
      <c r="E636" s="5" t="s">
        <v>878</v>
      </c>
      <c r="F636" s="5">
        <v>278157</v>
      </c>
      <c r="G636" s="2" t="s">
        <v>1494</v>
      </c>
      <c r="H636" s="2" t="s">
        <v>1495</v>
      </c>
      <c r="I636" s="2" t="s">
        <v>1496</v>
      </c>
      <c r="J636" s="2" t="str">
        <f>CONCATENATE(G636,F636,H636,C636,I636)</f>
        <v>https://permalinkbnd.bnportugal.gov.pt/viewer/278157/?offset=#page=14&amp;viewer=picture&amp;o=info&amp;n=0&amp;q=</v>
      </c>
      <c r="K636" s="1" t="s">
        <v>879</v>
      </c>
      <c r="L636" s="1" t="str">
        <f>VLOOKUP(A636,Folha2!$A$2:$B$2019,2,FALSE)</f>
        <v>Centenario indiano : Album do Século : Marinha histórica do seculo XV e XVI. - Lisboa : Emp. jornal "O Seculo", [1897]. [Imagens: passagem do cabo das Tormentas; Mapa rota de Vasco da Gama e lugares de memória [Mosteiro de Belém].</v>
      </c>
      <c r="M636" s="12" t="str">
        <f>HYPERLINK(J636)</f>
        <v>https://permalinkbnd.bnportugal.gov.pt/viewer/278157/?offset=#page=14&amp;viewer=picture&amp;o=info&amp;n=0&amp;q=</v>
      </c>
      <c r="N636" s="12" t="s">
        <v>1497</v>
      </c>
      <c r="O636" s="12" t="str">
        <f>CONCATENATE(N636,A636,"\",B636,"\",C636,".jpg")</f>
        <v>C:\Users\mbaptista\OneDrive - Biblioteca Nacional de Portugal\Documentos\python\camoniana\imagens\capas\367315\1\14.jpg</v>
      </c>
      <c r="P636" s="12" t="str">
        <f>HYPERLINK(O636)</f>
        <v>C:\Users\mbaptista\OneDrive - Biblioteca Nacional de Portugal\Documentos\python\camoniana\imagens\capas\367315\1\14.jpg</v>
      </c>
      <c r="Q636" s="12"/>
      <c r="R636" s="6"/>
      <c r="S636" s="12"/>
      <c r="T636" s="1"/>
      <c r="U636" s="13"/>
      <c r="V636" s="13"/>
      <c r="W636" s="5"/>
    </row>
    <row r="637" spans="1:23" ht="225">
      <c r="A637" s="1">
        <v>367315</v>
      </c>
      <c r="B637" s="1">
        <v>1</v>
      </c>
      <c r="C637" s="1">
        <v>15</v>
      </c>
      <c r="D637" s="2" t="s">
        <v>878</v>
      </c>
      <c r="E637" s="11" t="s">
        <v>878</v>
      </c>
      <c r="F637" s="11">
        <v>278157</v>
      </c>
      <c r="G637" s="2" t="s">
        <v>1494</v>
      </c>
      <c r="H637" s="2" t="s">
        <v>1495</v>
      </c>
      <c r="I637" s="2" t="s">
        <v>1496</v>
      </c>
      <c r="J637" s="2" t="str">
        <f>CONCATENATE(G637,F637,H637,C637,I637)</f>
        <v>https://permalinkbnd.bnportugal.gov.pt/viewer/278157/?offset=#page=15&amp;viewer=picture&amp;o=info&amp;n=0&amp;q=</v>
      </c>
      <c r="K637" s="1" t="s">
        <v>879</v>
      </c>
      <c r="L637" s="1" t="str">
        <f>VLOOKUP(A637,Folha2!$A$2:$B$2019,2,FALSE)</f>
        <v>Centenario indiano : Album do Século : Marinha histórica do seculo XV e XVI. - Lisboa : Emp. jornal "O Seculo", [1897]. [Imagens: passagem do cabo das Tormentas; Mapa rota de Vasco da Gama e lugares de memória [Mosteiro de Belém].</v>
      </c>
      <c r="M637" s="12" t="str">
        <f>HYPERLINK(J637)</f>
        <v>https://permalinkbnd.bnportugal.gov.pt/viewer/278157/?offset=#page=15&amp;viewer=picture&amp;o=info&amp;n=0&amp;q=</v>
      </c>
      <c r="N637" s="12" t="s">
        <v>1497</v>
      </c>
      <c r="O637" s="12" t="str">
        <f>CONCATENATE(N637,A637,"\",B637,"\",C637,".jpg")</f>
        <v>C:\Users\mbaptista\OneDrive - Biblioteca Nacional de Portugal\Documentos\python\camoniana\imagens\capas\367315\1\15.jpg</v>
      </c>
      <c r="P637" s="12" t="str">
        <f>HYPERLINK(O637)</f>
        <v>C:\Users\mbaptista\OneDrive - Biblioteca Nacional de Portugal\Documentos\python\camoniana\imagens\capas\367315\1\15.jpg</v>
      </c>
      <c r="Q637" s="12"/>
      <c r="R637" s="6"/>
      <c r="S637" s="12"/>
      <c r="T637" s="1"/>
      <c r="U637" s="13"/>
      <c r="V637" s="13"/>
      <c r="W637" s="5"/>
    </row>
    <row r="638" spans="1:23" ht="225">
      <c r="A638" s="1">
        <v>367315</v>
      </c>
      <c r="B638" s="1">
        <v>1</v>
      </c>
      <c r="C638" s="1">
        <v>16</v>
      </c>
      <c r="D638" s="2" t="s">
        <v>878</v>
      </c>
      <c r="E638" s="5" t="s">
        <v>878</v>
      </c>
      <c r="F638" s="5">
        <v>278157</v>
      </c>
      <c r="G638" s="2" t="s">
        <v>1494</v>
      </c>
      <c r="H638" s="2" t="s">
        <v>1495</v>
      </c>
      <c r="I638" s="2" t="s">
        <v>1496</v>
      </c>
      <c r="J638" s="2" t="str">
        <f>CONCATENATE(G638,F638,H638,C638,I638)</f>
        <v>https://permalinkbnd.bnportugal.gov.pt/viewer/278157/?offset=#page=16&amp;viewer=picture&amp;o=info&amp;n=0&amp;q=</v>
      </c>
      <c r="K638" s="1" t="s">
        <v>879</v>
      </c>
      <c r="L638" s="1" t="str">
        <f>VLOOKUP(A638,Folha2!$A$2:$B$2019,2,FALSE)</f>
        <v>Centenario indiano : Album do Século : Marinha histórica do seculo XV e XVI. - Lisboa : Emp. jornal "O Seculo", [1897]. [Imagens: passagem do cabo das Tormentas; Mapa rota de Vasco da Gama e lugares de memória [Mosteiro de Belém].</v>
      </c>
      <c r="M638" s="12" t="str">
        <f>HYPERLINK(J638)</f>
        <v>https://permalinkbnd.bnportugal.gov.pt/viewer/278157/?offset=#page=16&amp;viewer=picture&amp;o=info&amp;n=0&amp;q=</v>
      </c>
      <c r="N638" s="12" t="s">
        <v>1497</v>
      </c>
      <c r="O638" s="12" t="str">
        <f>CONCATENATE(N638,A638,"\",B638,"\",C638,".jpg")</f>
        <v>C:\Users\mbaptista\OneDrive - Biblioteca Nacional de Portugal\Documentos\python\camoniana\imagens\capas\367315\1\16.jpg</v>
      </c>
      <c r="P638" s="12" t="str">
        <f>HYPERLINK(O638)</f>
        <v>C:\Users\mbaptista\OneDrive - Biblioteca Nacional de Portugal\Documentos\python\camoniana\imagens\capas\367315\1\16.jpg</v>
      </c>
      <c r="Q638" s="12"/>
      <c r="R638" s="6"/>
      <c r="S638" s="12"/>
      <c r="T638" s="1"/>
      <c r="U638" s="13"/>
      <c r="V638" s="13"/>
      <c r="W638" s="5"/>
    </row>
    <row r="639" spans="1:23" ht="225">
      <c r="A639" s="1">
        <v>367315</v>
      </c>
      <c r="B639" s="1">
        <v>1</v>
      </c>
      <c r="C639" s="1">
        <v>17</v>
      </c>
      <c r="D639" s="2" t="s">
        <v>878</v>
      </c>
      <c r="E639" s="11" t="s">
        <v>878</v>
      </c>
      <c r="F639" s="11">
        <v>278157</v>
      </c>
      <c r="G639" s="2" t="s">
        <v>1494</v>
      </c>
      <c r="H639" s="2" t="s">
        <v>1495</v>
      </c>
      <c r="I639" s="2" t="s">
        <v>1496</v>
      </c>
      <c r="J639" s="2" t="str">
        <f>CONCATENATE(G639,F639,H639,C639,I639)</f>
        <v>https://permalinkbnd.bnportugal.gov.pt/viewer/278157/?offset=#page=17&amp;viewer=picture&amp;o=info&amp;n=0&amp;q=</v>
      </c>
      <c r="K639" s="1" t="s">
        <v>879</v>
      </c>
      <c r="L639" s="1" t="str">
        <f>VLOOKUP(A639,Folha2!$A$2:$B$2019,2,FALSE)</f>
        <v>Centenario indiano : Album do Século : Marinha histórica do seculo XV e XVI. - Lisboa : Emp. jornal "O Seculo", [1897]. [Imagens: passagem do cabo das Tormentas; Mapa rota de Vasco da Gama e lugares de memória [Mosteiro de Belém].</v>
      </c>
      <c r="M639" s="12" t="str">
        <f>HYPERLINK(J639)</f>
        <v>https://permalinkbnd.bnportugal.gov.pt/viewer/278157/?offset=#page=17&amp;viewer=picture&amp;o=info&amp;n=0&amp;q=</v>
      </c>
      <c r="N639" s="12" t="s">
        <v>1497</v>
      </c>
      <c r="O639" s="12" t="str">
        <f>CONCATENATE(N639,A639,"\",B639,"\",C639,".jpg")</f>
        <v>C:\Users\mbaptista\OneDrive - Biblioteca Nacional de Portugal\Documentos\python\camoniana\imagens\capas\367315\1\17.jpg</v>
      </c>
      <c r="P639" s="12" t="str">
        <f>HYPERLINK(O639)</f>
        <v>C:\Users\mbaptista\OneDrive - Biblioteca Nacional de Portugal\Documentos\python\camoniana\imagens\capas\367315\1\17.jpg</v>
      </c>
      <c r="Q639" s="12"/>
      <c r="R639" s="6"/>
      <c r="S639" s="12"/>
      <c r="T639" s="1"/>
      <c r="U639" s="13"/>
      <c r="V639" s="13"/>
      <c r="W639" s="5"/>
    </row>
    <row r="640" spans="1:23" ht="225">
      <c r="A640" s="1">
        <v>367315</v>
      </c>
      <c r="B640" s="1">
        <v>1</v>
      </c>
      <c r="C640" s="1">
        <v>18</v>
      </c>
      <c r="D640" s="2" t="s">
        <v>878</v>
      </c>
      <c r="E640" s="5" t="s">
        <v>878</v>
      </c>
      <c r="F640" s="5">
        <v>278157</v>
      </c>
      <c r="G640" s="2" t="s">
        <v>1494</v>
      </c>
      <c r="H640" s="2" t="s">
        <v>1495</v>
      </c>
      <c r="I640" s="2" t="s">
        <v>1496</v>
      </c>
      <c r="J640" s="2" t="str">
        <f>CONCATENATE(G640,F640,H640,C640,I640)</f>
        <v>https://permalinkbnd.bnportugal.gov.pt/viewer/278157/?offset=#page=18&amp;viewer=picture&amp;o=info&amp;n=0&amp;q=</v>
      </c>
      <c r="K640" s="1" t="s">
        <v>879</v>
      </c>
      <c r="L640" s="1" t="str">
        <f>VLOOKUP(A640,Folha2!$A$2:$B$2019,2,FALSE)</f>
        <v>Centenario indiano : Album do Século : Marinha histórica do seculo XV e XVI. - Lisboa : Emp. jornal "O Seculo", [1897]. [Imagens: passagem do cabo das Tormentas; Mapa rota de Vasco da Gama e lugares de memória [Mosteiro de Belém].</v>
      </c>
      <c r="M640" s="12" t="str">
        <f>HYPERLINK(J640)</f>
        <v>https://permalinkbnd.bnportugal.gov.pt/viewer/278157/?offset=#page=18&amp;viewer=picture&amp;o=info&amp;n=0&amp;q=</v>
      </c>
      <c r="N640" s="12" t="s">
        <v>1497</v>
      </c>
      <c r="O640" s="12" t="str">
        <f>CONCATENATE(N640,A640,"\",B640,"\",C640,".jpg")</f>
        <v>C:\Users\mbaptista\OneDrive - Biblioteca Nacional de Portugal\Documentos\python\camoniana\imagens\capas\367315\1\18.jpg</v>
      </c>
      <c r="P640" s="12" t="str">
        <f>HYPERLINK(O640)</f>
        <v>C:\Users\mbaptista\OneDrive - Biblioteca Nacional de Portugal\Documentos\python\camoniana\imagens\capas\367315\1\18.jpg</v>
      </c>
      <c r="Q640" s="12"/>
      <c r="R640" s="6"/>
      <c r="S640" s="12"/>
      <c r="T640" s="1"/>
      <c r="U640" s="13"/>
      <c r="V640" s="13"/>
      <c r="W640" s="5"/>
    </row>
    <row r="641" spans="1:23" ht="225">
      <c r="A641" s="1">
        <v>367315</v>
      </c>
      <c r="B641" s="1">
        <v>1</v>
      </c>
      <c r="C641" s="1">
        <v>19</v>
      </c>
      <c r="D641" s="2" t="s">
        <v>878</v>
      </c>
      <c r="E641" s="11" t="s">
        <v>878</v>
      </c>
      <c r="F641" s="11">
        <v>278157</v>
      </c>
      <c r="G641" s="2" t="s">
        <v>1494</v>
      </c>
      <c r="H641" s="2" t="s">
        <v>1495</v>
      </c>
      <c r="I641" s="2" t="s">
        <v>1496</v>
      </c>
      <c r="J641" s="2" t="str">
        <f>CONCATENATE(G641,F641,H641,C641,I641)</f>
        <v>https://permalinkbnd.bnportugal.gov.pt/viewer/278157/?offset=#page=19&amp;viewer=picture&amp;o=info&amp;n=0&amp;q=</v>
      </c>
      <c r="K641" s="1" t="s">
        <v>879</v>
      </c>
      <c r="L641" s="1" t="str">
        <f>VLOOKUP(A641,Folha2!$A$2:$B$2019,2,FALSE)</f>
        <v>Centenario indiano : Album do Século : Marinha histórica do seculo XV e XVI. - Lisboa : Emp. jornal "O Seculo", [1897]. [Imagens: passagem do cabo das Tormentas; Mapa rota de Vasco da Gama e lugares de memória [Mosteiro de Belém].</v>
      </c>
      <c r="M641" s="12" t="str">
        <f>HYPERLINK(J641)</f>
        <v>https://permalinkbnd.bnportugal.gov.pt/viewer/278157/?offset=#page=19&amp;viewer=picture&amp;o=info&amp;n=0&amp;q=</v>
      </c>
      <c r="N641" s="12" t="s">
        <v>1497</v>
      </c>
      <c r="O641" s="12" t="str">
        <f>CONCATENATE(N641,A641,"\",B641,"\",C641,".jpg")</f>
        <v>C:\Users\mbaptista\OneDrive - Biblioteca Nacional de Portugal\Documentos\python\camoniana\imagens\capas\367315\1\19.jpg</v>
      </c>
      <c r="P641" s="12" t="str">
        <f>HYPERLINK(O641)</f>
        <v>C:\Users\mbaptista\OneDrive - Biblioteca Nacional de Portugal\Documentos\python\camoniana\imagens\capas\367315\1\19.jpg</v>
      </c>
      <c r="Q641" s="12"/>
      <c r="R641" s="6"/>
      <c r="S641" s="12"/>
      <c r="T641" s="1"/>
      <c r="U641" s="13"/>
      <c r="V641" s="13"/>
      <c r="W641" s="5"/>
    </row>
    <row r="642" spans="1:23" ht="225">
      <c r="A642" s="1">
        <v>367315</v>
      </c>
      <c r="B642" s="1">
        <v>1</v>
      </c>
      <c r="C642" s="1">
        <v>20</v>
      </c>
      <c r="D642" s="2" t="s">
        <v>878</v>
      </c>
      <c r="E642" s="5" t="s">
        <v>878</v>
      </c>
      <c r="F642" s="5">
        <v>278157</v>
      </c>
      <c r="G642" s="2" t="s">
        <v>1494</v>
      </c>
      <c r="H642" s="2" t="s">
        <v>1495</v>
      </c>
      <c r="I642" s="2" t="s">
        <v>1496</v>
      </c>
      <c r="J642" s="2" t="str">
        <f>CONCATENATE(G642,F642,H642,C642,I642)</f>
        <v>https://permalinkbnd.bnportugal.gov.pt/viewer/278157/?offset=#page=20&amp;viewer=picture&amp;o=info&amp;n=0&amp;q=</v>
      </c>
      <c r="K642" s="1" t="s">
        <v>879</v>
      </c>
      <c r="L642" s="1" t="str">
        <f>VLOOKUP(A642,Folha2!$A$2:$B$2019,2,FALSE)</f>
        <v>Centenario indiano : Album do Século : Marinha histórica do seculo XV e XVI. - Lisboa : Emp. jornal "O Seculo", [1897]. [Imagens: passagem do cabo das Tormentas; Mapa rota de Vasco da Gama e lugares de memória [Mosteiro de Belém].</v>
      </c>
      <c r="M642" s="12" t="str">
        <f>HYPERLINK(J642)</f>
        <v>https://permalinkbnd.bnportugal.gov.pt/viewer/278157/?offset=#page=20&amp;viewer=picture&amp;o=info&amp;n=0&amp;q=</v>
      </c>
      <c r="N642" s="12" t="s">
        <v>1497</v>
      </c>
      <c r="O642" s="12" t="str">
        <f>CONCATENATE(N642,A642,"\",B642,"\",C642,".jpg")</f>
        <v>C:\Users\mbaptista\OneDrive - Biblioteca Nacional de Portugal\Documentos\python\camoniana\imagens\capas\367315\1\20.jpg</v>
      </c>
      <c r="P642" s="12" t="str">
        <f>HYPERLINK(O642)</f>
        <v>C:\Users\mbaptista\OneDrive - Biblioteca Nacional de Portugal\Documentos\python\camoniana\imagens\capas\367315\1\20.jpg</v>
      </c>
      <c r="Q642" s="12"/>
      <c r="R642" s="6"/>
      <c r="S642" s="12"/>
      <c r="T642" s="1"/>
      <c r="U642" s="13"/>
      <c r="V642" s="13"/>
      <c r="W642" s="5"/>
    </row>
    <row r="643" spans="1:23" ht="225">
      <c r="A643" s="1">
        <v>367315</v>
      </c>
      <c r="B643" s="1">
        <v>1</v>
      </c>
      <c r="C643" s="1">
        <v>21</v>
      </c>
      <c r="D643" s="2" t="s">
        <v>878</v>
      </c>
      <c r="E643" s="11" t="s">
        <v>878</v>
      </c>
      <c r="F643" s="11">
        <v>278157</v>
      </c>
      <c r="G643" s="2" t="s">
        <v>1494</v>
      </c>
      <c r="H643" s="2" t="s">
        <v>1495</v>
      </c>
      <c r="I643" s="2" t="s">
        <v>1496</v>
      </c>
      <c r="J643" s="2" t="str">
        <f>CONCATENATE(G643,F643,H643,C643,I643)</f>
        <v>https://permalinkbnd.bnportugal.gov.pt/viewer/278157/?offset=#page=21&amp;viewer=picture&amp;o=info&amp;n=0&amp;q=</v>
      </c>
      <c r="K643" s="1" t="s">
        <v>879</v>
      </c>
      <c r="L643" s="1" t="str">
        <f>VLOOKUP(A643,Folha2!$A$2:$B$2019,2,FALSE)</f>
        <v>Centenario indiano : Album do Século : Marinha histórica do seculo XV e XVI. - Lisboa : Emp. jornal "O Seculo", [1897]. [Imagens: passagem do cabo das Tormentas; Mapa rota de Vasco da Gama e lugares de memória [Mosteiro de Belém].</v>
      </c>
      <c r="M643" s="12" t="str">
        <f>HYPERLINK(J643)</f>
        <v>https://permalinkbnd.bnportugal.gov.pt/viewer/278157/?offset=#page=21&amp;viewer=picture&amp;o=info&amp;n=0&amp;q=</v>
      </c>
      <c r="N643" s="12" t="s">
        <v>1497</v>
      </c>
      <c r="O643" s="12" t="str">
        <f>CONCATENATE(N643,A643,"\",B643,"\",C643,".jpg")</f>
        <v>C:\Users\mbaptista\OneDrive - Biblioteca Nacional de Portugal\Documentos\python\camoniana\imagens\capas\367315\1\21.jpg</v>
      </c>
      <c r="P643" s="12" t="str">
        <f>HYPERLINK(O643)</f>
        <v>C:\Users\mbaptista\OneDrive - Biblioteca Nacional de Portugal\Documentos\python\camoniana\imagens\capas\367315\1\21.jpg</v>
      </c>
      <c r="Q643" s="12"/>
      <c r="R643" s="6"/>
      <c r="S643" s="12"/>
      <c r="T643" s="1"/>
      <c r="U643" s="13"/>
      <c r="V643" s="13"/>
      <c r="W643" s="5"/>
    </row>
    <row r="644" spans="1:23" ht="225">
      <c r="A644" s="1">
        <v>367315</v>
      </c>
      <c r="B644" s="1">
        <v>1</v>
      </c>
      <c r="C644" s="1">
        <v>22</v>
      </c>
      <c r="D644" s="2" t="s">
        <v>878</v>
      </c>
      <c r="E644" s="5" t="s">
        <v>878</v>
      </c>
      <c r="F644" s="5">
        <v>278157</v>
      </c>
      <c r="G644" s="2" t="s">
        <v>1494</v>
      </c>
      <c r="H644" s="2" t="s">
        <v>1495</v>
      </c>
      <c r="I644" s="2" t="s">
        <v>1496</v>
      </c>
      <c r="J644" s="2" t="str">
        <f>CONCATENATE(G644,F644,H644,C644,I644)</f>
        <v>https://permalinkbnd.bnportugal.gov.pt/viewer/278157/?offset=#page=22&amp;viewer=picture&amp;o=info&amp;n=0&amp;q=</v>
      </c>
      <c r="K644" s="1" t="s">
        <v>879</v>
      </c>
      <c r="L644" s="1" t="str">
        <f>VLOOKUP(A644,Folha2!$A$2:$B$2019,2,FALSE)</f>
        <v>Centenario indiano : Album do Século : Marinha histórica do seculo XV e XVI. - Lisboa : Emp. jornal "O Seculo", [1897]. [Imagens: passagem do cabo das Tormentas; Mapa rota de Vasco da Gama e lugares de memória [Mosteiro de Belém].</v>
      </c>
      <c r="M644" s="12" t="str">
        <f>HYPERLINK(J644)</f>
        <v>https://permalinkbnd.bnportugal.gov.pt/viewer/278157/?offset=#page=22&amp;viewer=picture&amp;o=info&amp;n=0&amp;q=</v>
      </c>
      <c r="N644" s="12" t="s">
        <v>1497</v>
      </c>
      <c r="O644" s="12" t="str">
        <f>CONCATENATE(N644,A644,"\",B644,"\",C644,".jpg")</f>
        <v>C:\Users\mbaptista\OneDrive - Biblioteca Nacional de Portugal\Documentos\python\camoniana\imagens\capas\367315\1\22.jpg</v>
      </c>
      <c r="P644" s="12" t="str">
        <f>HYPERLINK(O644)</f>
        <v>C:\Users\mbaptista\OneDrive - Biblioteca Nacional de Portugal\Documentos\python\camoniana\imagens\capas\367315\1\22.jpg</v>
      </c>
      <c r="Q644" s="12"/>
      <c r="R644" s="6"/>
      <c r="S644" s="12"/>
      <c r="T644" s="1"/>
      <c r="U644" s="13"/>
      <c r="V644" s="13"/>
      <c r="W644" s="5"/>
    </row>
    <row r="645" spans="1:23" ht="225">
      <c r="A645" s="1">
        <v>367315</v>
      </c>
      <c r="B645" s="1">
        <v>1</v>
      </c>
      <c r="C645" s="1">
        <v>23</v>
      </c>
      <c r="D645" s="2" t="s">
        <v>878</v>
      </c>
      <c r="E645" s="11" t="s">
        <v>878</v>
      </c>
      <c r="F645" s="11">
        <v>278157</v>
      </c>
      <c r="G645" s="2" t="s">
        <v>1494</v>
      </c>
      <c r="H645" s="2" t="s">
        <v>1495</v>
      </c>
      <c r="I645" s="2" t="s">
        <v>1496</v>
      </c>
      <c r="J645" s="2" t="str">
        <f>CONCATENATE(G645,F645,H645,C645,I645)</f>
        <v>https://permalinkbnd.bnportugal.gov.pt/viewer/278157/?offset=#page=23&amp;viewer=picture&amp;o=info&amp;n=0&amp;q=</v>
      </c>
      <c r="K645" s="1" t="s">
        <v>879</v>
      </c>
      <c r="L645" s="1" t="str">
        <f>VLOOKUP(A645,Folha2!$A$2:$B$2019,2,FALSE)</f>
        <v>Centenario indiano : Album do Século : Marinha histórica do seculo XV e XVI. - Lisboa : Emp. jornal "O Seculo", [1897]. [Imagens: passagem do cabo das Tormentas; Mapa rota de Vasco da Gama e lugares de memória [Mosteiro de Belém].</v>
      </c>
      <c r="M645" s="12" t="str">
        <f>HYPERLINK(J645)</f>
        <v>https://permalinkbnd.bnportugal.gov.pt/viewer/278157/?offset=#page=23&amp;viewer=picture&amp;o=info&amp;n=0&amp;q=</v>
      </c>
      <c r="N645" s="12" t="s">
        <v>1497</v>
      </c>
      <c r="O645" s="12" t="str">
        <f>CONCATENATE(N645,A645,"\",B645,"\",C645,".jpg")</f>
        <v>C:\Users\mbaptista\OneDrive - Biblioteca Nacional de Portugal\Documentos\python\camoniana\imagens\capas\367315\1\23.jpg</v>
      </c>
      <c r="P645" s="12" t="str">
        <f>HYPERLINK(O645)</f>
        <v>C:\Users\mbaptista\OneDrive - Biblioteca Nacional de Portugal\Documentos\python\camoniana\imagens\capas\367315\1\23.jpg</v>
      </c>
      <c r="Q645" s="12"/>
      <c r="R645" s="6"/>
      <c r="S645" s="12"/>
      <c r="T645" s="1"/>
      <c r="U645" s="13"/>
      <c r="V645" s="13"/>
      <c r="W645" s="5"/>
    </row>
    <row r="646" spans="1:23" ht="225">
      <c r="A646" s="1">
        <v>367315</v>
      </c>
      <c r="B646" s="1">
        <v>1</v>
      </c>
      <c r="C646" s="1">
        <v>24</v>
      </c>
      <c r="D646" s="2" t="s">
        <v>878</v>
      </c>
      <c r="E646" s="5" t="s">
        <v>878</v>
      </c>
      <c r="F646" s="5">
        <v>278157</v>
      </c>
      <c r="G646" s="2" t="s">
        <v>1494</v>
      </c>
      <c r="H646" s="2" t="s">
        <v>1495</v>
      </c>
      <c r="I646" s="2" t="s">
        <v>1496</v>
      </c>
      <c r="J646" s="2" t="str">
        <f>CONCATENATE(G646,F646,H646,C646,I646)</f>
        <v>https://permalinkbnd.bnportugal.gov.pt/viewer/278157/?offset=#page=24&amp;viewer=picture&amp;o=info&amp;n=0&amp;q=</v>
      </c>
      <c r="K646" s="1" t="s">
        <v>879</v>
      </c>
      <c r="L646" s="1" t="str">
        <f>VLOOKUP(A646,Folha2!$A$2:$B$2019,2,FALSE)</f>
        <v>Centenario indiano : Album do Século : Marinha histórica do seculo XV e XVI. - Lisboa : Emp. jornal "O Seculo", [1897]. [Imagens: passagem do cabo das Tormentas; Mapa rota de Vasco da Gama e lugares de memória [Mosteiro de Belém].</v>
      </c>
      <c r="M646" s="12" t="str">
        <f>HYPERLINK(J646)</f>
        <v>https://permalinkbnd.bnportugal.gov.pt/viewer/278157/?offset=#page=24&amp;viewer=picture&amp;o=info&amp;n=0&amp;q=</v>
      </c>
      <c r="N646" s="12" t="s">
        <v>1497</v>
      </c>
      <c r="O646" s="12" t="str">
        <f>CONCATENATE(N646,A646,"\",B646,"\",C646,".jpg")</f>
        <v>C:\Users\mbaptista\OneDrive - Biblioteca Nacional de Portugal\Documentos\python\camoniana\imagens\capas\367315\1\24.jpg</v>
      </c>
      <c r="P646" s="12" t="str">
        <f>HYPERLINK(O646)</f>
        <v>C:\Users\mbaptista\OneDrive - Biblioteca Nacional de Portugal\Documentos\python\camoniana\imagens\capas\367315\1\24.jpg</v>
      </c>
      <c r="Q646" s="12"/>
      <c r="R646" s="6"/>
      <c r="S646" s="12"/>
      <c r="T646" s="1"/>
      <c r="U646" s="13"/>
      <c r="V646" s="13"/>
      <c r="W646" s="5"/>
    </row>
    <row r="647" spans="1:23" ht="225">
      <c r="A647" s="1">
        <v>367315</v>
      </c>
      <c r="B647" s="1">
        <v>1</v>
      </c>
      <c r="C647" s="1">
        <v>25</v>
      </c>
      <c r="D647" s="2" t="s">
        <v>878</v>
      </c>
      <c r="E647" s="11" t="s">
        <v>878</v>
      </c>
      <c r="F647" s="11">
        <v>278157</v>
      </c>
      <c r="G647" s="2" t="s">
        <v>1494</v>
      </c>
      <c r="H647" s="2" t="s">
        <v>1495</v>
      </c>
      <c r="I647" s="2" t="s">
        <v>1496</v>
      </c>
      <c r="J647" s="2" t="str">
        <f>CONCATENATE(G647,F647,H647,C647,I647)</f>
        <v>https://permalinkbnd.bnportugal.gov.pt/viewer/278157/?offset=#page=25&amp;viewer=picture&amp;o=info&amp;n=0&amp;q=</v>
      </c>
      <c r="K647" s="1" t="s">
        <v>879</v>
      </c>
      <c r="L647" s="1" t="str">
        <f>VLOOKUP(A647,Folha2!$A$2:$B$2019,2,FALSE)</f>
        <v>Centenario indiano : Album do Século : Marinha histórica do seculo XV e XVI. - Lisboa : Emp. jornal "O Seculo", [1897]. [Imagens: passagem do cabo das Tormentas; Mapa rota de Vasco da Gama e lugares de memória [Mosteiro de Belém].</v>
      </c>
      <c r="M647" s="12" t="str">
        <f>HYPERLINK(J647)</f>
        <v>https://permalinkbnd.bnportugal.gov.pt/viewer/278157/?offset=#page=25&amp;viewer=picture&amp;o=info&amp;n=0&amp;q=</v>
      </c>
      <c r="N647" s="12" t="s">
        <v>1497</v>
      </c>
      <c r="O647" s="12" t="str">
        <f>CONCATENATE(N647,A647,"\",B647,"\",C647,".jpg")</f>
        <v>C:\Users\mbaptista\OneDrive - Biblioteca Nacional de Portugal\Documentos\python\camoniana\imagens\capas\367315\1\25.jpg</v>
      </c>
      <c r="P647" s="12" t="str">
        <f>HYPERLINK(O647)</f>
        <v>C:\Users\mbaptista\OneDrive - Biblioteca Nacional de Portugal\Documentos\python\camoniana\imagens\capas\367315\1\25.jpg</v>
      </c>
      <c r="Q647" s="12"/>
      <c r="R647" s="6"/>
      <c r="S647" s="12"/>
      <c r="T647" s="1"/>
      <c r="U647" s="13"/>
      <c r="V647" s="13"/>
      <c r="W647" s="5"/>
    </row>
    <row r="648" spans="1:23" ht="225">
      <c r="A648" s="1">
        <v>367315</v>
      </c>
      <c r="B648" s="1">
        <v>1</v>
      </c>
      <c r="C648" s="1">
        <v>26</v>
      </c>
      <c r="D648" s="2" t="s">
        <v>878</v>
      </c>
      <c r="E648" s="5" t="s">
        <v>878</v>
      </c>
      <c r="F648" s="5">
        <v>278157</v>
      </c>
      <c r="G648" s="2" t="s">
        <v>1494</v>
      </c>
      <c r="H648" s="2" t="s">
        <v>1495</v>
      </c>
      <c r="I648" s="2" t="s">
        <v>1496</v>
      </c>
      <c r="J648" s="2" t="str">
        <f>CONCATENATE(G648,F648,H648,C648,I648)</f>
        <v>https://permalinkbnd.bnportugal.gov.pt/viewer/278157/?offset=#page=26&amp;viewer=picture&amp;o=info&amp;n=0&amp;q=</v>
      </c>
      <c r="K648" s="1" t="s">
        <v>879</v>
      </c>
      <c r="L648" s="1" t="str">
        <f>VLOOKUP(A648,Folha2!$A$2:$B$2019,2,FALSE)</f>
        <v>Centenario indiano : Album do Século : Marinha histórica do seculo XV e XVI. - Lisboa : Emp. jornal "O Seculo", [1897]. [Imagens: passagem do cabo das Tormentas; Mapa rota de Vasco da Gama e lugares de memória [Mosteiro de Belém].</v>
      </c>
      <c r="M648" s="12" t="str">
        <f>HYPERLINK(J648)</f>
        <v>https://permalinkbnd.bnportugal.gov.pt/viewer/278157/?offset=#page=26&amp;viewer=picture&amp;o=info&amp;n=0&amp;q=</v>
      </c>
      <c r="N648" s="12" t="s">
        <v>1497</v>
      </c>
      <c r="O648" s="12" t="str">
        <f>CONCATENATE(N648,A648,"\",B648,"\",C648,".jpg")</f>
        <v>C:\Users\mbaptista\OneDrive - Biblioteca Nacional de Portugal\Documentos\python\camoniana\imagens\capas\367315\1\26.jpg</v>
      </c>
      <c r="P648" s="12" t="str">
        <f>HYPERLINK(O648)</f>
        <v>C:\Users\mbaptista\OneDrive - Biblioteca Nacional de Portugal\Documentos\python\camoniana\imagens\capas\367315\1\26.jpg</v>
      </c>
      <c r="Q648" s="12"/>
      <c r="R648" s="6"/>
      <c r="S648" s="12"/>
      <c r="T648" s="1"/>
      <c r="U648" s="13"/>
      <c r="V648" s="13"/>
      <c r="W648" s="5"/>
    </row>
    <row r="649" spans="1:23" ht="225">
      <c r="A649" s="1">
        <v>367315</v>
      </c>
      <c r="B649" s="1">
        <v>1</v>
      </c>
      <c r="C649" s="1">
        <v>27</v>
      </c>
      <c r="D649" s="2" t="s">
        <v>878</v>
      </c>
      <c r="E649" s="11" t="s">
        <v>878</v>
      </c>
      <c r="F649" s="11">
        <v>278157</v>
      </c>
      <c r="G649" s="2" t="s">
        <v>1494</v>
      </c>
      <c r="H649" s="2" t="s">
        <v>1495</v>
      </c>
      <c r="I649" s="2" t="s">
        <v>1496</v>
      </c>
      <c r="J649" s="2" t="str">
        <f>CONCATENATE(G649,F649,H649,C649,I649)</f>
        <v>https://permalinkbnd.bnportugal.gov.pt/viewer/278157/?offset=#page=27&amp;viewer=picture&amp;o=info&amp;n=0&amp;q=</v>
      </c>
      <c r="K649" s="1" t="s">
        <v>879</v>
      </c>
      <c r="L649" s="1" t="str">
        <f>VLOOKUP(A649,Folha2!$A$2:$B$2019,2,FALSE)</f>
        <v>Centenario indiano : Album do Século : Marinha histórica do seculo XV e XVI. - Lisboa : Emp. jornal "O Seculo", [1897]. [Imagens: passagem do cabo das Tormentas; Mapa rota de Vasco da Gama e lugares de memória [Mosteiro de Belém].</v>
      </c>
      <c r="M649" s="12" t="str">
        <f>HYPERLINK(J649)</f>
        <v>https://permalinkbnd.bnportugal.gov.pt/viewer/278157/?offset=#page=27&amp;viewer=picture&amp;o=info&amp;n=0&amp;q=</v>
      </c>
      <c r="N649" s="12" t="s">
        <v>1497</v>
      </c>
      <c r="O649" s="12" t="str">
        <f>CONCATENATE(N649,A649,"\",B649,"\",C649,".jpg")</f>
        <v>C:\Users\mbaptista\OneDrive - Biblioteca Nacional de Portugal\Documentos\python\camoniana\imagens\capas\367315\1\27.jpg</v>
      </c>
      <c r="P649" s="12" t="str">
        <f>HYPERLINK(O649)</f>
        <v>C:\Users\mbaptista\OneDrive - Biblioteca Nacional de Portugal\Documentos\python\camoniana\imagens\capas\367315\1\27.jpg</v>
      </c>
      <c r="Q649" s="12"/>
      <c r="R649" s="6"/>
      <c r="S649" s="12"/>
      <c r="T649" s="1"/>
      <c r="U649" s="13"/>
      <c r="V649" s="13"/>
      <c r="W649" s="5"/>
    </row>
    <row r="650" spans="1:23" ht="225">
      <c r="A650" s="1">
        <v>367315</v>
      </c>
      <c r="B650" s="1">
        <v>1</v>
      </c>
      <c r="C650" s="1">
        <v>28</v>
      </c>
      <c r="D650" s="2" t="s">
        <v>878</v>
      </c>
      <c r="E650" s="5" t="s">
        <v>878</v>
      </c>
      <c r="F650" s="5">
        <v>278157</v>
      </c>
      <c r="G650" s="2" t="s">
        <v>1494</v>
      </c>
      <c r="H650" s="2" t="s">
        <v>1495</v>
      </c>
      <c r="I650" s="2" t="s">
        <v>1496</v>
      </c>
      <c r="J650" s="2" t="str">
        <f>CONCATENATE(G650,F650,H650,C650,I650)</f>
        <v>https://permalinkbnd.bnportugal.gov.pt/viewer/278157/?offset=#page=28&amp;viewer=picture&amp;o=info&amp;n=0&amp;q=</v>
      </c>
      <c r="K650" s="1" t="s">
        <v>879</v>
      </c>
      <c r="L650" s="1" t="str">
        <f>VLOOKUP(A650,Folha2!$A$2:$B$2019,2,FALSE)</f>
        <v>Centenario indiano : Album do Século : Marinha histórica do seculo XV e XVI. - Lisboa : Emp. jornal "O Seculo", [1897]. [Imagens: passagem do cabo das Tormentas; Mapa rota de Vasco da Gama e lugares de memória [Mosteiro de Belém].</v>
      </c>
      <c r="M650" s="12" t="str">
        <f>HYPERLINK(J650)</f>
        <v>https://permalinkbnd.bnportugal.gov.pt/viewer/278157/?offset=#page=28&amp;viewer=picture&amp;o=info&amp;n=0&amp;q=</v>
      </c>
      <c r="N650" s="12" t="s">
        <v>1497</v>
      </c>
      <c r="O650" s="12" t="str">
        <f>CONCATENATE(N650,A650,"\",B650,"\",C650,".jpg")</f>
        <v>C:\Users\mbaptista\OneDrive - Biblioteca Nacional de Portugal\Documentos\python\camoniana\imagens\capas\367315\1\28.jpg</v>
      </c>
      <c r="P650" s="12" t="str">
        <f>HYPERLINK(O650)</f>
        <v>C:\Users\mbaptista\OneDrive - Biblioteca Nacional de Portugal\Documentos\python\camoniana\imagens\capas\367315\1\28.jpg</v>
      </c>
      <c r="Q650" s="12"/>
      <c r="R650" s="6"/>
      <c r="S650" s="12"/>
      <c r="T650" s="1"/>
      <c r="U650" s="13"/>
      <c r="V650" s="13"/>
      <c r="W650" s="5"/>
    </row>
    <row r="651" spans="1:23" ht="225">
      <c r="A651" s="1">
        <v>367315</v>
      </c>
      <c r="B651" s="1">
        <v>1</v>
      </c>
      <c r="C651" s="1">
        <v>29</v>
      </c>
      <c r="D651" s="2" t="s">
        <v>878</v>
      </c>
      <c r="E651" s="11" t="s">
        <v>878</v>
      </c>
      <c r="F651" s="11">
        <v>278157</v>
      </c>
      <c r="G651" s="2" t="s">
        <v>1494</v>
      </c>
      <c r="H651" s="2" t="s">
        <v>1495</v>
      </c>
      <c r="I651" s="2" t="s">
        <v>1496</v>
      </c>
      <c r="J651" s="2" t="str">
        <f>CONCATENATE(G651,F651,H651,C651,I651)</f>
        <v>https://permalinkbnd.bnportugal.gov.pt/viewer/278157/?offset=#page=29&amp;viewer=picture&amp;o=info&amp;n=0&amp;q=</v>
      </c>
      <c r="K651" s="1" t="s">
        <v>879</v>
      </c>
      <c r="L651" s="1" t="str">
        <f>VLOOKUP(A651,Folha2!$A$2:$B$2019,2,FALSE)</f>
        <v>Centenario indiano : Album do Século : Marinha histórica do seculo XV e XVI. - Lisboa : Emp. jornal "O Seculo", [1897]. [Imagens: passagem do cabo das Tormentas; Mapa rota de Vasco da Gama e lugares de memória [Mosteiro de Belém].</v>
      </c>
      <c r="M651" s="12" t="str">
        <f>HYPERLINK(J651)</f>
        <v>https://permalinkbnd.bnportugal.gov.pt/viewer/278157/?offset=#page=29&amp;viewer=picture&amp;o=info&amp;n=0&amp;q=</v>
      </c>
      <c r="N651" s="12" t="s">
        <v>1497</v>
      </c>
      <c r="O651" s="12" t="str">
        <f>CONCATENATE(N651,A651,"\",B651,"\",C651,".jpg")</f>
        <v>C:\Users\mbaptista\OneDrive - Biblioteca Nacional de Portugal\Documentos\python\camoniana\imagens\capas\367315\1\29.jpg</v>
      </c>
      <c r="P651" s="12" t="str">
        <f>HYPERLINK(O651)</f>
        <v>C:\Users\mbaptista\OneDrive - Biblioteca Nacional de Portugal\Documentos\python\camoniana\imagens\capas\367315\1\29.jpg</v>
      </c>
      <c r="Q651" s="12"/>
      <c r="R651" s="6"/>
      <c r="S651" s="12"/>
      <c r="T651" s="1"/>
      <c r="U651" s="13"/>
      <c r="V651" s="13"/>
      <c r="W651" s="5"/>
    </row>
    <row r="652" spans="1:23" ht="225">
      <c r="A652" s="1">
        <v>367315</v>
      </c>
      <c r="B652" s="1">
        <v>1</v>
      </c>
      <c r="C652" s="1">
        <v>30</v>
      </c>
      <c r="D652" s="2" t="s">
        <v>878</v>
      </c>
      <c r="E652" s="5" t="s">
        <v>878</v>
      </c>
      <c r="F652" s="5">
        <v>278157</v>
      </c>
      <c r="G652" s="2" t="s">
        <v>1494</v>
      </c>
      <c r="H652" s="2" t="s">
        <v>1495</v>
      </c>
      <c r="I652" s="2" t="s">
        <v>1496</v>
      </c>
      <c r="J652" s="2" t="str">
        <f>CONCATENATE(G652,F652,H652,C652,I652)</f>
        <v>https://permalinkbnd.bnportugal.gov.pt/viewer/278157/?offset=#page=30&amp;viewer=picture&amp;o=info&amp;n=0&amp;q=</v>
      </c>
      <c r="K652" s="1" t="s">
        <v>879</v>
      </c>
      <c r="L652" s="1" t="str">
        <f>VLOOKUP(A652,Folha2!$A$2:$B$2019,2,FALSE)</f>
        <v>Centenario indiano : Album do Século : Marinha histórica do seculo XV e XVI. - Lisboa : Emp. jornal "O Seculo", [1897]. [Imagens: passagem do cabo das Tormentas; Mapa rota de Vasco da Gama e lugares de memória [Mosteiro de Belém].</v>
      </c>
      <c r="M652" s="12" t="str">
        <f>HYPERLINK(J652)</f>
        <v>https://permalinkbnd.bnportugal.gov.pt/viewer/278157/?offset=#page=30&amp;viewer=picture&amp;o=info&amp;n=0&amp;q=</v>
      </c>
      <c r="N652" s="12" t="s">
        <v>1497</v>
      </c>
      <c r="O652" s="12" t="str">
        <f>CONCATENATE(N652,A652,"\",B652,"\",C652,".jpg")</f>
        <v>C:\Users\mbaptista\OneDrive - Biblioteca Nacional de Portugal\Documentos\python\camoniana\imagens\capas\367315\1\30.jpg</v>
      </c>
      <c r="P652" s="12" t="str">
        <f>HYPERLINK(O652)</f>
        <v>C:\Users\mbaptista\OneDrive - Biblioteca Nacional de Portugal\Documentos\python\camoniana\imagens\capas\367315\1\30.jpg</v>
      </c>
      <c r="Q652" s="12"/>
      <c r="R652" s="6"/>
      <c r="S652" s="12"/>
      <c r="T652" s="1"/>
      <c r="U652" s="13"/>
      <c r="V652" s="13"/>
      <c r="W652" s="5"/>
    </row>
    <row r="653" spans="1:23" ht="225">
      <c r="A653" s="1">
        <v>367315</v>
      </c>
      <c r="B653" s="1">
        <v>1</v>
      </c>
      <c r="C653" s="1">
        <v>31</v>
      </c>
      <c r="D653" s="2" t="s">
        <v>878</v>
      </c>
      <c r="E653" s="11" t="s">
        <v>878</v>
      </c>
      <c r="F653" s="11">
        <v>278157</v>
      </c>
      <c r="G653" s="2" t="s">
        <v>1494</v>
      </c>
      <c r="H653" s="2" t="s">
        <v>1495</v>
      </c>
      <c r="I653" s="2" t="s">
        <v>1496</v>
      </c>
      <c r="J653" s="2" t="str">
        <f>CONCATENATE(G653,F653,H653,C653,I653)</f>
        <v>https://permalinkbnd.bnportugal.gov.pt/viewer/278157/?offset=#page=31&amp;viewer=picture&amp;o=info&amp;n=0&amp;q=</v>
      </c>
      <c r="K653" s="1" t="s">
        <v>879</v>
      </c>
      <c r="L653" s="1" t="str">
        <f>VLOOKUP(A653,Folha2!$A$2:$B$2019,2,FALSE)</f>
        <v>Centenario indiano : Album do Século : Marinha histórica do seculo XV e XVI. - Lisboa : Emp. jornal "O Seculo", [1897]. [Imagens: passagem do cabo das Tormentas; Mapa rota de Vasco da Gama e lugares de memória [Mosteiro de Belém].</v>
      </c>
      <c r="M653" s="12" t="str">
        <f>HYPERLINK(J653)</f>
        <v>https://permalinkbnd.bnportugal.gov.pt/viewer/278157/?offset=#page=31&amp;viewer=picture&amp;o=info&amp;n=0&amp;q=</v>
      </c>
      <c r="N653" s="12" t="s">
        <v>1497</v>
      </c>
      <c r="O653" s="12" t="str">
        <f>CONCATENATE(N653,A653,"\",B653,"\",C653,".jpg")</f>
        <v>C:\Users\mbaptista\OneDrive - Biblioteca Nacional de Portugal\Documentos\python\camoniana\imagens\capas\367315\1\31.jpg</v>
      </c>
      <c r="P653" s="12" t="str">
        <f>HYPERLINK(O653)</f>
        <v>C:\Users\mbaptista\OneDrive - Biblioteca Nacional de Portugal\Documentos\python\camoniana\imagens\capas\367315\1\31.jpg</v>
      </c>
      <c r="Q653" s="12"/>
      <c r="R653" s="6"/>
      <c r="S653" s="12"/>
      <c r="T653" s="1"/>
      <c r="U653" s="13"/>
      <c r="V653" s="13"/>
      <c r="W653" s="5"/>
    </row>
    <row r="654" spans="1:23" ht="225">
      <c r="A654" s="1">
        <v>367315</v>
      </c>
      <c r="B654" s="1">
        <v>1</v>
      </c>
      <c r="C654" s="1">
        <v>32</v>
      </c>
      <c r="D654" s="2" t="s">
        <v>878</v>
      </c>
      <c r="E654" s="5" t="s">
        <v>878</v>
      </c>
      <c r="F654" s="5">
        <v>278157</v>
      </c>
      <c r="G654" s="2" t="s">
        <v>1494</v>
      </c>
      <c r="H654" s="2" t="s">
        <v>1495</v>
      </c>
      <c r="I654" s="2" t="s">
        <v>1496</v>
      </c>
      <c r="J654" s="2" t="str">
        <f>CONCATENATE(G654,F654,H654,C654,I654)</f>
        <v>https://permalinkbnd.bnportugal.gov.pt/viewer/278157/?offset=#page=32&amp;viewer=picture&amp;o=info&amp;n=0&amp;q=</v>
      </c>
      <c r="K654" s="1" t="s">
        <v>879</v>
      </c>
      <c r="L654" s="1" t="str">
        <f>VLOOKUP(A654,Folha2!$A$2:$B$2019,2,FALSE)</f>
        <v>Centenario indiano : Album do Século : Marinha histórica do seculo XV e XVI. - Lisboa : Emp. jornal "O Seculo", [1897]. [Imagens: passagem do cabo das Tormentas; Mapa rota de Vasco da Gama e lugares de memória [Mosteiro de Belém].</v>
      </c>
      <c r="M654" s="12" t="str">
        <f>HYPERLINK(J654)</f>
        <v>https://permalinkbnd.bnportugal.gov.pt/viewer/278157/?offset=#page=32&amp;viewer=picture&amp;o=info&amp;n=0&amp;q=</v>
      </c>
      <c r="N654" s="12" t="s">
        <v>1497</v>
      </c>
      <c r="O654" s="12" t="str">
        <f>CONCATENATE(N654,A654,"\",B654,"\",C654,".jpg")</f>
        <v>C:\Users\mbaptista\OneDrive - Biblioteca Nacional de Portugal\Documentos\python\camoniana\imagens\capas\367315\1\32.jpg</v>
      </c>
      <c r="P654" s="12" t="str">
        <f>HYPERLINK(O654)</f>
        <v>C:\Users\mbaptista\OneDrive - Biblioteca Nacional de Portugal\Documentos\python\camoniana\imagens\capas\367315\1\32.jpg</v>
      </c>
      <c r="Q654" s="12"/>
      <c r="R654" s="6"/>
      <c r="S654" s="12"/>
      <c r="T654" s="1"/>
      <c r="U654" s="13"/>
      <c r="V654" s="13"/>
      <c r="W654" s="5"/>
    </row>
    <row r="655" spans="1:23" ht="225">
      <c r="A655" s="1">
        <v>367315</v>
      </c>
      <c r="B655" s="1">
        <v>1</v>
      </c>
      <c r="C655" s="1">
        <v>33</v>
      </c>
      <c r="D655" s="2" t="s">
        <v>878</v>
      </c>
      <c r="E655" s="11" t="s">
        <v>878</v>
      </c>
      <c r="F655" s="11">
        <v>278157</v>
      </c>
      <c r="G655" s="2" t="s">
        <v>1494</v>
      </c>
      <c r="H655" s="2" t="s">
        <v>1495</v>
      </c>
      <c r="I655" s="2" t="s">
        <v>1496</v>
      </c>
      <c r="J655" s="2" t="str">
        <f>CONCATENATE(G655,F655,H655,C655,I655)</f>
        <v>https://permalinkbnd.bnportugal.gov.pt/viewer/278157/?offset=#page=33&amp;viewer=picture&amp;o=info&amp;n=0&amp;q=</v>
      </c>
      <c r="K655" s="1" t="s">
        <v>879</v>
      </c>
      <c r="L655" s="1" t="str">
        <f>VLOOKUP(A655,Folha2!$A$2:$B$2019,2,FALSE)</f>
        <v>Centenario indiano : Album do Século : Marinha histórica do seculo XV e XVI. - Lisboa : Emp. jornal "O Seculo", [1897]. [Imagens: passagem do cabo das Tormentas; Mapa rota de Vasco da Gama e lugares de memória [Mosteiro de Belém].</v>
      </c>
      <c r="M655" s="12" t="str">
        <f>HYPERLINK(J655)</f>
        <v>https://permalinkbnd.bnportugal.gov.pt/viewer/278157/?offset=#page=33&amp;viewer=picture&amp;o=info&amp;n=0&amp;q=</v>
      </c>
      <c r="N655" s="12" t="s">
        <v>1497</v>
      </c>
      <c r="O655" s="12" t="str">
        <f>CONCATENATE(N655,A655,"\",B655,"\",C655,".jpg")</f>
        <v>C:\Users\mbaptista\OneDrive - Biblioteca Nacional de Portugal\Documentos\python\camoniana\imagens\capas\367315\1\33.jpg</v>
      </c>
      <c r="P655" s="12" t="str">
        <f>HYPERLINK(O655)</f>
        <v>C:\Users\mbaptista\OneDrive - Biblioteca Nacional de Portugal\Documentos\python\camoniana\imagens\capas\367315\1\33.jpg</v>
      </c>
      <c r="Q655" s="12"/>
      <c r="R655" s="6"/>
      <c r="S655" s="12"/>
      <c r="T655" s="1"/>
      <c r="U655" s="13"/>
      <c r="V655" s="13"/>
      <c r="W655" s="5"/>
    </row>
    <row r="656" spans="1:23" ht="225">
      <c r="A656" s="1">
        <v>367315</v>
      </c>
      <c r="B656" s="1">
        <v>1</v>
      </c>
      <c r="C656" s="1">
        <v>34</v>
      </c>
      <c r="D656" s="2" t="s">
        <v>878</v>
      </c>
      <c r="E656" s="5" t="s">
        <v>878</v>
      </c>
      <c r="F656" s="5">
        <v>278157</v>
      </c>
      <c r="G656" s="2" t="s">
        <v>1494</v>
      </c>
      <c r="H656" s="2" t="s">
        <v>1495</v>
      </c>
      <c r="I656" s="2" t="s">
        <v>1496</v>
      </c>
      <c r="J656" s="2" t="str">
        <f>CONCATENATE(G656,F656,H656,C656,I656)</f>
        <v>https://permalinkbnd.bnportugal.gov.pt/viewer/278157/?offset=#page=34&amp;viewer=picture&amp;o=info&amp;n=0&amp;q=</v>
      </c>
      <c r="K656" s="1" t="s">
        <v>879</v>
      </c>
      <c r="L656" s="1" t="str">
        <f>VLOOKUP(A656,Folha2!$A$2:$B$2019,2,FALSE)</f>
        <v>Centenario indiano : Album do Século : Marinha histórica do seculo XV e XVI. - Lisboa : Emp. jornal "O Seculo", [1897]. [Imagens: passagem do cabo das Tormentas; Mapa rota de Vasco da Gama e lugares de memória [Mosteiro de Belém].</v>
      </c>
      <c r="M656" s="12" t="str">
        <f>HYPERLINK(J656)</f>
        <v>https://permalinkbnd.bnportugal.gov.pt/viewer/278157/?offset=#page=34&amp;viewer=picture&amp;o=info&amp;n=0&amp;q=</v>
      </c>
      <c r="N656" s="12" t="s">
        <v>1497</v>
      </c>
      <c r="O656" s="12" t="str">
        <f>CONCATENATE(N656,A656,"\",B656,"\",C656,".jpg")</f>
        <v>C:\Users\mbaptista\OneDrive - Biblioteca Nacional de Portugal\Documentos\python\camoniana\imagens\capas\367315\1\34.jpg</v>
      </c>
      <c r="P656" s="12" t="str">
        <f>HYPERLINK(O656)</f>
        <v>C:\Users\mbaptista\OneDrive - Biblioteca Nacional de Portugal\Documentos\python\camoniana\imagens\capas\367315\1\34.jpg</v>
      </c>
      <c r="Q656" s="12"/>
      <c r="R656" s="6"/>
      <c r="S656" s="12"/>
      <c r="T656" s="1"/>
      <c r="U656" s="13"/>
      <c r="V656" s="13"/>
      <c r="W656" s="5"/>
    </row>
    <row r="657" spans="1:23" ht="225">
      <c r="A657" s="1">
        <v>367315</v>
      </c>
      <c r="B657" s="1">
        <v>1</v>
      </c>
      <c r="C657" s="1">
        <v>35</v>
      </c>
      <c r="D657" s="2" t="s">
        <v>878</v>
      </c>
      <c r="E657" s="11" t="s">
        <v>878</v>
      </c>
      <c r="F657" s="11">
        <v>278157</v>
      </c>
      <c r="G657" s="2" t="s">
        <v>1494</v>
      </c>
      <c r="H657" s="2" t="s">
        <v>1495</v>
      </c>
      <c r="I657" s="2" t="s">
        <v>1496</v>
      </c>
      <c r="J657" s="2" t="str">
        <f>CONCATENATE(G657,F657,H657,C657,I657)</f>
        <v>https://permalinkbnd.bnportugal.gov.pt/viewer/278157/?offset=#page=35&amp;viewer=picture&amp;o=info&amp;n=0&amp;q=</v>
      </c>
      <c r="K657" s="1" t="s">
        <v>879</v>
      </c>
      <c r="L657" s="1" t="str">
        <f>VLOOKUP(A657,Folha2!$A$2:$B$2019,2,FALSE)</f>
        <v>Centenario indiano : Album do Século : Marinha histórica do seculo XV e XVI. - Lisboa : Emp. jornal "O Seculo", [1897]. [Imagens: passagem do cabo das Tormentas; Mapa rota de Vasco da Gama e lugares de memória [Mosteiro de Belém].</v>
      </c>
      <c r="M657" s="12" t="str">
        <f>HYPERLINK(J657)</f>
        <v>https://permalinkbnd.bnportugal.gov.pt/viewer/278157/?offset=#page=35&amp;viewer=picture&amp;o=info&amp;n=0&amp;q=</v>
      </c>
      <c r="N657" s="12" t="s">
        <v>1497</v>
      </c>
      <c r="O657" s="12" t="str">
        <f>CONCATENATE(N657,A657,"\",B657,"\",C657,".jpg")</f>
        <v>C:\Users\mbaptista\OneDrive - Biblioteca Nacional de Portugal\Documentos\python\camoniana\imagens\capas\367315\1\35.jpg</v>
      </c>
      <c r="P657" s="12" t="str">
        <f>HYPERLINK(O657)</f>
        <v>C:\Users\mbaptista\OneDrive - Biblioteca Nacional de Portugal\Documentos\python\camoniana\imagens\capas\367315\1\35.jpg</v>
      </c>
      <c r="Q657" s="12"/>
      <c r="R657" s="6"/>
      <c r="S657" s="12"/>
      <c r="T657" s="1"/>
      <c r="U657" s="13"/>
      <c r="V657" s="13"/>
      <c r="W657" s="5"/>
    </row>
    <row r="658" spans="1:23" ht="225">
      <c r="A658" s="1">
        <v>367315</v>
      </c>
      <c r="B658" s="1">
        <v>1</v>
      </c>
      <c r="C658" s="1">
        <v>36</v>
      </c>
      <c r="D658" s="2" t="s">
        <v>878</v>
      </c>
      <c r="E658" s="5" t="s">
        <v>878</v>
      </c>
      <c r="F658" s="5">
        <v>278157</v>
      </c>
      <c r="G658" s="2" t="s">
        <v>1494</v>
      </c>
      <c r="H658" s="2" t="s">
        <v>1495</v>
      </c>
      <c r="I658" s="2" t="s">
        <v>1496</v>
      </c>
      <c r="J658" s="2" t="str">
        <f>CONCATENATE(G658,F658,H658,C658,I658)</f>
        <v>https://permalinkbnd.bnportugal.gov.pt/viewer/278157/?offset=#page=36&amp;viewer=picture&amp;o=info&amp;n=0&amp;q=</v>
      </c>
      <c r="K658" s="1" t="s">
        <v>879</v>
      </c>
      <c r="L658" s="1" t="str">
        <f>VLOOKUP(A658,Folha2!$A$2:$B$2019,2,FALSE)</f>
        <v>Centenario indiano : Album do Século : Marinha histórica do seculo XV e XVI. - Lisboa : Emp. jornal "O Seculo", [1897]. [Imagens: passagem do cabo das Tormentas; Mapa rota de Vasco da Gama e lugares de memória [Mosteiro de Belém].</v>
      </c>
      <c r="M658" s="12" t="str">
        <f>HYPERLINK(J658)</f>
        <v>https://permalinkbnd.bnportugal.gov.pt/viewer/278157/?offset=#page=36&amp;viewer=picture&amp;o=info&amp;n=0&amp;q=</v>
      </c>
      <c r="N658" s="12" t="s">
        <v>1497</v>
      </c>
      <c r="O658" s="12" t="str">
        <f>CONCATENATE(N658,A658,"\",B658,"\",C658,".jpg")</f>
        <v>C:\Users\mbaptista\OneDrive - Biblioteca Nacional de Portugal\Documentos\python\camoniana\imagens\capas\367315\1\36.jpg</v>
      </c>
      <c r="P658" s="12" t="str">
        <f>HYPERLINK(O658)</f>
        <v>C:\Users\mbaptista\OneDrive - Biblioteca Nacional de Portugal\Documentos\python\camoniana\imagens\capas\367315\1\36.jpg</v>
      </c>
      <c r="Q658" s="12"/>
      <c r="R658" s="6"/>
      <c r="S658" s="12"/>
      <c r="T658" s="1"/>
      <c r="U658" s="13"/>
      <c r="V658" s="13"/>
      <c r="W658" s="5"/>
    </row>
    <row r="659" spans="1:23" ht="225">
      <c r="A659" s="1">
        <v>367315</v>
      </c>
      <c r="B659" s="1">
        <v>1</v>
      </c>
      <c r="C659" s="1">
        <v>37</v>
      </c>
      <c r="D659" s="2" t="s">
        <v>878</v>
      </c>
      <c r="E659" s="11" t="s">
        <v>878</v>
      </c>
      <c r="F659" s="11">
        <v>278157</v>
      </c>
      <c r="G659" s="2" t="s">
        <v>1494</v>
      </c>
      <c r="H659" s="2" t="s">
        <v>1495</v>
      </c>
      <c r="I659" s="2" t="s">
        <v>1496</v>
      </c>
      <c r="J659" s="2" t="str">
        <f>CONCATENATE(G659,F659,H659,C659,I659)</f>
        <v>https://permalinkbnd.bnportugal.gov.pt/viewer/278157/?offset=#page=37&amp;viewer=picture&amp;o=info&amp;n=0&amp;q=</v>
      </c>
      <c r="K659" s="14"/>
      <c r="L659" s="1" t="str">
        <f>VLOOKUP(A659,Folha2!$A$2:$B$2019,2,FALSE)</f>
        <v>Centenario indiano : Album do Século : Marinha histórica do seculo XV e XVI. - Lisboa : Emp. jornal "O Seculo", [1897]. [Imagens: passagem do cabo das Tormentas; Mapa rota de Vasco da Gama e lugares de memória [Mosteiro de Belém].</v>
      </c>
      <c r="M659" s="12" t="str">
        <f>HYPERLINK(J659)</f>
        <v>https://permalinkbnd.bnportugal.gov.pt/viewer/278157/?offset=#page=37&amp;viewer=picture&amp;o=info&amp;n=0&amp;q=</v>
      </c>
      <c r="N659" s="12" t="s">
        <v>1497</v>
      </c>
      <c r="O659" s="12" t="str">
        <f>CONCATENATE(N659,A659,"\",B659,"\",C659,".jpg")</f>
        <v>C:\Users\mbaptista\OneDrive - Biblioteca Nacional de Portugal\Documentos\python\camoniana\imagens\capas\367315\1\37.jpg</v>
      </c>
      <c r="P659" s="12" t="str">
        <f>HYPERLINK(O659)</f>
        <v>C:\Users\mbaptista\OneDrive - Biblioteca Nacional de Portugal\Documentos\python\camoniana\imagens\capas\367315\1\37.jpg</v>
      </c>
      <c r="Q659" s="12"/>
      <c r="R659" s="6" t="s">
        <v>883</v>
      </c>
      <c r="S659" s="12"/>
      <c r="T659" s="1" t="s">
        <v>880</v>
      </c>
      <c r="U659" s="13"/>
      <c r="V659" s="13"/>
      <c r="W659" s="5" t="s">
        <v>1491</v>
      </c>
    </row>
    <row r="660" spans="1:23" ht="225">
      <c r="A660" s="1">
        <v>473530</v>
      </c>
      <c r="B660" s="1">
        <v>1</v>
      </c>
      <c r="C660" s="1">
        <v>13</v>
      </c>
      <c r="D660" s="2" t="s">
        <v>884</v>
      </c>
      <c r="E660" s="5" t="s">
        <v>884</v>
      </c>
      <c r="F660" s="5">
        <v>278166</v>
      </c>
      <c r="G660" s="2" t="s">
        <v>1494</v>
      </c>
      <c r="H660" s="2" t="s">
        <v>1495</v>
      </c>
      <c r="I660" s="2" t="s">
        <v>1496</v>
      </c>
      <c r="J660" s="2" t="str">
        <f>CONCATENATE(G660,F660,H660,C660,I660)</f>
        <v>https://permalinkbnd.bnportugal.gov.pt/viewer/278166/?offset=#page=13&amp;viewer=picture&amp;o=info&amp;n=0&amp;q=</v>
      </c>
      <c r="K660" s="1" t="s">
        <v>885</v>
      </c>
      <c r="L660" s="1" t="str">
        <f>VLOOKUP(A660,Folha2!$A$2:$B$2019,2,FALSE)</f>
        <v>Homenagem a Vasco da Gama e programma das festas do centenario : tributo litterario da Bibliotheca de Romances Notaveis. - Lisboa : Typ. do Commercio de Portugal, 1898. O centenário de Vasco da Gama. Texto com várias citações da obra de Camões.</v>
      </c>
      <c r="M660" s="12" t="str">
        <f>HYPERLINK(J660)</f>
        <v>https://permalinkbnd.bnportugal.gov.pt/viewer/278166/?offset=#page=13&amp;viewer=picture&amp;o=info&amp;n=0&amp;q=</v>
      </c>
      <c r="N660" s="12" t="s">
        <v>1497</v>
      </c>
      <c r="O660" s="12" t="str">
        <f>CONCATENATE(N660,A660,"\",B660,"\",C660,".jpg")</f>
        <v>C:\Users\mbaptista\OneDrive - Biblioteca Nacional de Portugal\Documentos\python\camoniana\imagens\capas\473530\1\13.jpg</v>
      </c>
      <c r="P660" s="12" t="str">
        <f>HYPERLINK(O660)</f>
        <v>C:\Users\mbaptista\OneDrive - Biblioteca Nacional de Portugal\Documentos\python\camoniana\imagens\capas\473530\1\13.jpg</v>
      </c>
      <c r="Q660" s="12"/>
      <c r="R660" s="6" t="s">
        <v>886</v>
      </c>
      <c r="S660" s="12"/>
      <c r="T660" s="1"/>
      <c r="U660" s="13"/>
      <c r="V660" s="13"/>
      <c r="W660" s="5" t="s">
        <v>1491</v>
      </c>
    </row>
    <row r="661" spans="1:23" ht="225">
      <c r="A661" s="1">
        <v>473530</v>
      </c>
      <c r="B661" s="1">
        <v>1</v>
      </c>
      <c r="C661" s="1">
        <v>15</v>
      </c>
      <c r="D661" s="2" t="s">
        <v>884</v>
      </c>
      <c r="E661" s="11" t="s">
        <v>884</v>
      </c>
      <c r="F661" s="11">
        <v>278166</v>
      </c>
      <c r="G661" s="2" t="s">
        <v>1494</v>
      </c>
      <c r="H661" s="2" t="s">
        <v>1495</v>
      </c>
      <c r="I661" s="2" t="s">
        <v>1496</v>
      </c>
      <c r="J661" s="2" t="str">
        <f>CONCATENATE(G661,F661,H661,C661,I661)</f>
        <v>https://permalinkbnd.bnportugal.gov.pt/viewer/278166/?offset=#page=15&amp;viewer=picture&amp;o=info&amp;n=0&amp;q=</v>
      </c>
      <c r="K661" s="1" t="s">
        <v>885</v>
      </c>
      <c r="L661" s="1" t="str">
        <f>VLOOKUP(A661,Folha2!$A$2:$B$2019,2,FALSE)</f>
        <v>Homenagem a Vasco da Gama e programma das festas do centenario : tributo litterario da Bibliotheca de Romances Notaveis. - Lisboa : Typ. do Commercio de Portugal, 1898. O centenário de Vasco da Gama. Texto com várias citações da obra de Camões.</v>
      </c>
      <c r="M661" s="12" t="str">
        <f>HYPERLINK(J661)</f>
        <v>https://permalinkbnd.bnportugal.gov.pt/viewer/278166/?offset=#page=15&amp;viewer=picture&amp;o=info&amp;n=0&amp;q=</v>
      </c>
      <c r="N661" s="12" t="s">
        <v>1497</v>
      </c>
      <c r="O661" s="12" t="str">
        <f>CONCATENATE(N661,A661,"\",B661,"\",C661,".jpg")</f>
        <v>C:\Users\mbaptista\OneDrive - Biblioteca Nacional de Portugal\Documentos\python\camoniana\imagens\capas\473530\1\15.jpg</v>
      </c>
      <c r="P661" s="12" t="str">
        <f>HYPERLINK(O661)</f>
        <v>C:\Users\mbaptista\OneDrive - Biblioteca Nacional de Portugal\Documentos\python\camoniana\imagens\capas\473530\1\15.jpg</v>
      </c>
      <c r="Q661" s="12"/>
      <c r="R661" s="6" t="s">
        <v>887</v>
      </c>
      <c r="S661" s="12"/>
      <c r="T661" s="1"/>
      <c r="U661" s="13"/>
      <c r="V661" s="13"/>
      <c r="W661" s="5" t="s">
        <v>1491</v>
      </c>
    </row>
    <row r="662" spans="1:23" ht="225">
      <c r="A662" s="1">
        <v>369142</v>
      </c>
      <c r="B662" s="1">
        <v>1</v>
      </c>
      <c r="C662" s="1">
        <v>6</v>
      </c>
      <c r="D662" s="2" t="s">
        <v>888</v>
      </c>
      <c r="E662" s="5" t="s">
        <v>888</v>
      </c>
      <c r="F662" s="5">
        <v>278323</v>
      </c>
      <c r="G662" s="2" t="s">
        <v>1494</v>
      </c>
      <c r="H662" s="2" t="s">
        <v>1495</v>
      </c>
      <c r="I662" s="2" t="s">
        <v>1496</v>
      </c>
      <c r="J662" s="2" t="str">
        <f>CONCATENATE(G662,F662,H662,C662,I662)</f>
        <v>https://permalinkbnd.bnportugal.gov.pt/viewer/278323/?offset=#page=6&amp;viewer=picture&amp;o=info&amp;n=0&amp;q=</v>
      </c>
      <c r="K662" s="1" t="s">
        <v>889</v>
      </c>
      <c r="L662" s="1" t="str">
        <f>VLOOKUP(A662,Folha2!$A$2:$B$2019,2,FALSE)</f>
        <v>Os Lusiadas : poema epico de Luis de Camões. - Nova edição para uso das escolas feita debaixo das vistas da mais acurada crítica em presença das duas edições primordiais.... - Rio de Janeiro : Em casa dos Editores Eduardo &amp; Henrique Laemmert, 1868, sem argumentos.</v>
      </c>
      <c r="M662" s="12" t="str">
        <f>HYPERLINK(J662)</f>
        <v>https://permalinkbnd.bnportugal.gov.pt/viewer/278323/?offset=#page=6&amp;viewer=picture&amp;o=info&amp;n=0&amp;q=</v>
      </c>
      <c r="N662" s="12" t="s">
        <v>1497</v>
      </c>
      <c r="O662" s="12" t="str">
        <f>CONCATENATE(N662,A662,"\",B662,"\",C662,".jpg")</f>
        <v>C:\Users\mbaptista\OneDrive - Biblioteca Nacional de Portugal\Documentos\python\camoniana\imagens\capas\369142\1\6.jpg</v>
      </c>
      <c r="P662" s="12" t="str">
        <f>HYPERLINK(O662)</f>
        <v>C:\Users\mbaptista\OneDrive - Biblioteca Nacional de Portugal\Documentos\python\camoniana\imagens\capas\369142\1\6.jpg</v>
      </c>
      <c r="Q662" s="12"/>
      <c r="R662" s="6" t="s">
        <v>890</v>
      </c>
      <c r="S662" s="12"/>
      <c r="T662" s="1">
        <v>6</v>
      </c>
      <c r="U662" s="13"/>
      <c r="V662" s="13"/>
      <c r="W662" s="5" t="s">
        <v>1491</v>
      </c>
    </row>
    <row r="663" spans="1:23" ht="225">
      <c r="A663" s="1">
        <v>369151</v>
      </c>
      <c r="B663" s="1">
        <v>1</v>
      </c>
      <c r="C663" s="1">
        <v>7</v>
      </c>
      <c r="D663" s="2" t="s">
        <v>891</v>
      </c>
      <c r="E663" s="11" t="s">
        <v>891</v>
      </c>
      <c r="F663" s="11">
        <v>278325</v>
      </c>
      <c r="G663" s="2" t="s">
        <v>1494</v>
      </c>
      <c r="H663" s="2" t="s">
        <v>1495</v>
      </c>
      <c r="I663" s="2" t="s">
        <v>1496</v>
      </c>
      <c r="J663" s="2" t="str">
        <f>CONCATENATE(G663,F663,H663,C663,I663)</f>
        <v>https://permalinkbnd.bnportugal.gov.pt/viewer/278325/?offset=#page=7&amp;viewer=picture&amp;o=info&amp;n=0&amp;q=</v>
      </c>
      <c r="K663" s="1" t="s">
        <v>892</v>
      </c>
      <c r="L663" s="1" t="str">
        <f>VLOOKUP(A663,Folha2!$A$2:$B$2019,2,FALSE)</f>
        <v>Os Lusiadas : poema epico / de Luiz de Camões. - Nova edição popular. - Lisboa : Roland &amp; Semion editores, 1884 . Paratextos vida e Paratextos argumentos.</v>
      </c>
      <c r="M663" s="12" t="str">
        <f>HYPERLINK(J663)</f>
        <v>https://permalinkbnd.bnportugal.gov.pt/viewer/278325/?offset=#page=7&amp;viewer=picture&amp;o=info&amp;n=0&amp;q=</v>
      </c>
      <c r="N663" s="12" t="s">
        <v>1497</v>
      </c>
      <c r="O663" s="12" t="str">
        <f>CONCATENATE(N663,A663,"\",B663,"\",C663,".jpg")</f>
        <v>C:\Users\mbaptista\OneDrive - Biblioteca Nacional de Portugal\Documentos\python\camoniana\imagens\capas\369151\1\7.jpg</v>
      </c>
      <c r="P663" s="12" t="str">
        <f>HYPERLINK(O663)</f>
        <v>C:\Users\mbaptista\OneDrive - Biblioteca Nacional de Portugal\Documentos\python\camoniana\imagens\capas\369151\1\7.jpg</v>
      </c>
      <c r="Q663" s="12"/>
      <c r="R663" s="6" t="s">
        <v>893</v>
      </c>
      <c r="S663" s="12"/>
      <c r="T663" s="1">
        <v>7</v>
      </c>
      <c r="U663" s="13"/>
      <c r="V663" s="13"/>
      <c r="W663" s="5" t="s">
        <v>1491</v>
      </c>
    </row>
    <row r="664" spans="1:23" ht="225">
      <c r="A664" s="1">
        <v>322260</v>
      </c>
      <c r="B664" s="1">
        <v>1</v>
      </c>
      <c r="C664" s="1">
        <v>12</v>
      </c>
      <c r="D664" s="2" t="s">
        <v>894</v>
      </c>
      <c r="E664" s="5" t="s">
        <v>894</v>
      </c>
      <c r="F664" s="5">
        <v>278334</v>
      </c>
      <c r="G664" s="2" t="s">
        <v>1494</v>
      </c>
      <c r="H664" s="2" t="s">
        <v>1495</v>
      </c>
      <c r="I664" s="2" t="s">
        <v>1496</v>
      </c>
      <c r="J664" s="2" t="str">
        <f>CONCATENATE(G664,F664,H664,C664,I664)</f>
        <v>https://permalinkbnd.bnportugal.gov.pt/viewer/278334/?offset=#page=12&amp;viewer=picture&amp;o=info&amp;n=0&amp;q=</v>
      </c>
      <c r="K664" s="1">
        <v>12</v>
      </c>
      <c r="L664" s="1" t="str">
        <f>VLOOKUP(A664,Folha2!$A$2:$B$2019,2,FALSE)</f>
        <v>Camões / Affonso Celso Junior. - S. Paulo : Livr. Popular de Abílio A. S. Marques, 1880. Parte II, I, sobre a vida do Poeta.</v>
      </c>
      <c r="M664" s="12" t="str">
        <f>HYPERLINK(J664)</f>
        <v>https://permalinkbnd.bnportugal.gov.pt/viewer/278334/?offset=#page=12&amp;viewer=picture&amp;o=info&amp;n=0&amp;q=</v>
      </c>
      <c r="N664" s="12" t="s">
        <v>1497</v>
      </c>
      <c r="O664" s="12" t="str">
        <f>CONCATENATE(N664,A664,"\",B664,"\",C664,".jpg")</f>
        <v>C:\Users\mbaptista\OneDrive - Biblioteca Nacional de Portugal\Documentos\python\camoniana\imagens\capas\322260\1\12.jpg</v>
      </c>
      <c r="P664" s="12" t="str">
        <f>HYPERLINK(O664)</f>
        <v>C:\Users\mbaptista\OneDrive - Biblioteca Nacional de Portugal\Documentos\python\camoniana\imagens\capas\322260\1\12.jpg</v>
      </c>
      <c r="Q664" s="12"/>
      <c r="R664" s="6" t="s">
        <v>895</v>
      </c>
      <c r="S664" s="12"/>
      <c r="T664" s="1">
        <v>12</v>
      </c>
      <c r="U664" s="13"/>
      <c r="V664" s="13"/>
      <c r="W664" s="5" t="s">
        <v>1491</v>
      </c>
    </row>
    <row r="665" spans="1:23" ht="225">
      <c r="A665" s="1">
        <v>189268</v>
      </c>
      <c r="B665" s="1">
        <v>1</v>
      </c>
      <c r="C665" s="1">
        <v>12</v>
      </c>
      <c r="D665" s="2" t="s">
        <v>896</v>
      </c>
      <c r="E665" s="11" t="s">
        <v>896</v>
      </c>
      <c r="F665" s="11">
        <v>273607</v>
      </c>
      <c r="G665" s="2" t="s">
        <v>1494</v>
      </c>
      <c r="H665" s="2" t="s">
        <v>1495</v>
      </c>
      <c r="I665" s="2" t="s">
        <v>1496</v>
      </c>
      <c r="J665" s="2" t="str">
        <f>CONCATENATE(G665,F665,H665,C665,I665)</f>
        <v>https://permalinkbnd.bnportugal.gov.pt/viewer/273607/?offset=#page=12&amp;viewer=picture&amp;o=info&amp;n=0&amp;q=</v>
      </c>
      <c r="K665" s="1">
        <v>12</v>
      </c>
      <c r="L665" s="1" t="str">
        <f>VLOOKUP(A665,Folha2!$A$2:$B$2019,2,FALSE)</f>
        <v>Luís de Camões. Episódios de Inês de Castro e Adamastor: extraídos dos cantos III e V dos Lusíadas. Trad. em versos franceses por J. A. D'Escodeca de Boisse. Lisboa. 1865. </v>
      </c>
      <c r="M665" s="12" t="str">
        <f>HYPERLINK(J665)</f>
        <v>https://permalinkbnd.bnportugal.gov.pt/viewer/273607/?offset=#page=12&amp;viewer=picture&amp;o=info&amp;n=0&amp;q=</v>
      </c>
      <c r="N665" s="12" t="s">
        <v>1497</v>
      </c>
      <c r="O665" s="12" t="str">
        <f>CONCATENATE(N665,A665,"\",B665,"\",C665,".jpg")</f>
        <v>C:\Users\mbaptista\OneDrive - Biblioteca Nacional de Portugal\Documentos\python\camoniana\imagens\capas\189268\1\12.jpg</v>
      </c>
      <c r="P665" s="12" t="str">
        <f>HYPERLINK(O665)</f>
        <v>C:\Users\mbaptista\OneDrive - Biblioteca Nacional de Portugal\Documentos\python\camoniana\imagens\capas\189268\1\12.jpg</v>
      </c>
      <c r="Q665" s="12"/>
      <c r="R665" s="6" t="s">
        <v>897</v>
      </c>
      <c r="S665" s="12"/>
      <c r="T665" s="1">
        <v>12</v>
      </c>
      <c r="U665" s="13"/>
      <c r="V665" s="13"/>
      <c r="W665" s="5" t="s">
        <v>1491</v>
      </c>
    </row>
    <row r="666" spans="1:23" ht="225">
      <c r="A666" s="1">
        <v>808486</v>
      </c>
      <c r="B666" s="1">
        <v>1</v>
      </c>
      <c r="C666" s="1">
        <v>7</v>
      </c>
      <c r="D666" s="2" t="s">
        <v>898</v>
      </c>
      <c r="E666" s="5" t="s">
        <v>898</v>
      </c>
      <c r="F666" s="5">
        <v>273178</v>
      </c>
      <c r="G666" s="2" t="s">
        <v>1494</v>
      </c>
      <c r="H666" s="2" t="s">
        <v>1495</v>
      </c>
      <c r="I666" s="2" t="s">
        <v>1496</v>
      </c>
      <c r="J666" s="2" t="str">
        <f>CONCATENATE(G666,F666,H666,C666,I666)</f>
        <v>https://permalinkbnd.bnportugal.gov.pt/viewer/273178/?offset=#page=7&amp;viewer=picture&amp;o=info&amp;n=0&amp;q=</v>
      </c>
      <c r="K666" s="1" t="s">
        <v>899</v>
      </c>
      <c r="L666" s="1" t="str">
        <f>VLOOKUP(A666,Folha2!$A$2:$B$2019,2,FALSE)</f>
        <v>[Luis de Camões]. Sonetos escolhidos. Trad. em sonetos italianos, com variantes por Prospero Peragallo. Lisboa. 1885. </v>
      </c>
      <c r="M666" s="12" t="str">
        <f>HYPERLINK(J666)</f>
        <v>https://permalinkbnd.bnportugal.gov.pt/viewer/273178/?offset=#page=7&amp;viewer=picture&amp;o=info&amp;n=0&amp;q=</v>
      </c>
      <c r="N666" s="12" t="s">
        <v>1497</v>
      </c>
      <c r="O666" s="12" t="str">
        <f>CONCATENATE(N666,A666,"\",B666,"\",C666,".jpg")</f>
        <v>C:\Users\mbaptista\OneDrive - Biblioteca Nacional de Portugal\Documentos\python\camoniana\imagens\capas\808486\1\7.jpg</v>
      </c>
      <c r="P666" s="12" t="str">
        <f>HYPERLINK(O666)</f>
        <v>C:\Users\mbaptista\OneDrive - Biblioteca Nacional de Portugal\Documentos\python\camoniana\imagens\capas\808486\1\7.jpg</v>
      </c>
      <c r="Q666" s="12"/>
      <c r="R666" s="6" t="s">
        <v>900</v>
      </c>
      <c r="S666" s="12"/>
      <c r="T666" s="1"/>
      <c r="U666" s="13"/>
      <c r="V666" s="13"/>
      <c r="W666" s="5" t="s">
        <v>1491</v>
      </c>
    </row>
    <row r="667" spans="1:23" ht="225">
      <c r="A667" s="1">
        <v>808486</v>
      </c>
      <c r="B667" s="1">
        <v>1</v>
      </c>
      <c r="C667" s="1">
        <v>20</v>
      </c>
      <c r="D667" s="2" t="s">
        <v>898</v>
      </c>
      <c r="E667" s="11" t="s">
        <v>898</v>
      </c>
      <c r="F667" s="11">
        <v>273178</v>
      </c>
      <c r="G667" s="2" t="s">
        <v>1494</v>
      </c>
      <c r="H667" s="2" t="s">
        <v>1495</v>
      </c>
      <c r="I667" s="2" t="s">
        <v>1496</v>
      </c>
      <c r="J667" s="2" t="str">
        <f>CONCATENATE(G667,F667,H667,C667,I667)</f>
        <v>https://permalinkbnd.bnportugal.gov.pt/viewer/273178/?offset=#page=20&amp;viewer=picture&amp;o=info&amp;n=0&amp;q=</v>
      </c>
      <c r="K667" s="1" t="s">
        <v>901</v>
      </c>
      <c r="L667" s="1" t="str">
        <f>VLOOKUP(A667,Folha2!$A$2:$B$2019,2,FALSE)</f>
        <v>[Luis de Camões]. Sonetos escolhidos. Trad. em sonetos italianos, com variantes por Prospero Peragallo. Lisboa. 1885. </v>
      </c>
      <c r="M667" s="12" t="str">
        <f>HYPERLINK(J667)</f>
        <v>https://permalinkbnd.bnportugal.gov.pt/viewer/273178/?offset=#page=20&amp;viewer=picture&amp;o=info&amp;n=0&amp;q=</v>
      </c>
      <c r="N667" s="12" t="s">
        <v>1497</v>
      </c>
      <c r="O667" s="12" t="str">
        <f>CONCATENATE(N667,A667,"\",B667,"\",C667,".jpg")</f>
        <v>C:\Users\mbaptista\OneDrive - Biblioteca Nacional de Portugal\Documentos\python\camoniana\imagens\capas\808486\1\20.jpg</v>
      </c>
      <c r="P667" s="12" t="str">
        <f>HYPERLINK(O667)</f>
        <v>C:\Users\mbaptista\OneDrive - Biblioteca Nacional de Portugal\Documentos\python\camoniana\imagens\capas\808486\1\20.jpg</v>
      </c>
      <c r="Q667" s="12"/>
      <c r="R667" s="6" t="s">
        <v>902</v>
      </c>
      <c r="S667" s="12"/>
      <c r="T667" s="1"/>
      <c r="U667" s="13"/>
      <c r="V667" s="13"/>
      <c r="W667" s="5" t="s">
        <v>1491</v>
      </c>
    </row>
    <row r="668" spans="1:23" ht="225">
      <c r="A668" s="1">
        <v>808486</v>
      </c>
      <c r="B668" s="1">
        <v>1</v>
      </c>
      <c r="C668" s="1">
        <v>34</v>
      </c>
      <c r="D668" s="2" t="s">
        <v>898</v>
      </c>
      <c r="E668" s="5" t="s">
        <v>898</v>
      </c>
      <c r="F668" s="5">
        <v>273178</v>
      </c>
      <c r="G668" s="2" t="s">
        <v>1494</v>
      </c>
      <c r="H668" s="2" t="s">
        <v>1495</v>
      </c>
      <c r="I668" s="2" t="s">
        <v>1496</v>
      </c>
      <c r="J668" s="2" t="str">
        <f>CONCATENATE(G668,F668,H668,C668,I668)</f>
        <v>https://permalinkbnd.bnportugal.gov.pt/viewer/273178/?offset=#page=34&amp;viewer=picture&amp;o=info&amp;n=0&amp;q=</v>
      </c>
      <c r="K668" s="1" t="s">
        <v>903</v>
      </c>
      <c r="L668" s="1" t="str">
        <f>VLOOKUP(A668,Folha2!$A$2:$B$2019,2,FALSE)</f>
        <v>[Luis de Camões]. Sonetos escolhidos. Trad. em sonetos italianos, com variantes por Prospero Peragallo. Lisboa. 1885. </v>
      </c>
      <c r="M668" s="12" t="str">
        <f>HYPERLINK(J668)</f>
        <v>https://permalinkbnd.bnportugal.gov.pt/viewer/273178/?offset=#page=34&amp;viewer=picture&amp;o=info&amp;n=0&amp;q=</v>
      </c>
      <c r="N668" s="12" t="s">
        <v>1497</v>
      </c>
      <c r="O668" s="12" t="str">
        <f>CONCATENATE(N668,A668,"\",B668,"\",C668,".jpg")</f>
        <v>C:\Users\mbaptista\OneDrive - Biblioteca Nacional de Portugal\Documentos\python\camoniana\imagens\capas\808486\1\34.jpg</v>
      </c>
      <c r="P668" s="12" t="str">
        <f>HYPERLINK(O668)</f>
        <v>C:\Users\mbaptista\OneDrive - Biblioteca Nacional de Portugal\Documentos\python\camoniana\imagens\capas\808486\1\34.jpg</v>
      </c>
      <c r="Q668" s="12"/>
      <c r="R668" s="6" t="s">
        <v>904</v>
      </c>
      <c r="S668" s="12"/>
      <c r="T668" s="1"/>
      <c r="U668" s="13"/>
      <c r="V668" s="13"/>
      <c r="W668" s="5" t="s">
        <v>1491</v>
      </c>
    </row>
    <row r="669" spans="1:23" ht="225">
      <c r="A669" s="1">
        <v>808486</v>
      </c>
      <c r="B669" s="1">
        <v>1</v>
      </c>
      <c r="C669" s="1">
        <v>48</v>
      </c>
      <c r="D669" s="2" t="s">
        <v>898</v>
      </c>
      <c r="E669" s="11" t="s">
        <v>898</v>
      </c>
      <c r="F669" s="11">
        <v>273178</v>
      </c>
      <c r="G669" s="2" t="s">
        <v>1494</v>
      </c>
      <c r="H669" s="2" t="s">
        <v>1495</v>
      </c>
      <c r="I669" s="2" t="s">
        <v>1496</v>
      </c>
      <c r="J669" s="2" t="str">
        <f>CONCATENATE(G669,F669,H669,C669,I669)</f>
        <v>https://permalinkbnd.bnportugal.gov.pt/viewer/273178/?offset=#page=48&amp;viewer=picture&amp;o=info&amp;n=0&amp;q=</v>
      </c>
      <c r="K669" s="1" t="s">
        <v>905</v>
      </c>
      <c r="L669" s="1" t="str">
        <f>VLOOKUP(A669,Folha2!$A$2:$B$2019,2,FALSE)</f>
        <v>[Luis de Camões]. Sonetos escolhidos. Trad. em sonetos italianos, com variantes por Prospero Peragallo. Lisboa. 1885. </v>
      </c>
      <c r="M669" s="12" t="str">
        <f>HYPERLINK(J669)</f>
        <v>https://permalinkbnd.bnportugal.gov.pt/viewer/273178/?offset=#page=48&amp;viewer=picture&amp;o=info&amp;n=0&amp;q=</v>
      </c>
      <c r="N669" s="12" t="s">
        <v>1497</v>
      </c>
      <c r="O669" s="12" t="str">
        <f>CONCATENATE(N669,A669,"\",B669,"\",C669,".jpg")</f>
        <v>C:\Users\mbaptista\OneDrive - Biblioteca Nacional de Portugal\Documentos\python\camoniana\imagens\capas\808486\1\48.jpg</v>
      </c>
      <c r="P669" s="12" t="str">
        <f>HYPERLINK(O669)</f>
        <v>C:\Users\mbaptista\OneDrive - Biblioteca Nacional de Portugal\Documentos\python\camoniana\imagens\capas\808486\1\48.jpg</v>
      </c>
      <c r="Q669" s="12"/>
      <c r="R669" s="6" t="s">
        <v>906</v>
      </c>
      <c r="S669" s="12"/>
      <c r="T669" s="1"/>
      <c r="U669" s="13"/>
      <c r="V669" s="13"/>
      <c r="W669" s="5" t="s">
        <v>1491</v>
      </c>
    </row>
    <row r="670" spans="1:23" ht="225">
      <c r="A670" s="1">
        <v>808486</v>
      </c>
      <c r="B670" s="1">
        <v>1</v>
      </c>
      <c r="C670" s="1">
        <v>85</v>
      </c>
      <c r="D670" s="2" t="s">
        <v>898</v>
      </c>
      <c r="E670" s="5" t="s">
        <v>898</v>
      </c>
      <c r="F670" s="5">
        <v>273178</v>
      </c>
      <c r="G670" s="2" t="s">
        <v>1494</v>
      </c>
      <c r="H670" s="2" t="s">
        <v>1495</v>
      </c>
      <c r="I670" s="2" t="s">
        <v>1496</v>
      </c>
      <c r="J670" s="2" t="str">
        <f>CONCATENATE(G670,F670,H670,C670,I670)</f>
        <v>https://permalinkbnd.bnportugal.gov.pt/viewer/273178/?offset=#page=85&amp;viewer=picture&amp;o=info&amp;n=0&amp;q=</v>
      </c>
      <c r="K670" s="1" t="s">
        <v>907</v>
      </c>
      <c r="L670" s="1" t="str">
        <f>VLOOKUP(A670,Folha2!$A$2:$B$2019,2,FALSE)</f>
        <v>[Luis de Camões]. Sonetos escolhidos. Trad. em sonetos italianos, com variantes por Prospero Peragallo. Lisboa. 1885. </v>
      </c>
      <c r="M670" s="12" t="str">
        <f>HYPERLINK(J670)</f>
        <v>https://permalinkbnd.bnportugal.gov.pt/viewer/273178/?offset=#page=85&amp;viewer=picture&amp;o=info&amp;n=0&amp;q=</v>
      </c>
      <c r="N670" s="12" t="s">
        <v>1497</v>
      </c>
      <c r="O670" s="12" t="str">
        <f>CONCATENATE(N670,A670,"\",B670,"\",C670,".jpg")</f>
        <v>C:\Users\mbaptista\OneDrive - Biblioteca Nacional de Portugal\Documentos\python\camoniana\imagens\capas\808486\1\85.jpg</v>
      </c>
      <c r="P670" s="12" t="str">
        <f>HYPERLINK(O670)</f>
        <v>C:\Users\mbaptista\OneDrive - Biblioteca Nacional de Portugal\Documentos\python\camoniana\imagens\capas\808486\1\85.jpg</v>
      </c>
      <c r="Q670" s="12"/>
      <c r="R670" s="6" t="s">
        <v>908</v>
      </c>
      <c r="S670" s="12"/>
      <c r="T670" s="1"/>
      <c r="U670" s="13"/>
      <c r="V670" s="13"/>
      <c r="W670" s="5" t="s">
        <v>1491</v>
      </c>
    </row>
    <row r="671" spans="1:23" ht="225">
      <c r="A671" s="1">
        <v>808486</v>
      </c>
      <c r="B671" s="1">
        <v>1</v>
      </c>
      <c r="C671" s="1">
        <v>90</v>
      </c>
      <c r="D671" s="2" t="s">
        <v>898</v>
      </c>
      <c r="E671" s="11" t="s">
        <v>898</v>
      </c>
      <c r="F671" s="11">
        <v>273178</v>
      </c>
      <c r="G671" s="2" t="s">
        <v>1494</v>
      </c>
      <c r="H671" s="2" t="s">
        <v>1495</v>
      </c>
      <c r="I671" s="2" t="s">
        <v>1496</v>
      </c>
      <c r="J671" s="2" t="str">
        <f>CONCATENATE(G671,F671,H671,C671,I671)</f>
        <v>https://permalinkbnd.bnportugal.gov.pt/viewer/273178/?offset=#page=90&amp;viewer=picture&amp;o=info&amp;n=0&amp;q=</v>
      </c>
      <c r="K671" s="1" t="s">
        <v>909</v>
      </c>
      <c r="L671" s="1" t="str">
        <f>VLOOKUP(A671,Folha2!$A$2:$B$2019,2,FALSE)</f>
        <v>[Luis de Camões]. Sonetos escolhidos. Trad. em sonetos italianos, com variantes por Prospero Peragallo. Lisboa. 1885. </v>
      </c>
      <c r="M671" s="12" t="str">
        <f>HYPERLINK(J671)</f>
        <v>https://permalinkbnd.bnportugal.gov.pt/viewer/273178/?offset=#page=90&amp;viewer=picture&amp;o=info&amp;n=0&amp;q=</v>
      </c>
      <c r="N671" s="12" t="s">
        <v>1497</v>
      </c>
      <c r="O671" s="12" t="str">
        <f>CONCATENATE(N671,A671,"\",B671,"\",C671,".jpg")</f>
        <v>C:\Users\mbaptista\OneDrive - Biblioteca Nacional de Portugal\Documentos\python\camoniana\imagens\capas\808486\1\90.jpg</v>
      </c>
      <c r="P671" s="12" t="str">
        <f>HYPERLINK(O671)</f>
        <v>C:\Users\mbaptista\OneDrive - Biblioteca Nacional de Portugal\Documentos\python\camoniana\imagens\capas\808486\1\90.jpg</v>
      </c>
      <c r="Q671" s="12"/>
      <c r="R671" s="6" t="s">
        <v>910</v>
      </c>
      <c r="S671" s="12"/>
      <c r="T671" s="1"/>
      <c r="U671" s="13"/>
      <c r="V671" s="13"/>
      <c r="W671" s="5" t="s">
        <v>1491</v>
      </c>
    </row>
    <row r="672" spans="1:23" ht="225">
      <c r="A672" s="1">
        <v>810044</v>
      </c>
      <c r="B672" s="1">
        <v>1</v>
      </c>
      <c r="C672" s="1">
        <v>1</v>
      </c>
      <c r="D672" s="2" t="s">
        <v>911</v>
      </c>
      <c r="E672" s="5" t="s">
        <v>911</v>
      </c>
      <c r="F672" s="5">
        <v>273317</v>
      </c>
      <c r="G672" s="2" t="s">
        <v>1494</v>
      </c>
      <c r="H672" s="2" t="s">
        <v>1495</v>
      </c>
      <c r="I672" s="2" t="s">
        <v>1496</v>
      </c>
      <c r="J672" s="2" t="str">
        <f>CONCATENATE(G672,F672,H672,C672,I672)</f>
        <v>https://permalinkbnd.bnportugal.gov.pt/viewer/273317/?offset=#page=1&amp;viewer=picture&amp;o=info&amp;n=0&amp;q=</v>
      </c>
      <c r="K672" s="1">
        <v>1</v>
      </c>
      <c r="L672" s="1" t="str">
        <f>VLOOKUP(A672,Folha2!$A$2:$B$2019,2,FALSE)</f>
        <v>Luís de Camões. Lirícas.Trad. francesas e castelhanas de José Benoliel; pref. por Xavier da Cunha. Lisboa. 1898. </v>
      </c>
      <c r="M672" s="12" t="str">
        <f>HYPERLINK(J672)</f>
        <v>https://permalinkbnd.bnportugal.gov.pt/viewer/273317/?offset=#page=1&amp;viewer=picture&amp;o=info&amp;n=0&amp;q=</v>
      </c>
      <c r="N672" s="12" t="s">
        <v>1497</v>
      </c>
      <c r="O672" s="12" t="str">
        <f>CONCATENATE(N672,A672,"\",B672,"\",C672,".jpg")</f>
        <v>C:\Users\mbaptista\OneDrive - Biblioteca Nacional de Portugal\Documentos\python\camoniana\imagens\capas\810044\1\1.jpg</v>
      </c>
      <c r="P672" s="12" t="str">
        <f>HYPERLINK(O672)</f>
        <v>C:\Users\mbaptista\OneDrive - Biblioteca Nacional de Portugal\Documentos\python\camoniana\imagens\capas\810044\1\1.jpg</v>
      </c>
      <c r="Q672" s="12"/>
      <c r="R672" s="6" t="s">
        <v>912</v>
      </c>
      <c r="S672" s="12"/>
      <c r="T672" s="1"/>
      <c r="U672" s="13"/>
      <c r="V672" s="13"/>
      <c r="W672" s="5" t="s">
        <v>1491</v>
      </c>
    </row>
    <row r="673" spans="1:23" ht="225">
      <c r="A673" s="1">
        <v>412780</v>
      </c>
      <c r="B673" s="1">
        <v>1</v>
      </c>
      <c r="C673" s="1">
        <v>3</v>
      </c>
      <c r="D673" s="12" t="s">
        <v>1492</v>
      </c>
      <c r="E673" s="11" t="s">
        <v>1492</v>
      </c>
      <c r="F673" s="11">
        <v>1</v>
      </c>
      <c r="G673" s="2" t="s">
        <v>1494</v>
      </c>
      <c r="H673" s="2" t="s">
        <v>1495</v>
      </c>
      <c r="I673" s="2" t="s">
        <v>1496</v>
      </c>
      <c r="J673" s="2" t="str">
        <f>CONCATENATE(G673,F673,H673,C673,I673)</f>
        <v>https://permalinkbnd.bnportugal.gov.pt/viewer/1/?offset=#page=3&amp;viewer=picture&amp;o=info&amp;n=0&amp;q=</v>
      </c>
      <c r="K673" s="1" t="s">
        <v>913</v>
      </c>
      <c r="L673" s="1" t="str">
        <f>VLOOKUP(A673,Folha2!$A$2:$B$2019,2,FALSE)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3" s="12" t="str">
        <f>HYPERLINK(J673)</f>
        <v>https://permalinkbnd.bnportugal.gov.pt/viewer/1/?offset=#page=3&amp;viewer=picture&amp;o=info&amp;n=0&amp;q=</v>
      </c>
      <c r="N673" s="12" t="s">
        <v>1497</v>
      </c>
      <c r="O673" s="12" t="str">
        <f>CONCATENATE(N673,A673,"\",B673,"\",C673,".jpg")</f>
        <v>C:\Users\mbaptista\OneDrive - Biblioteca Nacional de Portugal\Documentos\python\camoniana\imagens\capas\412780\1\3.jpg</v>
      </c>
      <c r="P673" s="12" t="str">
        <f>HYPERLINK(O673)</f>
        <v>C:\Users\mbaptista\OneDrive - Biblioteca Nacional de Portugal\Documentos\python\camoniana\imagens\capas\412780\1\3.jpg</v>
      </c>
      <c r="Q673" s="12"/>
      <c r="R673" s="6"/>
      <c r="S673" s="12"/>
      <c r="T673" s="1"/>
      <c r="U673" s="13"/>
      <c r="V673" s="13"/>
      <c r="W673" s="5"/>
    </row>
    <row r="674" spans="1:23" ht="225">
      <c r="A674" s="1">
        <v>412780</v>
      </c>
      <c r="B674" s="1">
        <v>1</v>
      </c>
      <c r="C674" s="1">
        <v>5</v>
      </c>
      <c r="D674" s="12" t="s">
        <v>1492</v>
      </c>
      <c r="E674" s="5" t="s">
        <v>1492</v>
      </c>
      <c r="F674" s="5">
        <v>1</v>
      </c>
      <c r="G674" s="2" t="s">
        <v>1494</v>
      </c>
      <c r="H674" s="2" t="s">
        <v>1495</v>
      </c>
      <c r="I674" s="2" t="s">
        <v>1496</v>
      </c>
      <c r="J674" s="2" t="str">
        <f>CONCATENATE(G674,F674,H674,C674,I674)</f>
        <v>https://permalinkbnd.bnportugal.gov.pt/viewer/1/?offset=#page=5&amp;viewer=picture&amp;o=info&amp;n=0&amp;q=</v>
      </c>
      <c r="K674" s="1" t="s">
        <v>913</v>
      </c>
      <c r="L674" s="1" t="str">
        <f>VLOOKUP(A674,Folha2!$A$2:$B$2019,2,FALSE)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4" s="12" t="str">
        <f>HYPERLINK(J674)</f>
        <v>https://permalinkbnd.bnportugal.gov.pt/viewer/1/?offset=#page=5&amp;viewer=picture&amp;o=info&amp;n=0&amp;q=</v>
      </c>
      <c r="N674" s="12" t="s">
        <v>1497</v>
      </c>
      <c r="O674" s="12" t="str">
        <f>CONCATENATE(N674,A674,"\",B674,"\",C674,".jpg")</f>
        <v>C:\Users\mbaptista\OneDrive - Biblioteca Nacional de Portugal\Documentos\python\camoniana\imagens\capas\412780\1\5.jpg</v>
      </c>
      <c r="P674" s="12" t="str">
        <f>HYPERLINK(O674)</f>
        <v>C:\Users\mbaptista\OneDrive - Biblioteca Nacional de Portugal\Documentos\python\camoniana\imagens\capas\412780\1\5.jpg</v>
      </c>
      <c r="Q674" s="12"/>
      <c r="R674" s="6"/>
      <c r="S674" s="12"/>
      <c r="T674" s="1"/>
      <c r="U674" s="13"/>
      <c r="V674" s="13"/>
      <c r="W674" s="5"/>
    </row>
    <row r="675" spans="1:23" ht="225">
      <c r="A675" s="1">
        <v>412780</v>
      </c>
      <c r="B675" s="1">
        <v>1</v>
      </c>
      <c r="C675" s="1">
        <v>13</v>
      </c>
      <c r="D675" s="12" t="s">
        <v>1492</v>
      </c>
      <c r="E675" s="11" t="s">
        <v>1492</v>
      </c>
      <c r="F675" s="11">
        <v>1</v>
      </c>
      <c r="G675" s="2" t="s">
        <v>1494</v>
      </c>
      <c r="H675" s="2" t="s">
        <v>1495</v>
      </c>
      <c r="I675" s="2" t="s">
        <v>1496</v>
      </c>
      <c r="J675" s="2" t="str">
        <f>CONCATENATE(G675,F675,H675,C675,I675)</f>
        <v>https://permalinkbnd.bnportugal.gov.pt/viewer/1/?offset=#page=13&amp;viewer=picture&amp;o=info&amp;n=0&amp;q=</v>
      </c>
      <c r="K675" s="1" t="s">
        <v>913</v>
      </c>
      <c r="L675" s="1" t="str">
        <f>VLOOKUP(A675,Folha2!$A$2:$B$2019,2,FALSE)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5" s="12" t="str">
        <f>HYPERLINK(J675)</f>
        <v>https://permalinkbnd.bnportugal.gov.pt/viewer/1/?offset=#page=13&amp;viewer=picture&amp;o=info&amp;n=0&amp;q=</v>
      </c>
      <c r="N675" s="12" t="s">
        <v>1497</v>
      </c>
      <c r="O675" s="12" t="str">
        <f>CONCATENATE(N675,A675,"\",B675,"\",C675,".jpg")</f>
        <v>C:\Users\mbaptista\OneDrive - Biblioteca Nacional de Portugal\Documentos\python\camoniana\imagens\capas\412780\1\13.jpg</v>
      </c>
      <c r="P675" s="12" t="str">
        <f>HYPERLINK(O675)</f>
        <v>C:\Users\mbaptista\OneDrive - Biblioteca Nacional de Portugal\Documentos\python\camoniana\imagens\capas\412780\1\13.jpg</v>
      </c>
      <c r="Q675" s="12"/>
      <c r="R675" s="6"/>
      <c r="S675" s="12"/>
      <c r="T675" s="1"/>
      <c r="U675" s="13"/>
      <c r="V675" s="13"/>
      <c r="W675" s="5"/>
    </row>
    <row r="676" spans="1:23" ht="225">
      <c r="A676" s="1">
        <v>412780</v>
      </c>
      <c r="B676" s="1">
        <v>1</v>
      </c>
      <c r="C676" s="1">
        <v>19</v>
      </c>
      <c r="D676" s="12" t="s">
        <v>1492</v>
      </c>
      <c r="E676" s="5" t="s">
        <v>1492</v>
      </c>
      <c r="F676" s="5">
        <v>1</v>
      </c>
      <c r="G676" s="2" t="s">
        <v>1494</v>
      </c>
      <c r="H676" s="2" t="s">
        <v>1495</v>
      </c>
      <c r="I676" s="2" t="s">
        <v>1496</v>
      </c>
      <c r="J676" s="2" t="str">
        <f>CONCATENATE(G676,F676,H676,C676,I676)</f>
        <v>https://permalinkbnd.bnportugal.gov.pt/viewer/1/?offset=#page=19&amp;viewer=picture&amp;o=info&amp;n=0&amp;q=</v>
      </c>
      <c r="K676" s="1" t="s">
        <v>913</v>
      </c>
      <c r="L676" s="1" t="str">
        <f>VLOOKUP(A676,Folha2!$A$2:$B$2019,2,FALSE)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6" s="12" t="str">
        <f>HYPERLINK(J676)</f>
        <v>https://permalinkbnd.bnportugal.gov.pt/viewer/1/?offset=#page=19&amp;viewer=picture&amp;o=info&amp;n=0&amp;q=</v>
      </c>
      <c r="N676" s="12" t="s">
        <v>1497</v>
      </c>
      <c r="O676" s="12" t="str">
        <f>CONCATENATE(N676,A676,"\",B676,"\",C676,".jpg")</f>
        <v>C:\Users\mbaptista\OneDrive - Biblioteca Nacional de Portugal\Documentos\python\camoniana\imagens\capas\412780\1\19.jpg</v>
      </c>
      <c r="P676" s="12" t="str">
        <f>HYPERLINK(O676)</f>
        <v>C:\Users\mbaptista\OneDrive - Biblioteca Nacional de Portugal\Documentos\python\camoniana\imagens\capas\412780\1\19.jpg</v>
      </c>
      <c r="Q676" s="12"/>
      <c r="R676" s="6"/>
      <c r="S676" s="12"/>
      <c r="T676" s="1"/>
      <c r="U676" s="13"/>
      <c r="V676" s="13"/>
      <c r="W676" s="5"/>
    </row>
    <row r="677" spans="1:23" ht="225">
      <c r="A677" s="1">
        <v>412780</v>
      </c>
      <c r="B677" s="1">
        <v>1</v>
      </c>
      <c r="C677" s="1">
        <v>27</v>
      </c>
      <c r="D677" s="12" t="s">
        <v>1492</v>
      </c>
      <c r="E677" s="11" t="s">
        <v>1492</v>
      </c>
      <c r="F677" s="11">
        <v>1</v>
      </c>
      <c r="G677" s="2" t="s">
        <v>1494</v>
      </c>
      <c r="H677" s="2" t="s">
        <v>1495</v>
      </c>
      <c r="I677" s="2" t="s">
        <v>1496</v>
      </c>
      <c r="J677" s="2" t="str">
        <f>CONCATENATE(G677,F677,H677,C677,I677)</f>
        <v>https://permalinkbnd.bnportugal.gov.pt/viewer/1/?offset=#page=27&amp;viewer=picture&amp;o=info&amp;n=0&amp;q=</v>
      </c>
      <c r="K677" s="1" t="s">
        <v>913</v>
      </c>
      <c r="L677" s="1" t="str">
        <f>VLOOKUP(A677,Folha2!$A$2:$B$2019,2,FALSE)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7" s="12" t="str">
        <f>HYPERLINK(J677)</f>
        <v>https://permalinkbnd.bnportugal.gov.pt/viewer/1/?offset=#page=27&amp;viewer=picture&amp;o=info&amp;n=0&amp;q=</v>
      </c>
      <c r="N677" s="12" t="s">
        <v>1497</v>
      </c>
      <c r="O677" s="12" t="str">
        <f>CONCATENATE(N677,A677,"\",B677,"\",C677,".jpg")</f>
        <v>C:\Users\mbaptista\OneDrive - Biblioteca Nacional de Portugal\Documentos\python\camoniana\imagens\capas\412780\1\27.jpg</v>
      </c>
      <c r="P677" s="12" t="str">
        <f>HYPERLINK(O677)</f>
        <v>C:\Users\mbaptista\OneDrive - Biblioteca Nacional de Portugal\Documentos\python\camoniana\imagens\capas\412780\1\27.jpg</v>
      </c>
      <c r="Q677" s="12"/>
      <c r="R677" s="6"/>
      <c r="S677" s="12"/>
      <c r="T677" s="1"/>
      <c r="U677" s="13"/>
      <c r="V677" s="13"/>
      <c r="W677" s="5"/>
    </row>
    <row r="678" spans="1:23" ht="225">
      <c r="A678" s="1">
        <v>412780</v>
      </c>
      <c r="B678" s="1">
        <v>1</v>
      </c>
      <c r="C678" s="1">
        <v>31</v>
      </c>
      <c r="D678" s="12" t="s">
        <v>1492</v>
      </c>
      <c r="E678" s="5" t="s">
        <v>1492</v>
      </c>
      <c r="F678" s="5">
        <v>1</v>
      </c>
      <c r="G678" s="2" t="s">
        <v>1494</v>
      </c>
      <c r="H678" s="2" t="s">
        <v>1495</v>
      </c>
      <c r="I678" s="2" t="s">
        <v>1496</v>
      </c>
      <c r="J678" s="2" t="str">
        <f>CONCATENATE(G678,F678,H678,C678,I678)</f>
        <v>https://permalinkbnd.bnportugal.gov.pt/viewer/1/?offset=#page=31&amp;viewer=picture&amp;o=info&amp;n=0&amp;q=</v>
      </c>
      <c r="K678" s="1" t="s">
        <v>913</v>
      </c>
      <c r="L678" s="1" t="str">
        <f>VLOOKUP(A678,Folha2!$A$2:$B$2019,2,FALSE)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8" s="12" t="str">
        <f>HYPERLINK(J678)</f>
        <v>https://permalinkbnd.bnportugal.gov.pt/viewer/1/?offset=#page=31&amp;viewer=picture&amp;o=info&amp;n=0&amp;q=</v>
      </c>
      <c r="N678" s="12" t="s">
        <v>1497</v>
      </c>
      <c r="O678" s="12" t="str">
        <f>CONCATENATE(N678,A678,"\",B678,"\",C678,".jpg")</f>
        <v>C:\Users\mbaptista\OneDrive - Biblioteca Nacional de Portugal\Documentos\python\camoniana\imagens\capas\412780\1\31.jpg</v>
      </c>
      <c r="P678" s="12" t="str">
        <f>HYPERLINK(O678)</f>
        <v>C:\Users\mbaptista\OneDrive - Biblioteca Nacional de Portugal\Documentos\python\camoniana\imagens\capas\412780\1\31.jpg</v>
      </c>
      <c r="Q678" s="12"/>
      <c r="R678" s="6"/>
      <c r="S678" s="12"/>
      <c r="T678" s="1"/>
      <c r="U678" s="13"/>
      <c r="V678" s="13"/>
      <c r="W678" s="5"/>
    </row>
    <row r="679" spans="1:23" ht="225">
      <c r="A679" s="1">
        <v>412780</v>
      </c>
      <c r="B679" s="1">
        <v>1</v>
      </c>
      <c r="C679" s="1">
        <v>35</v>
      </c>
      <c r="D679" s="12" t="s">
        <v>1492</v>
      </c>
      <c r="E679" s="11" t="s">
        <v>1492</v>
      </c>
      <c r="F679" s="11">
        <v>1</v>
      </c>
      <c r="G679" s="2" t="s">
        <v>1494</v>
      </c>
      <c r="H679" s="2" t="s">
        <v>1495</v>
      </c>
      <c r="I679" s="2" t="s">
        <v>1496</v>
      </c>
      <c r="J679" s="2" t="str">
        <f>CONCATENATE(G679,F679,H679,C679,I679)</f>
        <v>https://permalinkbnd.bnportugal.gov.pt/viewer/1/?offset=#page=35&amp;viewer=picture&amp;o=info&amp;n=0&amp;q=</v>
      </c>
      <c r="K679" s="1" t="s">
        <v>913</v>
      </c>
      <c r="L679" s="1" t="str">
        <f>VLOOKUP(A679,Folha2!$A$2:$B$2019,2,FALSE)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79" s="12" t="str">
        <f>HYPERLINK(J679)</f>
        <v>https://permalinkbnd.bnportugal.gov.pt/viewer/1/?offset=#page=35&amp;viewer=picture&amp;o=info&amp;n=0&amp;q=</v>
      </c>
      <c r="N679" s="12" t="s">
        <v>1497</v>
      </c>
      <c r="O679" s="12" t="str">
        <f>CONCATENATE(N679,A679,"\",B679,"\",C679,".jpg")</f>
        <v>C:\Users\mbaptista\OneDrive - Biblioteca Nacional de Portugal\Documentos\python\camoniana\imagens\capas\412780\1\35.jpg</v>
      </c>
      <c r="P679" s="12" t="str">
        <f>HYPERLINK(O679)</f>
        <v>C:\Users\mbaptista\OneDrive - Biblioteca Nacional de Portugal\Documentos\python\camoniana\imagens\capas\412780\1\35.jpg</v>
      </c>
      <c r="Q679" s="12"/>
      <c r="R679" s="6" t="s">
        <v>915</v>
      </c>
      <c r="S679" s="12"/>
      <c r="T679" s="1">
        <v>35</v>
      </c>
      <c r="U679" s="13" t="s">
        <v>914</v>
      </c>
      <c r="V679" s="13"/>
      <c r="W679" s="5" t="s">
        <v>1491</v>
      </c>
    </row>
    <row r="680" spans="1:23" ht="225">
      <c r="A680" s="1">
        <v>412780</v>
      </c>
      <c r="B680" s="1">
        <v>1</v>
      </c>
      <c r="C680" s="1">
        <v>39</v>
      </c>
      <c r="D680" s="12" t="s">
        <v>1492</v>
      </c>
      <c r="E680" s="5" t="s">
        <v>1492</v>
      </c>
      <c r="F680" s="5">
        <v>1</v>
      </c>
      <c r="G680" s="2" t="s">
        <v>1494</v>
      </c>
      <c r="H680" s="2" t="s">
        <v>1495</v>
      </c>
      <c r="I680" s="2" t="s">
        <v>1496</v>
      </c>
      <c r="J680" s="2" t="str">
        <f>CONCATENATE(G680,F680,H680,C680,I680)</f>
        <v>https://permalinkbnd.bnportugal.gov.pt/viewer/1/?offset=#page=39&amp;viewer=picture&amp;o=info&amp;n=0&amp;q=</v>
      </c>
      <c r="K680" s="1" t="s">
        <v>913</v>
      </c>
      <c r="L680" s="1" t="str">
        <f>VLOOKUP(A680,Folha2!$A$2:$B$2019,2,FALSE)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0" s="12" t="str">
        <f>HYPERLINK(J680)</f>
        <v>https://permalinkbnd.bnportugal.gov.pt/viewer/1/?offset=#page=39&amp;viewer=picture&amp;o=info&amp;n=0&amp;q=</v>
      </c>
      <c r="N680" s="12" t="s">
        <v>1497</v>
      </c>
      <c r="O680" s="12" t="str">
        <f>CONCATENATE(N680,A680,"\",B680,"\",C680,".jpg")</f>
        <v>C:\Users\mbaptista\OneDrive - Biblioteca Nacional de Portugal\Documentos\python\camoniana\imagens\capas\412780\1\39.jpg</v>
      </c>
      <c r="P680" s="12" t="str">
        <f>HYPERLINK(O680)</f>
        <v>C:\Users\mbaptista\OneDrive - Biblioteca Nacional de Portugal\Documentos\python\camoniana\imagens\capas\412780\1\39.jpg</v>
      </c>
      <c r="Q680" s="12"/>
      <c r="R680" s="6"/>
      <c r="S680" s="12"/>
      <c r="T680" s="1"/>
      <c r="U680" s="13"/>
      <c r="V680" s="13"/>
      <c r="W680" s="5"/>
    </row>
    <row r="681" spans="1:23" ht="225">
      <c r="A681" s="1">
        <v>412780</v>
      </c>
      <c r="B681" s="1">
        <v>1</v>
      </c>
      <c r="C681" s="1">
        <v>41</v>
      </c>
      <c r="D681" s="12" t="s">
        <v>1492</v>
      </c>
      <c r="E681" s="11" t="s">
        <v>1492</v>
      </c>
      <c r="F681" s="11">
        <v>1</v>
      </c>
      <c r="G681" s="2" t="s">
        <v>1494</v>
      </c>
      <c r="H681" s="2" t="s">
        <v>1495</v>
      </c>
      <c r="I681" s="2" t="s">
        <v>1496</v>
      </c>
      <c r="J681" s="2" t="str">
        <f>CONCATENATE(G681,F681,H681,C681,I681)</f>
        <v>https://permalinkbnd.bnportugal.gov.pt/viewer/1/?offset=#page=41&amp;viewer=picture&amp;o=info&amp;n=0&amp;q=</v>
      </c>
      <c r="K681" s="1" t="s">
        <v>913</v>
      </c>
      <c r="L681" s="1" t="str">
        <f>VLOOKUP(A681,Folha2!$A$2:$B$2019,2,FALSE)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1" s="12" t="str">
        <f>HYPERLINK(J681)</f>
        <v>https://permalinkbnd.bnportugal.gov.pt/viewer/1/?offset=#page=41&amp;viewer=picture&amp;o=info&amp;n=0&amp;q=</v>
      </c>
      <c r="N681" s="12" t="s">
        <v>1497</v>
      </c>
      <c r="O681" s="12" t="str">
        <f>CONCATENATE(N681,A681,"\",B681,"\",C681,".jpg")</f>
        <v>C:\Users\mbaptista\OneDrive - Biblioteca Nacional de Portugal\Documentos\python\camoniana\imagens\capas\412780\1\41.jpg</v>
      </c>
      <c r="P681" s="12" t="str">
        <f>HYPERLINK(O681)</f>
        <v>C:\Users\mbaptista\OneDrive - Biblioteca Nacional de Portugal\Documentos\python\camoniana\imagens\capas\412780\1\41.jpg</v>
      </c>
      <c r="Q681" s="12"/>
      <c r="R681" s="6"/>
      <c r="S681" s="12"/>
      <c r="T681" s="1"/>
      <c r="U681" s="13"/>
      <c r="V681" s="13"/>
      <c r="W681" s="5"/>
    </row>
    <row r="682" spans="1:23" ht="225">
      <c r="A682" s="1">
        <v>412780</v>
      </c>
      <c r="B682" s="1">
        <v>1</v>
      </c>
      <c r="C682" s="1">
        <v>45</v>
      </c>
      <c r="D682" s="12" t="s">
        <v>1492</v>
      </c>
      <c r="E682" s="5" t="s">
        <v>1492</v>
      </c>
      <c r="F682" s="5">
        <v>1</v>
      </c>
      <c r="G682" s="2" t="s">
        <v>1494</v>
      </c>
      <c r="H682" s="2" t="s">
        <v>1495</v>
      </c>
      <c r="I682" s="2" t="s">
        <v>1496</v>
      </c>
      <c r="J682" s="2" t="str">
        <f>CONCATENATE(G682,F682,H682,C682,I682)</f>
        <v>https://permalinkbnd.bnportugal.gov.pt/viewer/1/?offset=#page=45&amp;viewer=picture&amp;o=info&amp;n=0&amp;q=</v>
      </c>
      <c r="K682" s="1" t="s">
        <v>913</v>
      </c>
      <c r="L682" s="1" t="str">
        <f>VLOOKUP(A682,Folha2!$A$2:$B$2019,2,FALSE)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2" s="12" t="str">
        <f>HYPERLINK(J682)</f>
        <v>https://permalinkbnd.bnportugal.gov.pt/viewer/1/?offset=#page=45&amp;viewer=picture&amp;o=info&amp;n=0&amp;q=</v>
      </c>
      <c r="N682" s="12" t="s">
        <v>1497</v>
      </c>
      <c r="O682" s="12" t="str">
        <f>CONCATENATE(N682,A682,"\",B682,"\",C682,".jpg")</f>
        <v>C:\Users\mbaptista\OneDrive - Biblioteca Nacional de Portugal\Documentos\python\camoniana\imagens\capas\412780\1\45.jpg</v>
      </c>
      <c r="P682" s="12" t="str">
        <f>HYPERLINK(O682)</f>
        <v>C:\Users\mbaptista\OneDrive - Biblioteca Nacional de Portugal\Documentos\python\camoniana\imagens\capas\412780\1\45.jpg</v>
      </c>
      <c r="Q682" s="12"/>
      <c r="R682" s="6"/>
      <c r="S682" s="12"/>
      <c r="T682" s="1"/>
      <c r="U682" s="13"/>
      <c r="V682" s="13"/>
      <c r="W682" s="5"/>
    </row>
    <row r="683" spans="1:23" ht="225">
      <c r="A683" s="1">
        <v>412780</v>
      </c>
      <c r="B683" s="1">
        <v>1</v>
      </c>
      <c r="C683" s="1">
        <v>49</v>
      </c>
      <c r="D683" s="12" t="s">
        <v>1492</v>
      </c>
      <c r="E683" s="11" t="s">
        <v>1492</v>
      </c>
      <c r="F683" s="11">
        <v>1</v>
      </c>
      <c r="G683" s="2" t="s">
        <v>1494</v>
      </c>
      <c r="H683" s="2" t="s">
        <v>1495</v>
      </c>
      <c r="I683" s="2" t="s">
        <v>1496</v>
      </c>
      <c r="J683" s="2" t="str">
        <f>CONCATENATE(G683,F683,H683,C683,I683)</f>
        <v>https://permalinkbnd.bnportugal.gov.pt/viewer/1/?offset=#page=49&amp;viewer=picture&amp;o=info&amp;n=0&amp;q=</v>
      </c>
      <c r="K683" s="1" t="s">
        <v>913</v>
      </c>
      <c r="L683" s="1" t="str">
        <f>VLOOKUP(A683,Folha2!$A$2:$B$2019,2,FALSE)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3" s="12" t="str">
        <f>HYPERLINK(J683)</f>
        <v>https://permalinkbnd.bnportugal.gov.pt/viewer/1/?offset=#page=49&amp;viewer=picture&amp;o=info&amp;n=0&amp;q=</v>
      </c>
      <c r="N683" s="12" t="s">
        <v>1497</v>
      </c>
      <c r="O683" s="12" t="str">
        <f>CONCATENATE(N683,A683,"\",B683,"\",C683,".jpg")</f>
        <v>C:\Users\mbaptista\OneDrive - Biblioteca Nacional de Portugal\Documentos\python\camoniana\imagens\capas\412780\1\49.jpg</v>
      </c>
      <c r="P683" s="12" t="str">
        <f>HYPERLINK(O683)</f>
        <v>C:\Users\mbaptista\OneDrive - Biblioteca Nacional de Portugal\Documentos\python\camoniana\imagens\capas\412780\1\49.jpg</v>
      </c>
      <c r="Q683" s="12"/>
      <c r="R683" s="6"/>
      <c r="S683" s="12"/>
      <c r="T683" s="1"/>
      <c r="U683" s="13"/>
      <c r="V683" s="13"/>
      <c r="W683" s="5"/>
    </row>
    <row r="684" spans="1:23" ht="225">
      <c r="A684" s="1">
        <v>412780</v>
      </c>
      <c r="B684" s="1">
        <v>1</v>
      </c>
      <c r="C684" s="1">
        <v>53</v>
      </c>
      <c r="D684" s="12" t="s">
        <v>1492</v>
      </c>
      <c r="E684" s="5" t="s">
        <v>1492</v>
      </c>
      <c r="F684" s="5">
        <v>1</v>
      </c>
      <c r="G684" s="2" t="s">
        <v>1494</v>
      </c>
      <c r="H684" s="2" t="s">
        <v>1495</v>
      </c>
      <c r="I684" s="2" t="s">
        <v>1496</v>
      </c>
      <c r="J684" s="2" t="str">
        <f>CONCATENATE(G684,F684,H684,C684,I684)</f>
        <v>https://permalinkbnd.bnportugal.gov.pt/viewer/1/?offset=#page=53&amp;viewer=picture&amp;o=info&amp;n=0&amp;q=</v>
      </c>
      <c r="K684" s="1" t="s">
        <v>913</v>
      </c>
      <c r="L684" s="1" t="str">
        <f>VLOOKUP(A684,Folha2!$A$2:$B$2019,2,FALSE)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4" s="12" t="str">
        <f>HYPERLINK(J684)</f>
        <v>https://permalinkbnd.bnportugal.gov.pt/viewer/1/?offset=#page=53&amp;viewer=picture&amp;o=info&amp;n=0&amp;q=</v>
      </c>
      <c r="N684" s="12" t="s">
        <v>1497</v>
      </c>
      <c r="O684" s="12" t="str">
        <f>CONCATENATE(N684,A684,"\",B684,"\",C684,".jpg")</f>
        <v>C:\Users\mbaptista\OneDrive - Biblioteca Nacional de Portugal\Documentos\python\camoniana\imagens\capas\412780\1\53.jpg</v>
      </c>
      <c r="P684" s="12" t="str">
        <f>HYPERLINK(O684)</f>
        <v>C:\Users\mbaptista\OneDrive - Biblioteca Nacional de Portugal\Documentos\python\camoniana\imagens\capas\412780\1\53.jpg</v>
      </c>
      <c r="Q684" s="12"/>
      <c r="R684" s="6"/>
      <c r="S684" s="12"/>
      <c r="T684" s="1"/>
      <c r="U684" s="13"/>
      <c r="V684" s="13"/>
      <c r="W684" s="5"/>
    </row>
    <row r="685" spans="1:23" ht="225">
      <c r="A685" s="1">
        <v>412780</v>
      </c>
      <c r="B685" s="1">
        <v>1</v>
      </c>
      <c r="C685" s="1">
        <v>56</v>
      </c>
      <c r="D685" s="12" t="s">
        <v>1492</v>
      </c>
      <c r="E685" s="11" t="s">
        <v>1492</v>
      </c>
      <c r="F685" s="11">
        <v>1</v>
      </c>
      <c r="G685" s="2" t="s">
        <v>1494</v>
      </c>
      <c r="H685" s="2" t="s">
        <v>1495</v>
      </c>
      <c r="I685" s="2" t="s">
        <v>1496</v>
      </c>
      <c r="J685" s="2" t="str">
        <f>CONCATENATE(G685,F685,H685,C685,I685)</f>
        <v>https://permalinkbnd.bnportugal.gov.pt/viewer/1/?offset=#page=56&amp;viewer=picture&amp;o=info&amp;n=0&amp;q=</v>
      </c>
      <c r="K685" s="1" t="s">
        <v>913</v>
      </c>
      <c r="L685" s="1" t="str">
        <f>VLOOKUP(A685,Folha2!$A$2:$B$2019,2,FALSE)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5" s="12" t="str">
        <f>HYPERLINK(J685)</f>
        <v>https://permalinkbnd.bnportugal.gov.pt/viewer/1/?offset=#page=56&amp;viewer=picture&amp;o=info&amp;n=0&amp;q=</v>
      </c>
      <c r="N685" s="12" t="s">
        <v>1497</v>
      </c>
      <c r="O685" s="12" t="str">
        <f>CONCATENATE(N685,A685,"\",B685,"\",C685,".jpg")</f>
        <v>C:\Users\mbaptista\OneDrive - Biblioteca Nacional de Portugal\Documentos\python\camoniana\imagens\capas\412780\1\56.jpg</v>
      </c>
      <c r="P685" s="12" t="str">
        <f>HYPERLINK(O685)</f>
        <v>C:\Users\mbaptista\OneDrive - Biblioteca Nacional de Portugal\Documentos\python\camoniana\imagens\capas\412780\1\56.jpg</v>
      </c>
      <c r="Q685" s="12"/>
      <c r="R685" s="6"/>
      <c r="S685" s="12"/>
      <c r="T685" s="1"/>
      <c r="U685" s="13"/>
      <c r="V685" s="13"/>
      <c r="W685" s="5"/>
    </row>
    <row r="686" spans="1:23" ht="225">
      <c r="A686" s="1">
        <v>412780</v>
      </c>
      <c r="B686" s="1">
        <v>1</v>
      </c>
      <c r="C686" s="1">
        <v>57</v>
      </c>
      <c r="D686" s="12" t="s">
        <v>1492</v>
      </c>
      <c r="E686" s="5" t="s">
        <v>1492</v>
      </c>
      <c r="F686" s="5">
        <v>1</v>
      </c>
      <c r="G686" s="2" t="s">
        <v>1494</v>
      </c>
      <c r="H686" s="2" t="s">
        <v>1495</v>
      </c>
      <c r="I686" s="2" t="s">
        <v>1496</v>
      </c>
      <c r="J686" s="2" t="str">
        <f>CONCATENATE(G686,F686,H686,C686,I686)</f>
        <v>https://permalinkbnd.bnportugal.gov.pt/viewer/1/?offset=#page=57&amp;viewer=picture&amp;o=info&amp;n=0&amp;q=</v>
      </c>
      <c r="K686" s="1" t="s">
        <v>913</v>
      </c>
      <c r="L686" s="1" t="str">
        <f>VLOOKUP(A686,Folha2!$A$2:$B$2019,2,FALSE)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6" s="12" t="str">
        <f>HYPERLINK(J686)</f>
        <v>https://permalinkbnd.bnportugal.gov.pt/viewer/1/?offset=#page=57&amp;viewer=picture&amp;o=info&amp;n=0&amp;q=</v>
      </c>
      <c r="N686" s="12" t="s">
        <v>1497</v>
      </c>
      <c r="O686" s="12" t="str">
        <f>CONCATENATE(N686,A686,"\",B686,"\",C686,".jpg")</f>
        <v>C:\Users\mbaptista\OneDrive - Biblioteca Nacional de Portugal\Documentos\python\camoniana\imagens\capas\412780\1\57.jpg</v>
      </c>
      <c r="P686" s="12" t="str">
        <f>HYPERLINK(O686)</f>
        <v>C:\Users\mbaptista\OneDrive - Biblioteca Nacional de Portugal\Documentos\python\camoniana\imagens\capas\412780\1\57.jpg</v>
      </c>
      <c r="Q686" s="12"/>
      <c r="R686" s="6"/>
      <c r="S686" s="12"/>
      <c r="T686" s="1"/>
      <c r="U686" s="13"/>
      <c r="V686" s="13"/>
      <c r="W686" s="5"/>
    </row>
    <row r="687" spans="1:23" ht="225">
      <c r="A687" s="1">
        <v>412780</v>
      </c>
      <c r="B687" s="1">
        <v>1</v>
      </c>
      <c r="C687" s="1">
        <v>60</v>
      </c>
      <c r="D687" s="12" t="s">
        <v>1492</v>
      </c>
      <c r="E687" s="11" t="s">
        <v>1492</v>
      </c>
      <c r="F687" s="11">
        <v>1</v>
      </c>
      <c r="G687" s="2" t="s">
        <v>1494</v>
      </c>
      <c r="H687" s="2" t="s">
        <v>1495</v>
      </c>
      <c r="I687" s="2" t="s">
        <v>1496</v>
      </c>
      <c r="J687" s="2" t="str">
        <f>CONCATENATE(G687,F687,H687,C687,I687)</f>
        <v>https://permalinkbnd.bnportugal.gov.pt/viewer/1/?offset=#page=60&amp;viewer=picture&amp;o=info&amp;n=0&amp;q=</v>
      </c>
      <c r="K687" s="1" t="s">
        <v>913</v>
      </c>
      <c r="L687" s="1" t="str">
        <f>VLOOKUP(A687,Folha2!$A$2:$B$2019,2,FALSE)</f>
        <v>[AA. VV. Não é uma ref. válida de autoria em registos bibl.] Celebração do 1' 1.º centenário do descobrimento do caminho marítimo para a Índia por Vasco da Gama. Número Jornal único. Macau. [1898] CORRIGIDO. As celebrações referem-se ao centenário da Índia. Lugares de Memória. Incluir periódico (1898)?</v>
      </c>
      <c r="M687" s="12" t="str">
        <f>HYPERLINK(J687)</f>
        <v>https://permalinkbnd.bnportugal.gov.pt/viewer/1/?offset=#page=60&amp;viewer=picture&amp;o=info&amp;n=0&amp;q=</v>
      </c>
      <c r="N687" s="12" t="s">
        <v>1497</v>
      </c>
      <c r="O687" s="12" t="str">
        <f>CONCATENATE(N687,A687,"\",B687,"\",C687,".jpg")</f>
        <v>C:\Users\mbaptista\OneDrive - Biblioteca Nacional de Portugal\Documentos\python\camoniana\imagens\capas\412780\1\60.jpg</v>
      </c>
      <c r="P687" s="12" t="str">
        <f>HYPERLINK(O687)</f>
        <v>C:\Users\mbaptista\OneDrive - Biblioteca Nacional de Portugal\Documentos\python\camoniana\imagens\capas\412780\1\60.jpg</v>
      </c>
      <c r="Q687" s="12"/>
      <c r="R687" s="6"/>
      <c r="S687" s="12"/>
      <c r="T687" s="1"/>
      <c r="U687" s="13"/>
      <c r="V687" s="13"/>
      <c r="W687" s="5"/>
    </row>
    <row r="688" spans="1:23" ht="225">
      <c r="A688" s="1">
        <v>98840</v>
      </c>
      <c r="B688" s="1">
        <v>1</v>
      </c>
      <c r="C688" s="1">
        <v>10</v>
      </c>
      <c r="D688" s="2" t="s">
        <v>916</v>
      </c>
      <c r="E688" s="5" t="s">
        <v>916</v>
      </c>
      <c r="F688" s="5">
        <v>273944</v>
      </c>
      <c r="G688" s="2" t="s">
        <v>1494</v>
      </c>
      <c r="H688" s="2" t="s">
        <v>1495</v>
      </c>
      <c r="I688" s="2" t="s">
        <v>1496</v>
      </c>
      <c r="J688" s="2" t="str">
        <f>CONCATENATE(G688,F688,H688,C688,I688)</f>
        <v>https://permalinkbnd.bnportugal.gov.pt/viewer/273944/?offset=#page=10&amp;viewer=picture&amp;o=info&amp;n=0&amp;q=</v>
      </c>
      <c r="K688" s="1" t="s">
        <v>917</v>
      </c>
      <c r="L688" s="1" t="str">
        <f>VLOOKUP(A688,Folha2!$A$2:$B$2019,2,FALSE)</f>
        <v>Os Lusiadas. - Rio de Janeiro : Gabinete Portuguez de Leitura, 1880. Sem argumentos; o prólogo fala sobre a vida do Poeta e a sua índole.</v>
      </c>
      <c r="M688" s="12" t="str">
        <f>HYPERLINK(J688)</f>
        <v>https://permalinkbnd.bnportugal.gov.pt/viewer/273944/?offset=#page=10&amp;viewer=picture&amp;o=info&amp;n=0&amp;q=</v>
      </c>
      <c r="N688" s="12" t="s">
        <v>1497</v>
      </c>
      <c r="O688" s="12" t="str">
        <f>CONCATENATE(N688,A688,"\",B688,"\",C688,".jpg")</f>
        <v>C:\Users\mbaptista\OneDrive - Biblioteca Nacional de Portugal\Documentos\python\camoniana\imagens\capas\98840\1\10.jpg</v>
      </c>
      <c r="P688" s="12" t="str">
        <f>HYPERLINK(O688)</f>
        <v>C:\Users\mbaptista\OneDrive - Biblioteca Nacional de Portugal\Documentos\python\camoniana\imagens\capas\98840\1\10.jpg</v>
      </c>
      <c r="Q688" s="12"/>
      <c r="R688" s="6" t="s">
        <v>919</v>
      </c>
      <c r="S688" s="12"/>
      <c r="T688" s="1" t="s">
        <v>918</v>
      </c>
      <c r="U688" s="13"/>
      <c r="V688" s="13"/>
      <c r="W688" s="5" t="s">
        <v>1491</v>
      </c>
    </row>
    <row r="689" spans="1:23" ht="225">
      <c r="A689" s="1">
        <v>98840</v>
      </c>
      <c r="B689" s="1">
        <v>1</v>
      </c>
      <c r="C689" s="1">
        <v>11</v>
      </c>
      <c r="D689" s="2" t="s">
        <v>916</v>
      </c>
      <c r="E689" s="11" t="s">
        <v>916</v>
      </c>
      <c r="F689" s="11">
        <v>273944</v>
      </c>
      <c r="G689" s="2" t="s">
        <v>1494</v>
      </c>
      <c r="H689" s="2" t="s">
        <v>1495</v>
      </c>
      <c r="I689" s="2" t="s">
        <v>1496</v>
      </c>
      <c r="J689" s="2" t="str">
        <f>CONCATENATE(G689,F689,H689,C689,I689)</f>
        <v>https://permalinkbnd.bnportugal.gov.pt/viewer/273944/?offset=#page=11&amp;viewer=picture&amp;o=info&amp;n=0&amp;q=</v>
      </c>
      <c r="K689" s="1" t="s">
        <v>917</v>
      </c>
      <c r="L689" s="1" t="str">
        <f>VLOOKUP(A689,Folha2!$A$2:$B$2019,2,FALSE)</f>
        <v>Os Lusiadas. - Rio de Janeiro : Gabinete Portuguez de Leitura, 1880. Sem argumentos; o prólogo fala sobre a vida do Poeta e a sua índole.</v>
      </c>
      <c r="M689" s="12" t="str">
        <f>HYPERLINK(J689)</f>
        <v>https://permalinkbnd.bnportugal.gov.pt/viewer/273944/?offset=#page=11&amp;viewer=picture&amp;o=info&amp;n=0&amp;q=</v>
      </c>
      <c r="N689" s="12" t="s">
        <v>1497</v>
      </c>
      <c r="O689" s="12" t="str">
        <f>CONCATENATE(N689,A689,"\",B689,"\",C689,".jpg")</f>
        <v>C:\Users\mbaptista\OneDrive - Biblioteca Nacional de Portugal\Documentos\python\camoniana\imagens\capas\98840\1\11.jpg</v>
      </c>
      <c r="P689" s="12" t="str">
        <f>HYPERLINK(O689)</f>
        <v>C:\Users\mbaptista\OneDrive - Biblioteca Nacional de Portugal\Documentos\python\camoniana\imagens\capas\98840\1\11.jpg</v>
      </c>
      <c r="Q689" s="12"/>
      <c r="R689" s="6"/>
      <c r="S689" s="12"/>
      <c r="T689" s="1"/>
      <c r="U689" s="13"/>
      <c r="V689" s="13"/>
      <c r="W689" s="5"/>
    </row>
    <row r="690" spans="1:23" ht="225">
      <c r="A690" s="1">
        <v>98840</v>
      </c>
      <c r="B690" s="1">
        <v>1</v>
      </c>
      <c r="C690" s="1">
        <v>103</v>
      </c>
      <c r="D690" s="2" t="s">
        <v>916</v>
      </c>
      <c r="E690" s="5" t="s">
        <v>916</v>
      </c>
      <c r="F690" s="5">
        <v>273944</v>
      </c>
      <c r="G690" s="2" t="s">
        <v>1494</v>
      </c>
      <c r="H690" s="2" t="s">
        <v>1495</v>
      </c>
      <c r="I690" s="2" t="s">
        <v>1496</v>
      </c>
      <c r="J690" s="2" t="str">
        <f>CONCATENATE(G690,F690,H690,C690,I690)</f>
        <v>https://permalinkbnd.bnportugal.gov.pt/viewer/273944/?offset=#page=103&amp;viewer=picture&amp;o=info&amp;n=0&amp;q=</v>
      </c>
      <c r="K690" s="1" t="s">
        <v>917</v>
      </c>
      <c r="L690" s="1" t="str">
        <f>VLOOKUP(A690,Folha2!$A$2:$B$2019,2,FALSE)</f>
        <v>Os Lusiadas. - Rio de Janeiro : Gabinete Portuguez de Leitura, 1880. Sem argumentos; o prólogo fala sobre a vida do Poeta e a sua índole.</v>
      </c>
      <c r="M690" s="12" t="str">
        <f>HYPERLINK(J690)</f>
        <v>https://permalinkbnd.bnportugal.gov.pt/viewer/273944/?offset=#page=103&amp;viewer=picture&amp;o=info&amp;n=0&amp;q=</v>
      </c>
      <c r="N690" s="12" t="s">
        <v>1497</v>
      </c>
      <c r="O690" s="12" t="str">
        <f>CONCATENATE(N690,A690,"\",B690,"\",C690,".jpg")</f>
        <v>C:\Users\mbaptista\OneDrive - Biblioteca Nacional de Portugal\Documentos\python\camoniana\imagens\capas\98840\1\103.jpg</v>
      </c>
      <c r="P690" s="12" t="str">
        <f>HYPERLINK(O690)</f>
        <v>C:\Users\mbaptista\OneDrive - Biblioteca Nacional de Portugal\Documentos\python\camoniana\imagens\capas\98840\1\103.jpg</v>
      </c>
      <c r="Q690" s="12"/>
      <c r="R690" s="6" t="s">
        <v>920</v>
      </c>
      <c r="S690" s="12"/>
      <c r="T690" s="1" t="s">
        <v>918</v>
      </c>
      <c r="U690" s="13"/>
      <c r="V690" s="13"/>
      <c r="W690" s="5" t="s">
        <v>1491</v>
      </c>
    </row>
    <row r="691" spans="1:23" ht="225">
      <c r="A691" s="1">
        <v>98840</v>
      </c>
      <c r="B691" s="1">
        <v>1</v>
      </c>
      <c r="C691" s="1">
        <v>107</v>
      </c>
      <c r="D691" s="2" t="s">
        <v>916</v>
      </c>
      <c r="E691" s="11" t="s">
        <v>916</v>
      </c>
      <c r="F691" s="11">
        <v>273944</v>
      </c>
      <c r="G691" s="2" t="s">
        <v>1494</v>
      </c>
      <c r="H691" s="2" t="s">
        <v>1495</v>
      </c>
      <c r="I691" s="2" t="s">
        <v>1496</v>
      </c>
      <c r="J691" s="2" t="str">
        <f>CONCATENATE(G691,F691,H691,C691,I691)</f>
        <v>https://permalinkbnd.bnportugal.gov.pt/viewer/273944/?offset=#page=107&amp;viewer=picture&amp;o=info&amp;n=0&amp;q=</v>
      </c>
      <c r="K691" s="1" t="s">
        <v>917</v>
      </c>
      <c r="L691" s="1" t="str">
        <f>VLOOKUP(A691,Folha2!$A$2:$B$2019,2,FALSE)</f>
        <v>Os Lusiadas. - Rio de Janeiro : Gabinete Portuguez de Leitura, 1880. Sem argumentos; o prólogo fala sobre a vida do Poeta e a sua índole.</v>
      </c>
      <c r="M691" s="12" t="str">
        <f>HYPERLINK(J691)</f>
        <v>https://permalinkbnd.bnportugal.gov.pt/viewer/273944/?offset=#page=107&amp;viewer=picture&amp;o=info&amp;n=0&amp;q=</v>
      </c>
      <c r="N691" s="12" t="s">
        <v>1497</v>
      </c>
      <c r="O691" s="12" t="str">
        <f>CONCATENATE(N691,A691,"\",B691,"\",C691,".jpg")</f>
        <v>C:\Users\mbaptista\OneDrive - Biblioteca Nacional de Portugal\Documentos\python\camoniana\imagens\capas\98840\1\107.jpg</v>
      </c>
      <c r="P691" s="12" t="str">
        <f>HYPERLINK(O691)</f>
        <v>C:\Users\mbaptista\OneDrive - Biblioteca Nacional de Portugal\Documentos\python\camoniana\imagens\capas\98840\1\107.jpg</v>
      </c>
      <c r="Q691" s="12"/>
      <c r="R691" s="6" t="s">
        <v>921</v>
      </c>
      <c r="S691" s="12"/>
      <c r="T691" s="1" t="s">
        <v>918</v>
      </c>
      <c r="U691" s="13"/>
      <c r="V691" s="13"/>
      <c r="W691" s="5" t="s">
        <v>1491</v>
      </c>
    </row>
    <row r="692" spans="1:23" ht="225">
      <c r="A692" s="1">
        <v>98840</v>
      </c>
      <c r="B692" s="1">
        <v>1</v>
      </c>
      <c r="C692" s="1">
        <v>142</v>
      </c>
      <c r="D692" s="2" t="s">
        <v>916</v>
      </c>
      <c r="E692" s="5" t="s">
        <v>916</v>
      </c>
      <c r="F692" s="5">
        <v>273944</v>
      </c>
      <c r="G692" s="2" t="s">
        <v>1494</v>
      </c>
      <c r="H692" s="2" t="s">
        <v>1495</v>
      </c>
      <c r="I692" s="2" t="s">
        <v>1496</v>
      </c>
      <c r="J692" s="2" t="str">
        <f>CONCATENATE(G692,F692,H692,C692,I692)</f>
        <v>https://permalinkbnd.bnportugal.gov.pt/viewer/273944/?offset=#page=142&amp;viewer=picture&amp;o=info&amp;n=0&amp;q=</v>
      </c>
      <c r="K692" s="1" t="s">
        <v>917</v>
      </c>
      <c r="L692" s="1" t="str">
        <f>VLOOKUP(A692,Folha2!$A$2:$B$2019,2,FALSE)</f>
        <v>Os Lusiadas. - Rio de Janeiro : Gabinete Portuguez de Leitura, 1880. Sem argumentos; o prólogo fala sobre a vida do Poeta e a sua índole.</v>
      </c>
      <c r="M692" s="12" t="str">
        <f>HYPERLINK(J692)</f>
        <v>https://permalinkbnd.bnportugal.gov.pt/viewer/273944/?offset=#page=142&amp;viewer=picture&amp;o=info&amp;n=0&amp;q=</v>
      </c>
      <c r="N692" s="12" t="s">
        <v>1497</v>
      </c>
      <c r="O692" s="12" t="str">
        <f>CONCATENATE(N692,A692,"\",B692,"\",C692,".jpg")</f>
        <v>C:\Users\mbaptista\OneDrive - Biblioteca Nacional de Portugal\Documentos\python\camoniana\imagens\capas\98840\1\142.jpg</v>
      </c>
      <c r="P692" s="12" t="str">
        <f>HYPERLINK(O692)</f>
        <v>C:\Users\mbaptista\OneDrive - Biblioteca Nacional de Portugal\Documentos\python\camoniana\imagens\capas\98840\1\142.jpg</v>
      </c>
      <c r="Q692" s="12"/>
      <c r="R692" s="6"/>
      <c r="S692" s="12"/>
      <c r="T692" s="1"/>
      <c r="U692" s="13"/>
      <c r="V692" s="13"/>
      <c r="W692" s="5"/>
    </row>
    <row r="693" spans="1:23" ht="225">
      <c r="A693" s="1">
        <v>98840</v>
      </c>
      <c r="B693" s="1">
        <v>1</v>
      </c>
      <c r="C693" s="1">
        <v>145</v>
      </c>
      <c r="D693" s="2" t="s">
        <v>916</v>
      </c>
      <c r="E693" s="11" t="s">
        <v>916</v>
      </c>
      <c r="F693" s="11">
        <v>273944</v>
      </c>
      <c r="G693" s="2" t="s">
        <v>1494</v>
      </c>
      <c r="H693" s="2" t="s">
        <v>1495</v>
      </c>
      <c r="I693" s="2" t="s">
        <v>1496</v>
      </c>
      <c r="J693" s="2" t="str">
        <f>CONCATENATE(G693,F693,H693,C693,I693)</f>
        <v>https://permalinkbnd.bnportugal.gov.pt/viewer/273944/?offset=#page=145&amp;viewer=picture&amp;o=info&amp;n=0&amp;q=</v>
      </c>
      <c r="K693" s="1" t="s">
        <v>917</v>
      </c>
      <c r="L693" s="1" t="str">
        <f>VLOOKUP(A693,Folha2!$A$2:$B$2019,2,FALSE)</f>
        <v>Os Lusiadas. - Rio de Janeiro : Gabinete Portuguez de Leitura, 1880. Sem argumentos; o prólogo fala sobre a vida do Poeta e a sua índole.</v>
      </c>
      <c r="M693" s="12" t="str">
        <f>HYPERLINK(J693)</f>
        <v>https://permalinkbnd.bnportugal.gov.pt/viewer/273944/?offset=#page=145&amp;viewer=picture&amp;o=info&amp;n=0&amp;q=</v>
      </c>
      <c r="N693" s="12" t="s">
        <v>1497</v>
      </c>
      <c r="O693" s="12" t="str">
        <f>CONCATENATE(N693,A693,"\",B693,"\",C693,".jpg")</f>
        <v>C:\Users\mbaptista\OneDrive - Biblioteca Nacional de Portugal\Documentos\python\camoniana\imagens\capas\98840\1\145.jpg</v>
      </c>
      <c r="P693" s="12" t="str">
        <f>HYPERLINK(O693)</f>
        <v>C:\Users\mbaptista\OneDrive - Biblioteca Nacional de Portugal\Documentos\python\camoniana\imagens\capas\98840\1\145.jpg</v>
      </c>
      <c r="Q693" s="12"/>
      <c r="R693" s="6" t="s">
        <v>922</v>
      </c>
      <c r="S693" s="12"/>
      <c r="T693" s="1" t="s">
        <v>918</v>
      </c>
      <c r="U693" s="13"/>
      <c r="V693" s="13"/>
      <c r="W693" s="5" t="s">
        <v>1491</v>
      </c>
    </row>
    <row r="694" spans="1:23" ht="225">
      <c r="A694" s="1">
        <v>98840</v>
      </c>
      <c r="B694" s="1">
        <v>1</v>
      </c>
      <c r="C694" s="1">
        <v>185</v>
      </c>
      <c r="D694" s="2" t="s">
        <v>916</v>
      </c>
      <c r="E694" s="5" t="s">
        <v>916</v>
      </c>
      <c r="F694" s="5">
        <v>273944</v>
      </c>
      <c r="G694" s="2" t="s">
        <v>1494</v>
      </c>
      <c r="H694" s="2" t="s">
        <v>1495</v>
      </c>
      <c r="I694" s="2" t="s">
        <v>1496</v>
      </c>
      <c r="J694" s="2" t="str">
        <f>CONCATENATE(G694,F694,H694,C694,I694)</f>
        <v>https://permalinkbnd.bnportugal.gov.pt/viewer/273944/?offset=#page=185&amp;viewer=picture&amp;o=info&amp;n=0&amp;q=</v>
      </c>
      <c r="K694" s="1" t="s">
        <v>917</v>
      </c>
      <c r="L694" s="1" t="str">
        <f>VLOOKUP(A694,Folha2!$A$2:$B$2019,2,FALSE)</f>
        <v>Os Lusiadas. - Rio de Janeiro : Gabinete Portuguez de Leitura, 1880. Sem argumentos; o prólogo fala sobre a vida do Poeta e a sua índole.</v>
      </c>
      <c r="M694" s="12" t="str">
        <f>HYPERLINK(J694)</f>
        <v>https://permalinkbnd.bnportugal.gov.pt/viewer/273944/?offset=#page=185&amp;viewer=picture&amp;o=info&amp;n=0&amp;q=</v>
      </c>
      <c r="N694" s="12" t="s">
        <v>1497</v>
      </c>
      <c r="O694" s="12" t="str">
        <f>CONCATENATE(N694,A694,"\",B694,"\",C694,".jpg")</f>
        <v>C:\Users\mbaptista\OneDrive - Biblioteca Nacional de Portugal\Documentos\python\camoniana\imagens\capas\98840\1\185.jpg</v>
      </c>
      <c r="P694" s="12" t="str">
        <f>HYPERLINK(O694)</f>
        <v>C:\Users\mbaptista\OneDrive - Biblioteca Nacional de Portugal\Documentos\python\camoniana\imagens\capas\98840\1\185.jpg</v>
      </c>
      <c r="Q694" s="12"/>
      <c r="R694" s="6" t="s">
        <v>923</v>
      </c>
      <c r="S694" s="12"/>
      <c r="T694" s="1" t="s">
        <v>918</v>
      </c>
      <c r="U694" s="13"/>
      <c r="V694" s="13"/>
      <c r="W694" s="5" t="s">
        <v>1491</v>
      </c>
    </row>
    <row r="695" spans="1:23" ht="225">
      <c r="A695" s="1">
        <v>98840</v>
      </c>
      <c r="B695" s="1">
        <v>1</v>
      </c>
      <c r="C695" s="1">
        <v>235</v>
      </c>
      <c r="D695" s="2" t="s">
        <v>916</v>
      </c>
      <c r="E695" s="11" t="s">
        <v>916</v>
      </c>
      <c r="F695" s="11">
        <v>273944</v>
      </c>
      <c r="G695" s="2" t="s">
        <v>1494</v>
      </c>
      <c r="H695" s="2" t="s">
        <v>1495</v>
      </c>
      <c r="I695" s="2" t="s">
        <v>1496</v>
      </c>
      <c r="J695" s="2" t="str">
        <f>CONCATENATE(G695,F695,H695,C695,I695)</f>
        <v>https://permalinkbnd.bnportugal.gov.pt/viewer/273944/?offset=#page=235&amp;viewer=picture&amp;o=info&amp;n=0&amp;q=</v>
      </c>
      <c r="K695" s="1" t="s">
        <v>917</v>
      </c>
      <c r="L695" s="1" t="str">
        <f>VLOOKUP(A695,Folha2!$A$2:$B$2019,2,FALSE)</f>
        <v>Os Lusiadas. - Rio de Janeiro : Gabinete Portuguez de Leitura, 1880. Sem argumentos; o prólogo fala sobre a vida do Poeta e a sua índole.</v>
      </c>
      <c r="M695" s="12" t="str">
        <f>HYPERLINK(J695)</f>
        <v>https://permalinkbnd.bnportugal.gov.pt/viewer/273944/?offset=#page=235&amp;viewer=picture&amp;o=info&amp;n=0&amp;q=</v>
      </c>
      <c r="N695" s="12" t="s">
        <v>1497</v>
      </c>
      <c r="O695" s="12" t="str">
        <f>CONCATENATE(N695,A695,"\",B695,"\",C695,".jpg")</f>
        <v>C:\Users\mbaptista\OneDrive - Biblioteca Nacional de Portugal\Documentos\python\camoniana\imagens\capas\98840\1\235.jpg</v>
      </c>
      <c r="P695" s="12" t="str">
        <f>HYPERLINK(O695)</f>
        <v>C:\Users\mbaptista\OneDrive - Biblioteca Nacional de Portugal\Documentos\python\camoniana\imagens\capas\98840\1\235.jpg</v>
      </c>
      <c r="Q695" s="12"/>
      <c r="R695" s="6" t="s">
        <v>924</v>
      </c>
      <c r="S695" s="12"/>
      <c r="T695" s="1" t="s">
        <v>918</v>
      </c>
      <c r="U695" s="13"/>
      <c r="V695" s="13"/>
      <c r="W695" s="5" t="s">
        <v>1491</v>
      </c>
    </row>
    <row r="696" spans="1:23" ht="225">
      <c r="A696" s="1">
        <v>98840</v>
      </c>
      <c r="B696" s="1">
        <v>1</v>
      </c>
      <c r="C696" s="1">
        <v>270</v>
      </c>
      <c r="D696" s="2" t="s">
        <v>916</v>
      </c>
      <c r="E696" s="5" t="s">
        <v>916</v>
      </c>
      <c r="F696" s="5">
        <v>273944</v>
      </c>
      <c r="G696" s="2" t="s">
        <v>1494</v>
      </c>
      <c r="H696" s="2" t="s">
        <v>1495</v>
      </c>
      <c r="I696" s="2" t="s">
        <v>1496</v>
      </c>
      <c r="J696" s="2" t="str">
        <f>CONCATENATE(G696,F696,H696,C696,I696)</f>
        <v>https://permalinkbnd.bnportugal.gov.pt/viewer/273944/?offset=#page=270&amp;viewer=picture&amp;o=info&amp;n=0&amp;q=</v>
      </c>
      <c r="K696" s="1" t="s">
        <v>917</v>
      </c>
      <c r="L696" s="1" t="str">
        <f>VLOOKUP(A696,Folha2!$A$2:$B$2019,2,FALSE)</f>
        <v>Os Lusiadas. - Rio de Janeiro : Gabinete Portuguez de Leitura, 1880. Sem argumentos; o prólogo fala sobre a vida do Poeta e a sua índole.</v>
      </c>
      <c r="M696" s="12" t="str">
        <f>HYPERLINK(J696)</f>
        <v>https://permalinkbnd.bnportugal.gov.pt/viewer/273944/?offset=#page=270&amp;viewer=picture&amp;o=info&amp;n=0&amp;q=</v>
      </c>
      <c r="N696" s="12" t="s">
        <v>1497</v>
      </c>
      <c r="O696" s="12" t="str">
        <f>CONCATENATE(N696,A696,"\",B696,"\",C696,".jpg")</f>
        <v>C:\Users\mbaptista\OneDrive - Biblioteca Nacional de Portugal\Documentos\python\camoniana\imagens\capas\98840\1\270.jpg</v>
      </c>
      <c r="P696" s="12" t="str">
        <f>HYPERLINK(O696)</f>
        <v>C:\Users\mbaptista\OneDrive - Biblioteca Nacional de Portugal\Documentos\python\camoniana\imagens\capas\98840\1\270.jpg</v>
      </c>
      <c r="Q696" s="12"/>
      <c r="R696" s="6" t="s">
        <v>925</v>
      </c>
      <c r="S696" s="12"/>
      <c r="T696" s="1" t="s">
        <v>918</v>
      </c>
      <c r="U696" s="13"/>
      <c r="V696" s="13"/>
      <c r="W696" s="5" t="s">
        <v>1491</v>
      </c>
    </row>
    <row r="697" spans="1:23" ht="225">
      <c r="A697" s="1">
        <v>98840</v>
      </c>
      <c r="B697" s="1">
        <v>1</v>
      </c>
      <c r="C697" s="1">
        <v>273</v>
      </c>
      <c r="D697" s="2" t="s">
        <v>916</v>
      </c>
      <c r="E697" s="11" t="s">
        <v>916</v>
      </c>
      <c r="F697" s="11">
        <v>273944</v>
      </c>
      <c r="G697" s="2" t="s">
        <v>1494</v>
      </c>
      <c r="H697" s="2" t="s">
        <v>1495</v>
      </c>
      <c r="I697" s="2" t="s">
        <v>1496</v>
      </c>
      <c r="J697" s="2" t="str">
        <f>CONCATENATE(G697,F697,H697,C697,I697)</f>
        <v>https://permalinkbnd.bnportugal.gov.pt/viewer/273944/?offset=#page=273&amp;viewer=picture&amp;o=info&amp;n=0&amp;q=</v>
      </c>
      <c r="K697" s="1" t="s">
        <v>917</v>
      </c>
      <c r="L697" s="1" t="str">
        <f>VLOOKUP(A697,Folha2!$A$2:$B$2019,2,FALSE)</f>
        <v>Os Lusiadas. - Rio de Janeiro : Gabinete Portuguez de Leitura, 1880. Sem argumentos; o prólogo fala sobre a vida do Poeta e a sua índole.</v>
      </c>
      <c r="M697" s="12" t="str">
        <f>HYPERLINK(J697)</f>
        <v>https://permalinkbnd.bnportugal.gov.pt/viewer/273944/?offset=#page=273&amp;viewer=picture&amp;o=info&amp;n=0&amp;q=</v>
      </c>
      <c r="N697" s="12" t="s">
        <v>1497</v>
      </c>
      <c r="O697" s="12" t="str">
        <f>CONCATENATE(N697,A697,"\",B697,"\",C697,".jpg")</f>
        <v>C:\Users\mbaptista\OneDrive - Biblioteca Nacional de Portugal\Documentos\python\camoniana\imagens\capas\98840\1\273.jpg</v>
      </c>
      <c r="P697" s="12" t="str">
        <f>HYPERLINK(O697)</f>
        <v>C:\Users\mbaptista\OneDrive - Biblioteca Nacional de Portugal\Documentos\python\camoniana\imagens\capas\98840\1\273.jpg</v>
      </c>
      <c r="Q697" s="12"/>
      <c r="R697" s="6" t="s">
        <v>926</v>
      </c>
      <c r="S697" s="12"/>
      <c r="T697" s="1" t="s">
        <v>918</v>
      </c>
      <c r="U697" s="13"/>
      <c r="V697" s="13"/>
      <c r="W697" s="5" t="s">
        <v>1491</v>
      </c>
    </row>
    <row r="698" spans="1:23" ht="225">
      <c r="A698" s="1">
        <v>98840</v>
      </c>
      <c r="B698" s="1">
        <v>1</v>
      </c>
      <c r="C698" s="1">
        <v>306</v>
      </c>
      <c r="D698" s="2" t="s">
        <v>916</v>
      </c>
      <c r="E698" s="5" t="s">
        <v>916</v>
      </c>
      <c r="F698" s="5">
        <v>273944</v>
      </c>
      <c r="G698" s="2" t="s">
        <v>1494</v>
      </c>
      <c r="H698" s="2" t="s">
        <v>1495</v>
      </c>
      <c r="I698" s="2" t="s">
        <v>1496</v>
      </c>
      <c r="J698" s="2" t="str">
        <f>CONCATENATE(G698,F698,H698,C698,I698)</f>
        <v>https://permalinkbnd.bnportugal.gov.pt/viewer/273944/?offset=#page=306&amp;viewer=picture&amp;o=info&amp;n=0&amp;q=</v>
      </c>
      <c r="K698" s="1" t="s">
        <v>917</v>
      </c>
      <c r="L698" s="1" t="str">
        <f>VLOOKUP(A698,Folha2!$A$2:$B$2019,2,FALSE)</f>
        <v>Os Lusiadas. - Rio de Janeiro : Gabinete Portuguez de Leitura, 1880. Sem argumentos; o prólogo fala sobre a vida do Poeta e a sua índole.</v>
      </c>
      <c r="M698" s="12" t="str">
        <f>HYPERLINK(J698)</f>
        <v>https://permalinkbnd.bnportugal.gov.pt/viewer/273944/?offset=#page=306&amp;viewer=picture&amp;o=info&amp;n=0&amp;q=</v>
      </c>
      <c r="N698" s="12" t="s">
        <v>1497</v>
      </c>
      <c r="O698" s="12" t="str">
        <f>CONCATENATE(N698,A698,"\",B698,"\",C698,".jpg")</f>
        <v>C:\Users\mbaptista\OneDrive - Biblioteca Nacional de Portugal\Documentos\python\camoniana\imagens\capas\98840\1\306.jpg</v>
      </c>
      <c r="P698" s="12" t="str">
        <f>HYPERLINK(O698)</f>
        <v>C:\Users\mbaptista\OneDrive - Biblioteca Nacional de Portugal\Documentos\python\camoniana\imagens\capas\98840\1\306.jpg</v>
      </c>
      <c r="Q698" s="12"/>
      <c r="R698" s="6" t="s">
        <v>927</v>
      </c>
      <c r="S698" s="12"/>
      <c r="T698" s="1" t="s">
        <v>918</v>
      </c>
      <c r="U698" s="13"/>
      <c r="V698" s="13"/>
      <c r="W698" s="5" t="s">
        <v>1491</v>
      </c>
    </row>
    <row r="699" spans="1:23" ht="225">
      <c r="A699" s="1">
        <v>98840</v>
      </c>
      <c r="B699" s="1">
        <v>1</v>
      </c>
      <c r="C699" s="1">
        <v>309</v>
      </c>
      <c r="D699" s="2" t="s">
        <v>916</v>
      </c>
      <c r="E699" s="11" t="s">
        <v>916</v>
      </c>
      <c r="F699" s="11">
        <v>273944</v>
      </c>
      <c r="G699" s="2" t="s">
        <v>1494</v>
      </c>
      <c r="H699" s="2" t="s">
        <v>1495</v>
      </c>
      <c r="I699" s="2" t="s">
        <v>1496</v>
      </c>
      <c r="J699" s="2" t="str">
        <f>CONCATENATE(G699,F699,H699,C699,I699)</f>
        <v>https://permalinkbnd.bnportugal.gov.pt/viewer/273944/?offset=#page=309&amp;viewer=picture&amp;o=info&amp;n=0&amp;q=</v>
      </c>
      <c r="K699" s="1" t="s">
        <v>917</v>
      </c>
      <c r="L699" s="1" t="str">
        <f>VLOOKUP(A699,Folha2!$A$2:$B$2019,2,FALSE)</f>
        <v>Os Lusiadas. - Rio de Janeiro : Gabinete Portuguez de Leitura, 1880. Sem argumentos; o prólogo fala sobre a vida do Poeta e a sua índole.</v>
      </c>
      <c r="M699" s="12" t="str">
        <f>HYPERLINK(J699)</f>
        <v>https://permalinkbnd.bnportugal.gov.pt/viewer/273944/?offset=#page=309&amp;viewer=picture&amp;o=info&amp;n=0&amp;q=</v>
      </c>
      <c r="N699" s="12" t="s">
        <v>1497</v>
      </c>
      <c r="O699" s="12" t="str">
        <f>CONCATENATE(N699,A699,"\",B699,"\",C699,".jpg")</f>
        <v>C:\Users\mbaptista\OneDrive - Biblioteca Nacional de Portugal\Documentos\python\camoniana\imagens\capas\98840\1\309.jpg</v>
      </c>
      <c r="P699" s="12" t="str">
        <f>HYPERLINK(O699)</f>
        <v>C:\Users\mbaptista\OneDrive - Biblioteca Nacional de Portugal\Documentos\python\camoniana\imagens\capas\98840\1\309.jpg</v>
      </c>
      <c r="Q699" s="12"/>
      <c r="R699" s="6" t="s">
        <v>928</v>
      </c>
      <c r="S699" s="12"/>
      <c r="T699" s="1" t="s">
        <v>918</v>
      </c>
      <c r="U699" s="13"/>
      <c r="V699" s="13"/>
      <c r="W699" s="5" t="s">
        <v>1491</v>
      </c>
    </row>
    <row r="700" spans="1:23" ht="225">
      <c r="A700" s="1">
        <v>98840</v>
      </c>
      <c r="B700" s="1">
        <v>1</v>
      </c>
      <c r="C700" s="1">
        <v>342</v>
      </c>
      <c r="D700" s="2" t="s">
        <v>916</v>
      </c>
      <c r="E700" s="5" t="s">
        <v>916</v>
      </c>
      <c r="F700" s="5">
        <v>273944</v>
      </c>
      <c r="G700" s="2" t="s">
        <v>1494</v>
      </c>
      <c r="H700" s="2" t="s">
        <v>1495</v>
      </c>
      <c r="I700" s="2" t="s">
        <v>1496</v>
      </c>
      <c r="J700" s="2" t="str">
        <f>CONCATENATE(G700,F700,H700,C700,I700)</f>
        <v>https://permalinkbnd.bnportugal.gov.pt/viewer/273944/?offset=#page=342&amp;viewer=picture&amp;o=info&amp;n=0&amp;q=</v>
      </c>
      <c r="K700" s="1" t="s">
        <v>917</v>
      </c>
      <c r="L700" s="1" t="str">
        <f>VLOOKUP(A700,Folha2!$A$2:$B$2019,2,FALSE)</f>
        <v>Os Lusiadas. - Rio de Janeiro : Gabinete Portuguez de Leitura, 1880. Sem argumentos; o prólogo fala sobre a vida do Poeta e a sua índole.</v>
      </c>
      <c r="M700" s="12" t="str">
        <f>HYPERLINK(J700)</f>
        <v>https://permalinkbnd.bnportugal.gov.pt/viewer/273944/?offset=#page=342&amp;viewer=picture&amp;o=info&amp;n=0&amp;q=</v>
      </c>
      <c r="N700" s="12" t="s">
        <v>1497</v>
      </c>
      <c r="O700" s="12" t="str">
        <f>CONCATENATE(N700,A700,"\",B700,"\",C700,".jpg")</f>
        <v>C:\Users\mbaptista\OneDrive - Biblioteca Nacional de Portugal\Documentos\python\camoniana\imagens\capas\98840\1\342.jpg</v>
      </c>
      <c r="P700" s="12" t="str">
        <f>HYPERLINK(O700)</f>
        <v>C:\Users\mbaptista\OneDrive - Biblioteca Nacional de Portugal\Documentos\python\camoniana\imagens\capas\98840\1\342.jpg</v>
      </c>
      <c r="Q700" s="12"/>
      <c r="R700" s="6" t="s">
        <v>929</v>
      </c>
      <c r="S700" s="12"/>
      <c r="T700" s="1" t="s">
        <v>918</v>
      </c>
      <c r="U700" s="13"/>
      <c r="V700" s="13"/>
      <c r="W700" s="5" t="s">
        <v>1491</v>
      </c>
    </row>
    <row r="701" spans="1:23" ht="225">
      <c r="A701" s="1">
        <v>98840</v>
      </c>
      <c r="B701" s="1">
        <v>1</v>
      </c>
      <c r="C701" s="1">
        <v>345</v>
      </c>
      <c r="D701" s="2" t="s">
        <v>916</v>
      </c>
      <c r="E701" s="11" t="s">
        <v>916</v>
      </c>
      <c r="F701" s="11">
        <v>273944</v>
      </c>
      <c r="G701" s="2" t="s">
        <v>1494</v>
      </c>
      <c r="H701" s="2" t="s">
        <v>1495</v>
      </c>
      <c r="I701" s="2" t="s">
        <v>1496</v>
      </c>
      <c r="J701" s="2" t="str">
        <f>CONCATENATE(G701,F701,H701,C701,I701)</f>
        <v>https://permalinkbnd.bnportugal.gov.pt/viewer/273944/?offset=#page=345&amp;viewer=picture&amp;o=info&amp;n=0&amp;q=</v>
      </c>
      <c r="K701" s="1" t="s">
        <v>917</v>
      </c>
      <c r="L701" s="1" t="str">
        <f>VLOOKUP(A701,Folha2!$A$2:$B$2019,2,FALSE)</f>
        <v>Os Lusiadas. - Rio de Janeiro : Gabinete Portuguez de Leitura, 1880. Sem argumentos; o prólogo fala sobre a vida do Poeta e a sua índole.</v>
      </c>
      <c r="M701" s="12" t="str">
        <f>HYPERLINK(J701)</f>
        <v>https://permalinkbnd.bnportugal.gov.pt/viewer/273944/?offset=#page=345&amp;viewer=picture&amp;o=info&amp;n=0&amp;q=</v>
      </c>
      <c r="N701" s="12" t="s">
        <v>1497</v>
      </c>
      <c r="O701" s="12" t="str">
        <f>CONCATENATE(N701,A701,"\",B701,"\",C701,".jpg")</f>
        <v>C:\Users\mbaptista\OneDrive - Biblioteca Nacional de Portugal\Documentos\python\camoniana\imagens\capas\98840\1\345.jpg</v>
      </c>
      <c r="P701" s="12" t="str">
        <f>HYPERLINK(O701)</f>
        <v>C:\Users\mbaptista\OneDrive - Biblioteca Nacional de Portugal\Documentos\python\camoniana\imagens\capas\98840\1\345.jpg</v>
      </c>
      <c r="Q701" s="12"/>
      <c r="R701" s="6" t="s">
        <v>930</v>
      </c>
      <c r="S701" s="12"/>
      <c r="T701" s="1" t="s">
        <v>918</v>
      </c>
      <c r="U701" s="13"/>
      <c r="V701" s="13"/>
      <c r="W701" s="5" t="s">
        <v>1491</v>
      </c>
    </row>
    <row r="702" spans="1:23" ht="225">
      <c r="A702" s="1">
        <v>98840</v>
      </c>
      <c r="B702" s="1">
        <v>1</v>
      </c>
      <c r="C702" s="1">
        <v>374</v>
      </c>
      <c r="D702" s="2" t="s">
        <v>916</v>
      </c>
      <c r="E702" s="5" t="s">
        <v>916</v>
      </c>
      <c r="F702" s="5">
        <v>273944</v>
      </c>
      <c r="G702" s="2" t="s">
        <v>1494</v>
      </c>
      <c r="H702" s="2" t="s">
        <v>1495</v>
      </c>
      <c r="I702" s="2" t="s">
        <v>1496</v>
      </c>
      <c r="J702" s="2" t="str">
        <f>CONCATENATE(G702,F702,H702,C702,I702)</f>
        <v>https://permalinkbnd.bnportugal.gov.pt/viewer/273944/?offset=#page=374&amp;viewer=picture&amp;o=info&amp;n=0&amp;q=</v>
      </c>
      <c r="K702" s="1" t="s">
        <v>917</v>
      </c>
      <c r="L702" s="1" t="str">
        <f>VLOOKUP(A702,Folha2!$A$2:$B$2019,2,FALSE)</f>
        <v>Os Lusiadas. - Rio de Janeiro : Gabinete Portuguez de Leitura, 1880. Sem argumentos; o prólogo fala sobre a vida do Poeta e a sua índole.</v>
      </c>
      <c r="M702" s="12" t="str">
        <f>HYPERLINK(J702)</f>
        <v>https://permalinkbnd.bnportugal.gov.pt/viewer/273944/?offset=#page=374&amp;viewer=picture&amp;o=info&amp;n=0&amp;q=</v>
      </c>
      <c r="N702" s="12" t="s">
        <v>1497</v>
      </c>
      <c r="O702" s="12" t="str">
        <f>CONCATENATE(N702,A702,"\",B702,"\",C702,".jpg")</f>
        <v>C:\Users\mbaptista\OneDrive - Biblioteca Nacional de Portugal\Documentos\python\camoniana\imagens\capas\98840\1\374.jpg</v>
      </c>
      <c r="P702" s="12" t="str">
        <f>HYPERLINK(O702)</f>
        <v>C:\Users\mbaptista\OneDrive - Biblioteca Nacional de Portugal\Documentos\python\camoniana\imagens\capas\98840\1\374.jpg</v>
      </c>
      <c r="Q702" s="12"/>
      <c r="R702" s="6" t="s">
        <v>931</v>
      </c>
      <c r="S702" s="12"/>
      <c r="T702" s="1" t="s">
        <v>918</v>
      </c>
      <c r="U702" s="13"/>
      <c r="V702" s="13"/>
      <c r="W702" s="5" t="s">
        <v>1491</v>
      </c>
    </row>
    <row r="703" spans="1:23" ht="225">
      <c r="A703" s="1">
        <v>98840</v>
      </c>
      <c r="B703" s="1">
        <v>1</v>
      </c>
      <c r="C703" s="1">
        <v>377</v>
      </c>
      <c r="D703" s="2" t="s">
        <v>916</v>
      </c>
      <c r="E703" s="11" t="s">
        <v>916</v>
      </c>
      <c r="F703" s="11">
        <v>273944</v>
      </c>
      <c r="G703" s="2" t="s">
        <v>1494</v>
      </c>
      <c r="H703" s="2" t="s">
        <v>1495</v>
      </c>
      <c r="I703" s="2" t="s">
        <v>1496</v>
      </c>
      <c r="J703" s="2" t="str">
        <f>CONCATENATE(G703,F703,H703,C703,I703)</f>
        <v>https://permalinkbnd.bnportugal.gov.pt/viewer/273944/?offset=#page=377&amp;viewer=picture&amp;o=info&amp;n=0&amp;q=</v>
      </c>
      <c r="K703" s="1" t="s">
        <v>917</v>
      </c>
      <c r="L703" s="1" t="str">
        <f>VLOOKUP(A703,Folha2!$A$2:$B$2019,2,FALSE)</f>
        <v>Os Lusiadas. - Rio de Janeiro : Gabinete Portuguez de Leitura, 1880. Sem argumentos; o prólogo fala sobre a vida do Poeta e a sua índole.</v>
      </c>
      <c r="M703" s="12" t="str">
        <f>HYPERLINK(J703)</f>
        <v>https://permalinkbnd.bnportugal.gov.pt/viewer/273944/?offset=#page=377&amp;viewer=picture&amp;o=info&amp;n=0&amp;q=</v>
      </c>
      <c r="N703" s="12" t="s">
        <v>1497</v>
      </c>
      <c r="O703" s="12" t="str">
        <f>CONCATENATE(N703,A703,"\",B703,"\",C703,".jpg")</f>
        <v>C:\Users\mbaptista\OneDrive - Biblioteca Nacional de Portugal\Documentos\python\camoniana\imagens\capas\98840\1\377.jpg</v>
      </c>
      <c r="P703" s="12" t="str">
        <f>HYPERLINK(O703)</f>
        <v>C:\Users\mbaptista\OneDrive - Biblioteca Nacional de Portugal\Documentos\python\camoniana\imagens\capas\98840\1\377.jpg</v>
      </c>
      <c r="Q703" s="12"/>
      <c r="R703" s="6" t="s">
        <v>932</v>
      </c>
      <c r="S703" s="12"/>
      <c r="T703" s="1" t="s">
        <v>918</v>
      </c>
      <c r="U703" s="13"/>
      <c r="V703" s="13"/>
      <c r="W703" s="5" t="s">
        <v>1491</v>
      </c>
    </row>
    <row r="704" spans="1:23" ht="225">
      <c r="A704" s="1">
        <v>98840</v>
      </c>
      <c r="B704" s="1">
        <v>1</v>
      </c>
      <c r="C704" s="1">
        <v>410</v>
      </c>
      <c r="D704" s="2" t="s">
        <v>916</v>
      </c>
      <c r="E704" s="5" t="s">
        <v>916</v>
      </c>
      <c r="F704" s="5">
        <v>273944</v>
      </c>
      <c r="G704" s="2" t="s">
        <v>1494</v>
      </c>
      <c r="H704" s="2" t="s">
        <v>1495</v>
      </c>
      <c r="I704" s="2" t="s">
        <v>1496</v>
      </c>
      <c r="J704" s="2" t="str">
        <f>CONCATENATE(G704,F704,H704,C704,I704)</f>
        <v>https://permalinkbnd.bnportugal.gov.pt/viewer/273944/?offset=#page=410&amp;viewer=picture&amp;o=info&amp;n=0&amp;q=</v>
      </c>
      <c r="K704" s="1" t="s">
        <v>917</v>
      </c>
      <c r="L704" s="1" t="str">
        <f>VLOOKUP(A704,Folha2!$A$2:$B$2019,2,FALSE)</f>
        <v>Os Lusiadas. - Rio de Janeiro : Gabinete Portuguez de Leitura, 1880. Sem argumentos; o prólogo fala sobre a vida do Poeta e a sua índole.</v>
      </c>
      <c r="M704" s="12" t="str">
        <f>HYPERLINK(J704)</f>
        <v>https://permalinkbnd.bnportugal.gov.pt/viewer/273944/?offset=#page=410&amp;viewer=picture&amp;o=info&amp;n=0&amp;q=</v>
      </c>
      <c r="N704" s="12" t="s">
        <v>1497</v>
      </c>
      <c r="O704" s="12" t="str">
        <f>CONCATENATE(N704,A704,"\",B704,"\",C704,".jpg")</f>
        <v>C:\Users\mbaptista\OneDrive - Biblioteca Nacional de Portugal\Documentos\python\camoniana\imagens\capas\98840\1\410.jpg</v>
      </c>
      <c r="P704" s="12" t="str">
        <f>HYPERLINK(O704)</f>
        <v>C:\Users\mbaptista\OneDrive - Biblioteca Nacional de Portugal\Documentos\python\camoniana\imagens\capas\98840\1\410.jpg</v>
      </c>
      <c r="Q704" s="12"/>
      <c r="R704" s="6" t="s">
        <v>933</v>
      </c>
      <c r="S704" s="12"/>
      <c r="T704" s="1" t="s">
        <v>918</v>
      </c>
      <c r="U704" s="13"/>
      <c r="V704" s="13"/>
      <c r="W704" s="5" t="s">
        <v>1491</v>
      </c>
    </row>
    <row r="705" spans="1:23" ht="225">
      <c r="A705" s="1">
        <v>98840</v>
      </c>
      <c r="B705" s="1">
        <v>1</v>
      </c>
      <c r="C705" s="1">
        <v>413</v>
      </c>
      <c r="D705" s="2" t="s">
        <v>916</v>
      </c>
      <c r="E705" s="11" t="s">
        <v>916</v>
      </c>
      <c r="F705" s="11">
        <v>273944</v>
      </c>
      <c r="G705" s="2" t="s">
        <v>1494</v>
      </c>
      <c r="H705" s="2" t="s">
        <v>1495</v>
      </c>
      <c r="I705" s="2" t="s">
        <v>1496</v>
      </c>
      <c r="J705" s="2" t="str">
        <f>CONCATENATE(G705,F705,H705,C705,I705)</f>
        <v>https://permalinkbnd.bnportugal.gov.pt/viewer/273944/?offset=#page=413&amp;viewer=picture&amp;o=info&amp;n=0&amp;q=</v>
      </c>
      <c r="K705" s="1" t="s">
        <v>917</v>
      </c>
      <c r="L705" s="1" t="str">
        <f>VLOOKUP(A705,Folha2!$A$2:$B$2019,2,FALSE)</f>
        <v>Os Lusiadas. - Rio de Janeiro : Gabinete Portuguez de Leitura, 1880. Sem argumentos; o prólogo fala sobre a vida do Poeta e a sua índole.</v>
      </c>
      <c r="M705" s="12" t="str">
        <f>HYPERLINK(J705)</f>
        <v>https://permalinkbnd.bnportugal.gov.pt/viewer/273944/?offset=#page=413&amp;viewer=picture&amp;o=info&amp;n=0&amp;q=</v>
      </c>
      <c r="N705" s="12" t="s">
        <v>1497</v>
      </c>
      <c r="O705" s="12" t="str">
        <f>CONCATENATE(N705,A705,"\",B705,"\",C705,".jpg")</f>
        <v>C:\Users\mbaptista\OneDrive - Biblioteca Nacional de Portugal\Documentos\python\camoniana\imagens\capas\98840\1\413.jpg</v>
      </c>
      <c r="P705" s="12" t="str">
        <f>HYPERLINK(O705)</f>
        <v>C:\Users\mbaptista\OneDrive - Biblioteca Nacional de Portugal\Documentos\python\camoniana\imagens\capas\98840\1\413.jpg</v>
      </c>
      <c r="Q705" s="12"/>
      <c r="R705" s="6" t="s">
        <v>934</v>
      </c>
      <c r="S705" s="12"/>
      <c r="T705" s="1" t="s">
        <v>918</v>
      </c>
      <c r="U705" s="13"/>
      <c r="V705" s="13"/>
      <c r="W705" s="5" t="s">
        <v>1491</v>
      </c>
    </row>
    <row r="706" spans="1:23" ht="225">
      <c r="A706" s="1">
        <v>98840</v>
      </c>
      <c r="B706" s="1">
        <v>1</v>
      </c>
      <c r="C706" s="1">
        <v>447</v>
      </c>
      <c r="D706" s="2" t="s">
        <v>916</v>
      </c>
      <c r="E706" s="5" t="s">
        <v>916</v>
      </c>
      <c r="F706" s="5">
        <v>273944</v>
      </c>
      <c r="G706" s="2" t="s">
        <v>1494</v>
      </c>
      <c r="H706" s="2" t="s">
        <v>1495</v>
      </c>
      <c r="I706" s="2" t="s">
        <v>1496</v>
      </c>
      <c r="J706" s="2" t="str">
        <f>CONCATENATE(G706,F706,H706,C706,I706)</f>
        <v>https://permalinkbnd.bnportugal.gov.pt/viewer/273944/?offset=#page=447&amp;viewer=picture&amp;o=info&amp;n=0&amp;q=</v>
      </c>
      <c r="K706" s="1" t="s">
        <v>917</v>
      </c>
      <c r="L706" s="1" t="str">
        <f>VLOOKUP(A706,Folha2!$A$2:$B$2019,2,FALSE)</f>
        <v>Os Lusiadas. - Rio de Janeiro : Gabinete Portuguez de Leitura, 1880. Sem argumentos; o prólogo fala sobre a vida do Poeta e a sua índole.</v>
      </c>
      <c r="M706" s="12" t="str">
        <f>HYPERLINK(J706)</f>
        <v>https://permalinkbnd.bnportugal.gov.pt/viewer/273944/?offset=#page=447&amp;viewer=picture&amp;o=info&amp;n=0&amp;q=</v>
      </c>
      <c r="N706" s="12" t="s">
        <v>1497</v>
      </c>
      <c r="O706" s="12" t="str">
        <f>CONCATENATE(N706,A706,"\",B706,"\",C706,".jpg")</f>
        <v>C:\Users\mbaptista\OneDrive - Biblioteca Nacional de Portugal\Documentos\python\camoniana\imagens\capas\98840\1\447.jpg</v>
      </c>
      <c r="P706" s="12" t="str">
        <f>HYPERLINK(O706)</f>
        <v>C:\Users\mbaptista\OneDrive - Biblioteca Nacional de Portugal\Documentos\python\camoniana\imagens\capas\98840\1\447.jpg</v>
      </c>
      <c r="Q706" s="12"/>
      <c r="R706" s="6" t="s">
        <v>935</v>
      </c>
      <c r="S706" s="12"/>
      <c r="T706" s="1" t="s">
        <v>918</v>
      </c>
      <c r="U706" s="13"/>
      <c r="V706" s="13"/>
      <c r="W706" s="5" t="s">
        <v>1491</v>
      </c>
    </row>
    <row r="707" spans="1:23" ht="225">
      <c r="A707" s="1">
        <v>98840</v>
      </c>
      <c r="B707" s="1">
        <v>1</v>
      </c>
      <c r="C707" s="1">
        <v>499</v>
      </c>
      <c r="D707" s="2" t="s">
        <v>916</v>
      </c>
      <c r="E707" s="11" t="s">
        <v>916</v>
      </c>
      <c r="F707" s="11">
        <v>273944</v>
      </c>
      <c r="G707" s="2" t="s">
        <v>1494</v>
      </c>
      <c r="H707" s="2" t="s">
        <v>1495</v>
      </c>
      <c r="I707" s="2" t="s">
        <v>1496</v>
      </c>
      <c r="J707" s="2" t="str">
        <f>CONCATENATE(G707,F707,H707,C707,I707)</f>
        <v>https://permalinkbnd.bnportugal.gov.pt/viewer/273944/?offset=#page=499&amp;viewer=picture&amp;o=info&amp;n=0&amp;q=</v>
      </c>
      <c r="K707" s="1" t="s">
        <v>917</v>
      </c>
      <c r="L707" s="1" t="str">
        <f>VLOOKUP(A707,Folha2!$A$2:$B$2019,2,FALSE)</f>
        <v>Os Lusiadas. - Rio de Janeiro : Gabinete Portuguez de Leitura, 1880. Sem argumentos; o prólogo fala sobre a vida do Poeta e a sua índole.</v>
      </c>
      <c r="M707" s="12" t="str">
        <f>HYPERLINK(J707)</f>
        <v>https://permalinkbnd.bnportugal.gov.pt/viewer/273944/?offset=#page=499&amp;viewer=picture&amp;o=info&amp;n=0&amp;q=</v>
      </c>
      <c r="N707" s="12" t="s">
        <v>1497</v>
      </c>
      <c r="O707" s="12" t="str">
        <f>CONCATENATE(N707,A707,"\",B707,"\",C707,".jpg")</f>
        <v>C:\Users\mbaptista\OneDrive - Biblioteca Nacional de Portugal\Documentos\python\camoniana\imagens\capas\98840\1\499.jpg</v>
      </c>
      <c r="P707" s="12" t="str">
        <f>HYPERLINK(O707)</f>
        <v>C:\Users\mbaptista\OneDrive - Biblioteca Nacional de Portugal\Documentos\python\camoniana\imagens\capas\98840\1\499.jpg</v>
      </c>
      <c r="Q707" s="12"/>
      <c r="R707" s="6" t="s">
        <v>936</v>
      </c>
      <c r="S707" s="12"/>
      <c r="T707" s="1" t="s">
        <v>918</v>
      </c>
      <c r="U707" s="13"/>
      <c r="V707" s="13"/>
      <c r="W707" s="5" t="s">
        <v>1491</v>
      </c>
    </row>
    <row r="708" spans="1:23" ht="225">
      <c r="A708" s="1">
        <v>224027</v>
      </c>
      <c r="B708" s="1">
        <v>1</v>
      </c>
      <c r="C708" s="1">
        <v>7</v>
      </c>
      <c r="D708" s="2" t="s">
        <v>937</v>
      </c>
      <c r="E708" s="5" t="s">
        <v>937</v>
      </c>
      <c r="F708" s="5">
        <v>14663</v>
      </c>
      <c r="G708" s="2" t="s">
        <v>1494</v>
      </c>
      <c r="H708" s="2" t="s">
        <v>1495</v>
      </c>
      <c r="I708" s="2" t="s">
        <v>1496</v>
      </c>
      <c r="J708" s="2" t="str">
        <f>CONCATENATE(G708,F708,H708,C708,I708)</f>
        <v>https://permalinkbnd.bnportugal.gov.pt/viewer/14663/?offset=#page=7&amp;viewer=picture&amp;o=info&amp;n=0&amp;q=</v>
      </c>
      <c r="K708" s="1" t="s">
        <v>318</v>
      </c>
      <c r="L708" s="1" t="str">
        <f>VLOOKUP(A708,Folha2!$A$2:$B$2019,2,FALSE)</f>
        <v>Los Lusiadas / de Luys de Camoes ; traduzidos en octaua rima Castellana por Benito Caldera, residente en Corte. - Impresso en Alcala de Henares : por Iua[n] Gracian, 1580. Cantos numerados manualmente e completos, sem paginação.</v>
      </c>
      <c r="M708" s="12" t="str">
        <f>HYPERLINK(J708)</f>
        <v>https://permalinkbnd.bnportugal.gov.pt/viewer/14663/?offset=#page=7&amp;viewer=picture&amp;o=info&amp;n=0&amp;q=</v>
      </c>
      <c r="N708" s="12" t="s">
        <v>1497</v>
      </c>
      <c r="O708" s="12" t="str">
        <f>CONCATENATE(N708,A708,"\",B708,"\",C708,".jpg")</f>
        <v>C:\Users\mbaptista\OneDrive - Biblioteca Nacional de Portugal\Documentos\python\camoniana\imagens\capas\224027\1\7.jpg</v>
      </c>
      <c r="P708" s="12" t="str">
        <f>HYPERLINK(O708)</f>
        <v>C:\Users\mbaptista\OneDrive - Biblioteca Nacional de Portugal\Documentos\python\camoniana\imagens\capas\224027\1\7.jpg</v>
      </c>
      <c r="Q708" s="12"/>
      <c r="R708" s="6" t="s">
        <v>938</v>
      </c>
      <c r="S708" s="12"/>
      <c r="T708" s="1"/>
      <c r="U708" s="13"/>
      <c r="V708" s="13"/>
      <c r="W708" s="5" t="s">
        <v>1491</v>
      </c>
    </row>
    <row r="709" spans="1:23" ht="225">
      <c r="A709" s="1">
        <v>251973</v>
      </c>
      <c r="B709" s="1">
        <v>1</v>
      </c>
      <c r="C709" s="1">
        <v>5</v>
      </c>
      <c r="D709" s="2" t="s">
        <v>939</v>
      </c>
      <c r="E709" s="11" t="s">
        <v>939</v>
      </c>
      <c r="F709" s="11">
        <v>255848</v>
      </c>
      <c r="G709" s="2" t="s">
        <v>1494</v>
      </c>
      <c r="H709" s="2" t="s">
        <v>1495</v>
      </c>
      <c r="I709" s="2" t="s">
        <v>1496</v>
      </c>
      <c r="J709" s="2" t="str">
        <f>CONCATENATE(G709,F709,H709,C709,I709)</f>
        <v>https://permalinkbnd.bnportugal.gov.pt/viewer/255848/?offset=#page=5&amp;viewer=picture&amp;o=info&amp;n=0&amp;q=</v>
      </c>
      <c r="K709" s="1" t="s">
        <v>940</v>
      </c>
      <c r="L709" s="1" t="str">
        <f>VLOOKUP(A709,Folha2!$A$2:$B$2019,2,FALSE)</f>
        <v>Variações camonianas / José-Augusto França ; José de Guimarães. - [Lisboa] : Imprensa Nacional- Casa da Moeda, imp.1981. consultada cópia interna.</v>
      </c>
      <c r="M709" s="12" t="str">
        <f>HYPERLINK(J709)</f>
        <v>https://permalinkbnd.bnportugal.gov.pt/viewer/255848/?offset=#page=5&amp;viewer=picture&amp;o=info&amp;n=0&amp;q=</v>
      </c>
      <c r="N709" s="12" t="s">
        <v>1497</v>
      </c>
      <c r="O709" s="12" t="str">
        <f>CONCATENATE(N709,A709,"\",B709,"\",C709,".jpg")</f>
        <v>C:\Users\mbaptista\OneDrive - Biblioteca Nacional de Portugal\Documentos\python\camoniana\imagens\capas\251973\1\5.jpg</v>
      </c>
      <c r="P709" s="12" t="str">
        <f>HYPERLINK(O709)</f>
        <v>C:\Users\mbaptista\OneDrive - Biblioteca Nacional de Portugal\Documentos\python\camoniana\imagens\capas\251973\1\5.jpg</v>
      </c>
      <c r="Q709" s="12"/>
      <c r="R709" s="6" t="s">
        <v>942</v>
      </c>
      <c r="S709" s="12"/>
      <c r="T709" s="1" t="s">
        <v>941</v>
      </c>
      <c r="U709" s="13"/>
      <c r="V709" s="13"/>
      <c r="W709" s="5" t="s">
        <v>1491</v>
      </c>
    </row>
    <row r="710" spans="1:23" ht="225">
      <c r="A710" s="1">
        <v>251973</v>
      </c>
      <c r="B710" s="1">
        <v>1</v>
      </c>
      <c r="C710" s="1">
        <v>11</v>
      </c>
      <c r="D710" s="2" t="s">
        <v>939</v>
      </c>
      <c r="E710" s="5" t="s">
        <v>939</v>
      </c>
      <c r="F710" s="5">
        <v>255848</v>
      </c>
      <c r="G710" s="2" t="s">
        <v>1494</v>
      </c>
      <c r="H710" s="2" t="s">
        <v>1495</v>
      </c>
      <c r="I710" s="2" t="s">
        <v>1496</v>
      </c>
      <c r="J710" s="2" t="str">
        <f>CONCATENATE(G710,F710,H710,C710,I710)</f>
        <v>https://permalinkbnd.bnportugal.gov.pt/viewer/255848/?offset=#page=11&amp;viewer=picture&amp;o=info&amp;n=0&amp;q=</v>
      </c>
      <c r="K710" s="1" t="s">
        <v>940</v>
      </c>
      <c r="L710" s="1" t="str">
        <f>VLOOKUP(A710,Folha2!$A$2:$B$2019,2,FALSE)</f>
        <v>Variações camonianas / José-Augusto França ; José de Guimarães. - [Lisboa] : Imprensa Nacional- Casa da Moeda, imp.1981. consultada cópia interna.</v>
      </c>
      <c r="M710" s="12" t="str">
        <f>HYPERLINK(J710)</f>
        <v>https://permalinkbnd.bnportugal.gov.pt/viewer/255848/?offset=#page=11&amp;viewer=picture&amp;o=info&amp;n=0&amp;q=</v>
      </c>
      <c r="N710" s="12" t="s">
        <v>1497</v>
      </c>
      <c r="O710" s="12" t="str">
        <f>CONCATENATE(N710,A710,"\",B710,"\",C710,".jpg")</f>
        <v>C:\Users\mbaptista\OneDrive - Biblioteca Nacional de Portugal\Documentos\python\camoniana\imagens\capas\251973\1\11.jpg</v>
      </c>
      <c r="P710" s="12" t="str">
        <f>HYPERLINK(O710)</f>
        <v>C:\Users\mbaptista\OneDrive - Biblioteca Nacional de Portugal\Documentos\python\camoniana\imagens\capas\251973\1\11.jpg</v>
      </c>
      <c r="Q710" s="12"/>
      <c r="R710" s="6" t="s">
        <v>943</v>
      </c>
      <c r="S710" s="12"/>
      <c r="T710" s="1" t="s">
        <v>941</v>
      </c>
      <c r="U710" s="13"/>
      <c r="V710" s="13"/>
      <c r="W710" s="5" t="s">
        <v>1491</v>
      </c>
    </row>
    <row r="711" spans="1:23" ht="225">
      <c r="A711" s="1">
        <v>251973</v>
      </c>
      <c r="B711" s="1">
        <v>1</v>
      </c>
      <c r="C711" s="1">
        <v>13</v>
      </c>
      <c r="D711" s="2" t="s">
        <v>939</v>
      </c>
      <c r="E711" s="11" t="s">
        <v>939</v>
      </c>
      <c r="F711" s="11">
        <v>255848</v>
      </c>
      <c r="G711" s="2" t="s">
        <v>1494</v>
      </c>
      <c r="H711" s="2" t="s">
        <v>1495</v>
      </c>
      <c r="I711" s="2" t="s">
        <v>1496</v>
      </c>
      <c r="J711" s="2" t="str">
        <f>CONCATENATE(G711,F711,H711,C711,I711)</f>
        <v>https://permalinkbnd.bnportugal.gov.pt/viewer/255848/?offset=#page=13&amp;viewer=picture&amp;o=info&amp;n=0&amp;q=</v>
      </c>
      <c r="K711" s="1" t="s">
        <v>940</v>
      </c>
      <c r="L711" s="1" t="str">
        <f>VLOOKUP(A711,Folha2!$A$2:$B$2019,2,FALSE)</f>
        <v>Variações camonianas / José-Augusto França ; José de Guimarães. - [Lisboa] : Imprensa Nacional- Casa da Moeda, imp.1981. consultada cópia interna.</v>
      </c>
      <c r="M711" s="12" t="str">
        <f>HYPERLINK(J711)</f>
        <v>https://permalinkbnd.bnportugal.gov.pt/viewer/255848/?offset=#page=13&amp;viewer=picture&amp;o=info&amp;n=0&amp;q=</v>
      </c>
      <c r="N711" s="12" t="s">
        <v>1497</v>
      </c>
      <c r="O711" s="12" t="str">
        <f>CONCATENATE(N711,A711,"\",B711,"\",C711,".jpg")</f>
        <v>C:\Users\mbaptista\OneDrive - Biblioteca Nacional de Portugal\Documentos\python\camoniana\imagens\capas\251973\1\13.jpg</v>
      </c>
      <c r="P711" s="12" t="str">
        <f>HYPERLINK(O711)</f>
        <v>C:\Users\mbaptista\OneDrive - Biblioteca Nacional de Portugal\Documentos\python\camoniana\imagens\capas\251973\1\13.jpg</v>
      </c>
      <c r="Q711" s="12"/>
      <c r="R711" s="6" t="s">
        <v>944</v>
      </c>
      <c r="S711" s="12"/>
      <c r="T711" s="1" t="s">
        <v>941</v>
      </c>
      <c r="U711" s="13"/>
      <c r="V711" s="13"/>
      <c r="W711" s="5" t="s">
        <v>1491</v>
      </c>
    </row>
    <row r="712" spans="1:23" ht="225">
      <c r="A712" s="1">
        <v>251973</v>
      </c>
      <c r="B712" s="1">
        <v>1</v>
      </c>
      <c r="C712" s="1">
        <v>15</v>
      </c>
      <c r="D712" s="2" t="s">
        <v>939</v>
      </c>
      <c r="E712" s="5" t="s">
        <v>939</v>
      </c>
      <c r="F712" s="5">
        <v>255848</v>
      </c>
      <c r="G712" s="2" t="s">
        <v>1494</v>
      </c>
      <c r="H712" s="2" t="s">
        <v>1495</v>
      </c>
      <c r="I712" s="2" t="s">
        <v>1496</v>
      </c>
      <c r="J712" s="2" t="str">
        <f>CONCATENATE(G712,F712,H712,C712,I712)</f>
        <v>https://permalinkbnd.bnportugal.gov.pt/viewer/255848/?offset=#page=15&amp;viewer=picture&amp;o=info&amp;n=0&amp;q=</v>
      </c>
      <c r="K712" s="1" t="s">
        <v>940</v>
      </c>
      <c r="L712" s="1" t="str">
        <f>VLOOKUP(A712,Folha2!$A$2:$B$2019,2,FALSE)</f>
        <v>Variações camonianas / José-Augusto França ; José de Guimarães. - [Lisboa] : Imprensa Nacional- Casa da Moeda, imp.1981. consultada cópia interna.</v>
      </c>
      <c r="M712" s="12" t="str">
        <f>HYPERLINK(J712)</f>
        <v>https://permalinkbnd.bnportugal.gov.pt/viewer/255848/?offset=#page=15&amp;viewer=picture&amp;o=info&amp;n=0&amp;q=</v>
      </c>
      <c r="N712" s="12" t="s">
        <v>1497</v>
      </c>
      <c r="O712" s="12" t="str">
        <f>CONCATENATE(N712,A712,"\",B712,"\",C712,".jpg")</f>
        <v>C:\Users\mbaptista\OneDrive - Biblioteca Nacional de Portugal\Documentos\python\camoniana\imagens\capas\251973\1\15.jpg</v>
      </c>
      <c r="P712" s="12" t="str">
        <f>HYPERLINK(O712)</f>
        <v>C:\Users\mbaptista\OneDrive - Biblioteca Nacional de Portugal\Documentos\python\camoniana\imagens\capas\251973\1\15.jpg</v>
      </c>
      <c r="Q712" s="12"/>
      <c r="R712" s="6" t="s">
        <v>945</v>
      </c>
      <c r="S712" s="12"/>
      <c r="T712" s="1" t="s">
        <v>941</v>
      </c>
      <c r="U712" s="13"/>
      <c r="V712" s="13"/>
      <c r="W712" s="5" t="s">
        <v>1491</v>
      </c>
    </row>
    <row r="713" spans="1:23" ht="225">
      <c r="A713" s="1">
        <v>251973</v>
      </c>
      <c r="B713" s="1">
        <v>1</v>
      </c>
      <c r="C713" s="1">
        <v>17</v>
      </c>
      <c r="D713" s="2" t="s">
        <v>939</v>
      </c>
      <c r="E713" s="11" t="s">
        <v>939</v>
      </c>
      <c r="F713" s="11">
        <v>255848</v>
      </c>
      <c r="G713" s="2" t="s">
        <v>1494</v>
      </c>
      <c r="H713" s="2" t="s">
        <v>1495</v>
      </c>
      <c r="I713" s="2" t="s">
        <v>1496</v>
      </c>
      <c r="J713" s="2" t="str">
        <f>CONCATENATE(G713,F713,H713,C713,I713)</f>
        <v>https://permalinkbnd.bnportugal.gov.pt/viewer/255848/?offset=#page=17&amp;viewer=picture&amp;o=info&amp;n=0&amp;q=</v>
      </c>
      <c r="K713" s="1" t="s">
        <v>940</v>
      </c>
      <c r="L713" s="1" t="str">
        <f>VLOOKUP(A713,Folha2!$A$2:$B$2019,2,FALSE)</f>
        <v>Variações camonianas / José-Augusto França ; José de Guimarães. - [Lisboa] : Imprensa Nacional- Casa da Moeda, imp.1981. consultada cópia interna.</v>
      </c>
      <c r="M713" s="12" t="str">
        <f>HYPERLINK(J713)</f>
        <v>https://permalinkbnd.bnportugal.gov.pt/viewer/255848/?offset=#page=17&amp;viewer=picture&amp;o=info&amp;n=0&amp;q=</v>
      </c>
      <c r="N713" s="12" t="s">
        <v>1497</v>
      </c>
      <c r="O713" s="12" t="str">
        <f>CONCATENATE(N713,A713,"\",B713,"\",C713,".jpg")</f>
        <v>C:\Users\mbaptista\OneDrive - Biblioteca Nacional de Portugal\Documentos\python\camoniana\imagens\capas\251973\1\17.jpg</v>
      </c>
      <c r="P713" s="12" t="str">
        <f>HYPERLINK(O713)</f>
        <v>C:\Users\mbaptista\OneDrive - Biblioteca Nacional de Portugal\Documentos\python\camoniana\imagens\capas\251973\1\17.jpg</v>
      </c>
      <c r="Q713" s="12"/>
      <c r="R713" s="6" t="s">
        <v>946</v>
      </c>
      <c r="S713" s="12"/>
      <c r="T713" s="1" t="s">
        <v>941</v>
      </c>
      <c r="U713" s="13"/>
      <c r="V713" s="13"/>
      <c r="W713" s="5" t="s">
        <v>1491</v>
      </c>
    </row>
    <row r="714" spans="1:23" ht="225">
      <c r="A714" s="1">
        <v>251973</v>
      </c>
      <c r="B714" s="1">
        <v>1</v>
      </c>
      <c r="C714" s="1">
        <v>19</v>
      </c>
      <c r="D714" s="2" t="s">
        <v>939</v>
      </c>
      <c r="E714" s="5" t="s">
        <v>939</v>
      </c>
      <c r="F714" s="5">
        <v>255848</v>
      </c>
      <c r="G714" s="2" t="s">
        <v>1494</v>
      </c>
      <c r="H714" s="2" t="s">
        <v>1495</v>
      </c>
      <c r="I714" s="2" t="s">
        <v>1496</v>
      </c>
      <c r="J714" s="2" t="str">
        <f>CONCATENATE(G714,F714,H714,C714,I714)</f>
        <v>https://permalinkbnd.bnportugal.gov.pt/viewer/255848/?offset=#page=19&amp;viewer=picture&amp;o=info&amp;n=0&amp;q=</v>
      </c>
      <c r="K714" s="1" t="s">
        <v>940</v>
      </c>
      <c r="L714" s="1" t="str">
        <f>VLOOKUP(A714,Folha2!$A$2:$B$2019,2,FALSE)</f>
        <v>Variações camonianas / José-Augusto França ; José de Guimarães. - [Lisboa] : Imprensa Nacional- Casa da Moeda, imp.1981. consultada cópia interna.</v>
      </c>
      <c r="M714" s="12" t="str">
        <f>HYPERLINK(J714)</f>
        <v>https://permalinkbnd.bnportugal.gov.pt/viewer/255848/?offset=#page=19&amp;viewer=picture&amp;o=info&amp;n=0&amp;q=</v>
      </c>
      <c r="N714" s="12" t="s">
        <v>1497</v>
      </c>
      <c r="O714" s="12" t="str">
        <f>CONCATENATE(N714,A714,"\",B714,"\",C714,".jpg")</f>
        <v>C:\Users\mbaptista\OneDrive - Biblioteca Nacional de Portugal\Documentos\python\camoniana\imagens\capas\251973\1\19.jpg</v>
      </c>
      <c r="P714" s="12" t="str">
        <f>HYPERLINK(O714)</f>
        <v>C:\Users\mbaptista\OneDrive - Biblioteca Nacional de Portugal\Documentos\python\camoniana\imagens\capas\251973\1\19.jpg</v>
      </c>
      <c r="Q714" s="12"/>
      <c r="R714" s="6" t="s">
        <v>947</v>
      </c>
      <c r="S714" s="12"/>
      <c r="T714" s="1" t="s">
        <v>941</v>
      </c>
      <c r="U714" s="13"/>
      <c r="V714" s="13"/>
      <c r="W714" s="5" t="s">
        <v>1491</v>
      </c>
    </row>
    <row r="715" spans="1:23" ht="225">
      <c r="A715" s="1">
        <v>251973</v>
      </c>
      <c r="B715" s="1">
        <v>1</v>
      </c>
      <c r="C715" s="1">
        <v>21</v>
      </c>
      <c r="D715" s="2" t="s">
        <v>939</v>
      </c>
      <c r="E715" s="11" t="s">
        <v>939</v>
      </c>
      <c r="F715" s="11">
        <v>255848</v>
      </c>
      <c r="G715" s="2" t="s">
        <v>1494</v>
      </c>
      <c r="H715" s="2" t="s">
        <v>1495</v>
      </c>
      <c r="I715" s="2" t="s">
        <v>1496</v>
      </c>
      <c r="J715" s="2" t="str">
        <f>CONCATENATE(G715,F715,H715,C715,I715)</f>
        <v>https://permalinkbnd.bnportugal.gov.pt/viewer/255848/?offset=#page=21&amp;viewer=picture&amp;o=info&amp;n=0&amp;q=</v>
      </c>
      <c r="K715" s="1" t="s">
        <v>940</v>
      </c>
      <c r="L715" s="1" t="str">
        <f>VLOOKUP(A715,Folha2!$A$2:$B$2019,2,FALSE)</f>
        <v>Variações camonianas / José-Augusto França ; José de Guimarães. - [Lisboa] : Imprensa Nacional- Casa da Moeda, imp.1981. consultada cópia interna.</v>
      </c>
      <c r="M715" s="12" t="str">
        <f>HYPERLINK(J715)</f>
        <v>https://permalinkbnd.bnportugal.gov.pt/viewer/255848/?offset=#page=21&amp;viewer=picture&amp;o=info&amp;n=0&amp;q=</v>
      </c>
      <c r="N715" s="12" t="s">
        <v>1497</v>
      </c>
      <c r="O715" s="12" t="str">
        <f>CONCATENATE(N715,A715,"\",B715,"\",C715,".jpg")</f>
        <v>C:\Users\mbaptista\OneDrive - Biblioteca Nacional de Portugal\Documentos\python\camoniana\imagens\capas\251973\1\21.jpg</v>
      </c>
      <c r="P715" s="12" t="str">
        <f>HYPERLINK(O715)</f>
        <v>C:\Users\mbaptista\OneDrive - Biblioteca Nacional de Portugal\Documentos\python\camoniana\imagens\capas\251973\1\21.jpg</v>
      </c>
      <c r="Q715" s="12"/>
      <c r="R715" s="6" t="s">
        <v>948</v>
      </c>
      <c r="S715" s="12"/>
      <c r="T715" s="1" t="s">
        <v>941</v>
      </c>
      <c r="U715" s="13"/>
      <c r="V715" s="13"/>
      <c r="W715" s="5" t="s">
        <v>1491</v>
      </c>
    </row>
    <row r="716" spans="1:23" ht="225">
      <c r="A716" s="1">
        <v>251973</v>
      </c>
      <c r="B716" s="1">
        <v>1</v>
      </c>
      <c r="C716" s="1">
        <v>23</v>
      </c>
      <c r="D716" s="2" t="s">
        <v>939</v>
      </c>
      <c r="E716" s="5" t="s">
        <v>939</v>
      </c>
      <c r="F716" s="5">
        <v>255848</v>
      </c>
      <c r="G716" s="2" t="s">
        <v>1494</v>
      </c>
      <c r="H716" s="2" t="s">
        <v>1495</v>
      </c>
      <c r="I716" s="2" t="s">
        <v>1496</v>
      </c>
      <c r="J716" s="2" t="str">
        <f>CONCATENATE(G716,F716,H716,C716,I716)</f>
        <v>https://permalinkbnd.bnportugal.gov.pt/viewer/255848/?offset=#page=23&amp;viewer=picture&amp;o=info&amp;n=0&amp;q=</v>
      </c>
      <c r="K716" s="1" t="s">
        <v>940</v>
      </c>
      <c r="L716" s="1" t="str">
        <f>VLOOKUP(A716,Folha2!$A$2:$B$2019,2,FALSE)</f>
        <v>Variações camonianas / José-Augusto França ; José de Guimarães. - [Lisboa] : Imprensa Nacional- Casa da Moeda, imp.1981. consultada cópia interna.</v>
      </c>
      <c r="M716" s="12" t="str">
        <f>HYPERLINK(J716)</f>
        <v>https://permalinkbnd.bnportugal.gov.pt/viewer/255848/?offset=#page=23&amp;viewer=picture&amp;o=info&amp;n=0&amp;q=</v>
      </c>
      <c r="N716" s="12" t="s">
        <v>1497</v>
      </c>
      <c r="O716" s="12" t="str">
        <f>CONCATENATE(N716,A716,"\",B716,"\",C716,".jpg")</f>
        <v>C:\Users\mbaptista\OneDrive - Biblioteca Nacional de Portugal\Documentos\python\camoniana\imagens\capas\251973\1\23.jpg</v>
      </c>
      <c r="P716" s="12" t="str">
        <f>HYPERLINK(O716)</f>
        <v>C:\Users\mbaptista\OneDrive - Biblioteca Nacional de Portugal\Documentos\python\camoniana\imagens\capas\251973\1\23.jpg</v>
      </c>
      <c r="Q716" s="12"/>
      <c r="R716" s="6" t="s">
        <v>949</v>
      </c>
      <c r="S716" s="12"/>
      <c r="T716" s="1" t="s">
        <v>941</v>
      </c>
      <c r="U716" s="13"/>
      <c r="V716" s="13"/>
      <c r="W716" s="5" t="s">
        <v>1491</v>
      </c>
    </row>
    <row r="717" spans="1:23" ht="225">
      <c r="A717" s="1">
        <v>251973</v>
      </c>
      <c r="B717" s="1">
        <v>1</v>
      </c>
      <c r="C717" s="1">
        <v>25</v>
      </c>
      <c r="D717" s="2" t="s">
        <v>939</v>
      </c>
      <c r="E717" s="11" t="s">
        <v>939</v>
      </c>
      <c r="F717" s="11">
        <v>255848</v>
      </c>
      <c r="G717" s="2" t="s">
        <v>1494</v>
      </c>
      <c r="H717" s="2" t="s">
        <v>1495</v>
      </c>
      <c r="I717" s="2" t="s">
        <v>1496</v>
      </c>
      <c r="J717" s="2" t="str">
        <f>CONCATENATE(G717,F717,H717,C717,I717)</f>
        <v>https://permalinkbnd.bnportugal.gov.pt/viewer/255848/?offset=#page=25&amp;viewer=picture&amp;o=info&amp;n=0&amp;q=</v>
      </c>
      <c r="K717" s="1" t="s">
        <v>940</v>
      </c>
      <c r="L717" s="1" t="str">
        <f>VLOOKUP(A717,Folha2!$A$2:$B$2019,2,FALSE)</f>
        <v>Variações camonianas / José-Augusto França ; José de Guimarães. - [Lisboa] : Imprensa Nacional- Casa da Moeda, imp.1981. consultada cópia interna.</v>
      </c>
      <c r="M717" s="12" t="str">
        <f>HYPERLINK(J717)</f>
        <v>https://permalinkbnd.bnportugal.gov.pt/viewer/255848/?offset=#page=25&amp;viewer=picture&amp;o=info&amp;n=0&amp;q=</v>
      </c>
      <c r="N717" s="12" t="s">
        <v>1497</v>
      </c>
      <c r="O717" s="12" t="str">
        <f>CONCATENATE(N717,A717,"\",B717,"\",C717,".jpg")</f>
        <v>C:\Users\mbaptista\OneDrive - Biblioteca Nacional de Portugal\Documentos\python\camoniana\imagens\capas\251973\1\25.jpg</v>
      </c>
      <c r="P717" s="12" t="str">
        <f>HYPERLINK(O717)</f>
        <v>C:\Users\mbaptista\OneDrive - Biblioteca Nacional de Portugal\Documentos\python\camoniana\imagens\capas\251973\1\25.jpg</v>
      </c>
      <c r="Q717" s="12"/>
      <c r="R717" s="6" t="s">
        <v>950</v>
      </c>
      <c r="S717" s="12"/>
      <c r="T717" s="1" t="s">
        <v>941</v>
      </c>
      <c r="U717" s="13"/>
      <c r="V717" s="13"/>
      <c r="W717" s="5" t="s">
        <v>1491</v>
      </c>
    </row>
    <row r="718" spans="1:23" ht="225">
      <c r="A718" s="1">
        <v>251973</v>
      </c>
      <c r="B718" s="1">
        <v>1</v>
      </c>
      <c r="C718" s="1">
        <v>27</v>
      </c>
      <c r="D718" s="2" t="s">
        <v>939</v>
      </c>
      <c r="E718" s="5" t="s">
        <v>939</v>
      </c>
      <c r="F718" s="5">
        <v>255848</v>
      </c>
      <c r="G718" s="2" t="s">
        <v>1494</v>
      </c>
      <c r="H718" s="2" t="s">
        <v>1495</v>
      </c>
      <c r="I718" s="2" t="s">
        <v>1496</v>
      </c>
      <c r="J718" s="2" t="str">
        <f>CONCATENATE(G718,F718,H718,C718,I718)</f>
        <v>https://permalinkbnd.bnportugal.gov.pt/viewer/255848/?offset=#page=27&amp;viewer=picture&amp;o=info&amp;n=0&amp;q=</v>
      </c>
      <c r="K718" s="1" t="s">
        <v>940</v>
      </c>
      <c r="L718" s="1" t="str">
        <f>VLOOKUP(A718,Folha2!$A$2:$B$2019,2,FALSE)</f>
        <v>Variações camonianas / José-Augusto França ; José de Guimarães. - [Lisboa] : Imprensa Nacional- Casa da Moeda, imp.1981. consultada cópia interna.</v>
      </c>
      <c r="M718" s="12" t="str">
        <f>HYPERLINK(J718)</f>
        <v>https://permalinkbnd.bnportugal.gov.pt/viewer/255848/?offset=#page=27&amp;viewer=picture&amp;o=info&amp;n=0&amp;q=</v>
      </c>
      <c r="N718" s="12" t="s">
        <v>1497</v>
      </c>
      <c r="O718" s="12" t="str">
        <f>CONCATENATE(N718,A718,"\",B718,"\",C718,".jpg")</f>
        <v>C:\Users\mbaptista\OneDrive - Biblioteca Nacional de Portugal\Documentos\python\camoniana\imagens\capas\251973\1\27.jpg</v>
      </c>
      <c r="P718" s="12" t="str">
        <f>HYPERLINK(O718)</f>
        <v>C:\Users\mbaptista\OneDrive - Biblioteca Nacional de Portugal\Documentos\python\camoniana\imagens\capas\251973\1\27.jpg</v>
      </c>
      <c r="Q718" s="12"/>
      <c r="R718" s="6" t="s">
        <v>951</v>
      </c>
      <c r="S718" s="12"/>
      <c r="T718" s="1" t="s">
        <v>941</v>
      </c>
      <c r="U718" s="13"/>
      <c r="V718" s="13"/>
      <c r="W718" s="5" t="s">
        <v>1491</v>
      </c>
    </row>
    <row r="719" spans="1:23" ht="225">
      <c r="A719" s="1">
        <v>251973</v>
      </c>
      <c r="B719" s="1">
        <v>1</v>
      </c>
      <c r="C719" s="1">
        <v>29</v>
      </c>
      <c r="D719" s="2" t="s">
        <v>939</v>
      </c>
      <c r="E719" s="11" t="s">
        <v>939</v>
      </c>
      <c r="F719" s="11">
        <v>255848</v>
      </c>
      <c r="G719" s="2" t="s">
        <v>1494</v>
      </c>
      <c r="H719" s="2" t="s">
        <v>1495</v>
      </c>
      <c r="I719" s="2" t="s">
        <v>1496</v>
      </c>
      <c r="J719" s="2" t="str">
        <f>CONCATENATE(G719,F719,H719,C719,I719)</f>
        <v>https://permalinkbnd.bnportugal.gov.pt/viewer/255848/?offset=#page=29&amp;viewer=picture&amp;o=info&amp;n=0&amp;q=</v>
      </c>
      <c r="K719" s="1" t="s">
        <v>940</v>
      </c>
      <c r="L719" s="1" t="str">
        <f>VLOOKUP(A719,Folha2!$A$2:$B$2019,2,FALSE)</f>
        <v>Variações camonianas / José-Augusto França ; José de Guimarães. - [Lisboa] : Imprensa Nacional- Casa da Moeda, imp.1981. consultada cópia interna.</v>
      </c>
      <c r="M719" s="12" t="str">
        <f>HYPERLINK(J719)</f>
        <v>https://permalinkbnd.bnportugal.gov.pt/viewer/255848/?offset=#page=29&amp;viewer=picture&amp;o=info&amp;n=0&amp;q=</v>
      </c>
      <c r="N719" s="12" t="s">
        <v>1497</v>
      </c>
      <c r="O719" s="12" t="str">
        <f>CONCATENATE(N719,A719,"\",B719,"\",C719,".jpg")</f>
        <v>C:\Users\mbaptista\OneDrive - Biblioteca Nacional de Portugal\Documentos\python\camoniana\imagens\capas\251973\1\29.jpg</v>
      </c>
      <c r="P719" s="12" t="str">
        <f>HYPERLINK(O719)</f>
        <v>C:\Users\mbaptista\OneDrive - Biblioteca Nacional de Portugal\Documentos\python\camoniana\imagens\capas\251973\1\29.jpg</v>
      </c>
      <c r="Q719" s="12"/>
      <c r="R719" s="6" t="s">
        <v>952</v>
      </c>
      <c r="S719" s="12"/>
      <c r="T719" s="1" t="s">
        <v>941</v>
      </c>
      <c r="U719" s="13"/>
      <c r="V719" s="13"/>
      <c r="W719" s="5" t="s">
        <v>1491</v>
      </c>
    </row>
    <row r="720" spans="1:23" ht="225">
      <c r="A720" s="1">
        <v>251973</v>
      </c>
      <c r="B720" s="1">
        <v>1</v>
      </c>
      <c r="C720" s="1">
        <v>31</v>
      </c>
      <c r="D720" s="2" t="s">
        <v>939</v>
      </c>
      <c r="E720" s="5" t="s">
        <v>939</v>
      </c>
      <c r="F720" s="5">
        <v>255848</v>
      </c>
      <c r="G720" s="2" t="s">
        <v>1494</v>
      </c>
      <c r="H720" s="2" t="s">
        <v>1495</v>
      </c>
      <c r="I720" s="2" t="s">
        <v>1496</v>
      </c>
      <c r="J720" s="2" t="str">
        <f>CONCATENATE(G720,F720,H720,C720,I720)</f>
        <v>https://permalinkbnd.bnportugal.gov.pt/viewer/255848/?offset=#page=31&amp;viewer=picture&amp;o=info&amp;n=0&amp;q=</v>
      </c>
      <c r="K720" s="1" t="s">
        <v>940</v>
      </c>
      <c r="L720" s="1" t="str">
        <f>VLOOKUP(A720,Folha2!$A$2:$B$2019,2,FALSE)</f>
        <v>Variações camonianas / José-Augusto França ; José de Guimarães. - [Lisboa] : Imprensa Nacional- Casa da Moeda, imp.1981. consultada cópia interna.</v>
      </c>
      <c r="M720" s="12" t="str">
        <f>HYPERLINK(J720)</f>
        <v>https://permalinkbnd.bnportugal.gov.pt/viewer/255848/?offset=#page=31&amp;viewer=picture&amp;o=info&amp;n=0&amp;q=</v>
      </c>
      <c r="N720" s="12" t="s">
        <v>1497</v>
      </c>
      <c r="O720" s="12" t="str">
        <f>CONCATENATE(N720,A720,"\",B720,"\",C720,".jpg")</f>
        <v>C:\Users\mbaptista\OneDrive - Biblioteca Nacional de Portugal\Documentos\python\camoniana\imagens\capas\251973\1\31.jpg</v>
      </c>
      <c r="P720" s="12" t="str">
        <f>HYPERLINK(O720)</f>
        <v>C:\Users\mbaptista\OneDrive - Biblioteca Nacional de Portugal\Documentos\python\camoniana\imagens\capas\251973\1\31.jpg</v>
      </c>
      <c r="Q720" s="12"/>
      <c r="R720" s="6" t="s">
        <v>953</v>
      </c>
      <c r="S720" s="12"/>
      <c r="T720" s="1" t="s">
        <v>941</v>
      </c>
      <c r="U720" s="13"/>
      <c r="V720" s="13"/>
      <c r="W720" s="5" t="s">
        <v>1491</v>
      </c>
    </row>
    <row r="721" spans="1:23" ht="225">
      <c r="A721" s="1">
        <v>251973</v>
      </c>
      <c r="B721" s="1">
        <v>1</v>
      </c>
      <c r="C721" s="1">
        <v>33</v>
      </c>
      <c r="D721" s="2" t="s">
        <v>939</v>
      </c>
      <c r="E721" s="11" t="s">
        <v>939</v>
      </c>
      <c r="F721" s="11">
        <v>255848</v>
      </c>
      <c r="G721" s="2" t="s">
        <v>1494</v>
      </c>
      <c r="H721" s="2" t="s">
        <v>1495</v>
      </c>
      <c r="I721" s="2" t="s">
        <v>1496</v>
      </c>
      <c r="J721" s="2" t="str">
        <f>CONCATENATE(G721,F721,H721,C721,I721)</f>
        <v>https://permalinkbnd.bnportugal.gov.pt/viewer/255848/?offset=#page=33&amp;viewer=picture&amp;o=info&amp;n=0&amp;q=</v>
      </c>
      <c r="K721" s="1" t="s">
        <v>940</v>
      </c>
      <c r="L721" s="1" t="str">
        <f>VLOOKUP(A721,Folha2!$A$2:$B$2019,2,FALSE)</f>
        <v>Variações camonianas / José-Augusto França ; José de Guimarães. - [Lisboa] : Imprensa Nacional- Casa da Moeda, imp.1981. consultada cópia interna.</v>
      </c>
      <c r="M721" s="12" t="str">
        <f>HYPERLINK(J721)</f>
        <v>https://permalinkbnd.bnportugal.gov.pt/viewer/255848/?offset=#page=33&amp;viewer=picture&amp;o=info&amp;n=0&amp;q=</v>
      </c>
      <c r="N721" s="12" t="s">
        <v>1497</v>
      </c>
      <c r="O721" s="12" t="str">
        <f>CONCATENATE(N721,A721,"\",B721,"\",C721,".jpg")</f>
        <v>C:\Users\mbaptista\OneDrive - Biblioteca Nacional de Portugal\Documentos\python\camoniana\imagens\capas\251973\1\33.jpg</v>
      </c>
      <c r="P721" s="12" t="str">
        <f>HYPERLINK(O721)</f>
        <v>C:\Users\mbaptista\OneDrive - Biblioteca Nacional de Portugal\Documentos\python\camoniana\imagens\capas\251973\1\33.jpg</v>
      </c>
      <c r="Q721" s="12"/>
      <c r="R721" s="6" t="s">
        <v>954</v>
      </c>
      <c r="S721" s="12"/>
      <c r="T721" s="1" t="s">
        <v>941</v>
      </c>
      <c r="U721" s="13"/>
      <c r="V721" s="13"/>
      <c r="W721" s="5" t="s">
        <v>1491</v>
      </c>
    </row>
    <row r="722" spans="1:23" ht="225">
      <c r="A722" s="1">
        <v>251973</v>
      </c>
      <c r="B722" s="1">
        <v>1</v>
      </c>
      <c r="C722" s="1">
        <v>35</v>
      </c>
      <c r="D722" s="2" t="s">
        <v>939</v>
      </c>
      <c r="E722" s="5" t="s">
        <v>939</v>
      </c>
      <c r="F722" s="5">
        <v>255848</v>
      </c>
      <c r="G722" s="2" t="s">
        <v>1494</v>
      </c>
      <c r="H722" s="2" t="s">
        <v>1495</v>
      </c>
      <c r="I722" s="2" t="s">
        <v>1496</v>
      </c>
      <c r="J722" s="2" t="str">
        <f>CONCATENATE(G722,F722,H722,C722,I722)</f>
        <v>https://permalinkbnd.bnportugal.gov.pt/viewer/255848/?offset=#page=35&amp;viewer=picture&amp;o=info&amp;n=0&amp;q=</v>
      </c>
      <c r="K722" s="1" t="s">
        <v>940</v>
      </c>
      <c r="L722" s="1" t="str">
        <f>VLOOKUP(A722,Folha2!$A$2:$B$2019,2,FALSE)</f>
        <v>Variações camonianas / José-Augusto França ; José de Guimarães. - [Lisboa] : Imprensa Nacional- Casa da Moeda, imp.1981. consultada cópia interna.</v>
      </c>
      <c r="M722" s="12" t="str">
        <f>HYPERLINK(J722)</f>
        <v>https://permalinkbnd.bnportugal.gov.pt/viewer/255848/?offset=#page=35&amp;viewer=picture&amp;o=info&amp;n=0&amp;q=</v>
      </c>
      <c r="N722" s="12" t="s">
        <v>1497</v>
      </c>
      <c r="O722" s="12" t="str">
        <f>CONCATENATE(N722,A722,"\",B722,"\",C722,".jpg")</f>
        <v>C:\Users\mbaptista\OneDrive - Biblioteca Nacional de Portugal\Documentos\python\camoniana\imagens\capas\251973\1\35.jpg</v>
      </c>
      <c r="P722" s="12" t="str">
        <f>HYPERLINK(O722)</f>
        <v>C:\Users\mbaptista\OneDrive - Biblioteca Nacional de Portugal\Documentos\python\camoniana\imagens\capas\251973\1\35.jpg</v>
      </c>
      <c r="Q722" s="12"/>
      <c r="R722" s="6" t="s">
        <v>955</v>
      </c>
      <c r="S722" s="12"/>
      <c r="T722" s="1" t="s">
        <v>941</v>
      </c>
      <c r="U722" s="13"/>
      <c r="V722" s="13"/>
      <c r="W722" s="5" t="s">
        <v>1491</v>
      </c>
    </row>
    <row r="723" spans="1:23" ht="225">
      <c r="A723" s="1">
        <v>251973</v>
      </c>
      <c r="B723" s="1">
        <v>1</v>
      </c>
      <c r="C723" s="1">
        <v>37</v>
      </c>
      <c r="D723" s="2" t="s">
        <v>939</v>
      </c>
      <c r="E723" s="11" t="s">
        <v>939</v>
      </c>
      <c r="F723" s="11">
        <v>255848</v>
      </c>
      <c r="G723" s="2" t="s">
        <v>1494</v>
      </c>
      <c r="H723" s="2" t="s">
        <v>1495</v>
      </c>
      <c r="I723" s="2" t="s">
        <v>1496</v>
      </c>
      <c r="J723" s="2" t="str">
        <f>CONCATENATE(G723,F723,H723,C723,I723)</f>
        <v>https://permalinkbnd.bnportugal.gov.pt/viewer/255848/?offset=#page=37&amp;viewer=picture&amp;o=info&amp;n=0&amp;q=</v>
      </c>
      <c r="K723" s="1" t="s">
        <v>940</v>
      </c>
      <c r="L723" s="1" t="str">
        <f>VLOOKUP(A723,Folha2!$A$2:$B$2019,2,FALSE)</f>
        <v>Variações camonianas / José-Augusto França ; José de Guimarães. - [Lisboa] : Imprensa Nacional- Casa da Moeda, imp.1981. consultada cópia interna.</v>
      </c>
      <c r="M723" s="12" t="str">
        <f>HYPERLINK(J723)</f>
        <v>https://permalinkbnd.bnportugal.gov.pt/viewer/255848/?offset=#page=37&amp;viewer=picture&amp;o=info&amp;n=0&amp;q=</v>
      </c>
      <c r="N723" s="12" t="s">
        <v>1497</v>
      </c>
      <c r="O723" s="12" t="str">
        <f>CONCATENATE(N723,A723,"\",B723,"\",C723,".jpg")</f>
        <v>C:\Users\mbaptista\OneDrive - Biblioteca Nacional de Portugal\Documentos\python\camoniana\imagens\capas\251973\1\37.jpg</v>
      </c>
      <c r="P723" s="12" t="str">
        <f>HYPERLINK(O723)</f>
        <v>C:\Users\mbaptista\OneDrive - Biblioteca Nacional de Portugal\Documentos\python\camoniana\imagens\capas\251973\1\37.jpg</v>
      </c>
      <c r="Q723" s="12"/>
      <c r="R723" s="6" t="s">
        <v>956</v>
      </c>
      <c r="S723" s="12"/>
      <c r="T723" s="1" t="s">
        <v>941</v>
      </c>
      <c r="U723" s="13"/>
      <c r="V723" s="13"/>
      <c r="W723" s="5" t="s">
        <v>1491</v>
      </c>
    </row>
    <row r="724" spans="1:23" ht="225">
      <c r="A724" s="1">
        <v>251973</v>
      </c>
      <c r="B724" s="1">
        <v>1</v>
      </c>
      <c r="C724" s="1">
        <v>39</v>
      </c>
      <c r="D724" s="2" t="s">
        <v>939</v>
      </c>
      <c r="E724" s="5" t="s">
        <v>939</v>
      </c>
      <c r="F724" s="5">
        <v>255848</v>
      </c>
      <c r="G724" s="2" t="s">
        <v>1494</v>
      </c>
      <c r="H724" s="2" t="s">
        <v>1495</v>
      </c>
      <c r="I724" s="2" t="s">
        <v>1496</v>
      </c>
      <c r="J724" s="2" t="str">
        <f>CONCATENATE(G724,F724,H724,C724,I724)</f>
        <v>https://permalinkbnd.bnportugal.gov.pt/viewer/255848/?offset=#page=39&amp;viewer=picture&amp;o=info&amp;n=0&amp;q=</v>
      </c>
      <c r="K724" s="1" t="s">
        <v>940</v>
      </c>
      <c r="L724" s="1" t="str">
        <f>VLOOKUP(A724,Folha2!$A$2:$B$2019,2,FALSE)</f>
        <v>Variações camonianas / José-Augusto França ; José de Guimarães. - [Lisboa] : Imprensa Nacional- Casa da Moeda, imp.1981. consultada cópia interna.</v>
      </c>
      <c r="M724" s="12" t="str">
        <f>HYPERLINK(J724)</f>
        <v>https://permalinkbnd.bnportugal.gov.pt/viewer/255848/?offset=#page=39&amp;viewer=picture&amp;o=info&amp;n=0&amp;q=</v>
      </c>
      <c r="N724" s="12" t="s">
        <v>1497</v>
      </c>
      <c r="O724" s="12" t="str">
        <f>CONCATENATE(N724,A724,"\",B724,"\",C724,".jpg")</f>
        <v>C:\Users\mbaptista\OneDrive - Biblioteca Nacional de Portugal\Documentos\python\camoniana\imagens\capas\251973\1\39.jpg</v>
      </c>
      <c r="P724" s="12" t="str">
        <f>HYPERLINK(O724)</f>
        <v>C:\Users\mbaptista\OneDrive - Biblioteca Nacional de Portugal\Documentos\python\camoniana\imagens\capas\251973\1\39.jpg</v>
      </c>
      <c r="Q724" s="12"/>
      <c r="R724" s="6" t="s">
        <v>957</v>
      </c>
      <c r="S724" s="12"/>
      <c r="T724" s="1" t="s">
        <v>941</v>
      </c>
      <c r="U724" s="13"/>
      <c r="V724" s="13"/>
      <c r="W724" s="5" t="s">
        <v>1491</v>
      </c>
    </row>
    <row r="725" spans="1:23" ht="225">
      <c r="A725" s="1">
        <v>251973</v>
      </c>
      <c r="B725" s="1">
        <v>1</v>
      </c>
      <c r="C725" s="1">
        <v>41</v>
      </c>
      <c r="D725" s="2" t="s">
        <v>939</v>
      </c>
      <c r="E725" s="11" t="s">
        <v>939</v>
      </c>
      <c r="F725" s="11">
        <v>255848</v>
      </c>
      <c r="G725" s="2" t="s">
        <v>1494</v>
      </c>
      <c r="H725" s="2" t="s">
        <v>1495</v>
      </c>
      <c r="I725" s="2" t="s">
        <v>1496</v>
      </c>
      <c r="J725" s="2" t="str">
        <f>CONCATENATE(G725,F725,H725,C725,I725)</f>
        <v>https://permalinkbnd.bnportugal.gov.pt/viewer/255848/?offset=#page=41&amp;viewer=picture&amp;o=info&amp;n=0&amp;q=</v>
      </c>
      <c r="K725" s="1" t="s">
        <v>940</v>
      </c>
      <c r="L725" s="1" t="str">
        <f>VLOOKUP(A725,Folha2!$A$2:$B$2019,2,FALSE)</f>
        <v>Variações camonianas / José-Augusto França ; José de Guimarães. - [Lisboa] : Imprensa Nacional- Casa da Moeda, imp.1981. consultada cópia interna.</v>
      </c>
      <c r="M725" s="12" t="str">
        <f>HYPERLINK(J725)</f>
        <v>https://permalinkbnd.bnportugal.gov.pt/viewer/255848/?offset=#page=41&amp;viewer=picture&amp;o=info&amp;n=0&amp;q=</v>
      </c>
      <c r="N725" s="12" t="s">
        <v>1497</v>
      </c>
      <c r="O725" s="12" t="str">
        <f>CONCATENATE(N725,A725,"\",B725,"\",C725,".jpg")</f>
        <v>C:\Users\mbaptista\OneDrive - Biblioteca Nacional de Portugal\Documentos\python\camoniana\imagens\capas\251973\1\41.jpg</v>
      </c>
      <c r="P725" s="12" t="str">
        <f>HYPERLINK(O725)</f>
        <v>C:\Users\mbaptista\OneDrive - Biblioteca Nacional de Portugal\Documentos\python\camoniana\imagens\capas\251973\1\41.jpg</v>
      </c>
      <c r="Q725" s="12"/>
      <c r="R725" s="6" t="s">
        <v>958</v>
      </c>
      <c r="S725" s="12"/>
      <c r="T725" s="1" t="s">
        <v>941</v>
      </c>
      <c r="U725" s="13"/>
      <c r="V725" s="13"/>
      <c r="W725" s="5" t="s">
        <v>1491</v>
      </c>
    </row>
    <row r="726" spans="1:23" ht="225">
      <c r="A726" s="1">
        <v>251973</v>
      </c>
      <c r="B726" s="1">
        <v>1</v>
      </c>
      <c r="C726" s="1">
        <v>43</v>
      </c>
      <c r="D726" s="2" t="s">
        <v>939</v>
      </c>
      <c r="E726" s="5" t="s">
        <v>939</v>
      </c>
      <c r="F726" s="5">
        <v>255848</v>
      </c>
      <c r="G726" s="2" t="s">
        <v>1494</v>
      </c>
      <c r="H726" s="2" t="s">
        <v>1495</v>
      </c>
      <c r="I726" s="2" t="s">
        <v>1496</v>
      </c>
      <c r="J726" s="2" t="str">
        <f>CONCATENATE(G726,F726,H726,C726,I726)</f>
        <v>https://permalinkbnd.bnportugal.gov.pt/viewer/255848/?offset=#page=43&amp;viewer=picture&amp;o=info&amp;n=0&amp;q=</v>
      </c>
      <c r="K726" s="1" t="s">
        <v>940</v>
      </c>
      <c r="L726" s="1" t="str">
        <f>VLOOKUP(A726,Folha2!$A$2:$B$2019,2,FALSE)</f>
        <v>Variações camonianas / José-Augusto França ; José de Guimarães. - [Lisboa] : Imprensa Nacional- Casa da Moeda, imp.1981. consultada cópia interna.</v>
      </c>
      <c r="M726" s="12" t="str">
        <f>HYPERLINK(J726)</f>
        <v>https://permalinkbnd.bnportugal.gov.pt/viewer/255848/?offset=#page=43&amp;viewer=picture&amp;o=info&amp;n=0&amp;q=</v>
      </c>
      <c r="N726" s="12" t="s">
        <v>1497</v>
      </c>
      <c r="O726" s="12" t="str">
        <f>CONCATENATE(N726,A726,"\",B726,"\",C726,".jpg")</f>
        <v>C:\Users\mbaptista\OneDrive - Biblioteca Nacional de Portugal\Documentos\python\camoniana\imagens\capas\251973\1\43.jpg</v>
      </c>
      <c r="P726" s="12" t="str">
        <f>HYPERLINK(O726)</f>
        <v>C:\Users\mbaptista\OneDrive - Biblioteca Nacional de Portugal\Documentos\python\camoniana\imagens\capas\251973\1\43.jpg</v>
      </c>
      <c r="Q726" s="12"/>
      <c r="R726" s="6" t="s">
        <v>959</v>
      </c>
      <c r="S726" s="12"/>
      <c r="T726" s="1" t="s">
        <v>941</v>
      </c>
      <c r="U726" s="13"/>
      <c r="V726" s="13"/>
      <c r="W726" s="5" t="s">
        <v>1491</v>
      </c>
    </row>
    <row r="727" spans="1:23" ht="225">
      <c r="A727" s="1">
        <v>251973</v>
      </c>
      <c r="B727" s="1">
        <v>1</v>
      </c>
      <c r="C727" s="1">
        <v>45</v>
      </c>
      <c r="D727" s="2" t="s">
        <v>939</v>
      </c>
      <c r="E727" s="11" t="s">
        <v>939</v>
      </c>
      <c r="F727" s="11">
        <v>255848</v>
      </c>
      <c r="G727" s="2" t="s">
        <v>1494</v>
      </c>
      <c r="H727" s="2" t="s">
        <v>1495</v>
      </c>
      <c r="I727" s="2" t="s">
        <v>1496</v>
      </c>
      <c r="J727" s="2" t="str">
        <f>CONCATENATE(G727,F727,H727,C727,I727)</f>
        <v>https://permalinkbnd.bnportugal.gov.pt/viewer/255848/?offset=#page=45&amp;viewer=picture&amp;o=info&amp;n=0&amp;q=</v>
      </c>
      <c r="K727" s="1" t="s">
        <v>940</v>
      </c>
      <c r="L727" s="1" t="str">
        <f>VLOOKUP(A727,Folha2!$A$2:$B$2019,2,FALSE)</f>
        <v>Variações camonianas / José-Augusto França ; José de Guimarães. - [Lisboa] : Imprensa Nacional- Casa da Moeda, imp.1981. consultada cópia interna.</v>
      </c>
      <c r="M727" s="12" t="str">
        <f>HYPERLINK(J727)</f>
        <v>https://permalinkbnd.bnportugal.gov.pt/viewer/255848/?offset=#page=45&amp;viewer=picture&amp;o=info&amp;n=0&amp;q=</v>
      </c>
      <c r="N727" s="12" t="s">
        <v>1497</v>
      </c>
      <c r="O727" s="12" t="str">
        <f>CONCATENATE(N727,A727,"\",B727,"\",C727,".jpg")</f>
        <v>C:\Users\mbaptista\OneDrive - Biblioteca Nacional de Portugal\Documentos\python\camoniana\imagens\capas\251973\1\45.jpg</v>
      </c>
      <c r="P727" s="12" t="str">
        <f>HYPERLINK(O727)</f>
        <v>C:\Users\mbaptista\OneDrive - Biblioteca Nacional de Portugal\Documentos\python\camoniana\imagens\capas\251973\1\45.jpg</v>
      </c>
      <c r="Q727" s="12"/>
      <c r="R727" s="6" t="s">
        <v>960</v>
      </c>
      <c r="S727" s="12"/>
      <c r="T727" s="1" t="s">
        <v>941</v>
      </c>
      <c r="U727" s="13"/>
      <c r="V727" s="13"/>
      <c r="W727" s="5" t="s">
        <v>1491</v>
      </c>
    </row>
    <row r="728" spans="1:23" ht="225">
      <c r="A728" s="1">
        <v>251973</v>
      </c>
      <c r="B728" s="1">
        <v>1</v>
      </c>
      <c r="C728" s="1">
        <v>47</v>
      </c>
      <c r="D728" s="2" t="s">
        <v>939</v>
      </c>
      <c r="E728" s="5" t="s">
        <v>939</v>
      </c>
      <c r="F728" s="5">
        <v>255848</v>
      </c>
      <c r="G728" s="2" t="s">
        <v>1494</v>
      </c>
      <c r="H728" s="2" t="s">
        <v>1495</v>
      </c>
      <c r="I728" s="2" t="s">
        <v>1496</v>
      </c>
      <c r="J728" s="2" t="str">
        <f>CONCATENATE(G728,F728,H728,C728,I728)</f>
        <v>https://permalinkbnd.bnportugal.gov.pt/viewer/255848/?offset=#page=47&amp;viewer=picture&amp;o=info&amp;n=0&amp;q=</v>
      </c>
      <c r="K728" s="1" t="s">
        <v>940</v>
      </c>
      <c r="L728" s="1" t="str">
        <f>VLOOKUP(A728,Folha2!$A$2:$B$2019,2,FALSE)</f>
        <v>Variações camonianas / José-Augusto França ; José de Guimarães. - [Lisboa] : Imprensa Nacional- Casa da Moeda, imp.1981. consultada cópia interna.</v>
      </c>
      <c r="M728" s="12" t="str">
        <f>HYPERLINK(J728)</f>
        <v>https://permalinkbnd.bnportugal.gov.pt/viewer/255848/?offset=#page=47&amp;viewer=picture&amp;o=info&amp;n=0&amp;q=</v>
      </c>
      <c r="N728" s="12" t="s">
        <v>1497</v>
      </c>
      <c r="O728" s="12" t="str">
        <f>CONCATENATE(N728,A728,"\",B728,"\",C728,".jpg")</f>
        <v>C:\Users\mbaptista\OneDrive - Biblioteca Nacional de Portugal\Documentos\python\camoniana\imagens\capas\251973\1\47.jpg</v>
      </c>
      <c r="P728" s="12" t="str">
        <f>HYPERLINK(O728)</f>
        <v>C:\Users\mbaptista\OneDrive - Biblioteca Nacional de Portugal\Documentos\python\camoniana\imagens\capas\251973\1\47.jpg</v>
      </c>
      <c r="Q728" s="12"/>
      <c r="R728" s="6" t="s">
        <v>961</v>
      </c>
      <c r="S728" s="12"/>
      <c r="T728" s="1" t="s">
        <v>941</v>
      </c>
      <c r="U728" s="13"/>
      <c r="V728" s="13"/>
      <c r="W728" s="5" t="s">
        <v>1491</v>
      </c>
    </row>
    <row r="729" spans="1:23" ht="225">
      <c r="A729" s="1">
        <v>251973</v>
      </c>
      <c r="B729" s="1">
        <v>1</v>
      </c>
      <c r="C729" s="1">
        <v>49</v>
      </c>
      <c r="D729" s="2" t="s">
        <v>939</v>
      </c>
      <c r="E729" s="11" t="s">
        <v>939</v>
      </c>
      <c r="F729" s="11">
        <v>255848</v>
      </c>
      <c r="G729" s="2" t="s">
        <v>1494</v>
      </c>
      <c r="H729" s="2" t="s">
        <v>1495</v>
      </c>
      <c r="I729" s="2" t="s">
        <v>1496</v>
      </c>
      <c r="J729" s="2" t="str">
        <f>CONCATENATE(G729,F729,H729,C729,I729)</f>
        <v>https://permalinkbnd.bnportugal.gov.pt/viewer/255848/?offset=#page=49&amp;viewer=picture&amp;o=info&amp;n=0&amp;q=</v>
      </c>
      <c r="K729" s="1" t="s">
        <v>940</v>
      </c>
      <c r="L729" s="1" t="str">
        <f>VLOOKUP(A729,Folha2!$A$2:$B$2019,2,FALSE)</f>
        <v>Variações camonianas / José-Augusto França ; José de Guimarães. - [Lisboa] : Imprensa Nacional- Casa da Moeda, imp.1981. consultada cópia interna.</v>
      </c>
      <c r="M729" s="12" t="str">
        <f>HYPERLINK(J729)</f>
        <v>https://permalinkbnd.bnportugal.gov.pt/viewer/255848/?offset=#page=49&amp;viewer=picture&amp;o=info&amp;n=0&amp;q=</v>
      </c>
      <c r="N729" s="12" t="s">
        <v>1497</v>
      </c>
      <c r="O729" s="12" t="str">
        <f>CONCATENATE(N729,A729,"\",B729,"\",C729,".jpg")</f>
        <v>C:\Users\mbaptista\OneDrive - Biblioteca Nacional de Portugal\Documentos\python\camoniana\imagens\capas\251973\1\49.jpg</v>
      </c>
      <c r="P729" s="12" t="str">
        <f>HYPERLINK(O729)</f>
        <v>C:\Users\mbaptista\OneDrive - Biblioteca Nacional de Portugal\Documentos\python\camoniana\imagens\capas\251973\1\49.jpg</v>
      </c>
      <c r="Q729" s="12"/>
      <c r="R729" s="6" t="s">
        <v>962</v>
      </c>
      <c r="S729" s="12"/>
      <c r="T729" s="1" t="s">
        <v>941</v>
      </c>
      <c r="U729" s="13"/>
      <c r="V729" s="13"/>
      <c r="W729" s="5" t="s">
        <v>1491</v>
      </c>
    </row>
    <row r="730" spans="1:23" ht="225">
      <c r="A730" s="1">
        <v>251973</v>
      </c>
      <c r="B730" s="1">
        <v>1</v>
      </c>
      <c r="C730" s="1">
        <v>51</v>
      </c>
      <c r="D730" s="2" t="s">
        <v>939</v>
      </c>
      <c r="E730" s="5" t="s">
        <v>939</v>
      </c>
      <c r="F730" s="5">
        <v>255848</v>
      </c>
      <c r="G730" s="2" t="s">
        <v>1494</v>
      </c>
      <c r="H730" s="2" t="s">
        <v>1495</v>
      </c>
      <c r="I730" s="2" t="s">
        <v>1496</v>
      </c>
      <c r="J730" s="2" t="str">
        <f>CONCATENATE(G730,F730,H730,C730,I730)</f>
        <v>https://permalinkbnd.bnportugal.gov.pt/viewer/255848/?offset=#page=51&amp;viewer=picture&amp;o=info&amp;n=0&amp;q=</v>
      </c>
      <c r="K730" s="1" t="s">
        <v>940</v>
      </c>
      <c r="L730" s="1" t="str">
        <f>VLOOKUP(A730,Folha2!$A$2:$B$2019,2,FALSE)</f>
        <v>Variações camonianas / José-Augusto França ; José de Guimarães. - [Lisboa] : Imprensa Nacional- Casa da Moeda, imp.1981. consultada cópia interna.</v>
      </c>
      <c r="M730" s="12" t="str">
        <f>HYPERLINK(J730)</f>
        <v>https://permalinkbnd.bnportugal.gov.pt/viewer/255848/?offset=#page=51&amp;viewer=picture&amp;o=info&amp;n=0&amp;q=</v>
      </c>
      <c r="N730" s="12" t="s">
        <v>1497</v>
      </c>
      <c r="O730" s="12" t="str">
        <f>CONCATENATE(N730,A730,"\",B730,"\",C730,".jpg")</f>
        <v>C:\Users\mbaptista\OneDrive - Biblioteca Nacional de Portugal\Documentos\python\camoniana\imagens\capas\251973\1\51.jpg</v>
      </c>
      <c r="P730" s="12" t="str">
        <f>HYPERLINK(O730)</f>
        <v>C:\Users\mbaptista\OneDrive - Biblioteca Nacional de Portugal\Documentos\python\camoniana\imagens\capas\251973\1\51.jpg</v>
      </c>
      <c r="Q730" s="12"/>
      <c r="R730" s="6" t="s">
        <v>963</v>
      </c>
      <c r="S730" s="12"/>
      <c r="T730" s="1" t="s">
        <v>941</v>
      </c>
      <c r="U730" s="13"/>
      <c r="V730" s="13"/>
      <c r="W730" s="5" t="s">
        <v>1491</v>
      </c>
    </row>
    <row r="731" spans="1:23" ht="225">
      <c r="A731" s="1">
        <v>253094</v>
      </c>
      <c r="B731" s="1">
        <v>1</v>
      </c>
      <c r="C731" s="1">
        <v>54</v>
      </c>
      <c r="D731" s="2" t="s">
        <v>964</v>
      </c>
      <c r="E731" s="11" t="s">
        <v>964</v>
      </c>
      <c r="F731" s="11">
        <v>274463</v>
      </c>
      <c r="G731" s="2" t="s">
        <v>1494</v>
      </c>
      <c r="H731" s="2" t="s">
        <v>1495</v>
      </c>
      <c r="I731" s="2" t="s">
        <v>1496</v>
      </c>
      <c r="J731" s="2" t="str">
        <f>CONCATENATE(G731,F731,H731,C731,I731)</f>
        <v>https://permalinkbnd.bnportugal.gov.pt/viewer/274463/?offset=#page=54&amp;viewer=picture&amp;o=info&amp;n=0&amp;q=</v>
      </c>
      <c r="K731" s="1" t="s">
        <v>965</v>
      </c>
      <c r="L731" s="1" t="str">
        <f>VLOOKUP(A731,Folha2!$A$2:$B$2019,2,FALSE)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1" s="12" t="str">
        <f>HYPERLINK(J731)</f>
        <v>https://permalinkbnd.bnportugal.gov.pt/viewer/274463/?offset=#page=54&amp;viewer=picture&amp;o=info&amp;n=0&amp;q=</v>
      </c>
      <c r="N731" s="12" t="s">
        <v>1497</v>
      </c>
      <c r="O731" s="12" t="str">
        <f>CONCATENATE(N731,A731,"\",B731,"\",C731,".jpg")</f>
        <v>C:\Users\mbaptista\OneDrive - Biblioteca Nacional de Portugal\Documentos\python\camoniana\imagens\capas\253094\1\54.jpg</v>
      </c>
      <c r="P731" s="12" t="str">
        <f>HYPERLINK(O731)</f>
        <v>C:\Users\mbaptista\OneDrive - Biblioteca Nacional de Portugal\Documentos\python\camoniana\imagens\capas\253094\1\54.jpg</v>
      </c>
      <c r="Q731" s="12"/>
      <c r="R731" s="6" t="s">
        <v>967</v>
      </c>
      <c r="S731" s="12"/>
      <c r="T731" s="1" t="s">
        <v>966</v>
      </c>
      <c r="U731" s="13"/>
      <c r="V731" s="13"/>
      <c r="W731" s="5" t="s">
        <v>1491</v>
      </c>
    </row>
    <row r="732" spans="1:23" ht="225">
      <c r="A732" s="1">
        <v>253094</v>
      </c>
      <c r="B732" s="1">
        <v>1</v>
      </c>
      <c r="C732" s="1">
        <v>366</v>
      </c>
      <c r="D732" s="2" t="s">
        <v>964</v>
      </c>
      <c r="E732" s="5" t="s">
        <v>964</v>
      </c>
      <c r="F732" s="5">
        <v>274463</v>
      </c>
      <c r="G732" s="2" t="s">
        <v>1494</v>
      </c>
      <c r="H732" s="2" t="s">
        <v>1495</v>
      </c>
      <c r="I732" s="2" t="s">
        <v>1496</v>
      </c>
      <c r="J732" s="2" t="str">
        <f>CONCATENATE(G732,F732,H732,C732,I732)</f>
        <v>https://permalinkbnd.bnportugal.gov.pt/viewer/274463/?offset=#page=366&amp;viewer=picture&amp;o=info&amp;n=0&amp;q=</v>
      </c>
      <c r="K732" s="1" t="s">
        <v>965</v>
      </c>
      <c r="L732" s="1" t="str">
        <f>VLOOKUP(A732,Folha2!$A$2:$B$2019,2,FALSE)</f>
        <v>I Lusiadi / di Luigi Camoens ; traduzione di Antonio Nervi.. si agiungono le notizie biografiche dell' autore, varii cenni e giudizi intorno al poema e gli argomenti dei canti. - Seconda edizione illustrata.... - Milano : Dalla Societá Tipog. dei Classici Italiani, 1821. Trad. Paratextos gerais; Trad. Paratextos vida; Trad. Paratextos argumentos e Trad. Paratextos notas.</v>
      </c>
      <c r="M732" s="12" t="str">
        <f>HYPERLINK(J732)</f>
        <v>https://permalinkbnd.bnportugal.gov.pt/viewer/274463/?offset=#page=366&amp;viewer=picture&amp;o=info&amp;n=0&amp;q=</v>
      </c>
      <c r="N732" s="12" t="s">
        <v>1497</v>
      </c>
      <c r="O732" s="12" t="str">
        <f>CONCATENATE(N732,A732,"\",B732,"\",C732,".jpg")</f>
        <v>C:\Users\mbaptista\OneDrive - Biblioteca Nacional de Portugal\Documentos\python\camoniana\imagens\capas\253094\1\366.jpg</v>
      </c>
      <c r="P732" s="12" t="str">
        <f>HYPERLINK(O732)</f>
        <v>C:\Users\mbaptista\OneDrive - Biblioteca Nacional de Portugal\Documentos\python\camoniana\imagens\capas\253094\1\366.jpg</v>
      </c>
      <c r="Q732" s="12"/>
      <c r="R732" s="6" t="s">
        <v>968</v>
      </c>
      <c r="S732" s="12"/>
      <c r="T732" s="1" t="s">
        <v>966</v>
      </c>
      <c r="U732" s="13"/>
      <c r="V732" s="13"/>
      <c r="W732" s="5" t="s">
        <v>1491</v>
      </c>
    </row>
    <row r="733" spans="1:23" ht="225">
      <c r="A733" s="1">
        <v>258798</v>
      </c>
      <c r="B733" s="1">
        <v>1</v>
      </c>
      <c r="C733" s="1">
        <v>7</v>
      </c>
      <c r="D733" s="2" t="s">
        <v>969</v>
      </c>
      <c r="E733" s="11" t="s">
        <v>969</v>
      </c>
      <c r="F733" s="11">
        <v>14629</v>
      </c>
      <c r="G733" s="2" t="s">
        <v>1494</v>
      </c>
      <c r="H733" s="2" t="s">
        <v>1495</v>
      </c>
      <c r="I733" s="2" t="s">
        <v>1496</v>
      </c>
      <c r="J733" s="2" t="str">
        <f>CONCATENATE(G733,F733,H733,C733,I733)</f>
        <v>https://permalinkbnd.bnportugal.gov.pt/viewer/14629/?offset=#page=7&amp;viewer=picture&amp;o=info&amp;n=0&amp;q=</v>
      </c>
      <c r="K733" s="1" t="s">
        <v>970</v>
      </c>
      <c r="L733" s="1" t="str">
        <f>VLOOKUP(A733,Folha2!$A$2:$B$2019,2,FALSE)</f>
        <v>Los Lusiadas / de Luis de Camões ; segundo a ultima edicion correcta publicada por el Dr. Caetano Lopes de Moura ; traduccion de D. Manuel Aranda y Sanjuan. - Barcelona : Empresa Editorial La Ilustracion, 1874.</v>
      </c>
      <c r="M733" s="12" t="str">
        <f>HYPERLINK(J733)</f>
        <v>https://permalinkbnd.bnportugal.gov.pt/viewer/14629/?offset=#page=7&amp;viewer=picture&amp;o=info&amp;n=0&amp;q=</v>
      </c>
      <c r="N733" s="12" t="s">
        <v>1497</v>
      </c>
      <c r="O733" s="12" t="str">
        <f>CONCATENATE(N733,A733,"\",B733,"\",C733,".jpg")</f>
        <v>C:\Users\mbaptista\OneDrive - Biblioteca Nacional de Portugal\Documentos\python\camoniana\imagens\capas\258798\1\7.jpg</v>
      </c>
      <c r="P733" s="12" t="str">
        <f>HYPERLINK(O733)</f>
        <v>C:\Users\mbaptista\OneDrive - Biblioteca Nacional de Portugal\Documentos\python\camoniana\imagens\capas\258798\1\7.jpg</v>
      </c>
      <c r="Q733" s="12"/>
      <c r="R733" s="6" t="s">
        <v>972</v>
      </c>
      <c r="S733" s="12"/>
      <c r="T733" s="1" t="s">
        <v>971</v>
      </c>
      <c r="U733" s="13"/>
      <c r="V733" s="13"/>
      <c r="W733" s="5" t="s">
        <v>1491</v>
      </c>
    </row>
    <row r="734" spans="1:23" ht="225">
      <c r="A734" s="1">
        <v>258798</v>
      </c>
      <c r="B734" s="1">
        <v>1</v>
      </c>
      <c r="C734" s="1">
        <v>21</v>
      </c>
      <c r="D734" s="2" t="s">
        <v>969</v>
      </c>
      <c r="E734" s="5" t="s">
        <v>969</v>
      </c>
      <c r="F734" s="5">
        <v>14629</v>
      </c>
      <c r="G734" s="2" t="s">
        <v>1494</v>
      </c>
      <c r="H734" s="2" t="s">
        <v>1495</v>
      </c>
      <c r="I734" s="2" t="s">
        <v>1496</v>
      </c>
      <c r="J734" s="2" t="str">
        <f>CONCATENATE(G734,F734,H734,C734,I734)</f>
        <v>https://permalinkbnd.bnportugal.gov.pt/viewer/14629/?offset=#page=21&amp;viewer=picture&amp;o=info&amp;n=0&amp;q=</v>
      </c>
      <c r="K734" s="1" t="s">
        <v>970</v>
      </c>
      <c r="L734" s="1" t="str">
        <f>VLOOKUP(A734,Folha2!$A$2:$B$2019,2,FALSE)</f>
        <v>Los Lusiadas / de Luis de Camões ; segundo a ultima edicion correcta publicada por el Dr. Caetano Lopes de Moura ; traduccion de D. Manuel Aranda y Sanjuan. - Barcelona : Empresa Editorial La Ilustracion, 1874.</v>
      </c>
      <c r="M734" s="12" t="str">
        <f>HYPERLINK(J734)</f>
        <v>https://permalinkbnd.bnportugal.gov.pt/viewer/14629/?offset=#page=21&amp;viewer=picture&amp;o=info&amp;n=0&amp;q=</v>
      </c>
      <c r="N734" s="12" t="s">
        <v>1497</v>
      </c>
      <c r="O734" s="12" t="str">
        <f>CONCATENATE(N734,A734,"\",B734,"\",C734,".jpg")</f>
        <v>C:\Users\mbaptista\OneDrive - Biblioteca Nacional de Portugal\Documentos\python\camoniana\imagens\capas\258798\1\21.jpg</v>
      </c>
      <c r="P734" s="12" t="str">
        <f>HYPERLINK(O734)</f>
        <v>C:\Users\mbaptista\OneDrive - Biblioteca Nacional de Portugal\Documentos\python\camoniana\imagens\capas\258798\1\21.jpg</v>
      </c>
      <c r="Q734" s="12"/>
      <c r="R734" s="6" t="s">
        <v>973</v>
      </c>
      <c r="S734" s="12"/>
      <c r="T734" s="1" t="s">
        <v>971</v>
      </c>
      <c r="U734" s="13"/>
      <c r="V734" s="13"/>
      <c r="W734" s="5" t="s">
        <v>1491</v>
      </c>
    </row>
    <row r="735" spans="1:23" ht="225">
      <c r="A735" s="1">
        <v>258798</v>
      </c>
      <c r="B735" s="1">
        <v>1</v>
      </c>
      <c r="C735" s="1">
        <v>48</v>
      </c>
      <c r="D735" s="2" t="s">
        <v>969</v>
      </c>
      <c r="E735" s="11" t="s">
        <v>969</v>
      </c>
      <c r="F735" s="11">
        <v>14629</v>
      </c>
      <c r="G735" s="2" t="s">
        <v>1494</v>
      </c>
      <c r="H735" s="2" t="s">
        <v>1495</v>
      </c>
      <c r="I735" s="2" t="s">
        <v>1496</v>
      </c>
      <c r="J735" s="2" t="str">
        <f>CONCATENATE(G735,F735,H735,C735,I735)</f>
        <v>https://permalinkbnd.bnportugal.gov.pt/viewer/14629/?offset=#page=48&amp;viewer=picture&amp;o=info&amp;n=0&amp;q=</v>
      </c>
      <c r="K735" s="1" t="s">
        <v>970</v>
      </c>
      <c r="L735" s="1" t="str">
        <f>VLOOKUP(A735,Folha2!$A$2:$B$2019,2,FALSE)</f>
        <v>Los Lusiadas / de Luis de Camões ; segundo a ultima edicion correcta publicada por el Dr. Caetano Lopes de Moura ; traduccion de D. Manuel Aranda y Sanjuan. - Barcelona : Empresa Editorial La Ilustracion, 1874.</v>
      </c>
      <c r="M735" s="12" t="str">
        <f>HYPERLINK(J735)</f>
        <v>https://permalinkbnd.bnportugal.gov.pt/viewer/14629/?offset=#page=48&amp;viewer=picture&amp;o=info&amp;n=0&amp;q=</v>
      </c>
      <c r="N735" s="12" t="s">
        <v>1497</v>
      </c>
      <c r="O735" s="12" t="str">
        <f>CONCATENATE(N735,A735,"\",B735,"\",C735,".jpg")</f>
        <v>C:\Users\mbaptista\OneDrive - Biblioteca Nacional de Portugal\Documentos\python\camoniana\imagens\capas\258798\1\48.jpg</v>
      </c>
      <c r="P735" s="12" t="str">
        <f>HYPERLINK(O735)</f>
        <v>C:\Users\mbaptista\OneDrive - Biblioteca Nacional de Portugal\Documentos\python\camoniana\imagens\capas\258798\1\48.jpg</v>
      </c>
      <c r="Q735" s="12"/>
      <c r="R735" s="6" t="s">
        <v>974</v>
      </c>
      <c r="S735" s="12"/>
      <c r="T735" s="1" t="s">
        <v>971</v>
      </c>
      <c r="U735" s="13"/>
      <c r="V735" s="13"/>
      <c r="W735" s="5" t="s">
        <v>1491</v>
      </c>
    </row>
    <row r="736" spans="1:23" ht="225">
      <c r="A736" s="1">
        <v>258798</v>
      </c>
      <c r="B736" s="1">
        <v>1</v>
      </c>
      <c r="C736" s="1">
        <v>100</v>
      </c>
      <c r="D736" s="2" t="s">
        <v>969</v>
      </c>
      <c r="E736" s="5" t="s">
        <v>969</v>
      </c>
      <c r="F736" s="5">
        <v>14629</v>
      </c>
      <c r="G736" s="2" t="s">
        <v>1494</v>
      </c>
      <c r="H736" s="2" t="s">
        <v>1495</v>
      </c>
      <c r="I736" s="2" t="s">
        <v>1496</v>
      </c>
      <c r="J736" s="2" t="str">
        <f>CONCATENATE(G736,F736,H736,C736,I736)</f>
        <v>https://permalinkbnd.bnportugal.gov.pt/viewer/14629/?offset=#page=100&amp;viewer=picture&amp;o=info&amp;n=0&amp;q=</v>
      </c>
      <c r="K736" s="1" t="s">
        <v>970</v>
      </c>
      <c r="L736" s="1" t="str">
        <f>VLOOKUP(A736,Folha2!$A$2:$B$2019,2,FALSE)</f>
        <v>Los Lusiadas / de Luis de Camões ; segundo a ultima edicion correcta publicada por el Dr. Caetano Lopes de Moura ; traduccion de D. Manuel Aranda y Sanjuan. - Barcelona : Empresa Editorial La Ilustracion, 1874.</v>
      </c>
      <c r="M736" s="12" t="str">
        <f>HYPERLINK(J736)</f>
        <v>https://permalinkbnd.bnportugal.gov.pt/viewer/14629/?offset=#page=100&amp;viewer=picture&amp;o=info&amp;n=0&amp;q=</v>
      </c>
      <c r="N736" s="12" t="s">
        <v>1497</v>
      </c>
      <c r="O736" s="12" t="str">
        <f>CONCATENATE(N736,A736,"\",B736,"\",C736,".jpg")</f>
        <v>C:\Users\mbaptista\OneDrive - Biblioteca Nacional de Portugal\Documentos\python\camoniana\imagens\capas\258798\1\100.jpg</v>
      </c>
      <c r="P736" s="12" t="str">
        <f>HYPERLINK(O736)</f>
        <v>C:\Users\mbaptista\OneDrive - Biblioteca Nacional de Portugal\Documentos\python\camoniana\imagens\capas\258798\1\100.jpg</v>
      </c>
      <c r="Q736" s="12"/>
      <c r="R736" s="6" t="s">
        <v>975</v>
      </c>
      <c r="S736" s="12"/>
      <c r="T736" s="1" t="s">
        <v>971</v>
      </c>
      <c r="U736" s="13"/>
      <c r="V736" s="13"/>
      <c r="W736" s="5" t="s">
        <v>1491</v>
      </c>
    </row>
    <row r="737" spans="1:23" ht="225">
      <c r="A737" s="1">
        <v>258798</v>
      </c>
      <c r="B737" s="1">
        <v>1</v>
      </c>
      <c r="C737" s="1">
        <v>129</v>
      </c>
      <c r="D737" s="2" t="s">
        <v>969</v>
      </c>
      <c r="E737" s="11" t="s">
        <v>969</v>
      </c>
      <c r="F737" s="11">
        <v>14629</v>
      </c>
      <c r="G737" s="2" t="s">
        <v>1494</v>
      </c>
      <c r="H737" s="2" t="s">
        <v>1495</v>
      </c>
      <c r="I737" s="2" t="s">
        <v>1496</v>
      </c>
      <c r="J737" s="2" t="str">
        <f>CONCATENATE(G737,F737,H737,C737,I737)</f>
        <v>https://permalinkbnd.bnportugal.gov.pt/viewer/14629/?offset=#page=129&amp;viewer=picture&amp;o=info&amp;n=0&amp;q=</v>
      </c>
      <c r="K737" s="1" t="s">
        <v>970</v>
      </c>
      <c r="L737" s="1" t="str">
        <f>VLOOKUP(A737,Folha2!$A$2:$B$2019,2,FALSE)</f>
        <v>Los Lusiadas / de Luis de Camões ; segundo a ultima edicion correcta publicada por el Dr. Caetano Lopes de Moura ; traduccion de D. Manuel Aranda y Sanjuan. - Barcelona : Empresa Editorial La Ilustracion, 1874.</v>
      </c>
      <c r="M737" s="12" t="str">
        <f>HYPERLINK(J737)</f>
        <v>https://permalinkbnd.bnportugal.gov.pt/viewer/14629/?offset=#page=129&amp;viewer=picture&amp;o=info&amp;n=0&amp;q=</v>
      </c>
      <c r="N737" s="12" t="s">
        <v>1497</v>
      </c>
      <c r="O737" s="12" t="str">
        <f>CONCATENATE(N737,A737,"\",B737,"\",C737,".jpg")</f>
        <v>C:\Users\mbaptista\OneDrive - Biblioteca Nacional de Portugal\Documentos\python\camoniana\imagens\capas\258798\1\129.jpg</v>
      </c>
      <c r="P737" s="12" t="str">
        <f>HYPERLINK(O737)</f>
        <v>C:\Users\mbaptista\OneDrive - Biblioteca Nacional de Portugal\Documentos\python\camoniana\imagens\capas\258798\1\129.jpg</v>
      </c>
      <c r="Q737" s="12"/>
      <c r="R737" s="6" t="s">
        <v>976</v>
      </c>
      <c r="S737" s="12"/>
      <c r="T737" s="1" t="s">
        <v>971</v>
      </c>
      <c r="U737" s="13"/>
      <c r="V737" s="13"/>
      <c r="W737" s="5" t="s">
        <v>1491</v>
      </c>
    </row>
    <row r="738" spans="1:23" ht="225">
      <c r="A738" s="1">
        <v>258798</v>
      </c>
      <c r="B738" s="1">
        <v>1</v>
      </c>
      <c r="C738" s="1">
        <v>152</v>
      </c>
      <c r="D738" s="2" t="s">
        <v>969</v>
      </c>
      <c r="E738" s="5" t="s">
        <v>969</v>
      </c>
      <c r="F738" s="5">
        <v>14629</v>
      </c>
      <c r="G738" s="2" t="s">
        <v>1494</v>
      </c>
      <c r="H738" s="2" t="s">
        <v>1495</v>
      </c>
      <c r="I738" s="2" t="s">
        <v>1496</v>
      </c>
      <c r="J738" s="2" t="str">
        <f>CONCATENATE(G738,F738,H738,C738,I738)</f>
        <v>https://permalinkbnd.bnportugal.gov.pt/viewer/14629/?offset=#page=152&amp;viewer=picture&amp;o=info&amp;n=0&amp;q=</v>
      </c>
      <c r="K738" s="1" t="s">
        <v>970</v>
      </c>
      <c r="L738" s="1" t="str">
        <f>VLOOKUP(A738,Folha2!$A$2:$B$2019,2,FALSE)</f>
        <v>Los Lusiadas / de Luis de Camões ; segundo a ultima edicion correcta publicada por el Dr. Caetano Lopes de Moura ; traduccion de D. Manuel Aranda y Sanjuan. - Barcelona : Empresa Editorial La Ilustracion, 1874.</v>
      </c>
      <c r="M738" s="12" t="str">
        <f>HYPERLINK(J738)</f>
        <v>https://permalinkbnd.bnportugal.gov.pt/viewer/14629/?offset=#page=152&amp;viewer=picture&amp;o=info&amp;n=0&amp;q=</v>
      </c>
      <c r="N738" s="12" t="s">
        <v>1497</v>
      </c>
      <c r="O738" s="12" t="str">
        <f>CONCATENATE(N738,A738,"\",B738,"\",C738,".jpg")</f>
        <v>C:\Users\mbaptista\OneDrive - Biblioteca Nacional de Portugal\Documentos\python\camoniana\imagens\capas\258798\1\152.jpg</v>
      </c>
      <c r="P738" s="12" t="str">
        <f>HYPERLINK(O738)</f>
        <v>C:\Users\mbaptista\OneDrive - Biblioteca Nacional de Portugal\Documentos\python\camoniana\imagens\capas\258798\1\152.jpg</v>
      </c>
      <c r="Q738" s="12"/>
      <c r="R738" s="6" t="s">
        <v>977</v>
      </c>
      <c r="S738" s="12"/>
      <c r="T738" s="1" t="s">
        <v>971</v>
      </c>
      <c r="U738" s="13"/>
      <c r="V738" s="13"/>
      <c r="W738" s="5" t="s">
        <v>1491</v>
      </c>
    </row>
    <row r="739" spans="1:23" ht="225">
      <c r="A739" s="1">
        <v>258798</v>
      </c>
      <c r="B739" s="1">
        <v>1</v>
      </c>
      <c r="C739" s="1">
        <v>191</v>
      </c>
      <c r="D739" s="2" t="s">
        <v>969</v>
      </c>
      <c r="E739" s="11" t="s">
        <v>969</v>
      </c>
      <c r="F739" s="11">
        <v>14629</v>
      </c>
      <c r="G739" s="2" t="s">
        <v>1494</v>
      </c>
      <c r="H739" s="2" t="s">
        <v>1495</v>
      </c>
      <c r="I739" s="2" t="s">
        <v>1496</v>
      </c>
      <c r="J739" s="2" t="str">
        <f>CONCATENATE(G739,F739,H739,C739,I739)</f>
        <v>https://permalinkbnd.bnportugal.gov.pt/viewer/14629/?offset=#page=191&amp;viewer=picture&amp;o=info&amp;n=0&amp;q=</v>
      </c>
      <c r="K739" s="1" t="s">
        <v>970</v>
      </c>
      <c r="L739" s="1" t="str">
        <f>VLOOKUP(A739,Folha2!$A$2:$B$2019,2,FALSE)</f>
        <v>Los Lusiadas / de Luis de Camões ; segundo a ultima edicion correcta publicada por el Dr. Caetano Lopes de Moura ; traduccion de D. Manuel Aranda y Sanjuan. - Barcelona : Empresa Editorial La Ilustracion, 1874.</v>
      </c>
      <c r="M739" s="12" t="str">
        <f>HYPERLINK(J739)</f>
        <v>https://permalinkbnd.bnportugal.gov.pt/viewer/14629/?offset=#page=191&amp;viewer=picture&amp;o=info&amp;n=0&amp;q=</v>
      </c>
      <c r="N739" s="12" t="s">
        <v>1497</v>
      </c>
      <c r="O739" s="12" t="str">
        <f>CONCATENATE(N739,A739,"\",B739,"\",C739,".jpg")</f>
        <v>C:\Users\mbaptista\OneDrive - Biblioteca Nacional de Portugal\Documentos\python\camoniana\imagens\capas\258798\1\191.jpg</v>
      </c>
      <c r="P739" s="12" t="str">
        <f>HYPERLINK(O739)</f>
        <v>C:\Users\mbaptista\OneDrive - Biblioteca Nacional de Portugal\Documentos\python\camoniana\imagens\capas\258798\1\191.jpg</v>
      </c>
      <c r="Q739" s="12"/>
      <c r="R739" s="6" t="s">
        <v>978</v>
      </c>
      <c r="S739" s="12"/>
      <c r="T739" s="1" t="s">
        <v>971</v>
      </c>
      <c r="U739" s="13"/>
      <c r="V739" s="13"/>
      <c r="W739" s="5" t="s">
        <v>1491</v>
      </c>
    </row>
    <row r="740" spans="1:23" ht="225">
      <c r="A740" s="1">
        <v>258798</v>
      </c>
      <c r="B740" s="1">
        <v>1</v>
      </c>
      <c r="C740" s="1">
        <v>209</v>
      </c>
      <c r="D740" s="2" t="s">
        <v>969</v>
      </c>
      <c r="E740" s="5" t="s">
        <v>969</v>
      </c>
      <c r="F740" s="5">
        <v>14629</v>
      </c>
      <c r="G740" s="2" t="s">
        <v>1494</v>
      </c>
      <c r="H740" s="2" t="s">
        <v>1495</v>
      </c>
      <c r="I740" s="2" t="s">
        <v>1496</v>
      </c>
      <c r="J740" s="2" t="str">
        <f>CONCATENATE(G740,F740,H740,C740,I740)</f>
        <v>https://permalinkbnd.bnportugal.gov.pt/viewer/14629/?offset=#page=209&amp;viewer=picture&amp;o=info&amp;n=0&amp;q=</v>
      </c>
      <c r="K740" s="1" t="s">
        <v>970</v>
      </c>
      <c r="L740" s="1" t="str">
        <f>VLOOKUP(A740,Folha2!$A$2:$B$2019,2,FALSE)</f>
        <v>Los Lusiadas / de Luis de Camões ; segundo a ultima edicion correcta publicada por el Dr. Caetano Lopes de Moura ; traduccion de D. Manuel Aranda y Sanjuan. - Barcelona : Empresa Editorial La Ilustracion, 1874.</v>
      </c>
      <c r="M740" s="12" t="str">
        <f>HYPERLINK(J740)</f>
        <v>https://permalinkbnd.bnportugal.gov.pt/viewer/14629/?offset=#page=209&amp;viewer=picture&amp;o=info&amp;n=0&amp;q=</v>
      </c>
      <c r="N740" s="12" t="s">
        <v>1497</v>
      </c>
      <c r="O740" s="12" t="str">
        <f>CONCATENATE(N740,A740,"\",B740,"\",C740,".jpg")</f>
        <v>C:\Users\mbaptista\OneDrive - Biblioteca Nacional de Portugal\Documentos\python\camoniana\imagens\capas\258798\1\209.jpg</v>
      </c>
      <c r="P740" s="12" t="str">
        <f>HYPERLINK(O740)</f>
        <v>C:\Users\mbaptista\OneDrive - Biblioteca Nacional de Portugal\Documentos\python\camoniana\imagens\capas\258798\1\209.jpg</v>
      </c>
      <c r="Q740" s="12"/>
      <c r="R740" s="6" t="s">
        <v>979</v>
      </c>
      <c r="S740" s="12"/>
      <c r="T740" s="1" t="s">
        <v>971</v>
      </c>
      <c r="U740" s="13"/>
      <c r="V740" s="13"/>
      <c r="W740" s="5" t="s">
        <v>1491</v>
      </c>
    </row>
    <row r="741" spans="1:23" ht="225">
      <c r="A741" s="1">
        <v>258798</v>
      </c>
      <c r="B741" s="1">
        <v>1</v>
      </c>
      <c r="C741" s="1">
        <v>264</v>
      </c>
      <c r="D741" s="2" t="s">
        <v>969</v>
      </c>
      <c r="E741" s="11" t="s">
        <v>969</v>
      </c>
      <c r="F741" s="11">
        <v>14629</v>
      </c>
      <c r="G741" s="2" t="s">
        <v>1494</v>
      </c>
      <c r="H741" s="2" t="s">
        <v>1495</v>
      </c>
      <c r="I741" s="2" t="s">
        <v>1496</v>
      </c>
      <c r="J741" s="2" t="str">
        <f>CONCATENATE(G741,F741,H741,C741,I741)</f>
        <v>https://permalinkbnd.bnportugal.gov.pt/viewer/14629/?offset=#page=264&amp;viewer=picture&amp;o=info&amp;n=0&amp;q=</v>
      </c>
      <c r="K741" s="1" t="s">
        <v>970</v>
      </c>
      <c r="L741" s="1" t="str">
        <f>VLOOKUP(A741,Folha2!$A$2:$B$2019,2,FALSE)</f>
        <v>Los Lusiadas / de Luis de Camões ; segundo a ultima edicion correcta publicada por el Dr. Caetano Lopes de Moura ; traduccion de D. Manuel Aranda y Sanjuan. - Barcelona : Empresa Editorial La Ilustracion, 1874.</v>
      </c>
      <c r="M741" s="12" t="str">
        <f>HYPERLINK(J741)</f>
        <v>https://permalinkbnd.bnportugal.gov.pt/viewer/14629/?offset=#page=264&amp;viewer=picture&amp;o=info&amp;n=0&amp;q=</v>
      </c>
      <c r="N741" s="12" t="s">
        <v>1497</v>
      </c>
      <c r="O741" s="12" t="str">
        <f>CONCATENATE(N741,A741,"\",B741,"\",C741,".jpg")</f>
        <v>C:\Users\mbaptista\OneDrive - Biblioteca Nacional de Portugal\Documentos\python\camoniana\imagens\capas\258798\1\264.jpg</v>
      </c>
      <c r="P741" s="12" t="str">
        <f>HYPERLINK(O741)</f>
        <v>C:\Users\mbaptista\OneDrive - Biblioteca Nacional de Portugal\Documentos\python\camoniana\imagens\capas\258798\1\264.jpg</v>
      </c>
      <c r="Q741" s="12"/>
      <c r="R741" s="6" t="s">
        <v>980</v>
      </c>
      <c r="S741" s="12"/>
      <c r="T741" s="1" t="s">
        <v>971</v>
      </c>
      <c r="U741" s="13"/>
      <c r="V741" s="13"/>
      <c r="W741" s="5" t="s">
        <v>1491</v>
      </c>
    </row>
    <row r="742" spans="1:23" ht="225">
      <c r="A742" s="1">
        <v>258798</v>
      </c>
      <c r="B742" s="1">
        <v>1</v>
      </c>
      <c r="C742" s="1">
        <v>297</v>
      </c>
      <c r="D742" s="2" t="s">
        <v>969</v>
      </c>
      <c r="E742" s="5" t="s">
        <v>969</v>
      </c>
      <c r="F742" s="5">
        <v>14629</v>
      </c>
      <c r="G742" s="2" t="s">
        <v>1494</v>
      </c>
      <c r="H742" s="2" t="s">
        <v>1495</v>
      </c>
      <c r="I742" s="2" t="s">
        <v>1496</v>
      </c>
      <c r="J742" s="2" t="str">
        <f>CONCATENATE(G742,F742,H742,C742,I742)</f>
        <v>https://permalinkbnd.bnportugal.gov.pt/viewer/14629/?offset=#page=297&amp;viewer=picture&amp;o=info&amp;n=0&amp;q=</v>
      </c>
      <c r="K742" s="1" t="s">
        <v>970</v>
      </c>
      <c r="L742" s="1" t="str">
        <f>VLOOKUP(A742,Folha2!$A$2:$B$2019,2,FALSE)</f>
        <v>Los Lusiadas / de Luis de Camões ; segundo a ultima edicion correcta publicada por el Dr. Caetano Lopes de Moura ; traduccion de D. Manuel Aranda y Sanjuan. - Barcelona : Empresa Editorial La Ilustracion, 1874.</v>
      </c>
      <c r="M742" s="12" t="str">
        <f>HYPERLINK(J742)</f>
        <v>https://permalinkbnd.bnportugal.gov.pt/viewer/14629/?offset=#page=297&amp;viewer=picture&amp;o=info&amp;n=0&amp;q=</v>
      </c>
      <c r="N742" s="12" t="s">
        <v>1497</v>
      </c>
      <c r="O742" s="12" t="str">
        <f>CONCATENATE(N742,A742,"\",B742,"\",C742,".jpg")</f>
        <v>C:\Users\mbaptista\OneDrive - Biblioteca Nacional de Portugal\Documentos\python\camoniana\imagens\capas\258798\1\297.jpg</v>
      </c>
      <c r="P742" s="12" t="str">
        <f>HYPERLINK(O742)</f>
        <v>C:\Users\mbaptista\OneDrive - Biblioteca Nacional de Portugal\Documentos\python\camoniana\imagens\capas\258798\1\297.jpg</v>
      </c>
      <c r="Q742" s="12"/>
      <c r="R742" s="6" t="s">
        <v>981</v>
      </c>
      <c r="S742" s="12"/>
      <c r="T742" s="1" t="s">
        <v>971</v>
      </c>
      <c r="U742" s="13"/>
      <c r="V742" s="13"/>
      <c r="W742" s="5" t="s">
        <v>1491</v>
      </c>
    </row>
    <row r="743" spans="1:23" ht="225">
      <c r="A743" s="1">
        <v>259033</v>
      </c>
      <c r="B743" s="1">
        <v>1</v>
      </c>
      <c r="C743" s="1">
        <v>10</v>
      </c>
      <c r="D743" s="2" t="s">
        <v>982</v>
      </c>
      <c r="E743" s="11" t="s">
        <v>982</v>
      </c>
      <c r="F743" s="11">
        <v>14639</v>
      </c>
      <c r="G743" s="2" t="s">
        <v>1494</v>
      </c>
      <c r="H743" s="2" t="s">
        <v>1495</v>
      </c>
      <c r="I743" s="2" t="s">
        <v>1496</v>
      </c>
      <c r="J743" s="2" t="str">
        <f>CONCATENATE(G743,F743,H743,C743,I743)</f>
        <v>https://permalinkbnd.bnportugal.gov.pt/viewer/14639/?offset=#page=10&amp;viewer=picture&amp;o=info&amp;n=0&amp;q=</v>
      </c>
      <c r="K743" s="1" t="s">
        <v>983</v>
      </c>
      <c r="L743" s="1" t="str">
        <f>VLOOKUP(A743,Folha2!$A$2:$B$2019,2,FALSE)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3" s="12" t="str">
        <f>HYPERLINK(J743)</f>
        <v>https://permalinkbnd.bnportugal.gov.pt/viewer/14639/?offset=#page=10&amp;viewer=picture&amp;o=info&amp;n=0&amp;q=</v>
      </c>
      <c r="N743" s="12" t="s">
        <v>1497</v>
      </c>
      <c r="O743" s="12" t="str">
        <f>CONCATENATE(N743,A743,"\",B743,"\",C743,".jpg")</f>
        <v>C:\Users\mbaptista\OneDrive - Biblioteca Nacional de Portugal\Documentos\python\camoniana\imagens\capas\259033\1\10.jpg</v>
      </c>
      <c r="P743" s="12" t="str">
        <f>HYPERLINK(O743)</f>
        <v>C:\Users\mbaptista\OneDrive - Biblioteca Nacional de Portugal\Documentos\python\camoniana\imagens\capas\259033\1\10.jpg</v>
      </c>
      <c r="Q743" s="12"/>
      <c r="R743" s="6" t="s">
        <v>985</v>
      </c>
      <c r="S743" s="12"/>
      <c r="T743" s="1" t="s">
        <v>984</v>
      </c>
      <c r="U743" s="13"/>
      <c r="V743" s="13"/>
      <c r="W743" s="5" t="s">
        <v>1491</v>
      </c>
    </row>
    <row r="744" spans="1:23" ht="225">
      <c r="A744" s="1">
        <v>259033</v>
      </c>
      <c r="B744" s="1">
        <v>1</v>
      </c>
      <c r="C744" s="1">
        <v>86</v>
      </c>
      <c r="D744" s="2" t="s">
        <v>982</v>
      </c>
      <c r="E744" s="5" t="s">
        <v>982</v>
      </c>
      <c r="F744" s="5">
        <v>14639</v>
      </c>
      <c r="G744" s="2" t="s">
        <v>1494</v>
      </c>
      <c r="H744" s="2" t="s">
        <v>1495</v>
      </c>
      <c r="I744" s="2" t="s">
        <v>1496</v>
      </c>
      <c r="J744" s="2" t="str">
        <f>CONCATENATE(G744,F744,H744,C744,I744)</f>
        <v>https://permalinkbnd.bnportugal.gov.pt/viewer/14639/?offset=#page=86&amp;viewer=picture&amp;o=info&amp;n=0&amp;q=</v>
      </c>
      <c r="K744" s="1" t="s">
        <v>983</v>
      </c>
      <c r="L744" s="1" t="str">
        <f>VLOOKUP(A744,Folha2!$A$2:$B$2019,2,FALSE)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4" s="12" t="str">
        <f>HYPERLINK(J744)</f>
        <v>https://permalinkbnd.bnportugal.gov.pt/viewer/14639/?offset=#page=86&amp;viewer=picture&amp;o=info&amp;n=0&amp;q=</v>
      </c>
      <c r="N744" s="12" t="s">
        <v>1497</v>
      </c>
      <c r="O744" s="12" t="str">
        <f>CONCATENATE(N744,A744,"\",B744,"\",C744,".jpg")</f>
        <v>C:\Users\mbaptista\OneDrive - Biblioteca Nacional de Portugal\Documentos\python\camoniana\imagens\capas\259033\1\86.jpg</v>
      </c>
      <c r="P744" s="12" t="str">
        <f>HYPERLINK(O744)</f>
        <v>C:\Users\mbaptista\OneDrive - Biblioteca Nacional de Portugal\Documentos\python\camoniana\imagens\capas\259033\1\86.jpg</v>
      </c>
      <c r="Q744" s="12"/>
      <c r="R744" s="6" t="s">
        <v>986</v>
      </c>
      <c r="S744" s="12"/>
      <c r="T744" s="1" t="s">
        <v>984</v>
      </c>
      <c r="U744" s="13"/>
      <c r="V744" s="13"/>
      <c r="W744" s="5" t="s">
        <v>1491</v>
      </c>
    </row>
    <row r="745" spans="1:23" ht="225">
      <c r="A745" s="1">
        <v>259033</v>
      </c>
      <c r="B745" s="1">
        <v>1</v>
      </c>
      <c r="C745" s="1">
        <v>168</v>
      </c>
      <c r="D745" s="2" t="s">
        <v>982</v>
      </c>
      <c r="E745" s="11" t="s">
        <v>982</v>
      </c>
      <c r="F745" s="11">
        <v>14639</v>
      </c>
      <c r="G745" s="2" t="s">
        <v>1494</v>
      </c>
      <c r="H745" s="2" t="s">
        <v>1495</v>
      </c>
      <c r="I745" s="2" t="s">
        <v>1496</v>
      </c>
      <c r="J745" s="2" t="str">
        <f>CONCATENATE(G745,F745,H745,C745,I745)</f>
        <v>https://permalinkbnd.bnportugal.gov.pt/viewer/14639/?offset=#page=168&amp;viewer=picture&amp;o=info&amp;n=0&amp;q=</v>
      </c>
      <c r="K745" s="1" t="s">
        <v>983</v>
      </c>
      <c r="L745" s="1" t="str">
        <f>VLOOKUP(A745,Folha2!$A$2:$B$2019,2,FALSE)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5" s="12" t="str">
        <f>HYPERLINK(J745)</f>
        <v>https://permalinkbnd.bnportugal.gov.pt/viewer/14639/?offset=#page=168&amp;viewer=picture&amp;o=info&amp;n=0&amp;q=</v>
      </c>
      <c r="N745" s="12" t="s">
        <v>1497</v>
      </c>
      <c r="O745" s="12" t="str">
        <f>CONCATENATE(N745,A745,"\",B745,"\",C745,".jpg")</f>
        <v>C:\Users\mbaptista\OneDrive - Biblioteca Nacional de Portugal\Documentos\python\camoniana\imagens\capas\259033\1\168.jpg</v>
      </c>
      <c r="P745" s="12" t="str">
        <f>HYPERLINK(O745)</f>
        <v>C:\Users\mbaptista\OneDrive - Biblioteca Nacional de Portugal\Documentos\python\camoniana\imagens\capas\259033\1\168.jpg</v>
      </c>
      <c r="Q745" s="12"/>
      <c r="R745" s="6" t="s">
        <v>987</v>
      </c>
      <c r="S745" s="12"/>
      <c r="T745" s="1" t="s">
        <v>984</v>
      </c>
      <c r="U745" s="13"/>
      <c r="V745" s="13"/>
      <c r="W745" s="5" t="s">
        <v>1491</v>
      </c>
    </row>
    <row r="746" spans="1:23" ht="225">
      <c r="A746" s="1">
        <v>259033</v>
      </c>
      <c r="B746" s="1">
        <v>1</v>
      </c>
      <c r="C746" s="1">
        <v>266</v>
      </c>
      <c r="D746" s="2" t="s">
        <v>982</v>
      </c>
      <c r="E746" s="5" t="s">
        <v>982</v>
      </c>
      <c r="F746" s="5">
        <v>14639</v>
      </c>
      <c r="G746" s="2" t="s">
        <v>1494</v>
      </c>
      <c r="H746" s="2" t="s">
        <v>1495</v>
      </c>
      <c r="I746" s="2" t="s">
        <v>1496</v>
      </c>
      <c r="J746" s="2" t="str">
        <f>CONCATENATE(G746,F746,H746,C746,I746)</f>
        <v>https://permalinkbnd.bnportugal.gov.pt/viewer/14639/?offset=#page=266&amp;viewer=picture&amp;o=info&amp;n=0&amp;q=</v>
      </c>
      <c r="K746" s="1" t="s">
        <v>983</v>
      </c>
      <c r="L746" s="1" t="str">
        <f>VLOOKUP(A746,Folha2!$A$2:$B$2019,2,FALSE)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6" s="12" t="str">
        <f>HYPERLINK(J746)</f>
        <v>https://permalinkbnd.bnportugal.gov.pt/viewer/14639/?offset=#page=266&amp;viewer=picture&amp;o=info&amp;n=0&amp;q=</v>
      </c>
      <c r="N746" s="12" t="s">
        <v>1497</v>
      </c>
      <c r="O746" s="12" t="str">
        <f>CONCATENATE(N746,A746,"\",B746,"\",C746,".jpg")</f>
        <v>C:\Users\mbaptista\OneDrive - Biblioteca Nacional de Portugal\Documentos\python\camoniana\imagens\capas\259033\1\266.jpg</v>
      </c>
      <c r="P746" s="12" t="str">
        <f>HYPERLINK(O746)</f>
        <v>C:\Users\mbaptista\OneDrive - Biblioteca Nacional de Portugal\Documentos\python\camoniana\imagens\capas\259033\1\266.jpg</v>
      </c>
      <c r="Q746" s="12"/>
      <c r="R746" s="6" t="s">
        <v>988</v>
      </c>
      <c r="S746" s="12"/>
      <c r="T746" s="1" t="s">
        <v>984</v>
      </c>
      <c r="U746" s="13"/>
      <c r="V746" s="13"/>
      <c r="W746" s="5" t="s">
        <v>1491</v>
      </c>
    </row>
    <row r="747" spans="1:23" ht="225">
      <c r="A747" s="1">
        <v>259033</v>
      </c>
      <c r="B747" s="1">
        <v>2</v>
      </c>
      <c r="C747" s="1">
        <v>12</v>
      </c>
      <c r="D747" s="2" t="s">
        <v>982</v>
      </c>
      <c r="E747" s="11" t="s">
        <v>982</v>
      </c>
      <c r="F747" s="11">
        <v>14639</v>
      </c>
      <c r="G747" s="2" t="s">
        <v>1494</v>
      </c>
      <c r="H747" s="2" t="s">
        <v>1495</v>
      </c>
      <c r="I747" s="2" t="s">
        <v>1496</v>
      </c>
      <c r="J747" s="2" t="str">
        <f>CONCATENATE(G747,F747,H747,C747,I747)</f>
        <v>https://permalinkbnd.bnportugal.gov.pt/viewer/14639/?offset=#page=12&amp;viewer=picture&amp;o=info&amp;n=0&amp;q=</v>
      </c>
      <c r="K747" s="1" t="s">
        <v>983</v>
      </c>
      <c r="L747" s="1" t="str">
        <f>VLOOKUP(A747,Folha2!$A$2:$B$2019,2,FALSE)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7" s="12" t="s">
        <v>1524</v>
      </c>
      <c r="N747" s="12" t="s">
        <v>1497</v>
      </c>
      <c r="O747" s="12" t="str">
        <f>CONCATENATE(N747,A747,"\",B747,"\",C747,".jpg")</f>
        <v>C:\Users\mbaptista\OneDrive - Biblioteca Nacional de Portugal\Documentos\python\camoniana\imagens\capas\259033\2\12.jpg</v>
      </c>
      <c r="P747" s="12" t="str">
        <f>HYPERLINK(O747)</f>
        <v>C:\Users\mbaptista\OneDrive - Biblioteca Nacional de Portugal\Documentos\python\camoniana\imagens\capas\259033\2\12.jpg</v>
      </c>
      <c r="Q747" s="12"/>
      <c r="R747" s="6" t="s">
        <v>989</v>
      </c>
      <c r="S747" s="12"/>
      <c r="T747" s="1" t="s">
        <v>984</v>
      </c>
      <c r="U747" s="13"/>
      <c r="V747" s="13"/>
      <c r="W747" s="5" t="s">
        <v>1491</v>
      </c>
    </row>
    <row r="748" spans="1:23" ht="225">
      <c r="A748" s="1">
        <v>259033</v>
      </c>
      <c r="B748" s="1">
        <v>2</v>
      </c>
      <c r="C748" s="1">
        <v>102</v>
      </c>
      <c r="D748" s="2" t="s">
        <v>982</v>
      </c>
      <c r="E748" s="5" t="s">
        <v>982</v>
      </c>
      <c r="F748" s="5">
        <v>14639</v>
      </c>
      <c r="G748" s="2" t="s">
        <v>1494</v>
      </c>
      <c r="H748" s="2" t="s">
        <v>1495</v>
      </c>
      <c r="I748" s="2" t="s">
        <v>1496</v>
      </c>
      <c r="J748" s="2" t="str">
        <f>CONCATENATE(G748,F748,H748,C748,I748)</f>
        <v>https://permalinkbnd.bnportugal.gov.pt/viewer/14639/?offset=#page=102&amp;viewer=picture&amp;o=info&amp;n=0&amp;q=</v>
      </c>
      <c r="K748" s="1" t="s">
        <v>983</v>
      </c>
      <c r="L748" s="1" t="str">
        <f>VLOOKUP(A748,Folha2!$A$2:$B$2019,2,FALSE)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8" s="12" t="s">
        <v>1525</v>
      </c>
      <c r="N748" s="12" t="s">
        <v>1497</v>
      </c>
      <c r="O748" s="12" t="str">
        <f>CONCATENATE(N748,A748,"\",B748,"\",C748,".jpg")</f>
        <v>C:\Users\mbaptista\OneDrive - Biblioteca Nacional de Portugal\Documentos\python\camoniana\imagens\capas\259033\2\102.jpg</v>
      </c>
      <c r="P748" s="12" t="str">
        <f>HYPERLINK(O748)</f>
        <v>C:\Users\mbaptista\OneDrive - Biblioteca Nacional de Portugal\Documentos\python\camoniana\imagens\capas\259033\2\102.jpg</v>
      </c>
      <c r="Q748" s="12"/>
      <c r="R748" s="6" t="s">
        <v>990</v>
      </c>
      <c r="S748" s="12"/>
      <c r="T748" s="1" t="s">
        <v>984</v>
      </c>
      <c r="U748" s="13"/>
      <c r="V748" s="13"/>
      <c r="W748" s="5" t="s">
        <v>1491</v>
      </c>
    </row>
    <row r="749" spans="1:23" ht="225">
      <c r="A749" s="1">
        <v>259033</v>
      </c>
      <c r="B749" s="1">
        <v>2</v>
      </c>
      <c r="C749" s="1">
        <v>202</v>
      </c>
      <c r="D749" s="2" t="s">
        <v>982</v>
      </c>
      <c r="E749" s="11" t="s">
        <v>982</v>
      </c>
      <c r="F749" s="11">
        <v>14639</v>
      </c>
      <c r="G749" s="2" t="s">
        <v>1494</v>
      </c>
      <c r="H749" s="2" t="s">
        <v>1495</v>
      </c>
      <c r="I749" s="2" t="s">
        <v>1496</v>
      </c>
      <c r="J749" s="2" t="str">
        <f>CONCATENATE(G749,F749,H749,C749,I749)</f>
        <v>https://permalinkbnd.bnportugal.gov.pt/viewer/14639/?offset=#page=202&amp;viewer=picture&amp;o=info&amp;n=0&amp;q=</v>
      </c>
      <c r="K749" s="1" t="s">
        <v>983</v>
      </c>
      <c r="L749" s="1" t="str">
        <f>VLOOKUP(A749,Folha2!$A$2:$B$2019,2,FALSE)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49" s="12" t="s">
        <v>1526</v>
      </c>
      <c r="N749" s="12" t="s">
        <v>1497</v>
      </c>
      <c r="O749" s="12" t="str">
        <f>CONCATENATE(N749,A749,"\",B749,"\",C749,".jpg")</f>
        <v>C:\Users\mbaptista\OneDrive - Biblioteca Nacional de Portugal\Documentos\python\camoniana\imagens\capas\259033\2\202.jpg</v>
      </c>
      <c r="P749" s="12" t="str">
        <f>HYPERLINK(O749)</f>
        <v>C:\Users\mbaptista\OneDrive - Biblioteca Nacional de Portugal\Documentos\python\camoniana\imagens\capas\259033\2\202.jpg</v>
      </c>
      <c r="Q749" s="12"/>
      <c r="R749" s="6" t="s">
        <v>991</v>
      </c>
      <c r="S749" s="12"/>
      <c r="T749" s="1" t="s">
        <v>984</v>
      </c>
      <c r="U749" s="13"/>
      <c r="V749" s="13"/>
      <c r="W749" s="5" t="s">
        <v>1491</v>
      </c>
    </row>
    <row r="750" spans="1:23" ht="225">
      <c r="A750" s="1">
        <v>259033</v>
      </c>
      <c r="B750" s="1">
        <v>2</v>
      </c>
      <c r="C750" s="1">
        <v>282</v>
      </c>
      <c r="D750" s="2" t="s">
        <v>982</v>
      </c>
      <c r="E750" s="5" t="s">
        <v>982</v>
      </c>
      <c r="F750" s="5">
        <v>14639</v>
      </c>
      <c r="G750" s="2" t="s">
        <v>1494</v>
      </c>
      <c r="H750" s="2" t="s">
        <v>1495</v>
      </c>
      <c r="I750" s="2" t="s">
        <v>1496</v>
      </c>
      <c r="J750" s="2" t="str">
        <f>CONCATENATE(G750,F750,H750,C750,I750)</f>
        <v>https://permalinkbnd.bnportugal.gov.pt/viewer/14639/?offset=#page=282&amp;viewer=picture&amp;o=info&amp;n=0&amp;q=</v>
      </c>
      <c r="K750" s="1" t="s">
        <v>983</v>
      </c>
      <c r="L750" s="1" t="str">
        <f>VLOOKUP(A750,Folha2!$A$2:$B$2019,2,FALSE)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0" s="12" t="s">
        <v>1527</v>
      </c>
      <c r="N750" s="12" t="s">
        <v>1497</v>
      </c>
      <c r="O750" s="12" t="str">
        <f>CONCATENATE(N750,A750,"\",B750,"\",C750,".jpg")</f>
        <v>C:\Users\mbaptista\OneDrive - Biblioteca Nacional de Portugal\Documentos\python\camoniana\imagens\capas\259033\2\282.jpg</v>
      </c>
      <c r="P750" s="12" t="str">
        <f>HYPERLINK(O750)</f>
        <v>C:\Users\mbaptista\OneDrive - Biblioteca Nacional de Portugal\Documentos\python\camoniana\imagens\capas\259033\2\282.jpg</v>
      </c>
      <c r="Q750" s="12"/>
      <c r="R750" s="6" t="s">
        <v>992</v>
      </c>
      <c r="S750" s="12"/>
      <c r="T750" s="1" t="s">
        <v>984</v>
      </c>
      <c r="U750" s="13"/>
      <c r="V750" s="13"/>
      <c r="W750" s="5" t="s">
        <v>1491</v>
      </c>
    </row>
    <row r="751" spans="1:23" ht="225">
      <c r="A751" s="3">
        <v>259033</v>
      </c>
      <c r="B751" s="3">
        <v>3</v>
      </c>
      <c r="C751" s="3">
        <v>12</v>
      </c>
      <c r="D751" s="2" t="s">
        <v>982</v>
      </c>
      <c r="E751" s="11" t="s">
        <v>982</v>
      </c>
      <c r="F751" s="11">
        <v>14639</v>
      </c>
      <c r="G751" s="2" t="s">
        <v>1494</v>
      </c>
      <c r="H751" s="2" t="s">
        <v>1495</v>
      </c>
      <c r="I751" s="2" t="s">
        <v>1496</v>
      </c>
      <c r="J751" s="2" t="str">
        <f>CONCATENATE(G751,F751,H751,C751,I751)</f>
        <v>https://permalinkbnd.bnportugal.gov.pt/viewer/14639/?offset=#page=12&amp;viewer=picture&amp;o=info&amp;n=0&amp;q=</v>
      </c>
      <c r="K751" s="3" t="s">
        <v>983</v>
      </c>
      <c r="L751" s="1" t="str">
        <f>VLOOKUP(A751,Folha2!$A$2:$B$2019,2,FALSE)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1" s="12" t="s">
        <v>1528</v>
      </c>
      <c r="N751" s="12" t="s">
        <v>1497</v>
      </c>
      <c r="O751" s="12" t="str">
        <f>CONCATENATE(N751,A751,"\",B751,"\",C751,".jpg")</f>
        <v>C:\Users\mbaptista\OneDrive - Biblioteca Nacional de Portugal\Documentos\python\camoniana\imagens\capas\259033\3\12.jpg</v>
      </c>
      <c r="P751" s="12" t="str">
        <f>HYPERLINK(O751)</f>
        <v>C:\Users\mbaptista\OneDrive - Biblioteca Nacional de Portugal\Documentos\python\camoniana\imagens\capas\259033\3\12.jpg</v>
      </c>
      <c r="Q751" s="12"/>
      <c r="R751" s="6" t="s">
        <v>989</v>
      </c>
      <c r="S751" s="12"/>
      <c r="T751" s="15" t="s">
        <v>984</v>
      </c>
      <c r="U751" s="15" t="s">
        <v>993</v>
      </c>
      <c r="V751" s="15"/>
      <c r="W751" s="5" t="s">
        <v>1491</v>
      </c>
    </row>
    <row r="752" spans="1:23" ht="225">
      <c r="A752" s="1">
        <v>259033</v>
      </c>
      <c r="B752" s="1">
        <v>3</v>
      </c>
      <c r="C752" s="1">
        <v>98</v>
      </c>
      <c r="D752" s="2" t="s">
        <v>982</v>
      </c>
      <c r="E752" s="5" t="s">
        <v>982</v>
      </c>
      <c r="F752" s="5">
        <v>14639</v>
      </c>
      <c r="G752" s="2" t="s">
        <v>1494</v>
      </c>
      <c r="H752" s="2" t="s">
        <v>1495</v>
      </c>
      <c r="I752" s="2" t="s">
        <v>1496</v>
      </c>
      <c r="J752" s="2" t="str">
        <f>CONCATENATE(G752,F752,H752,C752,I752)</f>
        <v>https://permalinkbnd.bnportugal.gov.pt/viewer/14639/?offset=#page=98&amp;viewer=picture&amp;o=info&amp;n=0&amp;q=</v>
      </c>
      <c r="K752" s="1" t="s">
        <v>983</v>
      </c>
      <c r="L752" s="1" t="str">
        <f>VLOOKUP(A752,Folha2!$A$2:$B$2019,2,FALSE)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2" s="12" t="s">
        <v>1529</v>
      </c>
      <c r="N752" s="12" t="s">
        <v>1497</v>
      </c>
      <c r="O752" s="12" t="str">
        <f>CONCATENATE(N752,A752,"\",B752,"\",C752,".jpg")</f>
        <v>C:\Users\mbaptista\OneDrive - Biblioteca Nacional de Portugal\Documentos\python\camoniana\imagens\capas\259033\3\98.jpg</v>
      </c>
      <c r="P752" s="12" t="str">
        <f>HYPERLINK(O752)</f>
        <v>C:\Users\mbaptista\OneDrive - Biblioteca Nacional de Portugal\Documentos\python\camoniana\imagens\capas\259033\3\98.jpg</v>
      </c>
      <c r="Q752" s="12"/>
      <c r="R752" s="6" t="s">
        <v>994</v>
      </c>
      <c r="S752" s="12"/>
      <c r="T752" s="1" t="s">
        <v>984</v>
      </c>
      <c r="U752" s="13"/>
      <c r="V752" s="13"/>
      <c r="W752" s="5" t="s">
        <v>1491</v>
      </c>
    </row>
    <row r="753" spans="1:23" ht="225">
      <c r="A753" s="1">
        <v>259033</v>
      </c>
      <c r="B753" s="1">
        <v>3</v>
      </c>
      <c r="C753" s="1">
        <v>176</v>
      </c>
      <c r="D753" s="2" t="s">
        <v>982</v>
      </c>
      <c r="E753" s="11" t="s">
        <v>982</v>
      </c>
      <c r="F753" s="11">
        <v>14639</v>
      </c>
      <c r="G753" s="2" t="s">
        <v>1494</v>
      </c>
      <c r="H753" s="2" t="s">
        <v>1495</v>
      </c>
      <c r="I753" s="2" t="s">
        <v>1496</v>
      </c>
      <c r="J753" s="2" t="str">
        <f>CONCATENATE(G753,F753,H753,C753,I753)</f>
        <v>https://permalinkbnd.bnportugal.gov.pt/viewer/14639/?offset=#page=176&amp;viewer=picture&amp;o=info&amp;n=0&amp;q=</v>
      </c>
      <c r="K753" s="1" t="s">
        <v>983</v>
      </c>
      <c r="L753" s="1" t="str">
        <f>VLOOKUP(A753,Folha2!$A$2:$B$2019,2,FALSE)</f>
        <v>La Lusiade du Camoens : poeme heroique sur la decouverte des Indes Orientales / traduit du portugais, par M. Duperron de Castera.... - A Paris : chez Huart, ruë S. Jacques, à la Justice : [chez] David, quay des Augustins, à la Providence : [chez] Briasson, ruë S. Jacques, à la Science : [chez] Clousier, ruë S. Jacques, à l´Ecu de France, 1735. - 3 vol. , sem argumentos.</v>
      </c>
      <c r="M753" s="12" t="s">
        <v>1530</v>
      </c>
      <c r="N753" s="12" t="s">
        <v>1497</v>
      </c>
      <c r="O753" s="12" t="str">
        <f>CONCATENATE(N753,A753,"\",B753,"\",C753,".jpg")</f>
        <v>C:\Users\mbaptista\OneDrive - Biblioteca Nacional de Portugal\Documentos\python\camoniana\imagens\capas\259033\3\176.jpg</v>
      </c>
      <c r="P753" s="12" t="str">
        <f>HYPERLINK(O753)</f>
        <v>C:\Users\mbaptista\OneDrive - Biblioteca Nacional de Portugal\Documentos\python\camoniana\imagens\capas\259033\3\176.jpg</v>
      </c>
      <c r="Q753" s="12"/>
      <c r="R753" s="6" t="s">
        <v>995</v>
      </c>
      <c r="S753" s="12"/>
      <c r="T753" s="1" t="s">
        <v>984</v>
      </c>
      <c r="U753" s="13"/>
      <c r="V753" s="13"/>
      <c r="W753" s="5" t="s">
        <v>1491</v>
      </c>
    </row>
    <row r="754" spans="1:23" ht="225">
      <c r="A754" s="1">
        <v>259828</v>
      </c>
      <c r="B754" s="1">
        <v>1</v>
      </c>
      <c r="C754" s="1">
        <v>9</v>
      </c>
      <c r="D754" s="2" t="s">
        <v>996</v>
      </c>
      <c r="E754" s="5" t="s">
        <v>996</v>
      </c>
      <c r="F754" s="5">
        <v>14621</v>
      </c>
      <c r="G754" s="2" t="s">
        <v>1494</v>
      </c>
      <c r="H754" s="2" t="s">
        <v>1495</v>
      </c>
      <c r="I754" s="2" t="s">
        <v>1496</v>
      </c>
      <c r="J754" s="2" t="str">
        <f>CONCATENATE(G754,F754,H754,C754,I754)</f>
        <v>https://permalinkbnd.bnportugal.gov.pt/viewer/14621/?offset=#page=9&amp;viewer=picture&amp;o=info&amp;n=0&amp;q=</v>
      </c>
      <c r="K754" s="1" t="s">
        <v>997</v>
      </c>
      <c r="L754" s="1" t="str">
        <f>VLOOKUP(A754,Folha2!$A$2:$B$2019,2,FALSE)</f>
        <v>De Lusiade van Louis Camoëns : heldendicht in X Zangen ; naer het Fransch door Lambartus Stoppendaal Pieters Zoon. - Te Middelburg : by Willem Abrahams, 1777</v>
      </c>
      <c r="M754" s="12" t="str">
        <f>HYPERLINK(J754)</f>
        <v>https://permalinkbnd.bnportugal.gov.pt/viewer/14621/?offset=#page=9&amp;viewer=picture&amp;o=info&amp;n=0&amp;q=</v>
      </c>
      <c r="N754" s="12" t="s">
        <v>1497</v>
      </c>
      <c r="O754" s="12" t="str">
        <f>CONCATENATE(N754,A754,"\",B754,"\",C754,".jpg")</f>
        <v>C:\Users\mbaptista\OneDrive - Biblioteca Nacional de Portugal\Documentos\python\camoniana\imagens\capas\259828\1\9.jpg</v>
      </c>
      <c r="P754" s="12" t="str">
        <f>HYPERLINK(O754)</f>
        <v>C:\Users\mbaptista\OneDrive - Biblioteca Nacional de Portugal\Documentos\python\camoniana\imagens\capas\259828\1\9.jpg</v>
      </c>
      <c r="Q754" s="12"/>
      <c r="R754" s="6" t="s">
        <v>998</v>
      </c>
      <c r="S754" s="12"/>
      <c r="T754" s="1" t="s">
        <v>997</v>
      </c>
      <c r="U754" s="13"/>
      <c r="V754" s="13"/>
      <c r="W754" s="5" t="s">
        <v>1491</v>
      </c>
    </row>
    <row r="755" spans="1:23" ht="225">
      <c r="A755" s="1">
        <v>259828</v>
      </c>
      <c r="B755" s="1">
        <v>1</v>
      </c>
      <c r="C755" s="1">
        <v>37</v>
      </c>
      <c r="D755" s="2" t="s">
        <v>996</v>
      </c>
      <c r="E755" s="11" t="s">
        <v>996</v>
      </c>
      <c r="F755" s="11">
        <v>14621</v>
      </c>
      <c r="G755" s="2" t="s">
        <v>1494</v>
      </c>
      <c r="H755" s="2" t="s">
        <v>1495</v>
      </c>
      <c r="I755" s="2" t="s">
        <v>1496</v>
      </c>
      <c r="J755" s="2" t="str">
        <f>CONCATENATE(G755,F755,H755,C755,I755)</f>
        <v>https://permalinkbnd.bnportugal.gov.pt/viewer/14621/?offset=#page=37&amp;viewer=picture&amp;o=info&amp;n=0&amp;q=</v>
      </c>
      <c r="K755" s="1" t="s">
        <v>997</v>
      </c>
      <c r="L755" s="1" t="str">
        <f>VLOOKUP(A755,Folha2!$A$2:$B$2019,2,FALSE)</f>
        <v>De Lusiade van Louis Camoëns : heldendicht in X Zangen ; naer het Fransch door Lambartus Stoppendaal Pieters Zoon. - Te Middelburg : by Willem Abrahams, 1777</v>
      </c>
      <c r="M755" s="12" t="str">
        <f>HYPERLINK(J755)</f>
        <v>https://permalinkbnd.bnportugal.gov.pt/viewer/14621/?offset=#page=37&amp;viewer=picture&amp;o=info&amp;n=0&amp;q=</v>
      </c>
      <c r="N755" s="12" t="s">
        <v>1497</v>
      </c>
      <c r="O755" s="12" t="str">
        <f>CONCATENATE(N755,A755,"\",B755,"\",C755,".jpg")</f>
        <v>C:\Users\mbaptista\OneDrive - Biblioteca Nacional de Portugal\Documentos\python\camoniana\imagens\capas\259828\1\37.jpg</v>
      </c>
      <c r="P755" s="12" t="str">
        <f>HYPERLINK(O755)</f>
        <v>C:\Users\mbaptista\OneDrive - Biblioteca Nacional de Portugal\Documentos\python\camoniana\imagens\capas\259828\1\37.jpg</v>
      </c>
      <c r="Q755" s="12"/>
      <c r="R755" s="6" t="s">
        <v>999</v>
      </c>
      <c r="S755" s="12"/>
      <c r="T755" s="1" t="s">
        <v>997</v>
      </c>
      <c r="U755" s="13"/>
      <c r="V755" s="13"/>
      <c r="W755" s="5" t="s">
        <v>1491</v>
      </c>
    </row>
    <row r="756" spans="1:23" ht="225">
      <c r="A756" s="1">
        <v>259828</v>
      </c>
      <c r="B756" s="1">
        <v>1</v>
      </c>
      <c r="C756" s="1">
        <v>75</v>
      </c>
      <c r="D756" s="2" t="s">
        <v>996</v>
      </c>
      <c r="E756" s="5" t="s">
        <v>996</v>
      </c>
      <c r="F756" s="5">
        <v>14621</v>
      </c>
      <c r="G756" s="2" t="s">
        <v>1494</v>
      </c>
      <c r="H756" s="2" t="s">
        <v>1495</v>
      </c>
      <c r="I756" s="2" t="s">
        <v>1496</v>
      </c>
      <c r="J756" s="2" t="str">
        <f>CONCATENATE(G756,F756,H756,C756,I756)</f>
        <v>https://permalinkbnd.bnportugal.gov.pt/viewer/14621/?offset=#page=75&amp;viewer=picture&amp;o=info&amp;n=0&amp;q=</v>
      </c>
      <c r="K756" s="1" t="s">
        <v>997</v>
      </c>
      <c r="L756" s="1" t="str">
        <f>VLOOKUP(A756,Folha2!$A$2:$B$2019,2,FALSE)</f>
        <v>De Lusiade van Louis Camoëns : heldendicht in X Zangen ; naer het Fransch door Lambartus Stoppendaal Pieters Zoon. - Te Middelburg : by Willem Abrahams, 1777</v>
      </c>
      <c r="M756" s="12" t="str">
        <f>HYPERLINK(J756)</f>
        <v>https://permalinkbnd.bnportugal.gov.pt/viewer/14621/?offset=#page=75&amp;viewer=picture&amp;o=info&amp;n=0&amp;q=</v>
      </c>
      <c r="N756" s="12" t="s">
        <v>1497</v>
      </c>
      <c r="O756" s="12" t="str">
        <f>CONCATENATE(N756,A756,"\",B756,"\",C756,".jpg")</f>
        <v>C:\Users\mbaptista\OneDrive - Biblioteca Nacional de Portugal\Documentos\python\camoniana\imagens\capas\259828\1\75.jpg</v>
      </c>
      <c r="P756" s="12" t="str">
        <f>HYPERLINK(O756)</f>
        <v>C:\Users\mbaptista\OneDrive - Biblioteca Nacional de Portugal\Documentos\python\camoniana\imagens\capas\259828\1\75.jpg</v>
      </c>
      <c r="Q756" s="12"/>
      <c r="R756" s="6" t="s">
        <v>1000</v>
      </c>
      <c r="S756" s="12"/>
      <c r="T756" s="1" t="s">
        <v>997</v>
      </c>
      <c r="U756" s="13"/>
      <c r="V756" s="13"/>
      <c r="W756" s="5" t="s">
        <v>1491</v>
      </c>
    </row>
    <row r="757" spans="1:23" ht="225">
      <c r="A757" s="1">
        <v>259828</v>
      </c>
      <c r="B757" s="1">
        <v>1</v>
      </c>
      <c r="C757" s="1">
        <v>115</v>
      </c>
      <c r="D757" s="2" t="s">
        <v>996</v>
      </c>
      <c r="E757" s="11" t="s">
        <v>996</v>
      </c>
      <c r="F757" s="11">
        <v>14621</v>
      </c>
      <c r="G757" s="2" t="s">
        <v>1494</v>
      </c>
      <c r="H757" s="2" t="s">
        <v>1495</v>
      </c>
      <c r="I757" s="2" t="s">
        <v>1496</v>
      </c>
      <c r="J757" s="2" t="str">
        <f>CONCATENATE(G757,F757,H757,C757,I757)</f>
        <v>https://permalinkbnd.bnportugal.gov.pt/viewer/14621/?offset=#page=115&amp;viewer=picture&amp;o=info&amp;n=0&amp;q=</v>
      </c>
      <c r="K757" s="1" t="s">
        <v>997</v>
      </c>
      <c r="L757" s="1" t="str">
        <f>VLOOKUP(A757,Folha2!$A$2:$B$2019,2,FALSE)</f>
        <v>De Lusiade van Louis Camoëns : heldendicht in X Zangen ; naer het Fransch door Lambartus Stoppendaal Pieters Zoon. - Te Middelburg : by Willem Abrahams, 1777</v>
      </c>
      <c r="M757" s="12" t="str">
        <f>HYPERLINK(J757)</f>
        <v>https://permalinkbnd.bnportugal.gov.pt/viewer/14621/?offset=#page=115&amp;viewer=picture&amp;o=info&amp;n=0&amp;q=</v>
      </c>
      <c r="N757" s="12" t="s">
        <v>1497</v>
      </c>
      <c r="O757" s="12" t="str">
        <f>CONCATENATE(N757,A757,"\",B757,"\",C757,".jpg")</f>
        <v>C:\Users\mbaptista\OneDrive - Biblioteca Nacional de Portugal\Documentos\python\camoniana\imagens\capas\259828\1\115.jpg</v>
      </c>
      <c r="P757" s="12" t="str">
        <f>HYPERLINK(O757)</f>
        <v>C:\Users\mbaptista\OneDrive - Biblioteca Nacional de Portugal\Documentos\python\camoniana\imagens\capas\259828\1\115.jpg</v>
      </c>
      <c r="Q757" s="12"/>
      <c r="R757" s="6" t="s">
        <v>1001</v>
      </c>
      <c r="S757" s="12"/>
      <c r="T757" s="1" t="s">
        <v>997</v>
      </c>
      <c r="U757" s="13"/>
      <c r="V757" s="13"/>
      <c r="W757" s="5" t="s">
        <v>1491</v>
      </c>
    </row>
    <row r="758" spans="1:23" ht="225">
      <c r="A758" s="1">
        <v>259828</v>
      </c>
      <c r="B758" s="1">
        <v>1</v>
      </c>
      <c r="C758" s="1">
        <v>171</v>
      </c>
      <c r="D758" s="2" t="s">
        <v>996</v>
      </c>
      <c r="E758" s="5" t="s">
        <v>996</v>
      </c>
      <c r="F758" s="5">
        <v>14621</v>
      </c>
      <c r="G758" s="2" t="s">
        <v>1494</v>
      </c>
      <c r="H758" s="2" t="s">
        <v>1495</v>
      </c>
      <c r="I758" s="2" t="s">
        <v>1496</v>
      </c>
      <c r="J758" s="2" t="str">
        <f>CONCATENATE(G758,F758,H758,C758,I758)</f>
        <v>https://permalinkbnd.bnportugal.gov.pt/viewer/14621/?offset=#page=171&amp;viewer=picture&amp;o=info&amp;n=0&amp;q=</v>
      </c>
      <c r="K758" s="1" t="s">
        <v>997</v>
      </c>
      <c r="L758" s="1" t="str">
        <f>VLOOKUP(A758,Folha2!$A$2:$B$2019,2,FALSE)</f>
        <v>De Lusiade van Louis Camoëns : heldendicht in X Zangen ; naer het Fransch door Lambartus Stoppendaal Pieters Zoon. - Te Middelburg : by Willem Abrahams, 1777</v>
      </c>
      <c r="M758" s="12" t="str">
        <f>HYPERLINK(J758)</f>
        <v>https://permalinkbnd.bnportugal.gov.pt/viewer/14621/?offset=#page=171&amp;viewer=picture&amp;o=info&amp;n=0&amp;q=</v>
      </c>
      <c r="N758" s="12" t="s">
        <v>1497</v>
      </c>
      <c r="O758" s="12" t="str">
        <f>CONCATENATE(N758,A758,"\",B758,"\",C758,".jpg")</f>
        <v>C:\Users\mbaptista\OneDrive - Biblioteca Nacional de Portugal\Documentos\python\camoniana\imagens\capas\259828\1\171.jpg</v>
      </c>
      <c r="P758" s="12" t="str">
        <f>HYPERLINK(O758)</f>
        <v>C:\Users\mbaptista\OneDrive - Biblioteca Nacional de Portugal\Documentos\python\camoniana\imagens\capas\259828\1\171.jpg</v>
      </c>
      <c r="Q758" s="12"/>
      <c r="R758" s="6" t="s">
        <v>1002</v>
      </c>
      <c r="S758" s="12"/>
      <c r="T758" s="1" t="s">
        <v>997</v>
      </c>
      <c r="U758" s="13"/>
      <c r="V758" s="13"/>
      <c r="W758" s="5" t="s">
        <v>1491</v>
      </c>
    </row>
    <row r="759" spans="1:23" ht="225">
      <c r="A759" s="1">
        <v>259828</v>
      </c>
      <c r="B759" s="1">
        <v>1</v>
      </c>
      <c r="C759" s="1">
        <v>211</v>
      </c>
      <c r="D759" s="2" t="s">
        <v>996</v>
      </c>
      <c r="E759" s="11" t="s">
        <v>996</v>
      </c>
      <c r="F759" s="11">
        <v>14621</v>
      </c>
      <c r="G759" s="2" t="s">
        <v>1494</v>
      </c>
      <c r="H759" s="2" t="s">
        <v>1495</v>
      </c>
      <c r="I759" s="2" t="s">
        <v>1496</v>
      </c>
      <c r="J759" s="2" t="str">
        <f>CONCATENATE(G759,F759,H759,C759,I759)</f>
        <v>https://permalinkbnd.bnportugal.gov.pt/viewer/14621/?offset=#page=211&amp;viewer=picture&amp;o=info&amp;n=0&amp;q=</v>
      </c>
      <c r="K759" s="1" t="s">
        <v>997</v>
      </c>
      <c r="L759" s="1" t="str">
        <f>VLOOKUP(A759,Folha2!$A$2:$B$2019,2,FALSE)</f>
        <v>De Lusiade van Louis Camoëns : heldendicht in X Zangen ; naer het Fransch door Lambartus Stoppendaal Pieters Zoon. - Te Middelburg : by Willem Abrahams, 1777</v>
      </c>
      <c r="M759" s="12" t="str">
        <f>HYPERLINK(J759)</f>
        <v>https://permalinkbnd.bnportugal.gov.pt/viewer/14621/?offset=#page=211&amp;viewer=picture&amp;o=info&amp;n=0&amp;q=</v>
      </c>
      <c r="N759" s="12" t="s">
        <v>1497</v>
      </c>
      <c r="O759" s="12" t="str">
        <f>CONCATENATE(N759,A759,"\",B759,"\",C759,".jpg")</f>
        <v>C:\Users\mbaptista\OneDrive - Biblioteca Nacional de Portugal\Documentos\python\camoniana\imagens\capas\259828\1\211.jpg</v>
      </c>
      <c r="P759" s="12" t="str">
        <f>HYPERLINK(O759)</f>
        <v>C:\Users\mbaptista\OneDrive - Biblioteca Nacional de Portugal\Documentos\python\camoniana\imagens\capas\259828\1\211.jpg</v>
      </c>
      <c r="Q759" s="12"/>
      <c r="R759" s="6" t="s">
        <v>1003</v>
      </c>
      <c r="S759" s="12"/>
      <c r="T759" s="1" t="s">
        <v>997</v>
      </c>
      <c r="U759" s="13"/>
      <c r="V759" s="13"/>
      <c r="W759" s="5" t="s">
        <v>1491</v>
      </c>
    </row>
    <row r="760" spans="1:23" ht="225">
      <c r="A760" s="1">
        <v>259828</v>
      </c>
      <c r="B760" s="1">
        <v>1</v>
      </c>
      <c r="C760" s="1">
        <v>259</v>
      </c>
      <c r="D760" s="2" t="s">
        <v>996</v>
      </c>
      <c r="E760" s="5" t="s">
        <v>996</v>
      </c>
      <c r="F760" s="5">
        <v>14621</v>
      </c>
      <c r="G760" s="2" t="s">
        <v>1494</v>
      </c>
      <c r="H760" s="2" t="s">
        <v>1495</v>
      </c>
      <c r="I760" s="2" t="s">
        <v>1496</v>
      </c>
      <c r="J760" s="2" t="str">
        <f>CONCATENATE(G760,F760,H760,C760,I760)</f>
        <v>https://permalinkbnd.bnportugal.gov.pt/viewer/14621/?offset=#page=259&amp;viewer=picture&amp;o=info&amp;n=0&amp;q=</v>
      </c>
      <c r="K760" s="1" t="s">
        <v>997</v>
      </c>
      <c r="L760" s="1" t="str">
        <f>VLOOKUP(A760,Folha2!$A$2:$B$2019,2,FALSE)</f>
        <v>De Lusiade van Louis Camoëns : heldendicht in X Zangen ; naer het Fransch door Lambartus Stoppendaal Pieters Zoon. - Te Middelburg : by Willem Abrahams, 1777</v>
      </c>
      <c r="M760" s="12" t="str">
        <f>HYPERLINK(J760)</f>
        <v>https://permalinkbnd.bnportugal.gov.pt/viewer/14621/?offset=#page=259&amp;viewer=picture&amp;o=info&amp;n=0&amp;q=</v>
      </c>
      <c r="N760" s="12" t="s">
        <v>1497</v>
      </c>
      <c r="O760" s="12" t="str">
        <f>CONCATENATE(N760,A760,"\",B760,"\",C760,".jpg")</f>
        <v>C:\Users\mbaptista\OneDrive - Biblioteca Nacional de Portugal\Documentos\python\camoniana\imagens\capas\259828\1\259.jpg</v>
      </c>
      <c r="P760" s="12" t="str">
        <f>HYPERLINK(O760)</f>
        <v>C:\Users\mbaptista\OneDrive - Biblioteca Nacional de Portugal\Documentos\python\camoniana\imagens\capas\259828\1\259.jpg</v>
      </c>
      <c r="Q760" s="12"/>
      <c r="R760" s="6" t="s">
        <v>1004</v>
      </c>
      <c r="S760" s="12"/>
      <c r="T760" s="1" t="s">
        <v>997</v>
      </c>
      <c r="U760" s="13"/>
      <c r="V760" s="13"/>
      <c r="W760" s="5" t="s">
        <v>1491</v>
      </c>
    </row>
    <row r="761" spans="1:23" ht="225">
      <c r="A761" s="1">
        <v>259828</v>
      </c>
      <c r="B761" s="1">
        <v>1</v>
      </c>
      <c r="C761" s="1">
        <v>293</v>
      </c>
      <c r="D761" s="2" t="s">
        <v>996</v>
      </c>
      <c r="E761" s="11" t="s">
        <v>996</v>
      </c>
      <c r="F761" s="11">
        <v>14621</v>
      </c>
      <c r="G761" s="2" t="s">
        <v>1494</v>
      </c>
      <c r="H761" s="2" t="s">
        <v>1495</v>
      </c>
      <c r="I761" s="2" t="s">
        <v>1496</v>
      </c>
      <c r="J761" s="2" t="str">
        <f>CONCATENATE(G761,F761,H761,C761,I761)</f>
        <v>https://permalinkbnd.bnportugal.gov.pt/viewer/14621/?offset=#page=293&amp;viewer=picture&amp;o=info&amp;n=0&amp;q=</v>
      </c>
      <c r="K761" s="1" t="s">
        <v>997</v>
      </c>
      <c r="L761" s="1" t="str">
        <f>VLOOKUP(A761,Folha2!$A$2:$B$2019,2,FALSE)</f>
        <v>De Lusiade van Louis Camoëns : heldendicht in X Zangen ; naer het Fransch door Lambartus Stoppendaal Pieters Zoon. - Te Middelburg : by Willem Abrahams, 1777</v>
      </c>
      <c r="M761" s="12" t="str">
        <f>HYPERLINK(J761)</f>
        <v>https://permalinkbnd.bnportugal.gov.pt/viewer/14621/?offset=#page=293&amp;viewer=picture&amp;o=info&amp;n=0&amp;q=</v>
      </c>
      <c r="N761" s="12" t="s">
        <v>1497</v>
      </c>
      <c r="O761" s="12" t="str">
        <f>CONCATENATE(N761,A761,"\",B761,"\",C761,".jpg")</f>
        <v>C:\Users\mbaptista\OneDrive - Biblioteca Nacional de Portugal\Documentos\python\camoniana\imagens\capas\259828\1\293.jpg</v>
      </c>
      <c r="P761" s="12" t="str">
        <f>HYPERLINK(O761)</f>
        <v>C:\Users\mbaptista\OneDrive - Biblioteca Nacional de Portugal\Documentos\python\camoniana\imagens\capas\259828\1\293.jpg</v>
      </c>
      <c r="Q761" s="12"/>
      <c r="R761" s="6" t="s">
        <v>1005</v>
      </c>
      <c r="S761" s="12"/>
      <c r="T761" s="1" t="s">
        <v>997</v>
      </c>
      <c r="U761" s="13"/>
      <c r="V761" s="13"/>
      <c r="W761" s="5" t="s">
        <v>1491</v>
      </c>
    </row>
    <row r="762" spans="1:23" ht="225">
      <c r="A762" s="1">
        <v>259828</v>
      </c>
      <c r="B762" s="1">
        <v>1</v>
      </c>
      <c r="C762" s="1">
        <v>325</v>
      </c>
      <c r="D762" s="2" t="s">
        <v>996</v>
      </c>
      <c r="E762" s="5" t="s">
        <v>996</v>
      </c>
      <c r="F762" s="5">
        <v>14621</v>
      </c>
      <c r="G762" s="2" t="s">
        <v>1494</v>
      </c>
      <c r="H762" s="2" t="s">
        <v>1495</v>
      </c>
      <c r="I762" s="2" t="s">
        <v>1496</v>
      </c>
      <c r="J762" s="2" t="str">
        <f>CONCATENATE(G762,F762,H762,C762,I762)</f>
        <v>https://permalinkbnd.bnportugal.gov.pt/viewer/14621/?offset=#page=325&amp;viewer=picture&amp;o=info&amp;n=0&amp;q=</v>
      </c>
      <c r="K762" s="1" t="s">
        <v>997</v>
      </c>
      <c r="L762" s="1" t="str">
        <f>VLOOKUP(A762,Folha2!$A$2:$B$2019,2,FALSE)</f>
        <v>De Lusiade van Louis Camoëns : heldendicht in X Zangen ; naer het Fransch door Lambartus Stoppendaal Pieters Zoon. - Te Middelburg : by Willem Abrahams, 1777</v>
      </c>
      <c r="M762" s="12" t="str">
        <f>HYPERLINK(J762)</f>
        <v>https://permalinkbnd.bnportugal.gov.pt/viewer/14621/?offset=#page=325&amp;viewer=picture&amp;o=info&amp;n=0&amp;q=</v>
      </c>
      <c r="N762" s="12" t="s">
        <v>1497</v>
      </c>
      <c r="O762" s="12" t="str">
        <f>CONCATENATE(N762,A762,"\",B762,"\",C762,".jpg")</f>
        <v>C:\Users\mbaptista\OneDrive - Biblioteca Nacional de Portugal\Documentos\python\camoniana\imagens\capas\259828\1\325.jpg</v>
      </c>
      <c r="P762" s="12" t="str">
        <f>HYPERLINK(O762)</f>
        <v>C:\Users\mbaptista\OneDrive - Biblioteca Nacional de Portugal\Documentos\python\camoniana\imagens\capas\259828\1\325.jpg</v>
      </c>
      <c r="Q762" s="12"/>
      <c r="R762" s="6" t="s">
        <v>1006</v>
      </c>
      <c r="S762" s="12"/>
      <c r="T762" s="1" t="s">
        <v>997</v>
      </c>
      <c r="U762" s="13"/>
      <c r="V762" s="13"/>
      <c r="W762" s="5" t="s">
        <v>1491</v>
      </c>
    </row>
    <row r="763" spans="1:23" ht="225">
      <c r="A763" s="1">
        <v>259828</v>
      </c>
      <c r="B763" s="1">
        <v>1</v>
      </c>
      <c r="C763" s="1">
        <v>365</v>
      </c>
      <c r="D763" s="2" t="s">
        <v>996</v>
      </c>
      <c r="E763" s="11" t="s">
        <v>996</v>
      </c>
      <c r="F763" s="11">
        <v>14621</v>
      </c>
      <c r="G763" s="2" t="s">
        <v>1494</v>
      </c>
      <c r="H763" s="2" t="s">
        <v>1495</v>
      </c>
      <c r="I763" s="2" t="s">
        <v>1496</v>
      </c>
      <c r="J763" s="2" t="str">
        <f>CONCATENATE(G763,F763,H763,C763,I763)</f>
        <v>https://permalinkbnd.bnportugal.gov.pt/viewer/14621/?offset=#page=365&amp;viewer=picture&amp;o=info&amp;n=0&amp;q=</v>
      </c>
      <c r="K763" s="1" t="s">
        <v>997</v>
      </c>
      <c r="L763" s="1" t="str">
        <f>VLOOKUP(A763,Folha2!$A$2:$B$2019,2,FALSE)</f>
        <v>De Lusiade van Louis Camoëns : heldendicht in X Zangen ; naer het Fransch door Lambartus Stoppendaal Pieters Zoon. - Te Middelburg : by Willem Abrahams, 1777</v>
      </c>
      <c r="M763" s="12" t="str">
        <f>HYPERLINK(J763)</f>
        <v>https://permalinkbnd.bnportugal.gov.pt/viewer/14621/?offset=#page=365&amp;viewer=picture&amp;o=info&amp;n=0&amp;q=</v>
      </c>
      <c r="N763" s="12" t="s">
        <v>1497</v>
      </c>
      <c r="O763" s="12" t="str">
        <f>CONCATENATE(N763,A763,"\",B763,"\",C763,".jpg")</f>
        <v>C:\Users\mbaptista\OneDrive - Biblioteca Nacional de Portugal\Documentos\python\camoniana\imagens\capas\259828\1\365.jpg</v>
      </c>
      <c r="P763" s="12" t="str">
        <f>HYPERLINK(O763)</f>
        <v>C:\Users\mbaptista\OneDrive - Biblioteca Nacional de Portugal\Documentos\python\camoniana\imagens\capas\259828\1\365.jpg</v>
      </c>
      <c r="Q763" s="12"/>
      <c r="R763" s="6" t="s">
        <v>1007</v>
      </c>
      <c r="S763" s="12"/>
      <c r="T763" s="1" t="s">
        <v>997</v>
      </c>
      <c r="U763" s="13"/>
      <c r="V763" s="13"/>
      <c r="W763" s="5" t="s">
        <v>1491</v>
      </c>
    </row>
    <row r="764" spans="1:23" ht="225">
      <c r="A764" s="1">
        <v>259828</v>
      </c>
      <c r="B764" s="1">
        <v>1</v>
      </c>
      <c r="C764" s="1">
        <v>401</v>
      </c>
      <c r="D764" s="2" t="s">
        <v>996</v>
      </c>
      <c r="E764" s="5" t="s">
        <v>996</v>
      </c>
      <c r="F764" s="5">
        <v>14621</v>
      </c>
      <c r="G764" s="2" t="s">
        <v>1494</v>
      </c>
      <c r="H764" s="2" t="s">
        <v>1495</v>
      </c>
      <c r="I764" s="2" t="s">
        <v>1496</v>
      </c>
      <c r="J764" s="2" t="str">
        <f>CONCATENATE(G764,F764,H764,C764,I764)</f>
        <v>https://permalinkbnd.bnportugal.gov.pt/viewer/14621/?offset=#page=401&amp;viewer=picture&amp;o=info&amp;n=0&amp;q=</v>
      </c>
      <c r="K764" s="1" t="s">
        <v>997</v>
      </c>
      <c r="L764" s="1" t="str">
        <f>VLOOKUP(A764,Folha2!$A$2:$B$2019,2,FALSE)</f>
        <v>De Lusiade van Louis Camoëns : heldendicht in X Zangen ; naer het Fransch door Lambartus Stoppendaal Pieters Zoon. - Te Middelburg : by Willem Abrahams, 1777</v>
      </c>
      <c r="M764" s="12" t="str">
        <f>HYPERLINK(J764)</f>
        <v>https://permalinkbnd.bnportugal.gov.pt/viewer/14621/?offset=#page=401&amp;viewer=picture&amp;o=info&amp;n=0&amp;q=</v>
      </c>
      <c r="N764" s="12" t="s">
        <v>1497</v>
      </c>
      <c r="O764" s="12" t="str">
        <f>CONCATENATE(N764,A764,"\",B764,"\",C764,".jpg")</f>
        <v>C:\Users\mbaptista\OneDrive - Biblioteca Nacional de Portugal\Documentos\python\camoniana\imagens\capas\259828\1\401.jpg</v>
      </c>
      <c r="P764" s="12" t="str">
        <f>HYPERLINK(O764)</f>
        <v>C:\Users\mbaptista\OneDrive - Biblioteca Nacional de Portugal\Documentos\python\camoniana\imagens\capas\259828\1\401.jpg</v>
      </c>
      <c r="Q764" s="12"/>
      <c r="R764" s="6" t="s">
        <v>1008</v>
      </c>
      <c r="S764" s="12"/>
      <c r="T764" s="1" t="s">
        <v>997</v>
      </c>
      <c r="U764" s="13"/>
      <c r="V764" s="13"/>
      <c r="W764" s="5" t="s">
        <v>1491</v>
      </c>
    </row>
    <row r="765" spans="1:23" ht="225">
      <c r="A765" s="1">
        <v>303898</v>
      </c>
      <c r="B765" s="1">
        <v>1</v>
      </c>
      <c r="C765" s="1">
        <v>10</v>
      </c>
      <c r="D765" s="2" t="s">
        <v>1009</v>
      </c>
      <c r="E765" s="11" t="s">
        <v>1009</v>
      </c>
      <c r="F765" s="11">
        <v>14573</v>
      </c>
      <c r="G765" s="2" t="s">
        <v>1494</v>
      </c>
      <c r="H765" s="2" t="s">
        <v>1495</v>
      </c>
      <c r="I765" s="2" t="s">
        <v>1496</v>
      </c>
      <c r="J765" s="2" t="str">
        <f>CONCATENATE(G765,F765,H765,C765,I765)</f>
        <v>https://permalinkbnd.bnportugal.gov.pt/viewer/14573/?offset=#page=10&amp;viewer=picture&amp;o=info&amp;n=0&amp;q=</v>
      </c>
      <c r="K765" s="1" t="s">
        <v>333</v>
      </c>
      <c r="L765" s="1" t="str">
        <f>VLOOKUP(A765,Folha2!$A$2:$B$2019,2,FALSE)</f>
        <v>Poems from the portuguese / of Luis de Camoens ; with remarks on his life and writings notes by Lord Viscount Strangford. - London : J. Carpenter, 1803.  Fragmentos épica, Canto VI e os Doze.</v>
      </c>
      <c r="M765" s="12" t="str">
        <f>HYPERLINK(J765)</f>
        <v>https://permalinkbnd.bnportugal.gov.pt/viewer/14573/?offset=#page=10&amp;viewer=picture&amp;o=info&amp;n=0&amp;q=</v>
      </c>
      <c r="N765" s="12" t="s">
        <v>1497</v>
      </c>
      <c r="O765" s="12" t="str">
        <f>CONCATENATE(N765,A765,"\",B765,"\",C765,".jpg")</f>
        <v>C:\Users\mbaptista\OneDrive - Biblioteca Nacional de Portugal\Documentos\python\camoniana\imagens\capas\303898\1\10.jpg</v>
      </c>
      <c r="P765" s="12" t="str">
        <f>HYPERLINK(O765)</f>
        <v>C:\Users\mbaptista\OneDrive - Biblioteca Nacional de Portugal\Documentos\python\camoniana\imagens\capas\303898\1\10.jpg</v>
      </c>
      <c r="Q765" s="12"/>
      <c r="R765" s="6" t="s">
        <v>1010</v>
      </c>
      <c r="S765" s="12"/>
      <c r="T765" s="1">
        <v>10</v>
      </c>
      <c r="U765" s="13"/>
      <c r="V765" s="13"/>
      <c r="W765" s="5" t="s">
        <v>1491</v>
      </c>
    </row>
    <row r="766" spans="1:23" ht="225">
      <c r="A766" s="1">
        <v>323612</v>
      </c>
      <c r="B766" s="1">
        <v>1</v>
      </c>
      <c r="C766" s="1">
        <v>19</v>
      </c>
      <c r="D766" s="2" t="s">
        <v>1011</v>
      </c>
      <c r="E766" s="5" t="s">
        <v>1011</v>
      </c>
      <c r="F766" s="5">
        <v>14605</v>
      </c>
      <c r="G766" s="2" t="s">
        <v>1494</v>
      </c>
      <c r="H766" s="2" t="s">
        <v>1495</v>
      </c>
      <c r="I766" s="2" t="s">
        <v>1496</v>
      </c>
      <c r="J766" s="2" t="str">
        <f>CONCATENATE(G766,F766,H766,C766,I766)</f>
        <v>https://permalinkbnd.bnportugal.gov.pt/viewer/14605/?offset=#page=19&amp;viewer=picture&amp;o=info&amp;n=0&amp;q=</v>
      </c>
      <c r="K766" s="1">
        <v>19</v>
      </c>
      <c r="L766" s="1" t="str">
        <f>VLOOKUP(A766,Folha2!$A$2:$B$2019,2,FALSE)</f>
        <v>Os Lusiadas / de Luis de Camões. - Em Lisboa : em casa de Antonio Gõçaluez, 1572, sem argumentos.</v>
      </c>
      <c r="M766" s="12" t="str">
        <f>HYPERLINK(J766)</f>
        <v>https://permalinkbnd.bnportugal.gov.pt/viewer/14605/?offset=#page=19&amp;viewer=picture&amp;o=info&amp;n=0&amp;q=</v>
      </c>
      <c r="N766" s="12" t="s">
        <v>1497</v>
      </c>
      <c r="O766" s="12" t="str">
        <f>CONCATENATE(N766,A766,"\",B766,"\",C766,".jpg")</f>
        <v>C:\Users\mbaptista\OneDrive - Biblioteca Nacional de Portugal\Documentos\python\camoniana\imagens\capas\323612\1\19.jpg</v>
      </c>
      <c r="P766" s="12" t="str">
        <f>HYPERLINK(O766)</f>
        <v>C:\Users\mbaptista\OneDrive - Biblioteca Nacional de Portugal\Documentos\python\camoniana\imagens\capas\323612\1\19.jpg</v>
      </c>
      <c r="Q766" s="12"/>
      <c r="R766" s="6" t="s">
        <v>1012</v>
      </c>
      <c r="S766" s="12"/>
      <c r="T766" s="1">
        <v>19</v>
      </c>
      <c r="U766" s="13"/>
      <c r="V766" s="13"/>
      <c r="W766" s="5" t="s">
        <v>1491</v>
      </c>
    </row>
    <row r="767" spans="1:23" ht="225">
      <c r="A767" s="1">
        <v>323613</v>
      </c>
      <c r="B767" s="1">
        <v>1</v>
      </c>
      <c r="C767" s="1">
        <v>7</v>
      </c>
      <c r="D767" s="2" t="s">
        <v>1013</v>
      </c>
      <c r="E767" s="11" t="s">
        <v>1013</v>
      </c>
      <c r="F767" s="11">
        <v>14632</v>
      </c>
      <c r="G767" s="2" t="s">
        <v>1494</v>
      </c>
      <c r="H767" s="2" t="s">
        <v>1495</v>
      </c>
      <c r="I767" s="2" t="s">
        <v>1496</v>
      </c>
      <c r="J767" s="2" t="str">
        <f>CONCATENATE(G767,F767,H767,C767,I767)</f>
        <v>https://permalinkbnd.bnportugal.gov.pt/viewer/14632/?offset=#page=7&amp;viewer=picture&amp;o=info&amp;n=0&amp;q=</v>
      </c>
      <c r="K767" s="1">
        <v>7</v>
      </c>
      <c r="L767" s="1" t="str">
        <f>VLOOKUP(A767,Folha2!$A$2:$B$2019,2,FALSE)</f>
        <v>Os Lusiadas / de Luis de Camões. - Lisboa : em casa de Antonio Gõçaluez, 1572, sem argumentos. Erros gráficos na paginação.</v>
      </c>
      <c r="M767" s="12" t="str">
        <f>HYPERLINK(J767)</f>
        <v>https://permalinkbnd.bnportugal.gov.pt/viewer/14632/?offset=#page=7&amp;viewer=picture&amp;o=info&amp;n=0&amp;q=</v>
      </c>
      <c r="N767" s="12" t="s">
        <v>1497</v>
      </c>
      <c r="O767" s="12" t="str">
        <f>CONCATENATE(N767,A767,"\",B767,"\",C767,".jpg")</f>
        <v>C:\Users\mbaptista\OneDrive - Biblioteca Nacional de Portugal\Documentos\python\camoniana\imagens\capas\323613\1\7.jpg</v>
      </c>
      <c r="P767" s="12" t="str">
        <f>HYPERLINK(O767)</f>
        <v>C:\Users\mbaptista\OneDrive - Biblioteca Nacional de Portugal\Documentos\python\camoniana\imagens\capas\323613\1\7.jpg</v>
      </c>
      <c r="Q767" s="12"/>
      <c r="R767" s="6" t="s">
        <v>1014</v>
      </c>
      <c r="S767" s="12"/>
      <c r="T767" s="1">
        <v>7</v>
      </c>
      <c r="U767" s="13"/>
      <c r="V767" s="13"/>
      <c r="W767" s="5" t="s">
        <v>1491</v>
      </c>
    </row>
    <row r="768" spans="1:23" ht="225">
      <c r="A768" s="1">
        <v>323614</v>
      </c>
      <c r="B768" s="1">
        <v>1</v>
      </c>
      <c r="C768" s="1">
        <v>23</v>
      </c>
      <c r="D768" s="2" t="s">
        <v>1015</v>
      </c>
      <c r="E768" s="5" t="s">
        <v>1015</v>
      </c>
      <c r="F768" s="5">
        <v>14680</v>
      </c>
      <c r="G768" s="2" t="s">
        <v>1494</v>
      </c>
      <c r="H768" s="2" t="s">
        <v>1495</v>
      </c>
      <c r="I768" s="2" t="s">
        <v>1496</v>
      </c>
      <c r="J768" s="2" t="str">
        <f>CONCATENATE(G768,F768,H768,C768,I768)</f>
        <v>https://permalinkbnd.bnportugal.gov.pt/viewer/14680/?offset=#page=23&amp;viewer=picture&amp;o=info&amp;n=0&amp;q=</v>
      </c>
      <c r="K768" s="1" t="s">
        <v>1016</v>
      </c>
      <c r="L768" s="1" t="str">
        <f>VLOOKUP(A768,Folha2!$A$2:$B$2019,2,FALSE)</f>
        <v xml:space="preserve">Imag. 45 réplica com moldura da portada. </v>
      </c>
      <c r="M768" s="12" t="str">
        <f>HYPERLINK(J768)</f>
        <v>https://permalinkbnd.bnportugal.gov.pt/viewer/14680/?offset=#page=23&amp;viewer=picture&amp;o=info&amp;n=0&amp;q=</v>
      </c>
      <c r="N768" s="12" t="s">
        <v>1497</v>
      </c>
      <c r="O768" s="12" t="str">
        <f>CONCATENATE(N768,A768,"\",B768,"\",C768,".jpg")</f>
        <v>C:\Users\mbaptista\OneDrive - Biblioteca Nacional de Portugal\Documentos\python\camoniana\imagens\capas\323614\1\23.jpg</v>
      </c>
      <c r="P768" s="12" t="str">
        <f>HYPERLINK(O768)</f>
        <v>C:\Users\mbaptista\OneDrive - Biblioteca Nacional de Portugal\Documentos\python\camoniana\imagens\capas\323614\1\23.jpg</v>
      </c>
      <c r="Q768" s="12"/>
      <c r="R768" s="6" t="s">
        <v>1017</v>
      </c>
      <c r="S768" s="12"/>
      <c r="T768" s="1" t="s">
        <v>1016</v>
      </c>
      <c r="U768" s="13"/>
      <c r="V768" s="13"/>
      <c r="W768" s="5" t="s">
        <v>1491</v>
      </c>
    </row>
    <row r="769" spans="1:23" ht="225">
      <c r="A769" s="1">
        <v>323614</v>
      </c>
      <c r="B769" s="1">
        <v>1</v>
      </c>
      <c r="C769" s="1">
        <v>45</v>
      </c>
      <c r="D769" s="2" t="s">
        <v>1015</v>
      </c>
      <c r="E769" s="11" t="s">
        <v>1015</v>
      </c>
      <c r="F769" s="11">
        <v>14680</v>
      </c>
      <c r="G769" s="2" t="s">
        <v>1494</v>
      </c>
      <c r="H769" s="2" t="s">
        <v>1495</v>
      </c>
      <c r="I769" s="2" t="s">
        <v>1496</v>
      </c>
      <c r="J769" s="2" t="str">
        <f>CONCATENATE(G769,F769,H769,C769,I769)</f>
        <v>https://permalinkbnd.bnportugal.gov.pt/viewer/14680/?offset=#page=45&amp;viewer=picture&amp;o=info&amp;n=0&amp;q=</v>
      </c>
      <c r="K769" s="1" t="s">
        <v>1016</v>
      </c>
      <c r="L769" s="1" t="str">
        <f>VLOOKUP(A769,Folha2!$A$2:$B$2019,2,FALSE)</f>
        <v xml:space="preserve">Imag. 45 réplica com moldura da portada. </v>
      </c>
      <c r="M769" s="12" t="str">
        <f>HYPERLINK(J769)</f>
        <v>https://permalinkbnd.bnportugal.gov.pt/viewer/14680/?offset=#page=45&amp;viewer=picture&amp;o=info&amp;n=0&amp;q=</v>
      </c>
      <c r="N769" s="12" t="s">
        <v>1497</v>
      </c>
      <c r="O769" s="12" t="str">
        <f>CONCATENATE(N769,A769,"\",B769,"\",C769,".jpg")</f>
        <v>C:\Users\mbaptista\OneDrive - Biblioteca Nacional de Portugal\Documentos\python\camoniana\imagens\capas\323614\1\45.jpg</v>
      </c>
      <c r="P769" s="12" t="str">
        <f>HYPERLINK(O769)</f>
        <v>C:\Users\mbaptista\OneDrive - Biblioteca Nacional de Portugal\Documentos\python\camoniana\imagens\capas\323614\1\45.jpg</v>
      </c>
      <c r="Q769" s="12"/>
      <c r="R769" s="6" t="s">
        <v>1018</v>
      </c>
      <c r="S769" s="12"/>
      <c r="T769" s="1" t="s">
        <v>1016</v>
      </c>
      <c r="U769" s="13"/>
      <c r="V769" s="13"/>
      <c r="W769" s="5" t="s">
        <v>1491</v>
      </c>
    </row>
    <row r="770" spans="1:23" ht="225">
      <c r="A770" s="1">
        <v>323615</v>
      </c>
      <c r="B770" s="1">
        <v>1</v>
      </c>
      <c r="C770" s="1">
        <v>9</v>
      </c>
      <c r="D770" s="2" t="s">
        <v>1019</v>
      </c>
      <c r="E770" s="5" t="s">
        <v>1019</v>
      </c>
      <c r="F770" s="5">
        <v>14556</v>
      </c>
      <c r="G770" s="2" t="s">
        <v>1494</v>
      </c>
      <c r="H770" s="2" t="s">
        <v>1495</v>
      </c>
      <c r="I770" s="2" t="s">
        <v>1496</v>
      </c>
      <c r="J770" s="2" t="str">
        <f>CONCATENATE(G770,F770,H770,C770,I770)</f>
        <v>https://permalinkbnd.bnportugal.gov.pt/viewer/14556/?offset=#page=9&amp;viewer=picture&amp;o=info&amp;n=0&amp;q=</v>
      </c>
      <c r="K770" s="1">
        <v>9</v>
      </c>
      <c r="L770" s="1" t="str">
        <f>VLOOKUP(A770,Folha2!$A$2:$B$2019,2,FALSE)</f>
        <v>Os Lusiadas / de Luis de Camões. - Agora de nouo impresso com algu[m]as anotações de diuersos autores. - Em Lisboa : por Manuel de Lyra, 1591. Erros gráficos na paginação. Paratextos argumentos e Paratextos notas. Parece faltar a última estrofe do Canto III, cf. Im. 132: obra truncada ou assim no original?</v>
      </c>
      <c r="M770" s="12" t="str">
        <f>HYPERLINK(J770)</f>
        <v>https://permalinkbnd.bnportugal.gov.pt/viewer/14556/?offset=#page=9&amp;viewer=picture&amp;o=info&amp;n=0&amp;q=</v>
      </c>
      <c r="N770" s="12" t="s">
        <v>1497</v>
      </c>
      <c r="O770" s="12" t="str">
        <f>CONCATENATE(N770,A770,"\",B770,"\",C770,".jpg")</f>
        <v>C:\Users\mbaptista\OneDrive - Biblioteca Nacional de Portugal\Documentos\python\camoniana\imagens\capas\323615\1\9.jpg</v>
      </c>
      <c r="P770" s="12" t="str">
        <f>HYPERLINK(O770)</f>
        <v>C:\Users\mbaptista\OneDrive - Biblioteca Nacional de Portugal\Documentos\python\camoniana\imagens\capas\323615\1\9.jpg</v>
      </c>
      <c r="Q770" s="12"/>
      <c r="R770" s="6" t="s">
        <v>1020</v>
      </c>
      <c r="S770" s="12"/>
      <c r="T770" s="1">
        <v>9</v>
      </c>
      <c r="U770" s="13"/>
      <c r="V770" s="13"/>
      <c r="W770" s="5" t="s">
        <v>1491</v>
      </c>
    </row>
    <row r="771" spans="1:23" ht="225">
      <c r="A771" s="1">
        <v>323616</v>
      </c>
      <c r="B771" s="1">
        <v>1</v>
      </c>
      <c r="C771" s="1">
        <v>5</v>
      </c>
      <c r="D771" s="2" t="s">
        <v>1021</v>
      </c>
      <c r="E771" s="11" t="s">
        <v>1021</v>
      </c>
      <c r="F771" s="11">
        <v>14578</v>
      </c>
      <c r="G771" s="2" t="s">
        <v>1494</v>
      </c>
      <c r="H771" s="2" t="s">
        <v>1495</v>
      </c>
      <c r="I771" s="2" t="s">
        <v>1496</v>
      </c>
      <c r="J771" s="2" t="str">
        <f>CONCATENATE(G771,F771,H771,C771,I771)</f>
        <v>https://permalinkbnd.bnportugal.gov.pt/viewer/14578/?offset=#page=5&amp;viewer=picture&amp;o=info&amp;n=0&amp;q=</v>
      </c>
      <c r="K771" s="1">
        <v>5</v>
      </c>
      <c r="L771" s="1" t="str">
        <f>VLOOKUP(A771,Folha2!$A$2:$B$2019,2,FALSE)</f>
        <v>Os Lusiadas / de Luis de Camões. - Polo original antigo agora nouamente impressos. - Em Lisboa : por Manoel de Lyra : á custa de Esteuão Lopez, 1597, sem argumentos. Erros gráficos na paginação.</v>
      </c>
      <c r="M771" s="12" t="str">
        <f>HYPERLINK(J771)</f>
        <v>https://permalinkbnd.bnportugal.gov.pt/viewer/14578/?offset=#page=5&amp;viewer=picture&amp;o=info&amp;n=0&amp;q=</v>
      </c>
      <c r="N771" s="12" t="s">
        <v>1497</v>
      </c>
      <c r="O771" s="12" t="str">
        <f>CONCATENATE(N771,A771,"\",B771,"\",C771,".jpg")</f>
        <v>C:\Users\mbaptista\OneDrive - Biblioteca Nacional de Portugal\Documentos\python\camoniana\imagens\capas\323616\1\5.jpg</v>
      </c>
      <c r="P771" s="12" t="str">
        <f>HYPERLINK(O771)</f>
        <v>C:\Users\mbaptista\OneDrive - Biblioteca Nacional de Portugal\Documentos\python\camoniana\imagens\capas\323616\1\5.jpg</v>
      </c>
      <c r="Q771" s="12"/>
      <c r="R771" s="6" t="s">
        <v>1022</v>
      </c>
      <c r="S771" s="12"/>
      <c r="T771" s="1">
        <v>5</v>
      </c>
      <c r="U771" s="13"/>
      <c r="V771" s="13"/>
      <c r="W771" s="5" t="s">
        <v>1491</v>
      </c>
    </row>
    <row r="772" spans="1:23" ht="225">
      <c r="A772" s="1">
        <v>323617</v>
      </c>
      <c r="B772" s="1">
        <v>1</v>
      </c>
      <c r="C772" s="1">
        <v>9</v>
      </c>
      <c r="D772" s="2" t="s">
        <v>1023</v>
      </c>
      <c r="E772" s="5" t="s">
        <v>1023</v>
      </c>
      <c r="F772" s="5">
        <v>14576</v>
      </c>
      <c r="G772" s="2" t="s">
        <v>1494</v>
      </c>
      <c r="H772" s="2" t="s">
        <v>1495</v>
      </c>
      <c r="I772" s="2" t="s">
        <v>1496</v>
      </c>
      <c r="J772" s="2" t="str">
        <f>CONCATENATE(G772,F772,H772,C772,I772)</f>
        <v>https://permalinkbnd.bnportugal.gov.pt/viewer/14576/?offset=#page=9&amp;viewer=picture&amp;o=info&amp;n=0&amp;q=</v>
      </c>
      <c r="K772" s="1">
        <v>9</v>
      </c>
      <c r="L772" s="1" t="str">
        <f>VLOOKUP(A772,Folha2!$A$2:$B$2019,2,FALSE)</f>
        <v>Rhythmas / de Luis de Camoes ; diuididas em cinco partes.... - Em Lisboa : por Manoel de Lyra : a custa de Esteuão Lopez, 1595. Erros gráficos na paginação. Partes manuscritas no início e sonetos, odes e motes manuscritos no final. [sonetos, canções, sextinas, odes, elegias, oitavas, capítulo, éclogas,  redondilhas, sôbolos rios, esparsas, motes, glosas, cartas, voltas, trovas, estanças, labirinto, endechas, cantiga, chiste, disparates na índia, sentenças]</v>
      </c>
      <c r="M772" s="12" t="str">
        <f>HYPERLINK(J772)</f>
        <v>https://permalinkbnd.bnportugal.gov.pt/viewer/14576/?offset=#page=9&amp;viewer=picture&amp;o=info&amp;n=0&amp;q=</v>
      </c>
      <c r="N772" s="12" t="s">
        <v>1497</v>
      </c>
      <c r="O772" s="12" t="str">
        <f>CONCATENATE(N772,A772,"\",B772,"\",C772,".jpg")</f>
        <v>C:\Users\mbaptista\OneDrive - Biblioteca Nacional de Portugal\Documentos\python\camoniana\imagens\capas\323617\1\9.jpg</v>
      </c>
      <c r="P772" s="12" t="str">
        <f>HYPERLINK(O772)</f>
        <v>C:\Users\mbaptista\OneDrive - Biblioteca Nacional de Portugal\Documentos\python\camoniana\imagens\capas\323617\1\9.jpg</v>
      </c>
      <c r="Q772" s="12"/>
      <c r="R772" s="6" t="s">
        <v>1024</v>
      </c>
      <c r="S772" s="12"/>
      <c r="T772" s="1">
        <v>9</v>
      </c>
      <c r="U772" s="13"/>
      <c r="V772" s="13"/>
      <c r="W772" s="5" t="s">
        <v>1491</v>
      </c>
    </row>
    <row r="773" spans="1:23" ht="225">
      <c r="A773" s="1">
        <v>329698</v>
      </c>
      <c r="B773" s="1">
        <v>1</v>
      </c>
      <c r="C773" s="1">
        <v>3</v>
      </c>
      <c r="D773" s="2" t="s">
        <v>1025</v>
      </c>
      <c r="E773" s="11" t="s">
        <v>1025</v>
      </c>
      <c r="F773" s="11">
        <v>14592</v>
      </c>
      <c r="G773" s="2" t="s">
        <v>1494</v>
      </c>
      <c r="H773" s="2" t="s">
        <v>1495</v>
      </c>
      <c r="I773" s="2" t="s">
        <v>1496</v>
      </c>
      <c r="J773" s="2" t="str">
        <f>CONCATENATE(G773,F773,H773,C773,I773)</f>
        <v>https://permalinkbnd.bnportugal.gov.pt/viewer/14592/?offset=#page=3&amp;viewer=picture&amp;o=info&amp;n=0&amp;q=</v>
      </c>
      <c r="K773" s="1" t="s">
        <v>1026</v>
      </c>
      <c r="L773" s="1" t="str">
        <f>VLOOKUP(A773,Folha2!$A$2:$B$2019,2,FALSE)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3" s="12" t="str">
        <f>HYPERLINK(J773)</f>
        <v>https://permalinkbnd.bnportugal.gov.pt/viewer/14592/?offset=#page=3&amp;viewer=picture&amp;o=info&amp;n=0&amp;q=</v>
      </c>
      <c r="N773" s="12" t="s">
        <v>1497</v>
      </c>
      <c r="O773" s="12" t="str">
        <f>CONCATENATE(N773,A773,"\",B773,"\",C773,".jpg")</f>
        <v>C:\Users\mbaptista\OneDrive - Biblioteca Nacional de Portugal\Documentos\python\camoniana\imagens\capas\329698\1\3.jpg</v>
      </c>
      <c r="P773" s="12" t="str">
        <f>HYPERLINK(O773)</f>
        <v>C:\Users\mbaptista\OneDrive - Biblioteca Nacional de Portugal\Documentos\python\camoniana\imagens\capas\329698\1\3.jpg</v>
      </c>
      <c r="Q773" s="12"/>
      <c r="R773" s="6" t="s">
        <v>1028</v>
      </c>
      <c r="S773" s="12"/>
      <c r="T773" s="1" t="s">
        <v>1027</v>
      </c>
      <c r="U773" s="13"/>
      <c r="V773" s="13"/>
      <c r="W773" s="5" t="s">
        <v>1491</v>
      </c>
    </row>
    <row r="774" spans="1:23" ht="225">
      <c r="A774" s="1">
        <v>329698</v>
      </c>
      <c r="B774" s="1">
        <v>1</v>
      </c>
      <c r="C774" s="1">
        <v>8</v>
      </c>
      <c r="D774" s="2" t="s">
        <v>1025</v>
      </c>
      <c r="E774" s="5" t="s">
        <v>1025</v>
      </c>
      <c r="F774" s="5">
        <v>14592</v>
      </c>
      <c r="G774" s="2" t="s">
        <v>1494</v>
      </c>
      <c r="H774" s="2" t="s">
        <v>1495</v>
      </c>
      <c r="I774" s="2" t="s">
        <v>1496</v>
      </c>
      <c r="J774" s="2" t="str">
        <f>CONCATENATE(G774,F774,H774,C774,I774)</f>
        <v>https://permalinkbnd.bnportugal.gov.pt/viewer/14592/?offset=#page=8&amp;viewer=picture&amp;o=info&amp;n=0&amp;q=</v>
      </c>
      <c r="K774" s="1" t="s">
        <v>1026</v>
      </c>
      <c r="L774" s="1" t="str">
        <f>VLOOKUP(A774,Folha2!$A$2:$B$2019,2,FALSE)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4" s="12" t="str">
        <f>HYPERLINK(J774)</f>
        <v>https://permalinkbnd.bnportugal.gov.pt/viewer/14592/?offset=#page=8&amp;viewer=picture&amp;o=info&amp;n=0&amp;q=</v>
      </c>
      <c r="N774" s="12" t="s">
        <v>1497</v>
      </c>
      <c r="O774" s="12" t="str">
        <f>CONCATENATE(N774,A774,"\",B774,"\",C774,".jpg")</f>
        <v>C:\Users\mbaptista\OneDrive - Biblioteca Nacional de Portugal\Documentos\python\camoniana\imagens\capas\329698\1\8.jpg</v>
      </c>
      <c r="P774" s="12" t="str">
        <f>HYPERLINK(O774)</f>
        <v>C:\Users\mbaptista\OneDrive - Biblioteca Nacional de Portugal\Documentos\python\camoniana\imagens\capas\329698\1\8.jpg</v>
      </c>
      <c r="Q774" s="12"/>
      <c r="R774" s="6" t="s">
        <v>1029</v>
      </c>
      <c r="S774" s="12"/>
      <c r="T774" s="1" t="s">
        <v>1027</v>
      </c>
      <c r="U774" s="13"/>
      <c r="V774" s="13"/>
      <c r="W774" s="5" t="s">
        <v>1491</v>
      </c>
    </row>
    <row r="775" spans="1:23" ht="225">
      <c r="A775" s="1">
        <v>329698</v>
      </c>
      <c r="B775" s="1">
        <v>1</v>
      </c>
      <c r="C775" s="1">
        <v>12</v>
      </c>
      <c r="D775" s="2" t="s">
        <v>1025</v>
      </c>
      <c r="E775" s="11" t="s">
        <v>1025</v>
      </c>
      <c r="F775" s="11">
        <v>14592</v>
      </c>
      <c r="G775" s="2" t="s">
        <v>1494</v>
      </c>
      <c r="H775" s="2" t="s">
        <v>1495</v>
      </c>
      <c r="I775" s="2" t="s">
        <v>1496</v>
      </c>
      <c r="J775" s="2" t="str">
        <f>CONCATENATE(G775,F775,H775,C775,I775)</f>
        <v>https://permalinkbnd.bnportugal.gov.pt/viewer/14592/?offset=#page=12&amp;viewer=picture&amp;o=info&amp;n=0&amp;q=</v>
      </c>
      <c r="K775" s="1" t="s">
        <v>1026</v>
      </c>
      <c r="L775" s="1" t="str">
        <f>VLOOKUP(A775,Folha2!$A$2:$B$2019,2,FALSE)</f>
        <v>Apologia em que defende Joam Soares de Brito a poesia do principe dos poetas d'Hespanha Luis de Camoens no canto 4. da est. 67. à 75. &amp; cant. 2. est. 21. &amp; responde às censuras d'hum Critico d'estes tempos.... - Em Lisboa : na officina de Lourenço de Anveres, 1641 o I. da Restauração de Portugal. O fólio apresenta partes manuscritas e pp. em branco, que parecem reproduzir o original, pois a paginação é sequencial.</v>
      </c>
      <c r="M775" s="12" t="str">
        <f>HYPERLINK(J775)</f>
        <v>https://permalinkbnd.bnportugal.gov.pt/viewer/14592/?offset=#page=12&amp;viewer=picture&amp;o=info&amp;n=0&amp;q=</v>
      </c>
      <c r="N775" s="12" t="s">
        <v>1497</v>
      </c>
      <c r="O775" s="12" t="str">
        <f>CONCATENATE(N775,A775,"\",B775,"\",C775,".jpg")</f>
        <v>C:\Users\mbaptista\OneDrive - Biblioteca Nacional de Portugal\Documentos\python\camoniana\imagens\capas\329698\1\12.jpg</v>
      </c>
      <c r="P775" s="12" t="str">
        <f>HYPERLINK(O775)</f>
        <v>C:\Users\mbaptista\OneDrive - Biblioteca Nacional de Portugal\Documentos\python\camoniana\imagens\capas\329698\1\12.jpg</v>
      </c>
      <c r="Q775" s="12"/>
      <c r="R775" s="6" t="s">
        <v>1030</v>
      </c>
      <c r="S775" s="12"/>
      <c r="T775" s="1" t="s">
        <v>1027</v>
      </c>
      <c r="U775" s="13"/>
      <c r="V775" s="13"/>
      <c r="W775" s="5" t="s">
        <v>1491</v>
      </c>
    </row>
    <row r="776" spans="1:23" ht="225">
      <c r="A776" s="1">
        <v>331404</v>
      </c>
      <c r="B776" s="1">
        <v>1</v>
      </c>
      <c r="C776" s="1">
        <v>10</v>
      </c>
      <c r="D776" s="2" t="s">
        <v>1031</v>
      </c>
      <c r="E776" s="5" t="s">
        <v>1031</v>
      </c>
      <c r="F776" s="5">
        <v>14566</v>
      </c>
      <c r="G776" s="2" t="s">
        <v>1494</v>
      </c>
      <c r="H776" s="2" t="s">
        <v>1495</v>
      </c>
      <c r="I776" s="2" t="s">
        <v>1496</v>
      </c>
      <c r="J776" s="2" t="str">
        <f>CONCATENATE(G776,F776,H776,C776,I776)</f>
        <v>https://permalinkbnd.bnportugal.gov.pt/viewer/14566/?offset=#page=10&amp;viewer=picture&amp;o=info&amp;n=0&amp;q=</v>
      </c>
      <c r="K776" s="1" t="s">
        <v>1032</v>
      </c>
      <c r="L776" s="1" t="str">
        <f>VLOOKUP(A776,Folha2!$A$2:$B$2019,2,FALSE)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6" s="12" t="str">
        <f>HYPERLINK(J776)</f>
        <v>https://permalinkbnd.bnportugal.gov.pt/viewer/14566/?offset=#page=10&amp;viewer=picture&amp;o=info&amp;n=0&amp;q=</v>
      </c>
      <c r="N776" s="12" t="s">
        <v>1497</v>
      </c>
      <c r="O776" s="12" t="str">
        <f>CONCATENATE(N776,A776,"\",B776,"\",C776,".jpg")</f>
        <v>C:\Users\mbaptista\OneDrive - Biblioteca Nacional de Portugal\Documentos\python\camoniana\imagens\capas\331404\1\10.jpg</v>
      </c>
      <c r="P776" s="12" t="str">
        <f>HYPERLINK(O776)</f>
        <v>C:\Users\mbaptista\OneDrive - Biblioteca Nacional de Portugal\Documentos\python\camoniana\imagens\capas\331404\1\10.jpg</v>
      </c>
      <c r="Q776" s="12"/>
      <c r="R776" s="6" t="s">
        <v>1033</v>
      </c>
      <c r="S776" s="12"/>
      <c r="T776" s="1" t="s">
        <v>522</v>
      </c>
      <c r="U776" s="13"/>
      <c r="V776" s="13"/>
      <c r="W776" s="5" t="s">
        <v>1491</v>
      </c>
    </row>
    <row r="777" spans="1:23" ht="225">
      <c r="A777" s="1">
        <v>331404</v>
      </c>
      <c r="B777" s="1">
        <v>1</v>
      </c>
      <c r="C777" s="1">
        <v>11</v>
      </c>
      <c r="D777" s="2" t="s">
        <v>1031</v>
      </c>
      <c r="E777" s="11" t="s">
        <v>1031</v>
      </c>
      <c r="F777" s="11">
        <v>14566</v>
      </c>
      <c r="G777" s="2" t="s">
        <v>1494</v>
      </c>
      <c r="H777" s="2" t="s">
        <v>1495</v>
      </c>
      <c r="I777" s="2" t="s">
        <v>1496</v>
      </c>
      <c r="J777" s="2" t="str">
        <f>CONCATENATE(G777,F777,H777,C777,I777)</f>
        <v>https://permalinkbnd.bnportugal.gov.pt/viewer/14566/?offset=#page=11&amp;viewer=picture&amp;o=info&amp;n=0&amp;q=</v>
      </c>
      <c r="K777" s="1" t="s">
        <v>1032</v>
      </c>
      <c r="L777" s="1" t="str">
        <f>VLOOKUP(A777,Folha2!$A$2:$B$2019,2,FALSE)</f>
        <v>The Lusiad or the discovery of India : an epic poeme / translated from Camoens by William Julius Mickle. - London : published by W. Sattaby : B. Crosby &amp; Cº- and Scatcherd &amp; Leterman, 1809. Erros gráficos na paginação. Sem argumentos. Salto na paginação pp. 243-246, cf. Im. 351-352: truncada ou assim no original?</v>
      </c>
      <c r="M777" s="12" t="str">
        <f>HYPERLINK(J777)</f>
        <v>https://permalinkbnd.bnportugal.gov.pt/viewer/14566/?offset=#page=11&amp;viewer=picture&amp;o=info&amp;n=0&amp;q=</v>
      </c>
      <c r="N777" s="12" t="s">
        <v>1497</v>
      </c>
      <c r="O777" s="12" t="str">
        <f>CONCATENATE(N777,A777,"\",B777,"\",C777,".jpg")</f>
        <v>C:\Users\mbaptista\OneDrive - Biblioteca Nacional de Portugal\Documentos\python\camoniana\imagens\capas\331404\1\11.jpg</v>
      </c>
      <c r="P777" s="12" t="str">
        <f>HYPERLINK(O777)</f>
        <v>C:\Users\mbaptista\OneDrive - Biblioteca Nacional de Portugal\Documentos\python\camoniana\imagens\capas\331404\1\11.jpg</v>
      </c>
      <c r="Q777" s="12"/>
      <c r="R777" s="6" t="s">
        <v>1034</v>
      </c>
      <c r="S777" s="12"/>
      <c r="T777" s="1" t="s">
        <v>522</v>
      </c>
      <c r="U777" s="13"/>
      <c r="V777" s="13"/>
      <c r="W777" s="5" t="s">
        <v>1491</v>
      </c>
    </row>
    <row r="778" spans="1:23" ht="225">
      <c r="A778" s="1">
        <v>331411</v>
      </c>
      <c r="B778" s="1">
        <v>1</v>
      </c>
      <c r="C778" s="1">
        <v>6</v>
      </c>
      <c r="D778" s="2" t="s">
        <v>1035</v>
      </c>
      <c r="E778" s="5" t="s">
        <v>1035</v>
      </c>
      <c r="F778" s="5">
        <v>274466</v>
      </c>
      <c r="G778" s="2" t="s">
        <v>1494</v>
      </c>
      <c r="H778" s="2" t="s">
        <v>1495</v>
      </c>
      <c r="I778" s="2" t="s">
        <v>1496</v>
      </c>
      <c r="J778" s="2" t="str">
        <f>CONCATENATE(G778,F778,H778,C778,I778)</f>
        <v>https://permalinkbnd.bnportugal.gov.pt/viewer/274466/?offset=#page=6&amp;viewer=picture&amp;o=info&amp;n=0&amp;q=</v>
      </c>
      <c r="K778" s="1" t="s">
        <v>1036</v>
      </c>
      <c r="L778" s="1" t="str">
        <f>VLOOKUP(A778,Folha2!$A$2:$B$2019,2,FALSE)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8" s="12" t="str">
        <f>HYPERLINK(J778)</f>
        <v>https://permalinkbnd.bnportugal.gov.pt/viewer/274466/?offset=#page=6&amp;viewer=picture&amp;o=info&amp;n=0&amp;q=</v>
      </c>
      <c r="N778" s="12" t="s">
        <v>1497</v>
      </c>
      <c r="O778" s="12" t="str">
        <f>CONCATENATE(N778,A778,"\",B778,"\",C778,".jpg")</f>
        <v>C:\Users\mbaptista\OneDrive - Biblioteca Nacional de Portugal\Documentos\python\camoniana\imagens\capas\331411\1\6.jpg</v>
      </c>
      <c r="P778" s="12" t="str">
        <f>HYPERLINK(O778)</f>
        <v>C:\Users\mbaptista\OneDrive - Biblioteca Nacional de Portugal\Documentos\python\camoniana\imagens\capas\331411\1\6.jpg</v>
      </c>
      <c r="Q778" s="12"/>
      <c r="R778" s="6" t="s">
        <v>1038</v>
      </c>
      <c r="S778" s="12"/>
      <c r="T778" s="1" t="s">
        <v>1037</v>
      </c>
      <c r="U778" s="13"/>
      <c r="V778" s="13"/>
      <c r="W778" s="5" t="s">
        <v>1491</v>
      </c>
    </row>
    <row r="779" spans="1:23" ht="225">
      <c r="A779" s="1">
        <v>331411</v>
      </c>
      <c r="B779" s="1">
        <v>1</v>
      </c>
      <c r="C779" s="1">
        <v>12</v>
      </c>
      <c r="D779" s="2" t="s">
        <v>1035</v>
      </c>
      <c r="E779" s="11" t="s">
        <v>1035</v>
      </c>
      <c r="F779" s="11">
        <v>274466</v>
      </c>
      <c r="G779" s="2" t="s">
        <v>1494</v>
      </c>
      <c r="H779" s="2" t="s">
        <v>1495</v>
      </c>
      <c r="I779" s="2" t="s">
        <v>1496</v>
      </c>
      <c r="J779" s="2" t="str">
        <f>CONCATENATE(G779,F779,H779,C779,I779)</f>
        <v>https://permalinkbnd.bnportugal.gov.pt/viewer/274466/?offset=#page=12&amp;viewer=picture&amp;o=info&amp;n=0&amp;q=</v>
      </c>
      <c r="K779" s="1" t="s">
        <v>1036</v>
      </c>
      <c r="L779" s="1" t="str">
        <f>VLOOKUP(A779,Folha2!$A$2:$B$2019,2,FALSE)</f>
        <v>The Lusiad : an epic poem / by Luis de Camoens ; translated from the portugueze by Thomas Moore Musgrave.... - London : Jonh Murray, 1826. Sem argumentos. Afirma no prefácio ter desistido de incluir uma nota biográfica sobre o Poeta e menciona as diferentes aspectos dos estudos feitos sobre a biografia. Colocar à mesma paratextos vida? Trad. paratextos gerais; Trad. Paratextos notas; Iconografia, figuras históricas [Inês de Castro]</v>
      </c>
      <c r="M779" s="12" t="str">
        <f>HYPERLINK(J779)</f>
        <v>https://permalinkbnd.bnportugal.gov.pt/viewer/274466/?offset=#page=12&amp;viewer=picture&amp;o=info&amp;n=0&amp;q=</v>
      </c>
      <c r="N779" s="12" t="s">
        <v>1497</v>
      </c>
      <c r="O779" s="12" t="str">
        <f>CONCATENATE(N779,A779,"\",B779,"\",C779,".jpg")</f>
        <v>C:\Users\mbaptista\OneDrive - Biblioteca Nacional de Portugal\Documentos\python\camoniana\imagens\capas\331411\1\12.jpg</v>
      </c>
      <c r="P779" s="12" t="str">
        <f>HYPERLINK(O779)</f>
        <v>C:\Users\mbaptista\OneDrive - Biblioteca Nacional de Portugal\Documentos\python\camoniana\imagens\capas\331411\1\12.jpg</v>
      </c>
      <c r="Q779" s="12"/>
      <c r="R779" s="6" t="s">
        <v>1039</v>
      </c>
      <c r="S779" s="12"/>
      <c r="T779" s="1" t="s">
        <v>1037</v>
      </c>
      <c r="U779" s="13"/>
      <c r="V779" s="13"/>
      <c r="W779" s="5" t="s">
        <v>1491</v>
      </c>
    </row>
    <row r="780" spans="1:23" ht="225">
      <c r="A780" s="1">
        <v>380835</v>
      </c>
      <c r="B780" s="1">
        <v>1</v>
      </c>
      <c r="C780" s="1">
        <v>1</v>
      </c>
      <c r="D780" s="2" t="s">
        <v>1040</v>
      </c>
      <c r="E780" s="5" t="s">
        <v>1040</v>
      </c>
      <c r="F780" s="5">
        <v>278408</v>
      </c>
      <c r="G780" s="2" t="s">
        <v>1494</v>
      </c>
      <c r="H780" s="2" t="s">
        <v>1495</v>
      </c>
      <c r="I780" s="2" t="s">
        <v>1496</v>
      </c>
      <c r="J780" s="2" t="str">
        <f>CONCATENATE(G780,F780,H780,C780,I780)</f>
        <v>https://permalinkbnd.bnportugal.gov.pt/viewer/278408/?offset=#page=1&amp;viewer=picture&amp;o=info&amp;n=0&amp;q=</v>
      </c>
      <c r="K780" s="1" t="s">
        <v>1041</v>
      </c>
      <c r="L780" s="1" t="str">
        <f>VLOOKUP(A780,Folha2!$A$2:$B$2019,2,FALSE)</f>
        <v>The second canto of The Lusiad / translated into english verse / by James E. Hewitt ; accompanied by the portuguese text. - Rio de Janeiro : Camoens Printing Office-Fonseca Brother &amp; Sousa Lima, 1883. Bilingue.</v>
      </c>
      <c r="M780" s="12" t="str">
        <f>HYPERLINK(J780)</f>
        <v>https://permalinkbnd.bnportugal.gov.pt/viewer/278408/?offset=#page=1&amp;viewer=picture&amp;o=info&amp;n=0&amp;q=</v>
      </c>
      <c r="N780" s="12" t="s">
        <v>1497</v>
      </c>
      <c r="O780" s="12" t="str">
        <f>CONCATENATE(N780,A780,"\",B780,"\",C780,".jpg")</f>
        <v>C:\Users\mbaptista\OneDrive - Biblioteca Nacional de Portugal\Documentos\python\camoniana\imagens\capas\380835\1\1.jpg</v>
      </c>
      <c r="P780" s="12" t="str">
        <f>HYPERLINK(O780)</f>
        <v>C:\Users\mbaptista\OneDrive - Biblioteca Nacional de Portugal\Documentos\python\camoniana\imagens\capas\380835\1\1.jpg</v>
      </c>
      <c r="Q780" s="12"/>
      <c r="R780" s="6" t="s">
        <v>1042</v>
      </c>
      <c r="S780" s="12"/>
      <c r="T780" s="1">
        <v>1</v>
      </c>
      <c r="U780" s="13"/>
      <c r="V780" s="13"/>
      <c r="W780" s="5" t="s">
        <v>1491</v>
      </c>
    </row>
    <row r="781" spans="1:23" ht="225">
      <c r="A781" s="1">
        <v>381202</v>
      </c>
      <c r="B781" s="1">
        <v>1</v>
      </c>
      <c r="C781" s="1">
        <v>29</v>
      </c>
      <c r="D781" s="2" t="s">
        <v>1043</v>
      </c>
      <c r="E781" s="11" t="s">
        <v>1043</v>
      </c>
      <c r="F781" s="11">
        <v>14624</v>
      </c>
      <c r="G781" s="2" t="s">
        <v>1494</v>
      </c>
      <c r="H781" s="2" t="s">
        <v>1495</v>
      </c>
      <c r="I781" s="2" t="s">
        <v>1496</v>
      </c>
      <c r="J781" s="2" t="str">
        <f>CONCATENATE(G781,F781,H781,C781,I781)</f>
        <v>https://permalinkbnd.bnportugal.gov.pt/viewer/14624/?offset=#page=29&amp;viewer=picture&amp;o=info&amp;n=0&amp;q=</v>
      </c>
      <c r="K781" s="1" t="s">
        <v>1044</v>
      </c>
      <c r="L781" s="1" t="str">
        <f>VLOOKUP(A781,Folha2!$A$2:$B$2019,2,FALSE)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1" s="12" t="str">
        <f>HYPERLINK(J781)</f>
        <v>https://permalinkbnd.bnportugal.gov.pt/viewer/14624/?offset=#page=29&amp;viewer=picture&amp;o=info&amp;n=0&amp;q=</v>
      </c>
      <c r="N781" s="12" t="s">
        <v>1497</v>
      </c>
      <c r="O781" s="12" t="str">
        <f>CONCATENATE(N781,A781,"\",B781,"\",C781,".jpg")</f>
        <v>C:\Users\mbaptista\OneDrive - Biblioteca Nacional de Portugal\Documentos\python\camoniana\imagens\capas\381202\1\29.jpg</v>
      </c>
      <c r="P781" s="12" t="str">
        <f>HYPERLINK(O781)</f>
        <v>C:\Users\mbaptista\OneDrive - Biblioteca Nacional de Portugal\Documentos\python\camoniana\imagens\capas\381202\1\29.jpg</v>
      </c>
      <c r="Q781" s="12"/>
      <c r="R781" s="6" t="s">
        <v>1046</v>
      </c>
      <c r="S781" s="12"/>
      <c r="T781" s="1" t="s">
        <v>1045</v>
      </c>
      <c r="U781" s="13"/>
      <c r="V781" s="13"/>
      <c r="W781" s="5" t="s">
        <v>1491</v>
      </c>
    </row>
    <row r="782" spans="1:23" ht="225">
      <c r="A782" s="1">
        <v>381202</v>
      </c>
      <c r="B782" s="1">
        <v>1</v>
      </c>
      <c r="C782" s="1">
        <v>100</v>
      </c>
      <c r="D782" s="2" t="s">
        <v>1043</v>
      </c>
      <c r="E782" s="5" t="s">
        <v>1043</v>
      </c>
      <c r="F782" s="5">
        <v>14624</v>
      </c>
      <c r="G782" s="2" t="s">
        <v>1494</v>
      </c>
      <c r="H782" s="2" t="s">
        <v>1495</v>
      </c>
      <c r="I782" s="2" t="s">
        <v>1496</v>
      </c>
      <c r="J782" s="2" t="str">
        <f>CONCATENATE(G782,F782,H782,C782,I782)</f>
        <v>https://permalinkbnd.bnportugal.gov.pt/viewer/14624/?offset=#page=100&amp;viewer=picture&amp;o=info&amp;n=0&amp;q=</v>
      </c>
      <c r="K782" s="1" t="s">
        <v>1044</v>
      </c>
      <c r="L782" s="1" t="str">
        <f>VLOOKUP(A782,Folha2!$A$2:$B$2019,2,FALSE)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2" s="12" t="str">
        <f>HYPERLINK(J782)</f>
        <v>https://permalinkbnd.bnportugal.gov.pt/viewer/14624/?offset=#page=100&amp;viewer=picture&amp;o=info&amp;n=0&amp;q=</v>
      </c>
      <c r="N782" s="12" t="s">
        <v>1497</v>
      </c>
      <c r="O782" s="12" t="str">
        <f>CONCATENATE(N782,A782,"\",B782,"\",C782,".jpg")</f>
        <v>C:\Users\mbaptista\OneDrive - Biblioteca Nacional de Portugal\Documentos\python\camoniana\imagens\capas\381202\1\100.jpg</v>
      </c>
      <c r="P782" s="12" t="str">
        <f>HYPERLINK(O782)</f>
        <v>C:\Users\mbaptista\OneDrive - Biblioteca Nacional de Portugal\Documentos\python\camoniana\imagens\capas\381202\1\100.jpg</v>
      </c>
      <c r="Q782" s="12"/>
      <c r="R782" s="6" t="s">
        <v>1047</v>
      </c>
      <c r="S782" s="12"/>
      <c r="T782" s="1" t="s">
        <v>1045</v>
      </c>
      <c r="U782" s="13"/>
      <c r="V782" s="13"/>
      <c r="W782" s="5" t="s">
        <v>1491</v>
      </c>
    </row>
    <row r="783" spans="1:23" ht="225">
      <c r="A783" s="1">
        <v>381202</v>
      </c>
      <c r="B783" s="1">
        <v>1</v>
      </c>
      <c r="C783" s="1">
        <v>216</v>
      </c>
      <c r="D783" s="2" t="s">
        <v>1043</v>
      </c>
      <c r="E783" s="11" t="s">
        <v>1043</v>
      </c>
      <c r="F783" s="11">
        <v>14624</v>
      </c>
      <c r="G783" s="2" t="s">
        <v>1494</v>
      </c>
      <c r="H783" s="2" t="s">
        <v>1495</v>
      </c>
      <c r="I783" s="2" t="s">
        <v>1496</v>
      </c>
      <c r="J783" s="2" t="str">
        <f>CONCATENATE(G783,F783,H783,C783,I783)</f>
        <v>https://permalinkbnd.bnportugal.gov.pt/viewer/14624/?offset=#page=216&amp;viewer=picture&amp;o=info&amp;n=0&amp;q=</v>
      </c>
      <c r="K783" s="1" t="s">
        <v>1044</v>
      </c>
      <c r="L783" s="1" t="str">
        <f>VLOOKUP(A783,Folha2!$A$2:$B$2019,2,FALSE)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3" s="12" t="str">
        <f>HYPERLINK(J783)</f>
        <v>https://permalinkbnd.bnportugal.gov.pt/viewer/14624/?offset=#page=216&amp;viewer=picture&amp;o=info&amp;n=0&amp;q=</v>
      </c>
      <c r="N783" s="12" t="s">
        <v>1497</v>
      </c>
      <c r="O783" s="12" t="str">
        <f>CONCATENATE(N783,A783,"\",B783,"\",C783,".jpg")</f>
        <v>C:\Users\mbaptista\OneDrive - Biblioteca Nacional de Portugal\Documentos\python\camoniana\imagens\capas\381202\1\216.jpg</v>
      </c>
      <c r="P783" s="12" t="str">
        <f>HYPERLINK(O783)</f>
        <v>C:\Users\mbaptista\OneDrive - Biblioteca Nacional de Portugal\Documentos\python\camoniana\imagens\capas\381202\1\216.jpg</v>
      </c>
      <c r="Q783" s="12"/>
      <c r="R783" s="6" t="s">
        <v>1048</v>
      </c>
      <c r="S783" s="12"/>
      <c r="T783" s="1" t="s">
        <v>1045</v>
      </c>
      <c r="U783" s="13"/>
      <c r="V783" s="13"/>
      <c r="W783" s="5" t="s">
        <v>1491</v>
      </c>
    </row>
    <row r="784" spans="1:23" ht="225">
      <c r="A784" s="1">
        <v>381202</v>
      </c>
      <c r="B784" s="1">
        <v>1</v>
      </c>
      <c r="C784" s="1">
        <v>297</v>
      </c>
      <c r="D784" s="2" t="s">
        <v>1043</v>
      </c>
      <c r="E784" s="5" t="s">
        <v>1043</v>
      </c>
      <c r="F784" s="5">
        <v>14624</v>
      </c>
      <c r="G784" s="2" t="s">
        <v>1494</v>
      </c>
      <c r="H784" s="2" t="s">
        <v>1495</v>
      </c>
      <c r="I784" s="2" t="s">
        <v>1496</v>
      </c>
      <c r="J784" s="2" t="str">
        <f>CONCATENATE(G784,F784,H784,C784,I784)</f>
        <v>https://permalinkbnd.bnportugal.gov.pt/viewer/14624/?offset=#page=297&amp;viewer=picture&amp;o=info&amp;n=0&amp;q=</v>
      </c>
      <c r="K784" s="1" t="s">
        <v>1044</v>
      </c>
      <c r="L784" s="1" t="str">
        <f>VLOOKUP(A784,Folha2!$A$2:$B$2019,2,FALSE)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4" s="12" t="str">
        <f>HYPERLINK(J784)</f>
        <v>https://permalinkbnd.bnportugal.gov.pt/viewer/14624/?offset=#page=297&amp;viewer=picture&amp;o=info&amp;n=0&amp;q=</v>
      </c>
      <c r="N784" s="12" t="s">
        <v>1497</v>
      </c>
      <c r="O784" s="12" t="str">
        <f>CONCATENATE(N784,A784,"\",B784,"\",C784,".jpg")</f>
        <v>C:\Users\mbaptista\OneDrive - Biblioteca Nacional de Portugal\Documentos\python\camoniana\imagens\capas\381202\1\297.jpg</v>
      </c>
      <c r="P784" s="12" t="str">
        <f>HYPERLINK(O784)</f>
        <v>C:\Users\mbaptista\OneDrive - Biblioteca Nacional de Portugal\Documentos\python\camoniana\imagens\capas\381202\1\297.jpg</v>
      </c>
      <c r="Q784" s="12"/>
      <c r="R784" s="6" t="s">
        <v>1049</v>
      </c>
      <c r="S784" s="12"/>
      <c r="T784" s="1" t="s">
        <v>1045</v>
      </c>
      <c r="U784" s="13"/>
      <c r="V784" s="13"/>
      <c r="W784" s="5" t="s">
        <v>1491</v>
      </c>
    </row>
    <row r="785" spans="1:23" ht="225">
      <c r="A785" s="1">
        <v>381202</v>
      </c>
      <c r="B785" s="1">
        <v>1</v>
      </c>
      <c r="C785" s="1">
        <v>308</v>
      </c>
      <c r="D785" s="2" t="s">
        <v>1043</v>
      </c>
      <c r="E785" s="11" t="s">
        <v>1043</v>
      </c>
      <c r="F785" s="11">
        <v>14624</v>
      </c>
      <c r="G785" s="2" t="s">
        <v>1494</v>
      </c>
      <c r="H785" s="2" t="s">
        <v>1495</v>
      </c>
      <c r="I785" s="2" t="s">
        <v>1496</v>
      </c>
      <c r="J785" s="2" t="str">
        <f>CONCATENATE(G785,F785,H785,C785,I785)</f>
        <v>https://permalinkbnd.bnportugal.gov.pt/viewer/14624/?offset=#page=308&amp;viewer=picture&amp;o=info&amp;n=0&amp;q=</v>
      </c>
      <c r="K785" s="1" t="s">
        <v>1044</v>
      </c>
      <c r="L785" s="1" t="str">
        <f>VLOOKUP(A785,Folha2!$A$2:$B$2019,2,FALSE)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5" s="12" t="str">
        <f>HYPERLINK(J785)</f>
        <v>https://permalinkbnd.bnportugal.gov.pt/viewer/14624/?offset=#page=308&amp;viewer=picture&amp;o=info&amp;n=0&amp;q=</v>
      </c>
      <c r="N785" s="12" t="s">
        <v>1497</v>
      </c>
      <c r="O785" s="12" t="str">
        <f>CONCATENATE(N785,A785,"\",B785,"\",C785,".jpg")</f>
        <v>C:\Users\mbaptista\OneDrive - Biblioteca Nacional de Portugal\Documentos\python\camoniana\imagens\capas\381202\1\308.jpg</v>
      </c>
      <c r="P785" s="12" t="str">
        <f>HYPERLINK(O785)</f>
        <v>C:\Users\mbaptista\OneDrive - Biblioteca Nacional de Portugal\Documentos\python\camoniana\imagens\capas\381202\1\308.jpg</v>
      </c>
      <c r="Q785" s="12"/>
      <c r="R785" s="6" t="s">
        <v>1050</v>
      </c>
      <c r="S785" s="12"/>
      <c r="T785" s="1" t="s">
        <v>1045</v>
      </c>
      <c r="U785" s="13"/>
      <c r="V785" s="13"/>
      <c r="W785" s="5" t="s">
        <v>1491</v>
      </c>
    </row>
    <row r="786" spans="1:23" ht="225">
      <c r="A786" s="1">
        <v>381202</v>
      </c>
      <c r="B786" s="1">
        <v>1</v>
      </c>
      <c r="C786" s="1">
        <v>347</v>
      </c>
      <c r="D786" s="2" t="s">
        <v>1043</v>
      </c>
      <c r="E786" s="5" t="s">
        <v>1043</v>
      </c>
      <c r="F786" s="5">
        <v>14624</v>
      </c>
      <c r="G786" s="2" t="s">
        <v>1494</v>
      </c>
      <c r="H786" s="2" t="s">
        <v>1495</v>
      </c>
      <c r="I786" s="2" t="s">
        <v>1496</v>
      </c>
      <c r="J786" s="2" t="str">
        <f>CONCATENATE(G786,F786,H786,C786,I786)</f>
        <v>https://permalinkbnd.bnportugal.gov.pt/viewer/14624/?offset=#page=347&amp;viewer=picture&amp;o=info&amp;n=0&amp;q=</v>
      </c>
      <c r="K786" s="1" t="s">
        <v>1044</v>
      </c>
      <c r="L786" s="1" t="str">
        <f>VLOOKUP(A786,Folha2!$A$2:$B$2019,2,FALSE)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6" s="12" t="str">
        <f>HYPERLINK(J786)</f>
        <v>https://permalinkbnd.bnportugal.gov.pt/viewer/14624/?offset=#page=347&amp;viewer=picture&amp;o=info&amp;n=0&amp;q=</v>
      </c>
      <c r="N786" s="12" t="s">
        <v>1497</v>
      </c>
      <c r="O786" s="12" t="str">
        <f>CONCATENATE(N786,A786,"\",B786,"\",C786,".jpg")</f>
        <v>C:\Users\mbaptista\OneDrive - Biblioteca Nacional de Portugal\Documentos\python\camoniana\imagens\capas\381202\1\347.jpg</v>
      </c>
      <c r="P786" s="12" t="str">
        <f>HYPERLINK(O786)</f>
        <v>C:\Users\mbaptista\OneDrive - Biblioteca Nacional de Portugal\Documentos\python\camoniana\imagens\capas\381202\1\347.jpg</v>
      </c>
      <c r="Q786" s="12"/>
      <c r="R786" s="6"/>
      <c r="S786" s="12"/>
      <c r="T786" s="1"/>
      <c r="U786" s="13"/>
      <c r="V786" s="13"/>
      <c r="W786" s="5"/>
    </row>
    <row r="787" spans="1:23" ht="225">
      <c r="A787" s="1">
        <v>381202</v>
      </c>
      <c r="B787" s="1">
        <v>1</v>
      </c>
      <c r="C787" s="1">
        <v>348</v>
      </c>
      <c r="D787" s="2" t="s">
        <v>1043</v>
      </c>
      <c r="E787" s="11" t="s">
        <v>1043</v>
      </c>
      <c r="F787" s="11">
        <v>14624</v>
      </c>
      <c r="G787" s="2" t="s">
        <v>1494</v>
      </c>
      <c r="H787" s="2" t="s">
        <v>1495</v>
      </c>
      <c r="I787" s="2" t="s">
        <v>1496</v>
      </c>
      <c r="J787" s="2" t="str">
        <f>CONCATENATE(G787,F787,H787,C787,I787)</f>
        <v>https://permalinkbnd.bnportugal.gov.pt/viewer/14624/?offset=#page=348&amp;viewer=picture&amp;o=info&amp;n=0&amp;q=</v>
      </c>
      <c r="K787" s="1" t="s">
        <v>1044</v>
      </c>
      <c r="L787" s="1" t="str">
        <f>VLOOKUP(A787,Folha2!$A$2:$B$2019,2,FALSE)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7" s="12" t="str">
        <f>HYPERLINK(J787)</f>
        <v>https://permalinkbnd.bnportugal.gov.pt/viewer/14624/?offset=#page=348&amp;viewer=picture&amp;o=info&amp;n=0&amp;q=</v>
      </c>
      <c r="N787" s="12" t="s">
        <v>1497</v>
      </c>
      <c r="O787" s="12" t="str">
        <f>CONCATENATE(N787,A787,"\",B787,"\",C787,".jpg")</f>
        <v>C:\Users\mbaptista\OneDrive - Biblioteca Nacional de Portugal\Documentos\python\camoniana\imagens\capas\381202\1\348.jpg</v>
      </c>
      <c r="P787" s="12" t="str">
        <f>HYPERLINK(O787)</f>
        <v>C:\Users\mbaptista\OneDrive - Biblioteca Nacional de Portugal\Documentos\python\camoniana\imagens\capas\381202\1\348.jpg</v>
      </c>
      <c r="Q787" s="12"/>
      <c r="R787" s="6"/>
      <c r="S787" s="12"/>
      <c r="T787" s="1"/>
      <c r="U787" s="13"/>
      <c r="V787" s="13"/>
      <c r="W787" s="5"/>
    </row>
    <row r="788" spans="1:23" ht="225">
      <c r="A788" s="1">
        <v>381202</v>
      </c>
      <c r="B788" s="1">
        <v>1</v>
      </c>
      <c r="C788" s="1">
        <v>349</v>
      </c>
      <c r="D788" s="2" t="s">
        <v>1043</v>
      </c>
      <c r="E788" s="5" t="s">
        <v>1043</v>
      </c>
      <c r="F788" s="5">
        <v>14624</v>
      </c>
      <c r="G788" s="2" t="s">
        <v>1494</v>
      </c>
      <c r="H788" s="2" t="s">
        <v>1495</v>
      </c>
      <c r="I788" s="2" t="s">
        <v>1496</v>
      </c>
      <c r="J788" s="2" t="str">
        <f>CONCATENATE(G788,F788,H788,C788,I788)</f>
        <v>https://permalinkbnd.bnportugal.gov.pt/viewer/14624/?offset=#page=349&amp;viewer=picture&amp;o=info&amp;n=0&amp;q=</v>
      </c>
      <c r="K788" s="1" t="s">
        <v>1044</v>
      </c>
      <c r="L788" s="1" t="str">
        <f>VLOOKUP(A788,Folha2!$A$2:$B$2019,2,FALSE)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8" s="12" t="str">
        <f>HYPERLINK(J788)</f>
        <v>https://permalinkbnd.bnportugal.gov.pt/viewer/14624/?offset=#page=349&amp;viewer=picture&amp;o=info&amp;n=0&amp;q=</v>
      </c>
      <c r="N788" s="12" t="s">
        <v>1497</v>
      </c>
      <c r="O788" s="12" t="str">
        <f>CONCATENATE(N788,A788,"\",B788,"\",C788,".jpg")</f>
        <v>C:\Users\mbaptista\OneDrive - Biblioteca Nacional de Portugal\Documentos\python\camoniana\imagens\capas\381202\1\349.jpg</v>
      </c>
      <c r="P788" s="12" t="str">
        <f>HYPERLINK(O788)</f>
        <v>C:\Users\mbaptista\OneDrive - Biblioteca Nacional de Portugal\Documentos\python\camoniana\imagens\capas\381202\1\349.jpg</v>
      </c>
      <c r="Q788" s="12"/>
      <c r="R788" s="6"/>
      <c r="S788" s="12"/>
      <c r="T788" s="1"/>
      <c r="U788" s="13"/>
      <c r="V788" s="13"/>
      <c r="W788" s="5"/>
    </row>
    <row r="789" spans="1:23" ht="225">
      <c r="A789" s="1">
        <v>381202</v>
      </c>
      <c r="B789" s="1">
        <v>1</v>
      </c>
      <c r="C789" s="1">
        <v>424</v>
      </c>
      <c r="D789" s="2" t="s">
        <v>1043</v>
      </c>
      <c r="E789" s="11" t="s">
        <v>1043</v>
      </c>
      <c r="F789" s="11">
        <v>14624</v>
      </c>
      <c r="G789" s="2" t="s">
        <v>1494</v>
      </c>
      <c r="H789" s="2" t="s">
        <v>1495</v>
      </c>
      <c r="I789" s="2" t="s">
        <v>1496</v>
      </c>
      <c r="J789" s="2" t="str">
        <f>CONCATENATE(G789,F789,H789,C789,I789)</f>
        <v>https://permalinkbnd.bnportugal.gov.pt/viewer/14624/?offset=#page=424&amp;viewer=picture&amp;o=info&amp;n=0&amp;q=</v>
      </c>
      <c r="K789" s="1" t="s">
        <v>1044</v>
      </c>
      <c r="L789" s="1" t="str">
        <f>VLOOKUP(A789,Folha2!$A$2:$B$2019,2,FALSE)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89" s="12" t="str">
        <f>HYPERLINK(J789)</f>
        <v>https://permalinkbnd.bnportugal.gov.pt/viewer/14624/?offset=#page=424&amp;viewer=picture&amp;o=info&amp;n=0&amp;q=</v>
      </c>
      <c r="N789" s="12" t="s">
        <v>1497</v>
      </c>
      <c r="O789" s="12" t="str">
        <f>CONCATENATE(N789,A789,"\",B789,"\",C789,".jpg")</f>
        <v>C:\Users\mbaptista\OneDrive - Biblioteca Nacional de Portugal\Documentos\python\camoniana\imagens\capas\381202\1\424.jpg</v>
      </c>
      <c r="P789" s="12" t="str">
        <f>HYPERLINK(O789)</f>
        <v>C:\Users\mbaptista\OneDrive - Biblioteca Nacional de Portugal\Documentos\python\camoniana\imagens\capas\381202\1\424.jpg</v>
      </c>
      <c r="Q789" s="12"/>
      <c r="R789" s="6" t="s">
        <v>1051</v>
      </c>
      <c r="S789" s="12"/>
      <c r="T789" s="1" t="s">
        <v>1045</v>
      </c>
      <c r="U789" s="13"/>
      <c r="V789" s="13"/>
      <c r="W789" s="5" t="s">
        <v>1491</v>
      </c>
    </row>
    <row r="790" spans="1:23" ht="225">
      <c r="A790" s="1">
        <v>381202</v>
      </c>
      <c r="B790" s="1">
        <v>1</v>
      </c>
      <c r="C790" s="1">
        <v>530</v>
      </c>
      <c r="D790" s="2" t="s">
        <v>1043</v>
      </c>
      <c r="E790" s="5" t="s">
        <v>1043</v>
      </c>
      <c r="F790" s="5">
        <v>14624</v>
      </c>
      <c r="G790" s="2" t="s">
        <v>1494</v>
      </c>
      <c r="H790" s="2" t="s">
        <v>1495</v>
      </c>
      <c r="I790" s="2" t="s">
        <v>1496</v>
      </c>
      <c r="J790" s="2" t="str">
        <f>CONCATENATE(G790,F790,H790,C790,I790)</f>
        <v>https://permalinkbnd.bnportugal.gov.pt/viewer/14624/?offset=#page=530&amp;viewer=picture&amp;o=info&amp;n=0&amp;q=</v>
      </c>
      <c r="K790" s="1" t="s">
        <v>1044</v>
      </c>
      <c r="L790" s="1" t="str">
        <f>VLOOKUP(A790,Folha2!$A$2:$B$2019,2,FALSE)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0" s="12" t="str">
        <f>HYPERLINK(J790)</f>
        <v>https://permalinkbnd.bnportugal.gov.pt/viewer/14624/?offset=#page=530&amp;viewer=picture&amp;o=info&amp;n=0&amp;q=</v>
      </c>
      <c r="N790" s="12" t="s">
        <v>1497</v>
      </c>
      <c r="O790" s="12" t="str">
        <f>CONCATENATE(N790,A790,"\",B790,"\",C790,".jpg")</f>
        <v>C:\Users\mbaptista\OneDrive - Biblioteca Nacional de Portugal\Documentos\python\camoniana\imagens\capas\381202\1\530.jpg</v>
      </c>
      <c r="P790" s="12" t="str">
        <f>HYPERLINK(O790)</f>
        <v>C:\Users\mbaptista\OneDrive - Biblioteca Nacional de Portugal\Documentos\python\camoniana\imagens\capas\381202\1\530.jpg</v>
      </c>
      <c r="Q790" s="12"/>
      <c r="R790" s="6" t="s">
        <v>1052</v>
      </c>
      <c r="S790" s="12"/>
      <c r="T790" s="1" t="s">
        <v>1045</v>
      </c>
      <c r="U790" s="13"/>
      <c r="V790" s="13"/>
      <c r="W790" s="5" t="s">
        <v>1491</v>
      </c>
    </row>
    <row r="791" spans="1:23" ht="225">
      <c r="A791" s="1">
        <v>381202</v>
      </c>
      <c r="B791" s="1">
        <v>2</v>
      </c>
      <c r="C791" s="1">
        <v>7</v>
      </c>
      <c r="D791" s="2" t="s">
        <v>1043</v>
      </c>
      <c r="E791" s="11" t="s">
        <v>1043</v>
      </c>
      <c r="F791" s="11">
        <v>14624</v>
      </c>
      <c r="G791" s="2" t="s">
        <v>1494</v>
      </c>
      <c r="H791" s="2" t="s">
        <v>1495</v>
      </c>
      <c r="I791" s="2" t="s">
        <v>1496</v>
      </c>
      <c r="J791" s="2" t="str">
        <f>CONCATENATE(G791,F791,H791,C791,I791)</f>
        <v>https://permalinkbnd.bnportugal.gov.pt/viewer/14624/?offset=#page=7&amp;viewer=picture&amp;o=info&amp;n=0&amp;q=</v>
      </c>
      <c r="K791" s="1" t="s">
        <v>1044</v>
      </c>
      <c r="L791" s="1" t="str">
        <f>VLOOKUP(A791,Folha2!$A$2:$B$2019,2,FALSE)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1" s="12" t="s">
        <v>1531</v>
      </c>
      <c r="N791" s="12" t="s">
        <v>1497</v>
      </c>
      <c r="O791" s="12" t="str">
        <f>CONCATENATE(N791,A791,"\",B791,"\",C791,".jpg")</f>
        <v>C:\Users\mbaptista\OneDrive - Biblioteca Nacional de Portugal\Documentos\python\camoniana\imagens\capas\381202\2\7.jpg</v>
      </c>
      <c r="P791" s="12" t="str">
        <f>HYPERLINK(O791)</f>
        <v>C:\Users\mbaptista\OneDrive - Biblioteca Nacional de Portugal\Documentos\python\camoniana\imagens\capas\381202\2\7.jpg</v>
      </c>
      <c r="Q791" s="12"/>
      <c r="R791" s="6" t="s">
        <v>1053</v>
      </c>
      <c r="S791" s="12"/>
      <c r="T791" s="1" t="s">
        <v>1045</v>
      </c>
      <c r="U791" s="13"/>
      <c r="V791" s="13"/>
      <c r="W791" s="5" t="s">
        <v>1491</v>
      </c>
    </row>
    <row r="792" spans="1:23" ht="225">
      <c r="A792" s="1">
        <v>381202</v>
      </c>
      <c r="B792" s="1">
        <v>2</v>
      </c>
      <c r="C792" s="1">
        <v>10</v>
      </c>
      <c r="D792" s="2" t="s">
        <v>1043</v>
      </c>
      <c r="E792" s="5" t="s">
        <v>1043</v>
      </c>
      <c r="F792" s="5">
        <v>14624</v>
      </c>
      <c r="G792" s="2" t="s">
        <v>1494</v>
      </c>
      <c r="H792" s="2" t="s">
        <v>1495</v>
      </c>
      <c r="I792" s="2" t="s">
        <v>1496</v>
      </c>
      <c r="J792" s="2" t="str">
        <f>CONCATENATE(G792,F792,H792,C792,I792)</f>
        <v>https://permalinkbnd.bnportugal.gov.pt/viewer/14624/?offset=#page=10&amp;viewer=picture&amp;o=info&amp;n=0&amp;q=</v>
      </c>
      <c r="K792" s="1" t="s">
        <v>1044</v>
      </c>
      <c r="L792" s="1" t="str">
        <f>VLOOKUP(A792,Folha2!$A$2:$B$2019,2,FALSE)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2" s="12" t="s">
        <v>1532</v>
      </c>
      <c r="N792" s="12" t="s">
        <v>1497</v>
      </c>
      <c r="O792" s="12" t="str">
        <f>CONCATENATE(N792,A792,"\",B792,"\",C792,".jpg")</f>
        <v>C:\Users\mbaptista\OneDrive - Biblioteca Nacional de Portugal\Documentos\python\camoniana\imagens\capas\381202\2\10.jpg</v>
      </c>
      <c r="P792" s="12" t="str">
        <f>HYPERLINK(O792)</f>
        <v>C:\Users\mbaptista\OneDrive - Biblioteca Nacional de Portugal\Documentos\python\camoniana\imagens\capas\381202\2\10.jpg</v>
      </c>
      <c r="Q792" s="12"/>
      <c r="R792" s="6" t="s">
        <v>1054</v>
      </c>
      <c r="S792" s="12"/>
      <c r="T792" s="1" t="s">
        <v>1045</v>
      </c>
      <c r="U792" s="13"/>
      <c r="V792" s="13"/>
      <c r="W792" s="5" t="s">
        <v>1491</v>
      </c>
    </row>
    <row r="793" spans="1:23" ht="225">
      <c r="A793" s="1">
        <v>381202</v>
      </c>
      <c r="B793" s="1">
        <v>2</v>
      </c>
      <c r="C793" s="1">
        <v>76</v>
      </c>
      <c r="D793" s="2" t="s">
        <v>1043</v>
      </c>
      <c r="E793" s="11" t="s">
        <v>1043</v>
      </c>
      <c r="F793" s="11">
        <v>14624</v>
      </c>
      <c r="G793" s="2" t="s">
        <v>1494</v>
      </c>
      <c r="H793" s="2" t="s">
        <v>1495</v>
      </c>
      <c r="I793" s="2" t="s">
        <v>1496</v>
      </c>
      <c r="J793" s="2" t="str">
        <f>CONCATENATE(G793,F793,H793,C793,I793)</f>
        <v>https://permalinkbnd.bnportugal.gov.pt/viewer/14624/?offset=#page=76&amp;viewer=picture&amp;o=info&amp;n=0&amp;q=</v>
      </c>
      <c r="K793" s="1" t="s">
        <v>1044</v>
      </c>
      <c r="L793" s="1" t="str">
        <f>VLOOKUP(A793,Folha2!$A$2:$B$2019,2,FALSE)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3" s="12" t="s">
        <v>1533</v>
      </c>
      <c r="N793" s="12" t="s">
        <v>1497</v>
      </c>
      <c r="O793" s="12" t="str">
        <f>CONCATENATE(N793,A793,"\",B793,"\",C793,".jpg")</f>
        <v>C:\Users\mbaptista\OneDrive - Biblioteca Nacional de Portugal\Documentos\python\camoniana\imagens\capas\381202\2\76.jpg</v>
      </c>
      <c r="P793" s="12" t="str">
        <f>HYPERLINK(O793)</f>
        <v>C:\Users\mbaptista\OneDrive - Biblioteca Nacional de Portugal\Documentos\python\camoniana\imagens\capas\381202\2\76.jpg</v>
      </c>
      <c r="Q793" s="12"/>
      <c r="R793" s="6" t="s">
        <v>1055</v>
      </c>
      <c r="S793" s="12"/>
      <c r="T793" s="1" t="s">
        <v>1045</v>
      </c>
      <c r="U793" s="13"/>
      <c r="V793" s="13"/>
      <c r="W793" s="5" t="s">
        <v>1491</v>
      </c>
    </row>
    <row r="794" spans="1:23" ht="225">
      <c r="A794" s="1">
        <v>381202</v>
      </c>
      <c r="B794" s="1">
        <v>2</v>
      </c>
      <c r="C794" s="1">
        <v>114</v>
      </c>
      <c r="D794" s="2" t="s">
        <v>1043</v>
      </c>
      <c r="E794" s="5" t="s">
        <v>1043</v>
      </c>
      <c r="F794" s="5">
        <v>14624</v>
      </c>
      <c r="G794" s="2" t="s">
        <v>1494</v>
      </c>
      <c r="H794" s="2" t="s">
        <v>1495</v>
      </c>
      <c r="I794" s="2" t="s">
        <v>1496</v>
      </c>
      <c r="J794" s="2" t="str">
        <f>CONCATENATE(G794,F794,H794,C794,I794)</f>
        <v>https://permalinkbnd.bnportugal.gov.pt/viewer/14624/?offset=#page=114&amp;viewer=picture&amp;o=info&amp;n=0&amp;q=</v>
      </c>
      <c r="K794" s="1" t="s">
        <v>1044</v>
      </c>
      <c r="L794" s="1" t="str">
        <f>VLOOKUP(A794,Folha2!$A$2:$B$2019,2,FALSE)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4" s="12" t="s">
        <v>1534</v>
      </c>
      <c r="N794" s="12" t="s">
        <v>1497</v>
      </c>
      <c r="O794" s="12" t="str">
        <f>CONCATENATE(N794,A794,"\",B794,"\",C794,".jpg")</f>
        <v>C:\Users\mbaptista\OneDrive - Biblioteca Nacional de Portugal\Documentos\python\camoniana\imagens\capas\381202\2\114.jpg</v>
      </c>
      <c r="P794" s="12" t="str">
        <f>HYPERLINK(O794)</f>
        <v>C:\Users\mbaptista\OneDrive - Biblioteca Nacional de Portugal\Documentos\python\camoniana\imagens\capas\381202\2\114.jpg</v>
      </c>
      <c r="Q794" s="12"/>
      <c r="R794" s="6" t="s">
        <v>1056</v>
      </c>
      <c r="S794" s="12"/>
      <c r="T794" s="1" t="s">
        <v>1045</v>
      </c>
      <c r="U794" s="13"/>
      <c r="V794" s="13"/>
      <c r="W794" s="5" t="s">
        <v>1491</v>
      </c>
    </row>
    <row r="795" spans="1:23" ht="225">
      <c r="A795" s="1">
        <v>381202</v>
      </c>
      <c r="B795" s="1">
        <v>2</v>
      </c>
      <c r="C795" s="1">
        <v>194</v>
      </c>
      <c r="D795" s="2" t="s">
        <v>1043</v>
      </c>
      <c r="E795" s="11" t="s">
        <v>1043</v>
      </c>
      <c r="F795" s="11">
        <v>14624</v>
      </c>
      <c r="G795" s="2" t="s">
        <v>1494</v>
      </c>
      <c r="H795" s="2" t="s">
        <v>1495</v>
      </c>
      <c r="I795" s="2" t="s">
        <v>1496</v>
      </c>
      <c r="J795" s="2" t="str">
        <f>CONCATENATE(G795,F795,H795,C795,I795)</f>
        <v>https://permalinkbnd.bnportugal.gov.pt/viewer/14624/?offset=#page=194&amp;viewer=picture&amp;o=info&amp;n=0&amp;q=</v>
      </c>
      <c r="K795" s="1" t="s">
        <v>1044</v>
      </c>
      <c r="L795" s="1" t="str">
        <f>VLOOKUP(A795,Folha2!$A$2:$B$2019,2,FALSE)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5" s="12" t="s">
        <v>1535</v>
      </c>
      <c r="N795" s="12" t="s">
        <v>1497</v>
      </c>
      <c r="O795" s="12" t="str">
        <f>CONCATENATE(N795,A795,"\",B795,"\",C795,".jpg")</f>
        <v>C:\Users\mbaptista\OneDrive - Biblioteca Nacional de Portugal\Documentos\python\camoniana\imagens\capas\381202\2\194.jpg</v>
      </c>
      <c r="P795" s="12" t="str">
        <f>HYPERLINK(O795)</f>
        <v>C:\Users\mbaptista\OneDrive - Biblioteca Nacional de Portugal\Documentos\python\camoniana\imagens\capas\381202\2\194.jpg</v>
      </c>
      <c r="Q795" s="12"/>
      <c r="R795" s="6" t="s">
        <v>1057</v>
      </c>
      <c r="S795" s="12"/>
      <c r="T795" s="1" t="s">
        <v>1045</v>
      </c>
      <c r="U795" s="13"/>
      <c r="V795" s="13"/>
      <c r="W795" s="5" t="s">
        <v>1491</v>
      </c>
    </row>
    <row r="796" spans="1:23" ht="225">
      <c r="A796" s="1">
        <v>381202</v>
      </c>
      <c r="B796" s="1">
        <v>2</v>
      </c>
      <c r="C796" s="1">
        <v>274</v>
      </c>
      <c r="D796" s="2" t="s">
        <v>1043</v>
      </c>
      <c r="E796" s="5" t="s">
        <v>1043</v>
      </c>
      <c r="F796" s="5">
        <v>14624</v>
      </c>
      <c r="G796" s="2" t="s">
        <v>1494</v>
      </c>
      <c r="H796" s="2" t="s">
        <v>1495</v>
      </c>
      <c r="I796" s="2" t="s">
        <v>1496</v>
      </c>
      <c r="J796" s="2" t="str">
        <f>CONCATENATE(G796,F796,H796,C796,I796)</f>
        <v>https://permalinkbnd.bnportugal.gov.pt/viewer/14624/?offset=#page=274&amp;viewer=picture&amp;o=info&amp;n=0&amp;q=</v>
      </c>
      <c r="K796" s="1" t="s">
        <v>1044</v>
      </c>
      <c r="L796" s="1" t="str">
        <f>VLOOKUP(A796,Folha2!$A$2:$B$2019,2,FALSE)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6" s="12" t="s">
        <v>1536</v>
      </c>
      <c r="N796" s="12" t="s">
        <v>1497</v>
      </c>
      <c r="O796" s="12" t="str">
        <f>CONCATENATE(N796,A796,"\",B796,"\",C796,".jpg")</f>
        <v>C:\Users\mbaptista\OneDrive - Biblioteca Nacional de Portugal\Documentos\python\camoniana\imagens\capas\381202\2\274.jpg</v>
      </c>
      <c r="P796" s="12" t="str">
        <f>HYPERLINK(O796)</f>
        <v>C:\Users\mbaptista\OneDrive - Biblioteca Nacional de Portugal\Documentos\python\camoniana\imagens\capas\381202\2\274.jpg</v>
      </c>
      <c r="Q796" s="12"/>
      <c r="R796" s="6" t="s">
        <v>1058</v>
      </c>
      <c r="S796" s="12"/>
      <c r="T796" s="1" t="s">
        <v>1045</v>
      </c>
      <c r="U796" s="13"/>
      <c r="V796" s="13"/>
      <c r="W796" s="5" t="s">
        <v>1491</v>
      </c>
    </row>
    <row r="797" spans="1:23" ht="225">
      <c r="A797" s="1">
        <v>381202</v>
      </c>
      <c r="B797" s="1">
        <v>2</v>
      </c>
      <c r="C797" s="1">
        <v>418</v>
      </c>
      <c r="D797" s="2" t="s">
        <v>1043</v>
      </c>
      <c r="E797" s="11" t="s">
        <v>1043</v>
      </c>
      <c r="F797" s="11">
        <v>14624</v>
      </c>
      <c r="G797" s="2" t="s">
        <v>1494</v>
      </c>
      <c r="H797" s="2" t="s">
        <v>1495</v>
      </c>
      <c r="I797" s="2" t="s">
        <v>1496</v>
      </c>
      <c r="J797" s="2" t="str">
        <f>CONCATENATE(G797,F797,H797,C797,I797)</f>
        <v>https://permalinkbnd.bnportugal.gov.pt/viewer/14624/?offset=#page=418&amp;viewer=picture&amp;o=info&amp;n=0&amp;q=</v>
      </c>
      <c r="K797" s="1" t="s">
        <v>1044</v>
      </c>
      <c r="L797" s="1" t="str">
        <f>VLOOKUP(A797,Folha2!$A$2:$B$2019,2,FALSE)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7" s="12" t="s">
        <v>1537</v>
      </c>
      <c r="N797" s="12" t="s">
        <v>1497</v>
      </c>
      <c r="O797" s="12" t="str">
        <f>CONCATENATE(N797,A797,"\",B797,"\",C797,".jpg")</f>
        <v>C:\Users\mbaptista\OneDrive - Biblioteca Nacional de Portugal\Documentos\python\camoniana\imagens\capas\381202\2\418.jpg</v>
      </c>
      <c r="P797" s="12" t="str">
        <f>HYPERLINK(O797)</f>
        <v>C:\Users\mbaptista\OneDrive - Biblioteca Nacional de Portugal\Documentos\python\camoniana\imagens\capas\381202\2\418.jpg</v>
      </c>
      <c r="Q797" s="12"/>
      <c r="R797" s="6" t="s">
        <v>1059</v>
      </c>
      <c r="S797" s="12"/>
      <c r="T797" s="1" t="s">
        <v>1045</v>
      </c>
      <c r="U797" s="13"/>
      <c r="V797" s="13"/>
      <c r="W797" s="5" t="s">
        <v>1491</v>
      </c>
    </row>
    <row r="798" spans="1:23" ht="225">
      <c r="A798" s="1">
        <v>381202</v>
      </c>
      <c r="B798" s="1">
        <v>2</v>
      </c>
      <c r="C798" s="1">
        <v>454</v>
      </c>
      <c r="D798" s="2" t="s">
        <v>1043</v>
      </c>
      <c r="E798" s="5" t="s">
        <v>1043</v>
      </c>
      <c r="F798" s="5">
        <v>14624</v>
      </c>
      <c r="G798" s="2" t="s">
        <v>1494</v>
      </c>
      <c r="H798" s="2" t="s">
        <v>1495</v>
      </c>
      <c r="I798" s="2" t="s">
        <v>1496</v>
      </c>
      <c r="J798" s="2" t="str">
        <f>CONCATENATE(G798,F798,H798,C798,I798)</f>
        <v>https://permalinkbnd.bnportugal.gov.pt/viewer/14624/?offset=#page=454&amp;viewer=picture&amp;o=info&amp;n=0&amp;q=</v>
      </c>
      <c r="K798" s="1" t="s">
        <v>1044</v>
      </c>
      <c r="L798" s="1" t="str">
        <f>VLOOKUP(A798,Folha2!$A$2:$B$2019,2,FALSE)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8" s="12" t="s">
        <v>1538</v>
      </c>
      <c r="N798" s="12" t="s">
        <v>1497</v>
      </c>
      <c r="O798" s="12" t="str">
        <f>CONCATENATE(N798,A798,"\",B798,"\",C798,".jpg")</f>
        <v>C:\Users\mbaptista\OneDrive - Biblioteca Nacional de Portugal\Documentos\python\camoniana\imagens\capas\381202\2\454.jpg</v>
      </c>
      <c r="P798" s="12" t="str">
        <f>HYPERLINK(O798)</f>
        <v>C:\Users\mbaptista\OneDrive - Biblioteca Nacional de Portugal\Documentos\python\camoniana\imagens\capas\381202\2\454.jpg</v>
      </c>
      <c r="Q798" s="12"/>
      <c r="R798" s="6" t="s">
        <v>1060</v>
      </c>
      <c r="S798" s="12"/>
      <c r="T798" s="1" t="s">
        <v>1045</v>
      </c>
      <c r="U798" s="13"/>
      <c r="V798" s="13"/>
      <c r="W798" s="5" t="s">
        <v>1491</v>
      </c>
    </row>
    <row r="799" spans="1:23" ht="225">
      <c r="A799" s="1">
        <v>381202</v>
      </c>
      <c r="B799" s="1">
        <v>2</v>
      </c>
      <c r="C799" s="1">
        <v>463</v>
      </c>
      <c r="D799" s="2" t="s">
        <v>1043</v>
      </c>
      <c r="E799" s="11" t="s">
        <v>1043</v>
      </c>
      <c r="F799" s="11">
        <v>14624</v>
      </c>
      <c r="G799" s="2" t="s">
        <v>1494</v>
      </c>
      <c r="H799" s="2" t="s">
        <v>1495</v>
      </c>
      <c r="I799" s="2" t="s">
        <v>1496</v>
      </c>
      <c r="J799" s="2" t="str">
        <f>CONCATENATE(G799,F799,H799,C799,I799)</f>
        <v>https://permalinkbnd.bnportugal.gov.pt/viewer/14624/?offset=#page=463&amp;viewer=picture&amp;o=info&amp;n=0&amp;q=</v>
      </c>
      <c r="K799" s="1" t="s">
        <v>1044</v>
      </c>
      <c r="L799" s="1" t="str">
        <f>VLOOKUP(A799,Folha2!$A$2:$B$2019,2,FALSE)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799" s="12" t="s">
        <v>1539</v>
      </c>
      <c r="N799" s="12" t="s">
        <v>1497</v>
      </c>
      <c r="O799" s="12" t="str">
        <f>CONCATENATE(N799,A799,"\",B799,"\",C799,".jpg")</f>
        <v>C:\Users\mbaptista\OneDrive - Biblioteca Nacional de Portugal\Documentos\python\camoniana\imagens\capas\381202\2\463.jpg</v>
      </c>
      <c r="P799" s="12" t="str">
        <f>HYPERLINK(O799)</f>
        <v>C:\Users\mbaptista\OneDrive - Biblioteca Nacional de Portugal\Documentos\python\camoniana\imagens\capas\381202\2\463.jpg</v>
      </c>
      <c r="Q799" s="12"/>
      <c r="R799" s="6" t="s">
        <v>1061</v>
      </c>
      <c r="S799" s="12"/>
      <c r="T799" s="1" t="s">
        <v>1045</v>
      </c>
      <c r="U799" s="13"/>
      <c r="V799" s="13"/>
      <c r="W799" s="5" t="s">
        <v>1491</v>
      </c>
    </row>
    <row r="800" spans="1:23" ht="225">
      <c r="A800" s="1">
        <v>381202</v>
      </c>
      <c r="B800" s="1">
        <v>2</v>
      </c>
      <c r="C800" s="1">
        <v>465</v>
      </c>
      <c r="D800" s="2" t="s">
        <v>1043</v>
      </c>
      <c r="E800" s="5" t="s">
        <v>1043</v>
      </c>
      <c r="F800" s="5">
        <v>14624</v>
      </c>
      <c r="G800" s="2" t="s">
        <v>1494</v>
      </c>
      <c r="H800" s="2" t="s">
        <v>1495</v>
      </c>
      <c r="I800" s="2" t="s">
        <v>1496</v>
      </c>
      <c r="J800" s="2" t="str">
        <f>CONCATENATE(G800,F800,H800,C800,I800)</f>
        <v>https://permalinkbnd.bnportugal.gov.pt/viewer/14624/?offset=#page=465&amp;viewer=picture&amp;o=info&amp;n=0&amp;q=</v>
      </c>
      <c r="K800" s="1" t="s">
        <v>1044</v>
      </c>
      <c r="L800" s="1" t="str">
        <f>VLOOKUP(A800,Folha2!$A$2:$B$2019,2,FALSE)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0" s="12" t="s">
        <v>1540</v>
      </c>
      <c r="N800" s="12" t="s">
        <v>1497</v>
      </c>
      <c r="O800" s="12" t="str">
        <f>CONCATENATE(N800,A800,"\",B800,"\",C800,".jpg")</f>
        <v>C:\Users\mbaptista\OneDrive - Biblioteca Nacional de Portugal\Documentos\python\camoniana\imagens\capas\381202\2\465.jpg</v>
      </c>
      <c r="P800" s="12" t="str">
        <f>HYPERLINK(O800)</f>
        <v>C:\Users\mbaptista\OneDrive - Biblioteca Nacional de Portugal\Documentos\python\camoniana\imagens\capas\381202\2\465.jpg</v>
      </c>
      <c r="Q800" s="12"/>
      <c r="R800" s="6" t="s">
        <v>1062</v>
      </c>
      <c r="S800" s="12"/>
      <c r="T800" s="1" t="s">
        <v>1045</v>
      </c>
      <c r="U800" s="13"/>
      <c r="V800" s="13"/>
      <c r="W800" s="5" t="s">
        <v>1491</v>
      </c>
    </row>
    <row r="801" spans="1:23" ht="225">
      <c r="A801" s="1">
        <v>381202</v>
      </c>
      <c r="B801" s="1">
        <v>2</v>
      </c>
      <c r="C801" s="1">
        <v>466</v>
      </c>
      <c r="D801" s="2" t="s">
        <v>1043</v>
      </c>
      <c r="E801" s="11" t="s">
        <v>1043</v>
      </c>
      <c r="F801" s="11">
        <v>14624</v>
      </c>
      <c r="G801" s="2" t="s">
        <v>1494</v>
      </c>
      <c r="H801" s="2" t="s">
        <v>1495</v>
      </c>
      <c r="I801" s="2" t="s">
        <v>1496</v>
      </c>
      <c r="J801" s="2" t="str">
        <f>CONCATENATE(G801,F801,H801,C801,I801)</f>
        <v>https://permalinkbnd.bnportugal.gov.pt/viewer/14624/?offset=#page=466&amp;viewer=picture&amp;o=info&amp;n=0&amp;q=</v>
      </c>
      <c r="K801" s="1" t="s">
        <v>1044</v>
      </c>
      <c r="L801" s="1" t="str">
        <f>VLOOKUP(A801,Folha2!$A$2:$B$2019,2,FALSE)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1" s="12" t="s">
        <v>1541</v>
      </c>
      <c r="N801" s="12" t="s">
        <v>1497</v>
      </c>
      <c r="O801" s="12" t="str">
        <f>CONCATENATE(N801,A801,"\",B801,"\",C801,".jpg")</f>
        <v>C:\Users\mbaptista\OneDrive - Biblioteca Nacional de Portugal\Documentos\python\camoniana\imagens\capas\381202\2\466.jpg</v>
      </c>
      <c r="P801" s="12" t="str">
        <f>HYPERLINK(O801)</f>
        <v>C:\Users\mbaptista\OneDrive - Biblioteca Nacional de Portugal\Documentos\python\camoniana\imagens\capas\381202\2\466.jpg</v>
      </c>
      <c r="Q801" s="12"/>
      <c r="R801" s="6" t="s">
        <v>1063</v>
      </c>
      <c r="S801" s="12"/>
      <c r="T801" s="1" t="s">
        <v>1045</v>
      </c>
      <c r="U801" s="13"/>
      <c r="V801" s="13"/>
      <c r="W801" s="5" t="s">
        <v>1491</v>
      </c>
    </row>
    <row r="802" spans="1:23" ht="225">
      <c r="A802" s="1">
        <v>381202</v>
      </c>
      <c r="B802" s="1">
        <v>2</v>
      </c>
      <c r="C802" s="1">
        <v>468</v>
      </c>
      <c r="D802" s="2" t="s">
        <v>1043</v>
      </c>
      <c r="E802" s="5" t="s">
        <v>1043</v>
      </c>
      <c r="F802" s="5">
        <v>14624</v>
      </c>
      <c r="G802" s="2" t="s">
        <v>1494</v>
      </c>
      <c r="H802" s="2" t="s">
        <v>1495</v>
      </c>
      <c r="I802" s="2" t="s">
        <v>1496</v>
      </c>
      <c r="J802" s="2" t="str">
        <f>CONCATENATE(G802,F802,H802,C802,I802)</f>
        <v>https://permalinkbnd.bnportugal.gov.pt/viewer/14624/?offset=#page=468&amp;viewer=picture&amp;o=info&amp;n=0&amp;q=</v>
      </c>
      <c r="K802" s="1" t="s">
        <v>1044</v>
      </c>
      <c r="L802" s="1" t="str">
        <f>VLOOKUP(A802,Folha2!$A$2:$B$2019,2,FALSE)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2" s="12" t="s">
        <v>1542</v>
      </c>
      <c r="N802" s="12" t="s">
        <v>1497</v>
      </c>
      <c r="O802" s="12" t="str">
        <f>CONCATENATE(N802,A802,"\",B802,"\",C802,".jpg")</f>
        <v>C:\Users\mbaptista\OneDrive - Biblioteca Nacional de Portugal\Documentos\python\camoniana\imagens\capas\381202\2\468.jpg</v>
      </c>
      <c r="P802" s="12" t="str">
        <f>HYPERLINK(O802)</f>
        <v>C:\Users\mbaptista\OneDrive - Biblioteca Nacional de Portugal\Documentos\python\camoniana\imagens\capas\381202\2\468.jpg</v>
      </c>
      <c r="Q802" s="12"/>
      <c r="R802" s="6" t="s">
        <v>1064</v>
      </c>
      <c r="S802" s="12"/>
      <c r="T802" s="1" t="s">
        <v>1045</v>
      </c>
      <c r="U802" s="13"/>
      <c r="V802" s="13"/>
      <c r="W802" s="5" t="s">
        <v>1491</v>
      </c>
    </row>
    <row r="803" spans="1:23" ht="225">
      <c r="A803" s="1">
        <v>381202</v>
      </c>
      <c r="B803" s="1">
        <v>2</v>
      </c>
      <c r="C803" s="1">
        <v>472</v>
      </c>
      <c r="D803" s="2" t="s">
        <v>1043</v>
      </c>
      <c r="E803" s="11" t="s">
        <v>1043</v>
      </c>
      <c r="F803" s="11">
        <v>14624</v>
      </c>
      <c r="G803" s="2" t="s">
        <v>1494</v>
      </c>
      <c r="H803" s="2" t="s">
        <v>1495</v>
      </c>
      <c r="I803" s="2" t="s">
        <v>1496</v>
      </c>
      <c r="J803" s="2" t="str">
        <f>CONCATENATE(G803,F803,H803,C803,I803)</f>
        <v>https://permalinkbnd.bnportugal.gov.pt/viewer/14624/?offset=#page=472&amp;viewer=picture&amp;o=info&amp;n=0&amp;q=</v>
      </c>
      <c r="K803" s="1" t="s">
        <v>1044</v>
      </c>
      <c r="L803" s="1" t="str">
        <f>VLOOKUP(A803,Folha2!$A$2:$B$2019,2,FALSE)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3" s="12" t="s">
        <v>1543</v>
      </c>
      <c r="N803" s="12" t="s">
        <v>1497</v>
      </c>
      <c r="O803" s="12" t="str">
        <f>CONCATENATE(N803,A803,"\",B803,"\",C803,".jpg")</f>
        <v>C:\Users\mbaptista\OneDrive - Biblioteca Nacional de Portugal\Documentos\python\camoniana\imagens\capas\381202\2\472.jpg</v>
      </c>
      <c r="P803" s="12" t="str">
        <f>HYPERLINK(O803)</f>
        <v>C:\Users\mbaptista\OneDrive - Biblioteca Nacional de Portugal\Documentos\python\camoniana\imagens\capas\381202\2\472.jpg</v>
      </c>
      <c r="Q803" s="12"/>
      <c r="R803" s="6" t="s">
        <v>1065</v>
      </c>
      <c r="S803" s="12"/>
      <c r="T803" s="1" t="s">
        <v>1045</v>
      </c>
      <c r="U803" s="13"/>
      <c r="V803" s="13"/>
      <c r="W803" s="5" t="s">
        <v>1491</v>
      </c>
    </row>
    <row r="804" spans="1:23" ht="225">
      <c r="A804" s="1">
        <v>381202</v>
      </c>
      <c r="B804" s="1">
        <v>2</v>
      </c>
      <c r="C804" s="1">
        <v>473</v>
      </c>
      <c r="D804" s="2" t="s">
        <v>1043</v>
      </c>
      <c r="E804" s="5" t="s">
        <v>1043</v>
      </c>
      <c r="F804" s="5">
        <v>14624</v>
      </c>
      <c r="G804" s="2" t="s">
        <v>1494</v>
      </c>
      <c r="H804" s="2" t="s">
        <v>1495</v>
      </c>
      <c r="I804" s="2" t="s">
        <v>1496</v>
      </c>
      <c r="J804" s="2" t="str">
        <f>CONCATENATE(G804,F804,H804,C804,I804)</f>
        <v>https://permalinkbnd.bnportugal.gov.pt/viewer/14624/?offset=#page=473&amp;viewer=picture&amp;o=info&amp;n=0&amp;q=</v>
      </c>
      <c r="K804" s="1" t="s">
        <v>1044</v>
      </c>
      <c r="L804" s="1" t="str">
        <f>VLOOKUP(A804,Folha2!$A$2:$B$2019,2,FALSE)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4" s="12" t="s">
        <v>1543</v>
      </c>
      <c r="N804" s="12" t="s">
        <v>1497</v>
      </c>
      <c r="O804" s="12" t="str">
        <f>CONCATENATE(N804,A804,"\",B804,"\",C804,".jpg")</f>
        <v>C:\Users\mbaptista\OneDrive - Biblioteca Nacional de Portugal\Documentos\python\camoniana\imagens\capas\381202\2\473.jpg</v>
      </c>
      <c r="P804" s="12" t="str">
        <f>HYPERLINK(O804)</f>
        <v>C:\Users\mbaptista\OneDrive - Biblioteca Nacional de Portugal\Documentos\python\camoniana\imagens\capas\381202\2\473.jpg</v>
      </c>
      <c r="Q804" s="12"/>
      <c r="R804" s="6" t="s">
        <v>1066</v>
      </c>
      <c r="S804" s="12"/>
      <c r="T804" s="1" t="s">
        <v>1045</v>
      </c>
      <c r="U804" s="13"/>
      <c r="V804" s="13"/>
      <c r="W804" s="5" t="s">
        <v>1491</v>
      </c>
    </row>
    <row r="805" spans="1:23" ht="225">
      <c r="A805" s="1">
        <v>381202</v>
      </c>
      <c r="B805" s="1">
        <v>2</v>
      </c>
      <c r="C805" s="1">
        <v>474</v>
      </c>
      <c r="D805" s="2" t="s">
        <v>1043</v>
      </c>
      <c r="E805" s="11" t="s">
        <v>1043</v>
      </c>
      <c r="F805" s="11">
        <v>14624</v>
      </c>
      <c r="G805" s="2" t="s">
        <v>1494</v>
      </c>
      <c r="H805" s="2" t="s">
        <v>1495</v>
      </c>
      <c r="I805" s="2" t="s">
        <v>1496</v>
      </c>
      <c r="J805" s="2" t="str">
        <f>CONCATENATE(G805,F805,H805,C805,I805)</f>
        <v>https://permalinkbnd.bnportugal.gov.pt/viewer/14624/?offset=#page=474&amp;viewer=picture&amp;o=info&amp;n=0&amp;q=</v>
      </c>
      <c r="K805" s="1" t="s">
        <v>1044</v>
      </c>
      <c r="L805" s="1" t="str">
        <f>VLOOKUP(A805,Folha2!$A$2:$B$2019,2,FALSE)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5" s="12" t="s">
        <v>1544</v>
      </c>
      <c r="N805" s="12" t="s">
        <v>1497</v>
      </c>
      <c r="O805" s="12" t="str">
        <f>CONCATENATE(N805,A805,"\",B805,"\",C805,".jpg")</f>
        <v>C:\Users\mbaptista\OneDrive - Biblioteca Nacional de Portugal\Documentos\python\camoniana\imagens\capas\381202\2\474.jpg</v>
      </c>
      <c r="P805" s="12" t="str">
        <f>HYPERLINK(O805)</f>
        <v>C:\Users\mbaptista\OneDrive - Biblioteca Nacional de Portugal\Documentos\python\camoniana\imagens\capas\381202\2\474.jpg</v>
      </c>
      <c r="Q805" s="12"/>
      <c r="R805" s="6" t="s">
        <v>1067</v>
      </c>
      <c r="S805" s="12"/>
      <c r="T805" s="1" t="s">
        <v>1045</v>
      </c>
      <c r="U805" s="13"/>
      <c r="V805" s="13"/>
      <c r="W805" s="5" t="s">
        <v>1491</v>
      </c>
    </row>
    <row r="806" spans="1:23" ht="225">
      <c r="A806" s="1">
        <v>381202</v>
      </c>
      <c r="B806" s="1">
        <v>2</v>
      </c>
      <c r="C806" s="1">
        <v>476</v>
      </c>
      <c r="D806" s="2" t="s">
        <v>1043</v>
      </c>
      <c r="E806" s="5" t="s">
        <v>1043</v>
      </c>
      <c r="F806" s="5">
        <v>14624</v>
      </c>
      <c r="G806" s="2" t="s">
        <v>1494</v>
      </c>
      <c r="H806" s="2" t="s">
        <v>1495</v>
      </c>
      <c r="I806" s="2" t="s">
        <v>1496</v>
      </c>
      <c r="J806" s="2" t="str">
        <f>CONCATENATE(G806,F806,H806,C806,I806)</f>
        <v>https://permalinkbnd.bnportugal.gov.pt/viewer/14624/?offset=#page=476&amp;viewer=picture&amp;o=info&amp;n=0&amp;q=</v>
      </c>
      <c r="K806" s="1" t="s">
        <v>1044</v>
      </c>
      <c r="L806" s="1" t="str">
        <f>VLOOKUP(A806,Folha2!$A$2:$B$2019,2,FALSE)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6" s="12" t="s">
        <v>1545</v>
      </c>
      <c r="N806" s="12" t="s">
        <v>1497</v>
      </c>
      <c r="O806" s="12" t="str">
        <f>CONCATENATE(N806,A806,"\",B806,"\",C806,".jpg")</f>
        <v>C:\Users\mbaptista\OneDrive - Biblioteca Nacional de Portugal\Documentos\python\camoniana\imagens\capas\381202\2\476.jpg</v>
      </c>
      <c r="P806" s="12" t="str">
        <f>HYPERLINK(O806)</f>
        <v>C:\Users\mbaptista\OneDrive - Biblioteca Nacional de Portugal\Documentos\python\camoniana\imagens\capas\381202\2\476.jpg</v>
      </c>
      <c r="Q806" s="12"/>
      <c r="R806" s="6" t="s">
        <v>1068</v>
      </c>
      <c r="S806" s="12"/>
      <c r="T806" s="1" t="s">
        <v>1045</v>
      </c>
      <c r="U806" s="13"/>
      <c r="V806" s="13"/>
      <c r="W806" s="5" t="s">
        <v>1491</v>
      </c>
    </row>
    <row r="807" spans="1:23" ht="225">
      <c r="A807" s="1">
        <v>381202</v>
      </c>
      <c r="B807" s="1">
        <v>2</v>
      </c>
      <c r="C807" s="1">
        <v>480</v>
      </c>
      <c r="D807" s="2" t="s">
        <v>1043</v>
      </c>
      <c r="E807" s="11" t="s">
        <v>1043</v>
      </c>
      <c r="F807" s="11">
        <v>14624</v>
      </c>
      <c r="G807" s="2" t="s">
        <v>1494</v>
      </c>
      <c r="H807" s="2" t="s">
        <v>1495</v>
      </c>
      <c r="I807" s="2" t="s">
        <v>1496</v>
      </c>
      <c r="J807" s="2" t="str">
        <f>CONCATENATE(G807,F807,H807,C807,I807)</f>
        <v>https://permalinkbnd.bnportugal.gov.pt/viewer/14624/?offset=#page=480&amp;viewer=picture&amp;o=info&amp;n=0&amp;q=</v>
      </c>
      <c r="K807" s="1" t="s">
        <v>1044</v>
      </c>
      <c r="L807" s="1" t="str">
        <f>VLOOKUP(A807,Folha2!$A$2:$B$2019,2,FALSE)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7" s="12" t="s">
        <v>1546</v>
      </c>
      <c r="N807" s="12" t="s">
        <v>1497</v>
      </c>
      <c r="O807" s="12" t="str">
        <f>CONCATENATE(N807,A807,"\",B807,"\",C807,".jpg")</f>
        <v>C:\Users\mbaptista\OneDrive - Biblioteca Nacional de Portugal\Documentos\python\camoniana\imagens\capas\381202\2\480.jpg</v>
      </c>
      <c r="P807" s="12" t="str">
        <f>HYPERLINK(O807)</f>
        <v>C:\Users\mbaptista\OneDrive - Biblioteca Nacional de Portugal\Documentos\python\camoniana\imagens\capas\381202\2\480.jpg</v>
      </c>
      <c r="Q807" s="12"/>
      <c r="R807" s="6" t="s">
        <v>1069</v>
      </c>
      <c r="S807" s="12"/>
      <c r="T807" s="1" t="s">
        <v>1045</v>
      </c>
      <c r="U807" s="13"/>
      <c r="V807" s="13"/>
      <c r="W807" s="5" t="s">
        <v>1491</v>
      </c>
    </row>
    <row r="808" spans="1:23" ht="225">
      <c r="A808" s="1">
        <v>381202</v>
      </c>
      <c r="B808" s="1">
        <v>2</v>
      </c>
      <c r="C808" s="1">
        <v>514</v>
      </c>
      <c r="D808" s="2" t="s">
        <v>1043</v>
      </c>
      <c r="E808" s="5" t="s">
        <v>1043</v>
      </c>
      <c r="F808" s="5">
        <v>14624</v>
      </c>
      <c r="G808" s="2" t="s">
        <v>1494</v>
      </c>
      <c r="H808" s="2" t="s">
        <v>1495</v>
      </c>
      <c r="I808" s="2" t="s">
        <v>1496</v>
      </c>
      <c r="J808" s="2" t="str">
        <f>CONCATENATE(G808,F808,H808,C808,I808)</f>
        <v>https://permalinkbnd.bnportugal.gov.pt/viewer/14624/?offset=#page=514&amp;viewer=picture&amp;o=info&amp;n=0&amp;q=</v>
      </c>
      <c r="K808" s="1" t="s">
        <v>1044</v>
      </c>
      <c r="L808" s="1" t="str">
        <f>VLOOKUP(A808,Folha2!$A$2:$B$2019,2,FALSE)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8" s="12" t="s">
        <v>1547</v>
      </c>
      <c r="N808" s="12" t="s">
        <v>1497</v>
      </c>
      <c r="O808" s="12" t="str">
        <f>CONCATENATE(N808,A808,"\",B808,"\",C808,".jpg")</f>
        <v>C:\Users\mbaptista\OneDrive - Biblioteca Nacional de Portugal\Documentos\python\camoniana\imagens\capas\381202\2\514.jpg</v>
      </c>
      <c r="P808" s="12" t="str">
        <f>HYPERLINK(O808)</f>
        <v>C:\Users\mbaptista\OneDrive - Biblioteca Nacional de Portugal\Documentos\python\camoniana\imagens\capas\381202\2\514.jpg</v>
      </c>
      <c r="Q808" s="12"/>
      <c r="R808" s="6" t="s">
        <v>1070</v>
      </c>
      <c r="S808" s="12"/>
      <c r="T808" s="1" t="s">
        <v>1045</v>
      </c>
      <c r="U808" s="13"/>
      <c r="V808" s="13"/>
      <c r="W808" s="5" t="s">
        <v>1491</v>
      </c>
    </row>
    <row r="809" spans="1:23" ht="225">
      <c r="A809" s="1">
        <v>381202</v>
      </c>
      <c r="B809" s="1">
        <v>2</v>
      </c>
      <c r="C809" s="1">
        <v>520</v>
      </c>
      <c r="D809" s="2" t="s">
        <v>1043</v>
      </c>
      <c r="E809" s="11" t="s">
        <v>1043</v>
      </c>
      <c r="F809" s="11">
        <v>14624</v>
      </c>
      <c r="G809" s="2" t="s">
        <v>1494</v>
      </c>
      <c r="H809" s="2" t="s">
        <v>1495</v>
      </c>
      <c r="I809" s="2" t="s">
        <v>1496</v>
      </c>
      <c r="J809" s="2" t="str">
        <f>CONCATENATE(G809,F809,H809,C809,I809)</f>
        <v>https://permalinkbnd.bnportugal.gov.pt/viewer/14624/?offset=#page=520&amp;viewer=picture&amp;o=info&amp;n=0&amp;q=</v>
      </c>
      <c r="K809" s="1" t="s">
        <v>1044</v>
      </c>
      <c r="L809" s="1" t="str">
        <f>VLOOKUP(A809,Folha2!$A$2:$B$2019,2,FALSE)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09" s="12" t="s">
        <v>1548</v>
      </c>
      <c r="N809" s="12" t="s">
        <v>1497</v>
      </c>
      <c r="O809" s="12" t="str">
        <f>CONCATENATE(N809,A809,"\",B809,"\",C809,".jpg")</f>
        <v>C:\Users\mbaptista\OneDrive - Biblioteca Nacional de Portugal\Documentos\python\camoniana\imagens\capas\381202\2\520.jpg</v>
      </c>
      <c r="P809" s="12" t="str">
        <f>HYPERLINK(O809)</f>
        <v>C:\Users\mbaptista\OneDrive - Biblioteca Nacional de Portugal\Documentos\python\camoniana\imagens\capas\381202\2\520.jpg</v>
      </c>
      <c r="Q809" s="12"/>
      <c r="R809" s="6" t="s">
        <v>1071</v>
      </c>
      <c r="S809" s="12"/>
      <c r="T809" s="1" t="s">
        <v>1045</v>
      </c>
      <c r="U809" s="13"/>
      <c r="V809" s="13"/>
      <c r="W809" s="5" t="s">
        <v>1491</v>
      </c>
    </row>
    <row r="810" spans="1:23" ht="225">
      <c r="A810" s="1">
        <v>381202</v>
      </c>
      <c r="B810" s="1">
        <v>2</v>
      </c>
      <c r="C810" s="1">
        <v>521</v>
      </c>
      <c r="D810" s="2" t="s">
        <v>1043</v>
      </c>
      <c r="E810" s="5" t="s">
        <v>1043</v>
      </c>
      <c r="F810" s="5">
        <v>14624</v>
      </c>
      <c r="G810" s="2" t="s">
        <v>1494</v>
      </c>
      <c r="H810" s="2" t="s">
        <v>1495</v>
      </c>
      <c r="I810" s="2" t="s">
        <v>1496</v>
      </c>
      <c r="J810" s="2" t="str">
        <f>CONCATENATE(G810,F810,H810,C810,I810)</f>
        <v>https://permalinkbnd.bnportugal.gov.pt/viewer/14624/?offset=#page=521&amp;viewer=picture&amp;o=info&amp;n=0&amp;q=</v>
      </c>
      <c r="K810" s="1" t="s">
        <v>1044</v>
      </c>
      <c r="L810" s="1" t="str">
        <f>VLOOKUP(A810,Folha2!$A$2:$B$2019,2,FALSE)</f>
        <v>Lusiadas / de Luis de Camoens... ; comentadas por Manuel de Faria i Sousa, Cavallero de la Orden de Christo, i de la Casa Real. - En Madrid : por Iuan Sanchez : a costa de Pedro Coello, mercador de libros, 1639. - 4 tomos em 2 vol., bilingue, com lições várias, informação a favor de Faria: bibliografia crítica, polémica.</v>
      </c>
      <c r="M810" s="12" t="s">
        <v>1549</v>
      </c>
      <c r="N810" s="12" t="s">
        <v>1497</v>
      </c>
      <c r="O810" s="12" t="str">
        <f>CONCATENATE(N810,A810,"\",B810,"\",C810,".jpg")</f>
        <v>C:\Users\mbaptista\OneDrive - Biblioteca Nacional de Portugal\Documentos\python\camoniana\imagens\capas\381202\2\521.jpg</v>
      </c>
      <c r="P810" s="12" t="str">
        <f>HYPERLINK(O810)</f>
        <v>C:\Users\mbaptista\OneDrive - Biblioteca Nacional de Portugal\Documentos\python\camoniana\imagens\capas\381202\2\521.jpg</v>
      </c>
      <c r="Q810" s="12"/>
      <c r="R810" s="6" t="s">
        <v>1072</v>
      </c>
      <c r="S810" s="12"/>
      <c r="T810" s="1" t="s">
        <v>1045</v>
      </c>
      <c r="U810" s="13"/>
      <c r="V810" s="13"/>
      <c r="W810" s="5" t="s">
        <v>1491</v>
      </c>
    </row>
    <row r="811" spans="1:23" ht="225">
      <c r="A811" s="1">
        <v>381444</v>
      </c>
      <c r="B811" s="1">
        <v>1</v>
      </c>
      <c r="C811" s="1">
        <v>9</v>
      </c>
      <c r="D811" s="12" t="s">
        <v>1073</v>
      </c>
      <c r="E811" s="11" t="s">
        <v>1073</v>
      </c>
      <c r="F811" s="11">
        <v>14587</v>
      </c>
      <c r="G811" s="2" t="s">
        <v>1494</v>
      </c>
      <c r="H811" s="2" t="s">
        <v>1495</v>
      </c>
      <c r="I811" s="2" t="s">
        <v>1496</v>
      </c>
      <c r="J811" s="2" t="str">
        <f>CONCATENATE(G811,F811,H811,C811,I811)</f>
        <v>https://permalinkbnd.bnportugal.gov.pt/viewer/14587/?offset=#page=9&amp;viewer=picture&amp;o=info&amp;n=0&amp;q=</v>
      </c>
      <c r="K811" s="1" t="s">
        <v>1074</v>
      </c>
      <c r="L811" s="1" t="str">
        <f>VLOOKUP(A811,Folha2!$A$2:$B$2019,2,FALSE)</f>
        <v>Os Lusiadas / Luiz de Camões ; edição ilustrada com vinte heliogravuras... por Alfred Bramtot e cincoenta e cinco desenhos por Paulin Bord. - Paris ;. - Lisboa : Guillard Aillaud &amp; Cª editores, 1890, com notas sobre a ilustrações. Paratextos argumentos.</v>
      </c>
      <c r="M811" s="12" t="str">
        <f>HYPERLINK(J811)</f>
        <v>https://permalinkbnd.bnportugal.gov.pt/viewer/14587/?offset=#page=9&amp;viewer=picture&amp;o=info&amp;n=0&amp;q=</v>
      </c>
      <c r="N811" s="12" t="s">
        <v>1497</v>
      </c>
      <c r="O811" s="12" t="str">
        <f>CONCATENATE(N811,A811,"\",B811,"\",C811,".jpg")</f>
        <v>C:\Users\mbaptista\OneDrive - Biblioteca Nacional de Portugal\Documentos\python\camoniana\imagens\capas\381444\1\9.jpg</v>
      </c>
      <c r="P811" s="12" t="str">
        <f>HYPERLINK(O811)</f>
        <v>C:\Users\mbaptista\OneDrive - Biblioteca Nacional de Portugal\Documentos\python\camoniana\imagens\capas\381444\1\9.jpg</v>
      </c>
      <c r="Q811" s="12"/>
      <c r="R811" s="6" t="s">
        <v>1076</v>
      </c>
      <c r="S811" s="12"/>
      <c r="T811" s="1" t="s">
        <v>1075</v>
      </c>
      <c r="U811" s="13"/>
      <c r="V811" s="13"/>
      <c r="W811" s="5" t="s">
        <v>1491</v>
      </c>
    </row>
    <row r="812" spans="1:23" ht="225">
      <c r="A812" s="1">
        <v>381444</v>
      </c>
      <c r="B812" s="1">
        <v>1</v>
      </c>
      <c r="C812" s="1">
        <v>23</v>
      </c>
      <c r="D812" s="2" t="s">
        <v>1073</v>
      </c>
      <c r="E812" s="5" t="s">
        <v>1073</v>
      </c>
      <c r="F812" s="5">
        <v>14587</v>
      </c>
      <c r="G812" s="2" t="s">
        <v>1494</v>
      </c>
      <c r="H812" s="2" t="s">
        <v>1495</v>
      </c>
      <c r="I812" s="2" t="s">
        <v>1496</v>
      </c>
      <c r="J812" s="2" t="str">
        <f>CONCATENATE(G812,F812,H812,C812,I812)</f>
        <v>https://permalinkbnd.bnportugal.gov.pt/viewer/14587/?offset=#page=23&amp;viewer=picture&amp;o=info&amp;n=0&amp;q=</v>
      </c>
      <c r="K812" s="1" t="s">
        <v>1074</v>
      </c>
      <c r="L812" s="1" t="str">
        <f>VLOOKUP(A812,Folha2!$A$2:$B$2019,2,FALSE)</f>
        <v>Os Lusiadas / Luiz de Camões ; edição ilustrada com vinte heliogravuras... por Alfred Bramtot e cincoenta e cinco desenhos por Paulin Bord. - Paris ;. - Lisboa : Guillard Aillaud &amp; Cª editores, 1890, com notas sobre a ilustrações. Paratextos argumentos.</v>
      </c>
      <c r="M812" s="12" t="str">
        <f>HYPERLINK(J812)</f>
        <v>https://permalinkbnd.bnportugal.gov.pt/viewer/14587/?offset=#page=23&amp;viewer=picture&amp;o=info&amp;n=0&amp;q=</v>
      </c>
      <c r="N812" s="12" t="s">
        <v>1497</v>
      </c>
      <c r="O812" s="12" t="str">
        <f>CONCATENATE(N812,A812,"\",B812,"\",C812,".jpg")</f>
        <v>C:\Users\mbaptista\OneDrive - Biblioteca Nacional de Portugal\Documentos\python\camoniana\imagens\capas\381444\1\23.jpg</v>
      </c>
      <c r="P812" s="12" t="str">
        <f>HYPERLINK(O812)</f>
        <v>C:\Users\mbaptista\OneDrive - Biblioteca Nacional de Portugal\Documentos\python\camoniana\imagens\capas\381444\1\23.jpg</v>
      </c>
      <c r="Q812" s="12"/>
      <c r="R812" s="6" t="s">
        <v>1077</v>
      </c>
      <c r="S812" s="12"/>
      <c r="T812" s="1" t="s">
        <v>1075</v>
      </c>
      <c r="U812" s="13"/>
      <c r="V812" s="13"/>
      <c r="W812" s="5" t="s">
        <v>1491</v>
      </c>
    </row>
    <row r="813" spans="1:23" ht="225">
      <c r="A813" s="1">
        <v>381444</v>
      </c>
      <c r="B813" s="1">
        <v>1</v>
      </c>
      <c r="C813" s="1">
        <v>33</v>
      </c>
      <c r="D813" s="2" t="s">
        <v>1073</v>
      </c>
      <c r="E813" s="11" t="s">
        <v>1073</v>
      </c>
      <c r="F813" s="11">
        <v>14587</v>
      </c>
      <c r="G813" s="2" t="s">
        <v>1494</v>
      </c>
      <c r="H813" s="2" t="s">
        <v>1495</v>
      </c>
      <c r="I813" s="2" t="s">
        <v>1496</v>
      </c>
      <c r="J813" s="2" t="str">
        <f>CONCATENATE(G813,F813,H813,C813,I813)</f>
        <v>https://permalinkbnd.bnportugal.gov.pt/viewer/14587/?offset=#page=33&amp;viewer=picture&amp;o=info&amp;n=0&amp;q=</v>
      </c>
      <c r="K813" s="1" t="s">
        <v>1074</v>
      </c>
      <c r="L813" s="1" t="str">
        <f>VLOOKUP(A813,Folha2!$A$2:$B$2019,2,FALSE)</f>
        <v>Os Lusiadas / Luiz de Camões ; edição ilustrada com vinte heliogravuras... por Alfred Bramtot e cincoenta e cinco desenhos por Paulin Bord. - Paris ;. - Lisboa : Guillard Aillaud &amp; Cª editores, 1890, com notas sobre a ilustrações. Paratextos argumentos.</v>
      </c>
      <c r="M813" s="12" t="str">
        <f>HYPERLINK(J813)</f>
        <v>https://permalinkbnd.bnportugal.gov.pt/viewer/14587/?offset=#page=33&amp;viewer=picture&amp;o=info&amp;n=0&amp;q=</v>
      </c>
      <c r="N813" s="12" t="s">
        <v>1497</v>
      </c>
      <c r="O813" s="12" t="str">
        <f>CONCATENATE(N813,A813,"\",B813,"\",C813,".jpg")</f>
        <v>C:\Users\mbaptista\OneDrive - Biblioteca Nacional de Portugal\Documentos\python\camoniana\imagens\capas\381444\1\33.jpg</v>
      </c>
      <c r="P813" s="12" t="str">
        <f>HYPERLINK(O813)</f>
        <v>C:\Users\mbaptista\OneDrive - Biblioteca Nacional de Portugal\Documentos\python\camoniana\imagens\capas\381444\1\33.jpg</v>
      </c>
      <c r="Q813" s="12"/>
      <c r="R813" s="6" t="s">
        <v>1078</v>
      </c>
      <c r="S813" s="12"/>
      <c r="T813" s="1" t="s">
        <v>1075</v>
      </c>
      <c r="U813" s="13"/>
      <c r="V813" s="13"/>
      <c r="W813" s="5" t="s">
        <v>1491</v>
      </c>
    </row>
    <row r="814" spans="1:23" ht="225">
      <c r="A814" s="1">
        <v>381444</v>
      </c>
      <c r="B814" s="1">
        <v>1</v>
      </c>
      <c r="C814" s="1">
        <v>57</v>
      </c>
      <c r="D814" s="2" t="s">
        <v>1073</v>
      </c>
      <c r="E814" s="5" t="s">
        <v>1073</v>
      </c>
      <c r="F814" s="5">
        <v>14587</v>
      </c>
      <c r="G814" s="2" t="s">
        <v>1494</v>
      </c>
      <c r="H814" s="2" t="s">
        <v>1495</v>
      </c>
      <c r="I814" s="2" t="s">
        <v>1496</v>
      </c>
      <c r="J814" s="2" t="str">
        <f>CONCATENATE(G814,F814,H814,C814,I814)</f>
        <v>https://permalinkbnd.bnportugal.gov.pt/viewer/14587/?offset=#page=57&amp;viewer=picture&amp;o=info&amp;n=0&amp;q=</v>
      </c>
      <c r="K814" s="1" t="s">
        <v>1074</v>
      </c>
      <c r="L814" s="1" t="str">
        <f>VLOOKUP(A814,Folha2!$A$2:$B$2019,2,FALSE)</f>
        <v>Os Lusiadas / Luiz de Camões ; edição ilustrada com vinte heliogravuras... por Alfred Bramtot e cincoenta e cinco desenhos por Paulin Bord. - Paris ;. - Lisboa : Guillard Aillaud &amp; Cª editores, 1890, com notas sobre a ilustrações. Paratextos argumentos.</v>
      </c>
      <c r="M814" s="12" t="str">
        <f>HYPERLINK(J814)</f>
        <v>https://permalinkbnd.bnportugal.gov.pt/viewer/14587/?offset=#page=57&amp;viewer=picture&amp;o=info&amp;n=0&amp;q=</v>
      </c>
      <c r="N814" s="12" t="s">
        <v>1497</v>
      </c>
      <c r="O814" s="12" t="str">
        <f>CONCATENATE(N814,A814,"\",B814,"\",C814,".jpg")</f>
        <v>C:\Users\mbaptista\OneDrive - Biblioteca Nacional de Portugal\Documentos\python\camoniana\imagens\capas\381444\1\57.jpg</v>
      </c>
      <c r="P814" s="12" t="str">
        <f>HYPERLINK(O814)</f>
        <v>C:\Users\mbaptista\OneDrive - Biblioteca Nacional de Portugal\Documentos\python\camoniana\imagens\capas\381444\1\57.jpg</v>
      </c>
      <c r="Q814" s="12"/>
      <c r="R814" s="6" t="s">
        <v>1079</v>
      </c>
      <c r="S814" s="12"/>
      <c r="T814" s="1" t="s">
        <v>1075</v>
      </c>
      <c r="U814" s="13"/>
      <c r="V814" s="13"/>
      <c r="W814" s="5" t="s">
        <v>1491</v>
      </c>
    </row>
    <row r="815" spans="1:23" ht="225">
      <c r="A815" s="1">
        <v>381444</v>
      </c>
      <c r="B815" s="1">
        <v>1</v>
      </c>
      <c r="C815" s="1">
        <v>77</v>
      </c>
      <c r="D815" s="2" t="s">
        <v>1073</v>
      </c>
      <c r="E815" s="11" t="s">
        <v>1073</v>
      </c>
      <c r="F815" s="11">
        <v>14587</v>
      </c>
      <c r="G815" s="2" t="s">
        <v>1494</v>
      </c>
      <c r="H815" s="2" t="s">
        <v>1495</v>
      </c>
      <c r="I815" s="2" t="s">
        <v>1496</v>
      </c>
      <c r="J815" s="2" t="str">
        <f>CONCATENATE(G815,F815,H815,C815,I815)</f>
        <v>https://permalinkbnd.bnportugal.gov.pt/viewer/14587/?offset=#page=77&amp;viewer=picture&amp;o=info&amp;n=0&amp;q=</v>
      </c>
      <c r="K815" s="1" t="s">
        <v>1074</v>
      </c>
      <c r="L815" s="1" t="str">
        <f>VLOOKUP(A815,Folha2!$A$2:$B$2019,2,FALSE)</f>
        <v>Os Lusiadas / Luiz de Camões ; edição ilustrada com vinte heliogravuras... por Alfred Bramtot e cincoenta e cinco desenhos por Paulin Bord. - Paris ;. - Lisboa : Guillard Aillaud &amp; Cª editores, 1890, com notas sobre a ilustrações. Paratextos argumentos.</v>
      </c>
      <c r="M815" s="12" t="str">
        <f>HYPERLINK(J815)</f>
        <v>https://permalinkbnd.bnportugal.gov.pt/viewer/14587/?offset=#page=77&amp;viewer=picture&amp;o=info&amp;n=0&amp;q=</v>
      </c>
      <c r="N815" s="12" t="s">
        <v>1497</v>
      </c>
      <c r="O815" s="12" t="str">
        <f>CONCATENATE(N815,A815,"\",B815,"\",C815,".jpg")</f>
        <v>C:\Users\mbaptista\OneDrive - Biblioteca Nacional de Portugal\Documentos\python\camoniana\imagens\capas\381444\1\77.jpg</v>
      </c>
      <c r="P815" s="12" t="str">
        <f>HYPERLINK(O815)</f>
        <v>C:\Users\mbaptista\OneDrive - Biblioteca Nacional de Portugal\Documentos\python\camoniana\imagens\capas\381444\1\77.jpg</v>
      </c>
      <c r="Q815" s="12"/>
      <c r="R815" s="6" t="s">
        <v>1080</v>
      </c>
      <c r="S815" s="12"/>
      <c r="T815" s="1" t="s">
        <v>1075</v>
      </c>
      <c r="U815" s="13"/>
      <c r="V815" s="13"/>
      <c r="W815" s="5" t="s">
        <v>1491</v>
      </c>
    </row>
    <row r="816" spans="1:23" ht="225">
      <c r="A816" s="1">
        <v>381444</v>
      </c>
      <c r="B816" s="1">
        <v>1</v>
      </c>
      <c r="C816" s="1">
        <v>99</v>
      </c>
      <c r="D816" s="2" t="s">
        <v>1073</v>
      </c>
      <c r="E816" s="5" t="s">
        <v>1073</v>
      </c>
      <c r="F816" s="5">
        <v>14587</v>
      </c>
      <c r="G816" s="2" t="s">
        <v>1494</v>
      </c>
      <c r="H816" s="2" t="s">
        <v>1495</v>
      </c>
      <c r="I816" s="2" t="s">
        <v>1496</v>
      </c>
      <c r="J816" s="2" t="str">
        <f>CONCATENATE(G816,F816,H816,C816,I816)</f>
        <v>https://permalinkbnd.bnportugal.gov.pt/viewer/14587/?offset=#page=99&amp;viewer=picture&amp;o=info&amp;n=0&amp;q=</v>
      </c>
      <c r="K816" s="1" t="s">
        <v>1074</v>
      </c>
      <c r="L816" s="1" t="str">
        <f>VLOOKUP(A816,Folha2!$A$2:$B$2019,2,FALSE)</f>
        <v>Os Lusiadas / Luiz de Camões ; edição ilustrada com vinte heliogravuras... por Alfred Bramtot e cincoenta e cinco desenhos por Paulin Bord. - Paris ;. - Lisboa : Guillard Aillaud &amp; Cª editores, 1890, com notas sobre a ilustrações. Paratextos argumentos.</v>
      </c>
      <c r="M816" s="12" t="str">
        <f>HYPERLINK(J816)</f>
        <v>https://permalinkbnd.bnportugal.gov.pt/viewer/14587/?offset=#page=99&amp;viewer=picture&amp;o=info&amp;n=0&amp;q=</v>
      </c>
      <c r="N816" s="12" t="s">
        <v>1497</v>
      </c>
      <c r="O816" s="12" t="str">
        <f>CONCATENATE(N816,A816,"\",B816,"\",C816,".jpg")</f>
        <v>C:\Users\mbaptista\OneDrive - Biblioteca Nacional de Portugal\Documentos\python\camoniana\imagens\capas\381444\1\99.jpg</v>
      </c>
      <c r="P816" s="12" t="str">
        <f>HYPERLINK(O816)</f>
        <v>C:\Users\mbaptista\OneDrive - Biblioteca Nacional de Portugal\Documentos\python\camoniana\imagens\capas\381444\1\99.jpg</v>
      </c>
      <c r="Q816" s="12"/>
      <c r="R816" s="6" t="s">
        <v>1081</v>
      </c>
      <c r="S816" s="12"/>
      <c r="T816" s="1" t="s">
        <v>1075</v>
      </c>
      <c r="U816" s="13"/>
      <c r="V816" s="13"/>
      <c r="W816" s="5" t="s">
        <v>1491</v>
      </c>
    </row>
    <row r="817" spans="1:23" ht="225">
      <c r="A817" s="1">
        <v>381444</v>
      </c>
      <c r="B817" s="1">
        <v>1</v>
      </c>
      <c r="C817" s="1">
        <v>125</v>
      </c>
      <c r="D817" s="2" t="s">
        <v>1073</v>
      </c>
      <c r="E817" s="11" t="s">
        <v>1073</v>
      </c>
      <c r="F817" s="11">
        <v>14587</v>
      </c>
      <c r="G817" s="2" t="s">
        <v>1494</v>
      </c>
      <c r="H817" s="2" t="s">
        <v>1495</v>
      </c>
      <c r="I817" s="2" t="s">
        <v>1496</v>
      </c>
      <c r="J817" s="2" t="str">
        <f>CONCATENATE(G817,F817,H817,C817,I817)</f>
        <v>https://permalinkbnd.bnportugal.gov.pt/viewer/14587/?offset=#page=125&amp;viewer=picture&amp;o=info&amp;n=0&amp;q=</v>
      </c>
      <c r="K817" s="1" t="s">
        <v>1074</v>
      </c>
      <c r="L817" s="1" t="str">
        <f>VLOOKUP(A817,Folha2!$A$2:$B$2019,2,FALSE)</f>
        <v>Os Lusiadas / Luiz de Camões ; edição ilustrada com vinte heliogravuras... por Alfred Bramtot e cincoenta e cinco desenhos por Paulin Bord. - Paris ;. - Lisboa : Guillard Aillaud &amp; Cª editores, 1890, com notas sobre a ilustrações. Paratextos argumentos.</v>
      </c>
      <c r="M817" s="12" t="str">
        <f>HYPERLINK(J817)</f>
        <v>https://permalinkbnd.bnportugal.gov.pt/viewer/14587/?offset=#page=125&amp;viewer=picture&amp;o=info&amp;n=0&amp;q=</v>
      </c>
      <c r="N817" s="12" t="s">
        <v>1497</v>
      </c>
      <c r="O817" s="12" t="str">
        <f>CONCATENATE(N817,A817,"\",B817,"\",C817,".jpg")</f>
        <v>C:\Users\mbaptista\OneDrive - Biblioteca Nacional de Portugal\Documentos\python\camoniana\imagens\capas\381444\1\125.jpg</v>
      </c>
      <c r="P817" s="12" t="str">
        <f>HYPERLINK(O817)</f>
        <v>C:\Users\mbaptista\OneDrive - Biblioteca Nacional de Portugal\Documentos\python\camoniana\imagens\capas\381444\1\125.jpg</v>
      </c>
      <c r="Q817" s="12"/>
      <c r="R817" s="6" t="s">
        <v>1082</v>
      </c>
      <c r="S817" s="12"/>
      <c r="T817" s="1" t="s">
        <v>1075</v>
      </c>
      <c r="U817" s="13"/>
      <c r="V817" s="13"/>
      <c r="W817" s="5" t="s">
        <v>1491</v>
      </c>
    </row>
    <row r="818" spans="1:23" ht="225">
      <c r="A818" s="1">
        <v>381444</v>
      </c>
      <c r="B818" s="1">
        <v>1</v>
      </c>
      <c r="C818" s="1">
        <v>147</v>
      </c>
      <c r="D818" s="2" t="s">
        <v>1073</v>
      </c>
      <c r="E818" s="5" t="s">
        <v>1073</v>
      </c>
      <c r="F818" s="5">
        <v>14587</v>
      </c>
      <c r="G818" s="2" t="s">
        <v>1494</v>
      </c>
      <c r="H818" s="2" t="s">
        <v>1495</v>
      </c>
      <c r="I818" s="2" t="s">
        <v>1496</v>
      </c>
      <c r="J818" s="2" t="str">
        <f>CONCATENATE(G818,F818,H818,C818,I818)</f>
        <v>https://permalinkbnd.bnportugal.gov.pt/viewer/14587/?offset=#page=147&amp;viewer=picture&amp;o=info&amp;n=0&amp;q=</v>
      </c>
      <c r="K818" s="1" t="s">
        <v>1074</v>
      </c>
      <c r="L818" s="1" t="str">
        <f>VLOOKUP(A818,Folha2!$A$2:$B$2019,2,FALSE)</f>
        <v>Os Lusiadas / Luiz de Camões ; edição ilustrada com vinte heliogravuras... por Alfred Bramtot e cincoenta e cinco desenhos por Paulin Bord. - Paris ;. - Lisboa : Guillard Aillaud &amp; Cª editores, 1890, com notas sobre a ilustrações. Paratextos argumentos.</v>
      </c>
      <c r="M818" s="12" t="str">
        <f>HYPERLINK(J818)</f>
        <v>https://permalinkbnd.bnportugal.gov.pt/viewer/14587/?offset=#page=147&amp;viewer=picture&amp;o=info&amp;n=0&amp;q=</v>
      </c>
      <c r="N818" s="12" t="s">
        <v>1497</v>
      </c>
      <c r="O818" s="12" t="str">
        <f>CONCATENATE(N818,A818,"\",B818,"\",C818,".jpg")</f>
        <v>C:\Users\mbaptista\OneDrive - Biblioteca Nacional de Portugal\Documentos\python\camoniana\imagens\capas\381444\1\147.jpg</v>
      </c>
      <c r="P818" s="12" t="str">
        <f>HYPERLINK(O818)</f>
        <v>C:\Users\mbaptista\OneDrive - Biblioteca Nacional de Portugal\Documentos\python\camoniana\imagens\capas\381444\1\147.jpg</v>
      </c>
      <c r="Q818" s="12"/>
      <c r="R818" s="6" t="s">
        <v>1083</v>
      </c>
      <c r="S818" s="12"/>
      <c r="T818" s="1" t="s">
        <v>1075</v>
      </c>
      <c r="U818" s="13"/>
      <c r="V818" s="13"/>
      <c r="W818" s="5" t="s">
        <v>1491</v>
      </c>
    </row>
    <row r="819" spans="1:23" ht="225">
      <c r="A819" s="1">
        <v>381444</v>
      </c>
      <c r="B819" s="1">
        <v>1</v>
      </c>
      <c r="C819" s="1">
        <v>157</v>
      </c>
      <c r="D819" s="2" t="s">
        <v>1073</v>
      </c>
      <c r="E819" s="11" t="s">
        <v>1073</v>
      </c>
      <c r="F819" s="11">
        <v>14587</v>
      </c>
      <c r="G819" s="2" t="s">
        <v>1494</v>
      </c>
      <c r="H819" s="2" t="s">
        <v>1495</v>
      </c>
      <c r="I819" s="2" t="s">
        <v>1496</v>
      </c>
      <c r="J819" s="2" t="str">
        <f>CONCATENATE(G819,F819,H819,C819,I819)</f>
        <v>https://permalinkbnd.bnportugal.gov.pt/viewer/14587/?offset=#page=157&amp;viewer=picture&amp;o=info&amp;n=0&amp;q=</v>
      </c>
      <c r="K819" s="1" t="s">
        <v>1074</v>
      </c>
      <c r="L819" s="1" t="str">
        <f>VLOOKUP(A819,Folha2!$A$2:$B$2019,2,FALSE)</f>
        <v>Os Lusiadas / Luiz de Camões ; edição ilustrada com vinte heliogravuras... por Alfred Bramtot e cincoenta e cinco desenhos por Paulin Bord. - Paris ;. - Lisboa : Guillard Aillaud &amp; Cª editores, 1890, com notas sobre a ilustrações. Paratextos argumentos.</v>
      </c>
      <c r="M819" s="12" t="str">
        <f>HYPERLINK(J819)</f>
        <v>https://permalinkbnd.bnportugal.gov.pt/viewer/14587/?offset=#page=157&amp;viewer=picture&amp;o=info&amp;n=0&amp;q=</v>
      </c>
      <c r="N819" s="12" t="s">
        <v>1497</v>
      </c>
      <c r="O819" s="12" t="str">
        <f>CONCATENATE(N819,A819,"\",B819,"\",C819,".jpg")</f>
        <v>C:\Users\mbaptista\OneDrive - Biblioteca Nacional de Portugal\Documentos\python\camoniana\imagens\capas\381444\1\157.jpg</v>
      </c>
      <c r="P819" s="12" t="str">
        <f>HYPERLINK(O819)</f>
        <v>C:\Users\mbaptista\OneDrive - Biblioteca Nacional de Portugal\Documentos\python\camoniana\imagens\capas\381444\1\157.jpg</v>
      </c>
      <c r="Q819" s="12"/>
      <c r="R819" s="6" t="s">
        <v>1084</v>
      </c>
      <c r="S819" s="12"/>
      <c r="T819" s="1" t="s">
        <v>1075</v>
      </c>
      <c r="U819" s="13"/>
      <c r="V819" s="13"/>
      <c r="W819" s="5" t="s">
        <v>1491</v>
      </c>
    </row>
    <row r="820" spans="1:23" ht="225">
      <c r="A820" s="1">
        <v>381444</v>
      </c>
      <c r="B820" s="1">
        <v>1</v>
      </c>
      <c r="C820" s="1">
        <v>173</v>
      </c>
      <c r="D820" s="2" t="s">
        <v>1073</v>
      </c>
      <c r="E820" s="5" t="s">
        <v>1073</v>
      </c>
      <c r="F820" s="5">
        <v>14587</v>
      </c>
      <c r="G820" s="2" t="s">
        <v>1494</v>
      </c>
      <c r="H820" s="2" t="s">
        <v>1495</v>
      </c>
      <c r="I820" s="2" t="s">
        <v>1496</v>
      </c>
      <c r="J820" s="2" t="str">
        <f>CONCATENATE(G820,F820,H820,C820,I820)</f>
        <v>https://permalinkbnd.bnportugal.gov.pt/viewer/14587/?offset=#page=173&amp;viewer=picture&amp;o=info&amp;n=0&amp;q=</v>
      </c>
      <c r="K820" s="1" t="s">
        <v>1074</v>
      </c>
      <c r="L820" s="1" t="str">
        <f>VLOOKUP(A820,Folha2!$A$2:$B$2019,2,FALSE)</f>
        <v>Os Lusiadas / Luiz de Camões ; edição ilustrada com vinte heliogravuras... por Alfred Bramtot e cincoenta e cinco desenhos por Paulin Bord. - Paris ;. - Lisboa : Guillard Aillaud &amp; Cª editores, 1890, com notas sobre a ilustrações. Paratextos argumentos.</v>
      </c>
      <c r="M820" s="12" t="str">
        <f>HYPERLINK(J820)</f>
        <v>https://permalinkbnd.bnportugal.gov.pt/viewer/14587/?offset=#page=173&amp;viewer=picture&amp;o=info&amp;n=0&amp;q=</v>
      </c>
      <c r="N820" s="12" t="s">
        <v>1497</v>
      </c>
      <c r="O820" s="12" t="str">
        <f>CONCATENATE(N820,A820,"\",B820,"\",C820,".jpg")</f>
        <v>C:\Users\mbaptista\OneDrive - Biblioteca Nacional de Portugal\Documentos\python\camoniana\imagens\capas\381444\1\173.jpg</v>
      </c>
      <c r="P820" s="12" t="str">
        <f>HYPERLINK(O820)</f>
        <v>C:\Users\mbaptista\OneDrive - Biblioteca Nacional de Portugal\Documentos\python\camoniana\imagens\capas\381444\1\173.jpg</v>
      </c>
      <c r="Q820" s="12"/>
      <c r="R820" s="6" t="s">
        <v>1085</v>
      </c>
      <c r="S820" s="12"/>
      <c r="T820" s="1" t="s">
        <v>1075</v>
      </c>
      <c r="U820" s="13"/>
      <c r="V820" s="13"/>
      <c r="W820" s="5" t="s">
        <v>1491</v>
      </c>
    </row>
    <row r="821" spans="1:23" ht="225">
      <c r="A821" s="1">
        <v>381444</v>
      </c>
      <c r="B821" s="1">
        <v>1</v>
      </c>
      <c r="C821" s="1">
        <v>185</v>
      </c>
      <c r="D821" s="2" t="s">
        <v>1073</v>
      </c>
      <c r="E821" s="11" t="s">
        <v>1073</v>
      </c>
      <c r="F821" s="11">
        <v>14587</v>
      </c>
      <c r="G821" s="2" t="s">
        <v>1494</v>
      </c>
      <c r="H821" s="2" t="s">
        <v>1495</v>
      </c>
      <c r="I821" s="2" t="s">
        <v>1496</v>
      </c>
      <c r="J821" s="2" t="str">
        <f>CONCATENATE(G821,F821,H821,C821,I821)</f>
        <v>https://permalinkbnd.bnportugal.gov.pt/viewer/14587/?offset=#page=185&amp;viewer=picture&amp;o=info&amp;n=0&amp;q=</v>
      </c>
      <c r="K821" s="1" t="s">
        <v>1074</v>
      </c>
      <c r="L821" s="1" t="str">
        <f>VLOOKUP(A821,Folha2!$A$2:$B$2019,2,FALSE)</f>
        <v>Os Lusiadas / Luiz de Camões ; edição ilustrada com vinte heliogravuras... por Alfred Bramtot e cincoenta e cinco desenhos por Paulin Bord. - Paris ;. - Lisboa : Guillard Aillaud &amp; Cª editores, 1890, com notas sobre a ilustrações. Paratextos argumentos.</v>
      </c>
      <c r="M821" s="12" t="str">
        <f>HYPERLINK(J821)</f>
        <v>https://permalinkbnd.bnportugal.gov.pt/viewer/14587/?offset=#page=185&amp;viewer=picture&amp;o=info&amp;n=0&amp;q=</v>
      </c>
      <c r="N821" s="12" t="s">
        <v>1497</v>
      </c>
      <c r="O821" s="12" t="str">
        <f>CONCATENATE(N821,A821,"\",B821,"\",C821,".jpg")</f>
        <v>C:\Users\mbaptista\OneDrive - Biblioteca Nacional de Portugal\Documentos\python\camoniana\imagens\capas\381444\1\185.jpg</v>
      </c>
      <c r="P821" s="12" t="str">
        <f>HYPERLINK(O821)</f>
        <v>C:\Users\mbaptista\OneDrive - Biblioteca Nacional de Portugal\Documentos\python\camoniana\imagens\capas\381444\1\185.jpg</v>
      </c>
      <c r="Q821" s="12"/>
      <c r="R821" s="6" t="s">
        <v>1086</v>
      </c>
      <c r="S821" s="12"/>
      <c r="T821" s="1" t="s">
        <v>1075</v>
      </c>
      <c r="U821" s="13"/>
      <c r="V821" s="13"/>
      <c r="W821" s="5" t="s">
        <v>1491</v>
      </c>
    </row>
    <row r="822" spans="1:23" ht="225">
      <c r="A822" s="1">
        <v>381444</v>
      </c>
      <c r="B822" s="1">
        <v>1</v>
      </c>
      <c r="C822" s="1">
        <v>223</v>
      </c>
      <c r="D822" s="2" t="s">
        <v>1073</v>
      </c>
      <c r="E822" s="5" t="s">
        <v>1073</v>
      </c>
      <c r="F822" s="5">
        <v>14587</v>
      </c>
      <c r="G822" s="2" t="s">
        <v>1494</v>
      </c>
      <c r="H822" s="2" t="s">
        <v>1495</v>
      </c>
      <c r="I822" s="2" t="s">
        <v>1496</v>
      </c>
      <c r="J822" s="2" t="str">
        <f>CONCATENATE(G822,F822,H822,C822,I822)</f>
        <v>https://permalinkbnd.bnportugal.gov.pt/viewer/14587/?offset=#page=223&amp;viewer=picture&amp;o=info&amp;n=0&amp;q=</v>
      </c>
      <c r="K822" s="1" t="s">
        <v>1074</v>
      </c>
      <c r="L822" s="1" t="str">
        <f>VLOOKUP(A822,Folha2!$A$2:$B$2019,2,FALSE)</f>
        <v>Os Lusiadas / Luiz de Camões ; edição ilustrada com vinte heliogravuras... por Alfred Bramtot e cincoenta e cinco desenhos por Paulin Bord. - Paris ;. - Lisboa : Guillard Aillaud &amp; Cª editores, 1890, com notas sobre a ilustrações. Paratextos argumentos.</v>
      </c>
      <c r="M822" s="12" t="str">
        <f>HYPERLINK(J822)</f>
        <v>https://permalinkbnd.bnportugal.gov.pt/viewer/14587/?offset=#page=223&amp;viewer=picture&amp;o=info&amp;n=0&amp;q=</v>
      </c>
      <c r="N822" s="12" t="s">
        <v>1497</v>
      </c>
      <c r="O822" s="12" t="str">
        <f>CONCATENATE(N822,A822,"\",B822,"\",C822,".jpg")</f>
        <v>C:\Users\mbaptista\OneDrive - Biblioteca Nacional de Portugal\Documentos\python\camoniana\imagens\capas\381444\1\223.jpg</v>
      </c>
      <c r="P822" s="12" t="str">
        <f>HYPERLINK(O822)</f>
        <v>C:\Users\mbaptista\OneDrive - Biblioteca Nacional de Portugal\Documentos\python\camoniana\imagens\capas\381444\1\223.jpg</v>
      </c>
      <c r="Q822" s="12"/>
      <c r="R822" s="6" t="s">
        <v>1087</v>
      </c>
      <c r="S822" s="12"/>
      <c r="T822" s="1" t="s">
        <v>1075</v>
      </c>
      <c r="U822" s="13"/>
      <c r="V822" s="13"/>
      <c r="W822" s="5" t="s">
        <v>1491</v>
      </c>
    </row>
    <row r="823" spans="1:23" ht="225">
      <c r="A823" s="1">
        <v>381444</v>
      </c>
      <c r="B823" s="1">
        <v>1</v>
      </c>
      <c r="C823" s="1">
        <v>231</v>
      </c>
      <c r="D823" s="2" t="s">
        <v>1073</v>
      </c>
      <c r="E823" s="11" t="s">
        <v>1073</v>
      </c>
      <c r="F823" s="11">
        <v>14587</v>
      </c>
      <c r="G823" s="2" t="s">
        <v>1494</v>
      </c>
      <c r="H823" s="2" t="s">
        <v>1495</v>
      </c>
      <c r="I823" s="2" t="s">
        <v>1496</v>
      </c>
      <c r="J823" s="2" t="str">
        <f>CONCATENATE(G823,F823,H823,C823,I823)</f>
        <v>https://permalinkbnd.bnportugal.gov.pt/viewer/14587/?offset=#page=231&amp;viewer=picture&amp;o=info&amp;n=0&amp;q=</v>
      </c>
      <c r="K823" s="1" t="s">
        <v>1074</v>
      </c>
      <c r="L823" s="1" t="str">
        <f>VLOOKUP(A823,Folha2!$A$2:$B$2019,2,FALSE)</f>
        <v>Os Lusiadas / Luiz de Camões ; edição ilustrada com vinte heliogravuras... por Alfred Bramtot e cincoenta e cinco desenhos por Paulin Bord. - Paris ;. - Lisboa : Guillard Aillaud &amp; Cª editores, 1890, com notas sobre a ilustrações. Paratextos argumentos.</v>
      </c>
      <c r="M823" s="12" t="str">
        <f>HYPERLINK(J823)</f>
        <v>https://permalinkbnd.bnportugal.gov.pt/viewer/14587/?offset=#page=231&amp;viewer=picture&amp;o=info&amp;n=0&amp;q=</v>
      </c>
      <c r="N823" s="12" t="s">
        <v>1497</v>
      </c>
      <c r="O823" s="12" t="str">
        <f>CONCATENATE(N823,A823,"\",B823,"\",C823,".jpg")</f>
        <v>C:\Users\mbaptista\OneDrive - Biblioteca Nacional de Portugal\Documentos\python\camoniana\imagens\capas\381444\1\231.jpg</v>
      </c>
      <c r="P823" s="12" t="str">
        <f>HYPERLINK(O823)</f>
        <v>C:\Users\mbaptista\OneDrive - Biblioteca Nacional de Portugal\Documentos\python\camoniana\imagens\capas\381444\1\231.jpg</v>
      </c>
      <c r="Q823" s="12"/>
      <c r="R823" s="6" t="s">
        <v>1088</v>
      </c>
      <c r="S823" s="12"/>
      <c r="T823" s="1" t="s">
        <v>1075</v>
      </c>
      <c r="U823" s="13"/>
      <c r="V823" s="13"/>
      <c r="W823" s="5" t="s">
        <v>1491</v>
      </c>
    </row>
    <row r="824" spans="1:23" ht="225">
      <c r="A824" s="1">
        <v>381444</v>
      </c>
      <c r="B824" s="1">
        <v>1</v>
      </c>
      <c r="C824" s="1">
        <v>255</v>
      </c>
      <c r="D824" s="2" t="s">
        <v>1073</v>
      </c>
      <c r="E824" s="5" t="s">
        <v>1073</v>
      </c>
      <c r="F824" s="5">
        <v>14587</v>
      </c>
      <c r="G824" s="2" t="s">
        <v>1494</v>
      </c>
      <c r="H824" s="2" t="s">
        <v>1495</v>
      </c>
      <c r="I824" s="2" t="s">
        <v>1496</v>
      </c>
      <c r="J824" s="2" t="str">
        <f>CONCATENATE(G824,F824,H824,C824,I824)</f>
        <v>https://permalinkbnd.bnportugal.gov.pt/viewer/14587/?offset=#page=255&amp;viewer=picture&amp;o=info&amp;n=0&amp;q=</v>
      </c>
      <c r="K824" s="1" t="s">
        <v>1074</v>
      </c>
      <c r="L824" s="1" t="str">
        <f>VLOOKUP(A824,Folha2!$A$2:$B$2019,2,FALSE)</f>
        <v>Os Lusiadas / Luiz de Camões ; edição ilustrada com vinte heliogravuras... por Alfred Bramtot e cincoenta e cinco desenhos por Paulin Bord. - Paris ;. - Lisboa : Guillard Aillaud &amp; Cª editores, 1890, com notas sobre a ilustrações. Paratextos argumentos.</v>
      </c>
      <c r="M824" s="12" t="str">
        <f>HYPERLINK(J824)</f>
        <v>https://permalinkbnd.bnportugal.gov.pt/viewer/14587/?offset=#page=255&amp;viewer=picture&amp;o=info&amp;n=0&amp;q=</v>
      </c>
      <c r="N824" s="12" t="s">
        <v>1497</v>
      </c>
      <c r="O824" s="12" t="str">
        <f>CONCATENATE(N824,A824,"\",B824,"\",C824,".jpg")</f>
        <v>C:\Users\mbaptista\OneDrive - Biblioteca Nacional de Portugal\Documentos\python\camoniana\imagens\capas\381444\1\255.jpg</v>
      </c>
      <c r="P824" s="12" t="str">
        <f>HYPERLINK(O824)</f>
        <v>C:\Users\mbaptista\OneDrive - Biblioteca Nacional de Portugal\Documentos\python\camoniana\imagens\capas\381444\1\255.jpg</v>
      </c>
      <c r="Q824" s="12"/>
      <c r="R824" s="6" t="s">
        <v>1089</v>
      </c>
      <c r="S824" s="12"/>
      <c r="T824" s="1" t="s">
        <v>1075</v>
      </c>
      <c r="U824" s="13"/>
      <c r="V824" s="13"/>
      <c r="W824" s="5" t="s">
        <v>1491</v>
      </c>
    </row>
    <row r="825" spans="1:23" ht="225">
      <c r="A825" s="1">
        <v>381444</v>
      </c>
      <c r="B825" s="1">
        <v>1</v>
      </c>
      <c r="C825" s="1">
        <v>265</v>
      </c>
      <c r="D825" s="2" t="s">
        <v>1073</v>
      </c>
      <c r="E825" s="11" t="s">
        <v>1073</v>
      </c>
      <c r="F825" s="11">
        <v>14587</v>
      </c>
      <c r="G825" s="2" t="s">
        <v>1494</v>
      </c>
      <c r="H825" s="2" t="s">
        <v>1495</v>
      </c>
      <c r="I825" s="2" t="s">
        <v>1496</v>
      </c>
      <c r="J825" s="2" t="str">
        <f>CONCATENATE(G825,F825,H825,C825,I825)</f>
        <v>https://permalinkbnd.bnportugal.gov.pt/viewer/14587/?offset=#page=265&amp;viewer=picture&amp;o=info&amp;n=0&amp;q=</v>
      </c>
      <c r="K825" s="1" t="s">
        <v>1074</v>
      </c>
      <c r="L825" s="1" t="str">
        <f>VLOOKUP(A825,Folha2!$A$2:$B$2019,2,FALSE)</f>
        <v>Os Lusiadas / Luiz de Camões ; edição ilustrada com vinte heliogravuras... por Alfred Bramtot e cincoenta e cinco desenhos por Paulin Bord. - Paris ;. - Lisboa : Guillard Aillaud &amp; Cª editores, 1890, com notas sobre a ilustrações. Paratextos argumentos.</v>
      </c>
      <c r="M825" s="12" t="str">
        <f>HYPERLINK(J825)</f>
        <v>https://permalinkbnd.bnportugal.gov.pt/viewer/14587/?offset=#page=265&amp;viewer=picture&amp;o=info&amp;n=0&amp;q=</v>
      </c>
      <c r="N825" s="12" t="s">
        <v>1497</v>
      </c>
      <c r="O825" s="12" t="str">
        <f>CONCATENATE(N825,A825,"\",B825,"\",C825,".jpg")</f>
        <v>C:\Users\mbaptista\OneDrive - Biblioteca Nacional de Portugal\Documentos\python\camoniana\imagens\capas\381444\1\265.jpg</v>
      </c>
      <c r="P825" s="12" t="str">
        <f>HYPERLINK(O825)</f>
        <v>C:\Users\mbaptista\OneDrive - Biblioteca Nacional de Portugal\Documentos\python\camoniana\imagens\capas\381444\1\265.jpg</v>
      </c>
      <c r="Q825" s="12"/>
      <c r="R825" s="6" t="s">
        <v>1090</v>
      </c>
      <c r="S825" s="12"/>
      <c r="T825" s="1" t="s">
        <v>1075</v>
      </c>
      <c r="U825" s="13"/>
      <c r="V825" s="13"/>
      <c r="W825" s="5" t="s">
        <v>1491</v>
      </c>
    </row>
    <row r="826" spans="1:23" ht="225">
      <c r="A826" s="1">
        <v>381444</v>
      </c>
      <c r="B826" s="1">
        <v>1</v>
      </c>
      <c r="C826" s="1">
        <v>289</v>
      </c>
      <c r="D826" s="2" t="s">
        <v>1073</v>
      </c>
      <c r="E826" s="5" t="s">
        <v>1073</v>
      </c>
      <c r="F826" s="5">
        <v>14587</v>
      </c>
      <c r="G826" s="2" t="s">
        <v>1494</v>
      </c>
      <c r="H826" s="2" t="s">
        <v>1495</v>
      </c>
      <c r="I826" s="2" t="s">
        <v>1496</v>
      </c>
      <c r="J826" s="2" t="str">
        <f>CONCATENATE(G826,F826,H826,C826,I826)</f>
        <v>https://permalinkbnd.bnportugal.gov.pt/viewer/14587/?offset=#page=289&amp;viewer=picture&amp;o=info&amp;n=0&amp;q=</v>
      </c>
      <c r="K826" s="1" t="s">
        <v>1074</v>
      </c>
      <c r="L826" s="1" t="str">
        <f>VLOOKUP(A826,Folha2!$A$2:$B$2019,2,FALSE)</f>
        <v>Os Lusiadas / Luiz de Camões ; edição ilustrada com vinte heliogravuras... por Alfred Bramtot e cincoenta e cinco desenhos por Paulin Bord. - Paris ;. - Lisboa : Guillard Aillaud &amp; Cª editores, 1890, com notas sobre a ilustrações. Paratextos argumentos.</v>
      </c>
      <c r="M826" s="12" t="str">
        <f>HYPERLINK(J826)</f>
        <v>https://permalinkbnd.bnportugal.gov.pt/viewer/14587/?offset=#page=289&amp;viewer=picture&amp;o=info&amp;n=0&amp;q=</v>
      </c>
      <c r="N826" s="12" t="s">
        <v>1497</v>
      </c>
      <c r="O826" s="12" t="str">
        <f>CONCATENATE(N826,A826,"\",B826,"\",C826,".jpg")</f>
        <v>C:\Users\mbaptista\OneDrive - Biblioteca Nacional de Portugal\Documentos\python\camoniana\imagens\capas\381444\1\289.jpg</v>
      </c>
      <c r="P826" s="12" t="str">
        <f>HYPERLINK(O826)</f>
        <v>C:\Users\mbaptista\OneDrive - Biblioteca Nacional de Portugal\Documentos\python\camoniana\imagens\capas\381444\1\289.jpg</v>
      </c>
      <c r="Q826" s="12"/>
      <c r="R826" s="6" t="s">
        <v>1091</v>
      </c>
      <c r="S826" s="12"/>
      <c r="T826" s="1" t="s">
        <v>1075</v>
      </c>
      <c r="U826" s="13"/>
      <c r="V826" s="13"/>
      <c r="W826" s="5" t="s">
        <v>1491</v>
      </c>
    </row>
    <row r="827" spans="1:23" ht="225">
      <c r="A827" s="1">
        <v>381444</v>
      </c>
      <c r="B827" s="1">
        <v>1</v>
      </c>
      <c r="C827" s="1">
        <v>295</v>
      </c>
      <c r="D827" s="2" t="s">
        <v>1073</v>
      </c>
      <c r="E827" s="11" t="s">
        <v>1073</v>
      </c>
      <c r="F827" s="11">
        <v>14587</v>
      </c>
      <c r="G827" s="2" t="s">
        <v>1494</v>
      </c>
      <c r="H827" s="2" t="s">
        <v>1495</v>
      </c>
      <c r="I827" s="2" t="s">
        <v>1496</v>
      </c>
      <c r="J827" s="2" t="str">
        <f>CONCATENATE(G827,F827,H827,C827,I827)</f>
        <v>https://permalinkbnd.bnportugal.gov.pt/viewer/14587/?offset=#page=295&amp;viewer=picture&amp;o=info&amp;n=0&amp;q=</v>
      </c>
      <c r="K827" s="1" t="s">
        <v>1074</v>
      </c>
      <c r="L827" s="1" t="str">
        <f>VLOOKUP(A827,Folha2!$A$2:$B$2019,2,FALSE)</f>
        <v>Os Lusiadas / Luiz de Camões ; edição ilustrada com vinte heliogravuras... por Alfred Bramtot e cincoenta e cinco desenhos por Paulin Bord. - Paris ;. - Lisboa : Guillard Aillaud &amp; Cª editores, 1890, com notas sobre a ilustrações. Paratextos argumentos.</v>
      </c>
      <c r="M827" s="12" t="str">
        <f>HYPERLINK(J827)</f>
        <v>https://permalinkbnd.bnportugal.gov.pt/viewer/14587/?offset=#page=295&amp;viewer=picture&amp;o=info&amp;n=0&amp;q=</v>
      </c>
      <c r="N827" s="12" t="s">
        <v>1497</v>
      </c>
      <c r="O827" s="12" t="str">
        <f>CONCATENATE(N827,A827,"\",B827,"\",C827,".jpg")</f>
        <v>C:\Users\mbaptista\OneDrive - Biblioteca Nacional de Portugal\Documentos\python\camoniana\imagens\capas\381444\1\295.jpg</v>
      </c>
      <c r="P827" s="12" t="str">
        <f>HYPERLINK(O827)</f>
        <v>C:\Users\mbaptista\OneDrive - Biblioteca Nacional de Portugal\Documentos\python\camoniana\imagens\capas\381444\1\295.jpg</v>
      </c>
      <c r="Q827" s="12"/>
      <c r="R827" s="6" t="s">
        <v>1092</v>
      </c>
      <c r="S827" s="12"/>
      <c r="T827" s="1" t="s">
        <v>1075</v>
      </c>
      <c r="U827" s="13"/>
      <c r="V827" s="13"/>
      <c r="W827" s="5" t="s">
        <v>1491</v>
      </c>
    </row>
    <row r="828" spans="1:23" ht="225">
      <c r="A828" s="1">
        <v>381444</v>
      </c>
      <c r="B828" s="1">
        <v>1</v>
      </c>
      <c r="C828" s="1">
        <v>323</v>
      </c>
      <c r="D828" s="2" t="s">
        <v>1073</v>
      </c>
      <c r="E828" s="5" t="s">
        <v>1073</v>
      </c>
      <c r="F828" s="5">
        <v>14587</v>
      </c>
      <c r="G828" s="2" t="s">
        <v>1494</v>
      </c>
      <c r="H828" s="2" t="s">
        <v>1495</v>
      </c>
      <c r="I828" s="2" t="s">
        <v>1496</v>
      </c>
      <c r="J828" s="2" t="str">
        <f>CONCATENATE(G828,F828,H828,C828,I828)</f>
        <v>https://permalinkbnd.bnportugal.gov.pt/viewer/14587/?offset=#page=323&amp;viewer=picture&amp;o=info&amp;n=0&amp;q=</v>
      </c>
      <c r="K828" s="1" t="s">
        <v>1074</v>
      </c>
      <c r="L828" s="1" t="str">
        <f>VLOOKUP(A828,Folha2!$A$2:$B$2019,2,FALSE)</f>
        <v>Os Lusiadas / Luiz de Camões ; edição ilustrada com vinte heliogravuras... por Alfred Bramtot e cincoenta e cinco desenhos por Paulin Bord. - Paris ;. - Lisboa : Guillard Aillaud &amp; Cª editores, 1890, com notas sobre a ilustrações. Paratextos argumentos.</v>
      </c>
      <c r="M828" s="12" t="str">
        <f>HYPERLINK(J828)</f>
        <v>https://permalinkbnd.bnportugal.gov.pt/viewer/14587/?offset=#page=323&amp;viewer=picture&amp;o=info&amp;n=0&amp;q=</v>
      </c>
      <c r="N828" s="12" t="s">
        <v>1497</v>
      </c>
      <c r="O828" s="12" t="str">
        <f>CONCATENATE(N828,A828,"\",B828,"\",C828,".jpg")</f>
        <v>C:\Users\mbaptista\OneDrive - Biblioteca Nacional de Portugal\Documentos\python\camoniana\imagens\capas\381444\1\323.jpg</v>
      </c>
      <c r="P828" s="12" t="str">
        <f>HYPERLINK(O828)</f>
        <v>C:\Users\mbaptista\OneDrive - Biblioteca Nacional de Portugal\Documentos\python\camoniana\imagens\capas\381444\1\323.jpg</v>
      </c>
      <c r="Q828" s="12"/>
      <c r="R828" s="6" t="s">
        <v>1093</v>
      </c>
      <c r="S828" s="12"/>
      <c r="T828" s="1" t="s">
        <v>1075</v>
      </c>
      <c r="U828" s="13"/>
      <c r="V828" s="13"/>
      <c r="W828" s="5" t="s">
        <v>1491</v>
      </c>
    </row>
    <row r="829" spans="1:23" ht="225">
      <c r="A829" s="1">
        <v>381444</v>
      </c>
      <c r="B829" s="1">
        <v>1</v>
      </c>
      <c r="C829" s="1">
        <v>331</v>
      </c>
      <c r="D829" s="2" t="s">
        <v>1073</v>
      </c>
      <c r="E829" s="11" t="s">
        <v>1073</v>
      </c>
      <c r="F829" s="11">
        <v>14587</v>
      </c>
      <c r="G829" s="2" t="s">
        <v>1494</v>
      </c>
      <c r="H829" s="2" t="s">
        <v>1495</v>
      </c>
      <c r="I829" s="2" t="s">
        <v>1496</v>
      </c>
      <c r="J829" s="2" t="str">
        <f>CONCATENATE(G829,F829,H829,C829,I829)</f>
        <v>https://permalinkbnd.bnportugal.gov.pt/viewer/14587/?offset=#page=331&amp;viewer=picture&amp;o=info&amp;n=0&amp;q=</v>
      </c>
      <c r="K829" s="1" t="s">
        <v>1074</v>
      </c>
      <c r="L829" s="1" t="str">
        <f>VLOOKUP(A829,Folha2!$A$2:$B$2019,2,FALSE)</f>
        <v>Os Lusiadas / Luiz de Camões ; edição ilustrada com vinte heliogravuras... por Alfred Bramtot e cincoenta e cinco desenhos por Paulin Bord. - Paris ;. - Lisboa : Guillard Aillaud &amp; Cª editores, 1890, com notas sobre a ilustrações. Paratextos argumentos.</v>
      </c>
      <c r="M829" s="12" t="str">
        <f>HYPERLINK(J829)</f>
        <v>https://permalinkbnd.bnportugal.gov.pt/viewer/14587/?offset=#page=331&amp;viewer=picture&amp;o=info&amp;n=0&amp;q=</v>
      </c>
      <c r="N829" s="12" t="s">
        <v>1497</v>
      </c>
      <c r="O829" s="12" t="str">
        <f>CONCATENATE(N829,A829,"\",B829,"\",C829,".jpg")</f>
        <v>C:\Users\mbaptista\OneDrive - Biblioteca Nacional de Portugal\Documentos\python\camoniana\imagens\capas\381444\1\331.jpg</v>
      </c>
      <c r="P829" s="12" t="str">
        <f>HYPERLINK(O829)</f>
        <v>C:\Users\mbaptista\OneDrive - Biblioteca Nacional de Portugal\Documentos\python\camoniana\imagens\capas\381444\1\331.jpg</v>
      </c>
      <c r="Q829" s="12"/>
      <c r="R829" s="6" t="s">
        <v>1094</v>
      </c>
      <c r="S829" s="12"/>
      <c r="T829" s="1" t="s">
        <v>1075</v>
      </c>
      <c r="U829" s="13"/>
      <c r="V829" s="13"/>
      <c r="W829" s="5" t="s">
        <v>1491</v>
      </c>
    </row>
    <row r="830" spans="1:23" ht="225">
      <c r="A830" s="1">
        <v>381444</v>
      </c>
      <c r="B830" s="1">
        <v>1</v>
      </c>
      <c r="C830" s="1">
        <v>340</v>
      </c>
      <c r="D830" s="2" t="s">
        <v>1073</v>
      </c>
      <c r="E830" s="5" t="s">
        <v>1073</v>
      </c>
      <c r="F830" s="5">
        <v>14587</v>
      </c>
      <c r="G830" s="2" t="s">
        <v>1494</v>
      </c>
      <c r="H830" s="2" t="s">
        <v>1495</v>
      </c>
      <c r="I830" s="2" t="s">
        <v>1496</v>
      </c>
      <c r="J830" s="2" t="str">
        <f>CONCATENATE(G830,F830,H830,C830,I830)</f>
        <v>https://permalinkbnd.bnportugal.gov.pt/viewer/14587/?offset=#page=340&amp;viewer=picture&amp;o=info&amp;n=0&amp;q=</v>
      </c>
      <c r="K830" s="1" t="s">
        <v>1074</v>
      </c>
      <c r="L830" s="1" t="str">
        <f>VLOOKUP(A830,Folha2!$A$2:$B$2019,2,FALSE)</f>
        <v>Os Lusiadas / Luiz de Camões ; edição ilustrada com vinte heliogravuras... por Alfred Bramtot e cincoenta e cinco desenhos por Paulin Bord. - Paris ;. - Lisboa : Guillard Aillaud &amp; Cª editores, 1890, com notas sobre a ilustrações. Paratextos argumentos.</v>
      </c>
      <c r="M830" s="12" t="str">
        <f>HYPERLINK(J830)</f>
        <v>https://permalinkbnd.bnportugal.gov.pt/viewer/14587/?offset=#page=340&amp;viewer=picture&amp;o=info&amp;n=0&amp;q=</v>
      </c>
      <c r="N830" s="12" t="s">
        <v>1497</v>
      </c>
      <c r="O830" s="12" t="str">
        <f>CONCATENATE(N830,A830,"\",B830,"\",C830,".jpg")</f>
        <v>C:\Users\mbaptista\OneDrive - Biblioteca Nacional de Portugal\Documentos\python\camoniana\imagens\capas\381444\1\340.jpg</v>
      </c>
      <c r="P830" s="12" t="str">
        <f>HYPERLINK(O830)</f>
        <v>C:\Users\mbaptista\OneDrive - Biblioteca Nacional de Portugal\Documentos\python\camoniana\imagens\capas\381444\1\340.jpg</v>
      </c>
      <c r="Q830" s="12"/>
      <c r="R830" s="6"/>
      <c r="S830" s="12"/>
      <c r="T830" s="1"/>
      <c r="U830" s="13"/>
      <c r="V830" s="13"/>
      <c r="W830" s="5"/>
    </row>
    <row r="831" spans="1:23" ht="225">
      <c r="A831" s="1">
        <v>381444</v>
      </c>
      <c r="B831" s="1">
        <v>1</v>
      </c>
      <c r="C831" s="1">
        <v>365</v>
      </c>
      <c r="D831" s="2" t="s">
        <v>1073</v>
      </c>
      <c r="E831" s="11" t="s">
        <v>1073</v>
      </c>
      <c r="F831" s="11">
        <v>14587</v>
      </c>
      <c r="G831" s="2" t="s">
        <v>1494</v>
      </c>
      <c r="H831" s="2" t="s">
        <v>1495</v>
      </c>
      <c r="I831" s="2" t="s">
        <v>1496</v>
      </c>
      <c r="J831" s="2" t="str">
        <f>CONCATENATE(G831,F831,H831,C831,I831)</f>
        <v>https://permalinkbnd.bnportugal.gov.pt/viewer/14587/?offset=#page=365&amp;viewer=picture&amp;o=info&amp;n=0&amp;q=</v>
      </c>
      <c r="K831" s="1" t="s">
        <v>1074</v>
      </c>
      <c r="L831" s="1" t="str">
        <f>VLOOKUP(A831,Folha2!$A$2:$B$2019,2,FALSE)</f>
        <v>Os Lusiadas / Luiz de Camões ; edição ilustrada com vinte heliogravuras... por Alfred Bramtot e cincoenta e cinco desenhos por Paulin Bord. - Paris ;. - Lisboa : Guillard Aillaud &amp; Cª editores, 1890, com notas sobre a ilustrações. Paratextos argumentos.</v>
      </c>
      <c r="M831" s="12" t="str">
        <f>HYPERLINK(J831)</f>
        <v>https://permalinkbnd.bnportugal.gov.pt/viewer/14587/?offset=#page=365&amp;viewer=picture&amp;o=info&amp;n=0&amp;q=</v>
      </c>
      <c r="N831" s="12" t="s">
        <v>1497</v>
      </c>
      <c r="O831" s="12" t="str">
        <f>CONCATENATE(N831,A831,"\",B831,"\",C831,".jpg")</f>
        <v>C:\Users\mbaptista\OneDrive - Biblioteca Nacional de Portugal\Documentos\python\camoniana\imagens\capas\381444\1\365.jpg</v>
      </c>
      <c r="P831" s="12" t="str">
        <f>HYPERLINK(O831)</f>
        <v>C:\Users\mbaptista\OneDrive - Biblioteca Nacional de Portugal\Documentos\python\camoniana\imagens\capas\381444\1\365.jpg</v>
      </c>
      <c r="Q831" s="12"/>
      <c r="R831" s="6" t="s">
        <v>1095</v>
      </c>
      <c r="S831" s="12"/>
      <c r="T831" s="1" t="s">
        <v>1075</v>
      </c>
      <c r="U831" s="13"/>
      <c r="V831" s="13"/>
      <c r="W831" s="5" t="s">
        <v>1491</v>
      </c>
    </row>
    <row r="832" spans="1:23" ht="225">
      <c r="A832" s="1">
        <v>381444</v>
      </c>
      <c r="B832" s="1">
        <v>1</v>
      </c>
      <c r="C832" s="1">
        <v>385</v>
      </c>
      <c r="D832" s="2" t="s">
        <v>1073</v>
      </c>
      <c r="E832" s="5" t="s">
        <v>1073</v>
      </c>
      <c r="F832" s="5">
        <v>14587</v>
      </c>
      <c r="G832" s="2" t="s">
        <v>1494</v>
      </c>
      <c r="H832" s="2" t="s">
        <v>1495</v>
      </c>
      <c r="I832" s="2" t="s">
        <v>1496</v>
      </c>
      <c r="J832" s="2" t="str">
        <f>CONCATENATE(G832,F832,H832,C832,I832)</f>
        <v>https://permalinkbnd.bnportugal.gov.pt/viewer/14587/?offset=#page=385&amp;viewer=picture&amp;o=info&amp;n=0&amp;q=</v>
      </c>
      <c r="K832" s="1" t="s">
        <v>1074</v>
      </c>
      <c r="L832" s="1" t="str">
        <f>VLOOKUP(A832,Folha2!$A$2:$B$2019,2,FALSE)</f>
        <v>Os Lusiadas / Luiz de Camões ; edição ilustrada com vinte heliogravuras... por Alfred Bramtot e cincoenta e cinco desenhos por Paulin Bord. - Paris ;. - Lisboa : Guillard Aillaud &amp; Cª editores, 1890, com notas sobre a ilustrações. Paratextos argumentos.</v>
      </c>
      <c r="M832" s="12" t="str">
        <f>HYPERLINK(J832)</f>
        <v>https://permalinkbnd.bnportugal.gov.pt/viewer/14587/?offset=#page=385&amp;viewer=picture&amp;o=info&amp;n=0&amp;q=</v>
      </c>
      <c r="N832" s="12" t="s">
        <v>1497</v>
      </c>
      <c r="O832" s="12" t="str">
        <f>CONCATENATE(N832,A832,"\",B832,"\",C832,".jpg")</f>
        <v>C:\Users\mbaptista\OneDrive - Biblioteca Nacional de Portugal\Documentos\python\camoniana\imagens\capas\381444\1\385.jpg</v>
      </c>
      <c r="P832" s="12" t="str">
        <f>HYPERLINK(O832)</f>
        <v>C:\Users\mbaptista\OneDrive - Biblioteca Nacional de Portugal\Documentos\python\camoniana\imagens\capas\381444\1\385.jpg</v>
      </c>
      <c r="Q832" s="12"/>
      <c r="R832" s="6" t="s">
        <v>1096</v>
      </c>
      <c r="S832" s="12"/>
      <c r="T832" s="1" t="s">
        <v>1075</v>
      </c>
      <c r="U832" s="13"/>
      <c r="V832" s="13"/>
      <c r="W832" s="5" t="s">
        <v>1491</v>
      </c>
    </row>
    <row r="833" spans="1:23" ht="225">
      <c r="A833" s="1">
        <v>381504</v>
      </c>
      <c r="B833" s="1">
        <v>1</v>
      </c>
      <c r="C833" s="1">
        <v>8</v>
      </c>
      <c r="D833" s="2" t="s">
        <v>1097</v>
      </c>
      <c r="E833" s="11" t="s">
        <v>1097</v>
      </c>
      <c r="F833" s="11">
        <v>14650</v>
      </c>
      <c r="G833" s="2" t="s">
        <v>1494</v>
      </c>
      <c r="H833" s="2" t="s">
        <v>1495</v>
      </c>
      <c r="I833" s="2" t="s">
        <v>1496</v>
      </c>
      <c r="J833" s="2" t="str">
        <f>CONCATENATE(G833,F833,H833,C833,I833)</f>
        <v>https://permalinkbnd.bnportugal.gov.pt/viewer/14650/?offset=#page=8&amp;viewer=picture&amp;o=info&amp;n=0&amp;q=</v>
      </c>
      <c r="K833" s="1" t="s">
        <v>1098</v>
      </c>
      <c r="L833" s="1" t="str">
        <f>VLOOKUP(A833,Folha2!$A$2:$B$2019,2,FALSE)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3" s="12" t="str">
        <f>HYPERLINK(J833)</f>
        <v>https://permalinkbnd.bnportugal.gov.pt/viewer/14650/?offset=#page=8&amp;viewer=picture&amp;o=info&amp;n=0&amp;q=</v>
      </c>
      <c r="N833" s="12" t="s">
        <v>1497</v>
      </c>
      <c r="O833" s="12" t="str">
        <f>CONCATENATE(N833,A833,"\",B833,"\",C833,".jpg")</f>
        <v>C:\Users\mbaptista\OneDrive - Biblioteca Nacional de Portugal\Documentos\python\camoniana\imagens\capas\381504\1\8.jpg</v>
      </c>
      <c r="P833" s="12" t="str">
        <f>HYPERLINK(O833)</f>
        <v>C:\Users\mbaptista\OneDrive - Biblioteca Nacional de Portugal\Documentos\python\camoniana\imagens\capas\381504\1\8.jpg</v>
      </c>
      <c r="Q833" s="12"/>
      <c r="R833" s="6" t="s">
        <v>1100</v>
      </c>
      <c r="S833" s="12"/>
      <c r="T833" s="1" t="s">
        <v>1099</v>
      </c>
      <c r="U833" s="13"/>
      <c r="V833" s="13"/>
      <c r="W833" s="5" t="s">
        <v>1491</v>
      </c>
    </row>
    <row r="834" spans="1:23" ht="225">
      <c r="A834" s="1">
        <v>381504</v>
      </c>
      <c r="B834" s="1">
        <v>1</v>
      </c>
      <c r="C834" s="1">
        <v>30</v>
      </c>
      <c r="D834" s="2" t="s">
        <v>1097</v>
      </c>
      <c r="E834" s="5" t="s">
        <v>1097</v>
      </c>
      <c r="F834" s="5">
        <v>14650</v>
      </c>
      <c r="G834" s="2" t="s">
        <v>1494</v>
      </c>
      <c r="H834" s="2" t="s">
        <v>1495</v>
      </c>
      <c r="I834" s="2" t="s">
        <v>1496</v>
      </c>
      <c r="J834" s="2" t="str">
        <f>CONCATENATE(G834,F834,H834,C834,I834)</f>
        <v>https://permalinkbnd.bnportugal.gov.pt/viewer/14650/?offset=#page=30&amp;viewer=picture&amp;o=info&amp;n=0&amp;q=</v>
      </c>
      <c r="K834" s="1" t="s">
        <v>1098</v>
      </c>
      <c r="L834" s="1" t="str">
        <f>VLOOKUP(A834,Folha2!$A$2:$B$2019,2,FALSE)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4" s="12" t="str">
        <f>HYPERLINK(J834)</f>
        <v>https://permalinkbnd.bnportugal.gov.pt/viewer/14650/?offset=#page=30&amp;viewer=picture&amp;o=info&amp;n=0&amp;q=</v>
      </c>
      <c r="N834" s="12" t="s">
        <v>1497</v>
      </c>
      <c r="O834" s="12" t="str">
        <f>CONCATENATE(N834,A834,"\",B834,"\",C834,".jpg")</f>
        <v>C:\Users\mbaptista\OneDrive - Biblioteca Nacional de Portugal\Documentos\python\camoniana\imagens\capas\381504\1\30.jpg</v>
      </c>
      <c r="P834" s="12" t="str">
        <f>HYPERLINK(O834)</f>
        <v>C:\Users\mbaptista\OneDrive - Biblioteca Nacional de Portugal\Documentos\python\camoniana\imagens\capas\381504\1\30.jpg</v>
      </c>
      <c r="Q834" s="12"/>
      <c r="R834" s="6" t="s">
        <v>1101</v>
      </c>
      <c r="S834" s="12"/>
      <c r="T834" s="1" t="s">
        <v>1099</v>
      </c>
      <c r="U834" s="13"/>
      <c r="V834" s="13"/>
      <c r="W834" s="5" t="s">
        <v>1491</v>
      </c>
    </row>
    <row r="835" spans="1:23" ht="225">
      <c r="A835" s="1">
        <v>381504</v>
      </c>
      <c r="B835" s="1">
        <v>1</v>
      </c>
      <c r="C835" s="1">
        <v>31</v>
      </c>
      <c r="D835" s="2" t="s">
        <v>1097</v>
      </c>
      <c r="E835" s="11" t="s">
        <v>1097</v>
      </c>
      <c r="F835" s="11">
        <v>14650</v>
      </c>
      <c r="G835" s="2" t="s">
        <v>1494</v>
      </c>
      <c r="H835" s="2" t="s">
        <v>1495</v>
      </c>
      <c r="I835" s="2" t="s">
        <v>1496</v>
      </c>
      <c r="J835" s="2" t="str">
        <f>CONCATENATE(G835,F835,H835,C835,I835)</f>
        <v>https://permalinkbnd.bnportugal.gov.pt/viewer/14650/?offset=#page=31&amp;viewer=picture&amp;o=info&amp;n=0&amp;q=</v>
      </c>
      <c r="K835" s="1" t="s">
        <v>1098</v>
      </c>
      <c r="L835" s="1" t="str">
        <f>VLOOKUP(A835,Folha2!$A$2:$B$2019,2,FALSE)</f>
        <v>The Lusiad, or, Portugals historicall poem : written in portingall language / by Luis de Camoens ; and now newly put into english by Richard Fanshaw Esq.. - London : printed for Humphrey Moseley, at the Prince´s Arms in St Pauls Church-yard, 1655, sem argumentos, com erros gráficos de paginação, cf. Im. 208, 244, 249.</v>
      </c>
      <c r="M835" s="12" t="str">
        <f>HYPERLINK(J835)</f>
        <v>https://permalinkbnd.bnportugal.gov.pt/viewer/14650/?offset=#page=31&amp;viewer=picture&amp;o=info&amp;n=0&amp;q=</v>
      </c>
      <c r="N835" s="12" t="s">
        <v>1497</v>
      </c>
      <c r="O835" s="12" t="str">
        <f>CONCATENATE(N835,A835,"\",B835,"\",C835,".jpg")</f>
        <v>C:\Users\mbaptista\OneDrive - Biblioteca Nacional de Portugal\Documentos\python\camoniana\imagens\capas\381504\1\31.jpg</v>
      </c>
      <c r="P835" s="12" t="str">
        <f>HYPERLINK(O835)</f>
        <v>C:\Users\mbaptista\OneDrive - Biblioteca Nacional de Portugal\Documentos\python\camoniana\imagens\capas\381504\1\31.jpg</v>
      </c>
      <c r="Q835" s="12"/>
      <c r="R835" s="6" t="s">
        <v>1102</v>
      </c>
      <c r="S835" s="12"/>
      <c r="T835" s="1" t="s">
        <v>1099</v>
      </c>
      <c r="U835" s="13"/>
      <c r="V835" s="13"/>
      <c r="W835" s="5" t="s">
        <v>1491</v>
      </c>
    </row>
    <row r="836" spans="1:23" ht="225">
      <c r="A836" s="1">
        <v>381588</v>
      </c>
      <c r="B836" s="1">
        <v>1</v>
      </c>
      <c r="C836" s="1">
        <v>6</v>
      </c>
      <c r="D836" s="2" t="s">
        <v>1103</v>
      </c>
      <c r="E836" s="5" t="s">
        <v>1103</v>
      </c>
      <c r="F836" s="5">
        <v>14604</v>
      </c>
      <c r="G836" s="2" t="s">
        <v>1494</v>
      </c>
      <c r="H836" s="2" t="s">
        <v>1495</v>
      </c>
      <c r="I836" s="2" t="s">
        <v>1496</v>
      </c>
      <c r="J836" s="2" t="str">
        <f>CONCATENATE(G836,F836,H836,C836,I836)</f>
        <v>https://permalinkbnd.bnportugal.gov.pt/viewer/14604/?offset=#page=6&amp;viewer=picture&amp;o=info&amp;n=0&amp;q=</v>
      </c>
      <c r="K836" s="1" t="s">
        <v>1104</v>
      </c>
      <c r="L836" s="1" t="str">
        <f>VLOOKUP(A836,Folha2!$A$2:$B$2019,2,FALSE)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6" s="12" t="str">
        <f>HYPERLINK(J836)</f>
        <v>https://permalinkbnd.bnportugal.gov.pt/viewer/14604/?offset=#page=6&amp;viewer=picture&amp;o=info&amp;n=0&amp;q=</v>
      </c>
      <c r="N836" s="12" t="s">
        <v>1497</v>
      </c>
      <c r="O836" s="12" t="str">
        <f>CONCATENATE(N836,A836,"\",B836,"\",C836,".jpg")</f>
        <v>C:\Users\mbaptista\OneDrive - Biblioteca Nacional de Portugal\Documentos\python\camoniana\imagens\capas\381588\1\6.jpg</v>
      </c>
      <c r="P836" s="12" t="str">
        <f>HYPERLINK(O836)</f>
        <v>C:\Users\mbaptista\OneDrive - Biblioteca Nacional de Portugal\Documentos\python\camoniana\imagens\capas\381588\1\6.jpg</v>
      </c>
      <c r="Q836" s="12"/>
      <c r="R836" s="6" t="s">
        <v>1106</v>
      </c>
      <c r="S836" s="12"/>
      <c r="T836" s="1" t="s">
        <v>1105</v>
      </c>
      <c r="U836" s="13"/>
      <c r="V836" s="13"/>
      <c r="W836" s="5" t="s">
        <v>1491</v>
      </c>
    </row>
    <row r="837" spans="1:23" ht="225">
      <c r="A837" s="1">
        <v>381588</v>
      </c>
      <c r="B837" s="1">
        <v>1</v>
      </c>
      <c r="C837" s="1">
        <v>35</v>
      </c>
      <c r="D837" s="2" t="s">
        <v>1103</v>
      </c>
      <c r="E837" s="11" t="s">
        <v>1103</v>
      </c>
      <c r="F837" s="11">
        <v>14604</v>
      </c>
      <c r="G837" s="2" t="s">
        <v>1494</v>
      </c>
      <c r="H837" s="2" t="s">
        <v>1495</v>
      </c>
      <c r="I837" s="2" t="s">
        <v>1496</v>
      </c>
      <c r="J837" s="2" t="str">
        <f>CONCATENATE(G837,F837,H837,C837,I837)</f>
        <v>https://permalinkbnd.bnportugal.gov.pt/viewer/14604/?offset=#page=35&amp;viewer=picture&amp;o=info&amp;n=0&amp;q=</v>
      </c>
      <c r="K837" s="1" t="s">
        <v>1104</v>
      </c>
      <c r="L837" s="1" t="str">
        <f>VLOOKUP(A837,Folha2!$A$2:$B$2019,2,FALSE)</f>
        <v>The Lusiad; or, the discovery of India : an epic poem / translated from the original portuguese of Luis de Camöen by William Julius Mickle. - The second edition. - Oxford : printed by Jackson and Lister, 1778, sem argumentos. Erros gráficos na paginação, cf. Im. 399 e tipográficos também, cf. Im. 428. A inserir Iconografia, Alegoria? Mapa rota Vasco da Gama.</v>
      </c>
      <c r="M837" s="12" t="str">
        <f>HYPERLINK(J837)</f>
        <v>https://permalinkbnd.bnportugal.gov.pt/viewer/14604/?offset=#page=35&amp;viewer=picture&amp;o=info&amp;n=0&amp;q=</v>
      </c>
      <c r="N837" s="12" t="s">
        <v>1497</v>
      </c>
      <c r="O837" s="12" t="str">
        <f>CONCATENATE(N837,A837,"\",B837,"\",C837,".jpg")</f>
        <v>C:\Users\mbaptista\OneDrive - Biblioteca Nacional de Portugal\Documentos\python\camoniana\imagens\capas\381588\1\35.jpg</v>
      </c>
      <c r="P837" s="12" t="str">
        <f>HYPERLINK(O837)</f>
        <v>C:\Users\mbaptista\OneDrive - Biblioteca Nacional de Portugal\Documentos\python\camoniana\imagens\capas\381588\1\35.jpg</v>
      </c>
      <c r="Q837" s="12"/>
      <c r="R837" s="6" t="s">
        <v>1107</v>
      </c>
      <c r="S837" s="12"/>
      <c r="T837" s="1" t="s">
        <v>1105</v>
      </c>
      <c r="U837" s="13"/>
      <c r="V837" s="13"/>
      <c r="W837" s="5" t="s">
        <v>1491</v>
      </c>
    </row>
    <row r="838" spans="1:23" ht="225">
      <c r="A838" s="1">
        <v>397754</v>
      </c>
      <c r="B838" s="1">
        <v>1</v>
      </c>
      <c r="C838" s="1">
        <v>13</v>
      </c>
      <c r="D838" s="2" t="s">
        <v>1108</v>
      </c>
      <c r="E838" s="5" t="s">
        <v>1108</v>
      </c>
      <c r="F838" s="5">
        <v>278482</v>
      </c>
      <c r="G838" s="2" t="s">
        <v>1494</v>
      </c>
      <c r="H838" s="2" t="s">
        <v>1495</v>
      </c>
      <c r="I838" s="2" t="s">
        <v>1496</v>
      </c>
      <c r="J838" s="2" t="str">
        <f>CONCATENATE(G838,F838,H838,C838,I838)</f>
        <v>https://permalinkbnd.bnportugal.gov.pt/viewer/278482/?offset=#page=13&amp;viewer=picture&amp;o=info&amp;n=0&amp;q=</v>
      </c>
      <c r="K838" s="1" t="s">
        <v>1109</v>
      </c>
      <c r="L838" s="1" t="str">
        <f>VLOOKUP(A838,Folha2!$A$2:$B$2019,2,FALSE)</f>
        <v>Episodio de D. Ignez de Castro excerpto dos Lusiadas ... / Luís de Camöes ; [coment.] Joaquim Eusébio dos Santos. - Lisboa : Adolfo, Modesto : Imprensa Nacional, 1887. Ano 363 do nascimento do Poeta. A inserir obra, impressos, fragmento, épica, paratextos gerais: fica em paratextos gerais épica, outros.</v>
      </c>
      <c r="M838" s="12" t="str">
        <f>HYPERLINK(J838)</f>
        <v>https://permalinkbnd.bnportugal.gov.pt/viewer/278482/?offset=#page=13&amp;viewer=picture&amp;o=info&amp;n=0&amp;q=</v>
      </c>
      <c r="N838" s="12" t="s">
        <v>1497</v>
      </c>
      <c r="O838" s="12" t="str">
        <f>CONCATENATE(N838,A838,"\",B838,"\",C838,".jpg")</f>
        <v>C:\Users\mbaptista\OneDrive - Biblioteca Nacional de Portugal\Documentos\python\camoniana\imagens\capas\397754\1\13.jpg</v>
      </c>
      <c r="P838" s="12" t="str">
        <f>HYPERLINK(O838)</f>
        <v>C:\Users\mbaptista\OneDrive - Biblioteca Nacional de Portugal\Documentos\python\camoniana\imagens\capas\397754\1\13.jpg</v>
      </c>
      <c r="Q838" s="12"/>
      <c r="R838" s="6" t="s">
        <v>1110</v>
      </c>
      <c r="S838" s="12"/>
      <c r="T838" s="1">
        <v>13</v>
      </c>
      <c r="U838" s="13"/>
      <c r="V838" s="13"/>
      <c r="W838" s="5" t="s">
        <v>1491</v>
      </c>
    </row>
    <row r="839" spans="1:23" ht="225">
      <c r="A839" s="1">
        <v>452326</v>
      </c>
      <c r="B839" s="1">
        <v>1</v>
      </c>
      <c r="C839" s="1">
        <v>12</v>
      </c>
      <c r="D839" s="2" t="s">
        <v>1111</v>
      </c>
      <c r="E839" s="11" t="s">
        <v>1111</v>
      </c>
      <c r="F839" s="11">
        <v>14622</v>
      </c>
      <c r="G839" s="2" t="s">
        <v>1494</v>
      </c>
      <c r="H839" s="2" t="s">
        <v>1495</v>
      </c>
      <c r="I839" s="2" t="s">
        <v>1496</v>
      </c>
      <c r="J839" s="2" t="str">
        <f>CONCATENATE(G839,F839,H839,C839,I839)</f>
        <v>https://permalinkbnd.bnportugal.gov.pt/viewer/14622/?offset=#page=12&amp;viewer=picture&amp;o=info&amp;n=0&amp;q=</v>
      </c>
      <c r="K839" s="1" t="s">
        <v>1112</v>
      </c>
      <c r="L839" s="1" t="str">
        <f>VLOOKUP(A839,Folha2!$A$2:$B$2019,2,FALSE)</f>
        <v>Vie de Camoens : le poéte des "Lusiades" et le Portugal de son temps / par Virginia de Castro e Almeida... ; préf. de Pierre de Lamet. - Tours : [s.n.], 1935, com notas finais.</v>
      </c>
      <c r="M839" s="12" t="str">
        <f>HYPERLINK(J839)</f>
        <v>https://permalinkbnd.bnportugal.gov.pt/viewer/14622/?offset=#page=12&amp;viewer=picture&amp;o=info&amp;n=0&amp;q=</v>
      </c>
      <c r="N839" s="12" t="s">
        <v>1497</v>
      </c>
      <c r="O839" s="12" t="str">
        <f>CONCATENATE(N839,A839,"\",B839,"\",C839,".jpg")</f>
        <v>C:\Users\mbaptista\OneDrive - Biblioteca Nacional de Portugal\Documentos\python\camoniana\imagens\capas\452326\1\12.jpg</v>
      </c>
      <c r="P839" s="12" t="str">
        <f>HYPERLINK(O839)</f>
        <v>C:\Users\mbaptista\OneDrive - Biblioteca Nacional de Portugal\Documentos\python\camoniana\imagens\capas\452326\1\12.jpg</v>
      </c>
      <c r="Q839" s="12"/>
      <c r="R839" s="6" t="s">
        <v>1114</v>
      </c>
      <c r="S839" s="12"/>
      <c r="T839" s="1" t="s">
        <v>1113</v>
      </c>
      <c r="U839" s="13"/>
      <c r="V839" s="13"/>
      <c r="W839" s="5" t="s">
        <v>1491</v>
      </c>
    </row>
    <row r="840" spans="1:23" ht="225">
      <c r="A840" s="1">
        <v>452326</v>
      </c>
      <c r="B840" s="1">
        <v>1</v>
      </c>
      <c r="C840" s="1">
        <v>21</v>
      </c>
      <c r="D840" s="2" t="s">
        <v>1111</v>
      </c>
      <c r="E840" s="5" t="s">
        <v>1111</v>
      </c>
      <c r="F840" s="5">
        <v>14622</v>
      </c>
      <c r="G840" s="2" t="s">
        <v>1494</v>
      </c>
      <c r="H840" s="2" t="s">
        <v>1495</v>
      </c>
      <c r="I840" s="2" t="s">
        <v>1496</v>
      </c>
      <c r="J840" s="2" t="str">
        <f>CONCATENATE(G840,F840,H840,C840,I840)</f>
        <v>https://permalinkbnd.bnportugal.gov.pt/viewer/14622/?offset=#page=21&amp;viewer=picture&amp;o=info&amp;n=0&amp;q=</v>
      </c>
      <c r="K840" s="1" t="s">
        <v>1112</v>
      </c>
      <c r="L840" s="1" t="str">
        <f>VLOOKUP(A840,Folha2!$A$2:$B$2019,2,FALSE)</f>
        <v>Vie de Camoens : le poéte des "Lusiades" et le Portugal de son temps / par Virginia de Castro e Almeida... ; préf. de Pierre de Lamet. - Tours : [s.n.], 1935, com notas finais.</v>
      </c>
      <c r="M840" s="12" t="str">
        <f>HYPERLINK(J840)</f>
        <v>https://permalinkbnd.bnportugal.gov.pt/viewer/14622/?offset=#page=21&amp;viewer=picture&amp;o=info&amp;n=0&amp;q=</v>
      </c>
      <c r="N840" s="12" t="s">
        <v>1497</v>
      </c>
      <c r="O840" s="12" t="str">
        <f>CONCATENATE(N840,A840,"\",B840,"\",C840,".jpg")</f>
        <v>C:\Users\mbaptista\OneDrive - Biblioteca Nacional de Portugal\Documentos\python\camoniana\imagens\capas\452326\1\21.jpg</v>
      </c>
      <c r="P840" s="12" t="str">
        <f>HYPERLINK(O840)</f>
        <v>C:\Users\mbaptista\OneDrive - Biblioteca Nacional de Portugal\Documentos\python\camoniana\imagens\capas\452326\1\21.jpg</v>
      </c>
      <c r="Q840" s="12"/>
      <c r="R840" s="6" t="s">
        <v>1115</v>
      </c>
      <c r="S840" s="12"/>
      <c r="T840" s="1" t="s">
        <v>1113</v>
      </c>
      <c r="U840" s="13"/>
      <c r="V840" s="13"/>
      <c r="W840" s="5" t="s">
        <v>1491</v>
      </c>
    </row>
    <row r="841" spans="1:23" ht="225">
      <c r="A841" s="1">
        <v>452326</v>
      </c>
      <c r="B841" s="1">
        <v>1</v>
      </c>
      <c r="C841" s="1">
        <v>108</v>
      </c>
      <c r="D841" s="2" t="s">
        <v>1111</v>
      </c>
      <c r="E841" s="11" t="s">
        <v>1111</v>
      </c>
      <c r="F841" s="11">
        <v>14622</v>
      </c>
      <c r="G841" s="2" t="s">
        <v>1494</v>
      </c>
      <c r="H841" s="2" t="s">
        <v>1495</v>
      </c>
      <c r="I841" s="2" t="s">
        <v>1496</v>
      </c>
      <c r="J841" s="2" t="str">
        <f>CONCATENATE(G841,F841,H841,C841,I841)</f>
        <v>https://permalinkbnd.bnportugal.gov.pt/viewer/14622/?offset=#page=108&amp;viewer=picture&amp;o=info&amp;n=0&amp;q=</v>
      </c>
      <c r="K841" s="1" t="s">
        <v>1112</v>
      </c>
      <c r="L841" s="1" t="str">
        <f>VLOOKUP(A841,Folha2!$A$2:$B$2019,2,FALSE)</f>
        <v>Vie de Camoens : le poéte des "Lusiades" et le Portugal de son temps / par Virginia de Castro e Almeida... ; préf. de Pierre de Lamet. - Tours : [s.n.], 1935, com notas finais.</v>
      </c>
      <c r="M841" s="12" t="str">
        <f>HYPERLINK(J841)</f>
        <v>https://permalinkbnd.bnportugal.gov.pt/viewer/14622/?offset=#page=108&amp;viewer=picture&amp;o=info&amp;n=0&amp;q=</v>
      </c>
      <c r="N841" s="12" t="s">
        <v>1497</v>
      </c>
      <c r="O841" s="12" t="str">
        <f>CONCATENATE(N841,A841,"\",B841,"\",C841,".jpg")</f>
        <v>C:\Users\mbaptista\OneDrive - Biblioteca Nacional de Portugal\Documentos\python\camoniana\imagens\capas\452326\1\108.jpg</v>
      </c>
      <c r="P841" s="12" t="str">
        <f>HYPERLINK(O841)</f>
        <v>C:\Users\mbaptista\OneDrive - Biblioteca Nacional de Portugal\Documentos\python\camoniana\imagens\capas\452326\1\108.jpg</v>
      </c>
      <c r="Q841" s="12"/>
      <c r="R841" s="6" t="s">
        <v>1116</v>
      </c>
      <c r="S841" s="12"/>
      <c r="T841" s="1" t="s">
        <v>1113</v>
      </c>
      <c r="U841" s="13"/>
      <c r="V841" s="13"/>
      <c r="W841" s="5" t="s">
        <v>1491</v>
      </c>
    </row>
    <row r="842" spans="1:23" ht="225">
      <c r="A842" s="1">
        <v>452326</v>
      </c>
      <c r="B842" s="1">
        <v>1</v>
      </c>
      <c r="C842" s="1">
        <v>125</v>
      </c>
      <c r="D842" s="2" t="s">
        <v>1111</v>
      </c>
      <c r="E842" s="5" t="s">
        <v>1111</v>
      </c>
      <c r="F842" s="5">
        <v>14622</v>
      </c>
      <c r="G842" s="2" t="s">
        <v>1494</v>
      </c>
      <c r="H842" s="2" t="s">
        <v>1495</v>
      </c>
      <c r="I842" s="2" t="s">
        <v>1496</v>
      </c>
      <c r="J842" s="2" t="str">
        <f>CONCATENATE(G842,F842,H842,C842,I842)</f>
        <v>https://permalinkbnd.bnportugal.gov.pt/viewer/14622/?offset=#page=125&amp;viewer=picture&amp;o=info&amp;n=0&amp;q=</v>
      </c>
      <c r="K842" s="1" t="s">
        <v>1112</v>
      </c>
      <c r="L842" s="1" t="str">
        <f>VLOOKUP(A842,Folha2!$A$2:$B$2019,2,FALSE)</f>
        <v>Vie de Camoens : le poéte des "Lusiades" et le Portugal de son temps / par Virginia de Castro e Almeida... ; préf. de Pierre de Lamet. - Tours : [s.n.], 1935, com notas finais.</v>
      </c>
      <c r="M842" s="12" t="str">
        <f>HYPERLINK(J842)</f>
        <v>https://permalinkbnd.bnportugal.gov.pt/viewer/14622/?offset=#page=125&amp;viewer=picture&amp;o=info&amp;n=0&amp;q=</v>
      </c>
      <c r="N842" s="12" t="s">
        <v>1497</v>
      </c>
      <c r="O842" s="12" t="str">
        <f>CONCATENATE(N842,A842,"\",B842,"\",C842,".jpg")</f>
        <v>C:\Users\mbaptista\OneDrive - Biblioteca Nacional de Portugal\Documentos\python\camoniana\imagens\capas\452326\1\125.jpg</v>
      </c>
      <c r="P842" s="12" t="str">
        <f>HYPERLINK(O842)</f>
        <v>C:\Users\mbaptista\OneDrive - Biblioteca Nacional de Portugal\Documentos\python\camoniana\imagens\capas\452326\1\125.jpg</v>
      </c>
      <c r="Q842" s="12"/>
      <c r="R842" s="6" t="s">
        <v>1117</v>
      </c>
      <c r="S842" s="12"/>
      <c r="T842" s="1" t="s">
        <v>1113</v>
      </c>
      <c r="U842" s="13"/>
      <c r="V842" s="13"/>
      <c r="W842" s="5" t="s">
        <v>1491</v>
      </c>
    </row>
    <row r="843" spans="1:23" ht="225">
      <c r="A843" s="1">
        <v>452510</v>
      </c>
      <c r="B843" s="1">
        <v>1</v>
      </c>
      <c r="C843" s="1">
        <v>6</v>
      </c>
      <c r="D843" s="2" t="s">
        <v>1118</v>
      </c>
      <c r="E843" s="11" t="s">
        <v>1118</v>
      </c>
      <c r="F843" s="11">
        <v>86723</v>
      </c>
      <c r="G843" s="2" t="s">
        <v>1494</v>
      </c>
      <c r="H843" s="2" t="s">
        <v>1495</v>
      </c>
      <c r="I843" s="2" t="s">
        <v>1496</v>
      </c>
      <c r="J843" s="2" t="str">
        <f>CONCATENATE(G843,F843,H843,C843,I843)</f>
        <v>https://permalinkbnd.bnportugal.gov.pt/viewer/86723/?offset=#page=6&amp;viewer=picture&amp;o=info&amp;n=0&amp;q=</v>
      </c>
      <c r="K843" s="1" t="s">
        <v>1119</v>
      </c>
      <c r="L843" s="1" t="str">
        <f>VLOOKUP(A843,Folha2!$A$2:$B$2019,2,FALSE)</f>
        <v>As traduções italianas dos "Lusiadas" / Joaquim de Araújo. - Livorno : Tip. Raffaello Giusti, 1897.</v>
      </c>
      <c r="M843" s="12" t="str">
        <f>HYPERLINK(J843)</f>
        <v>https://permalinkbnd.bnportugal.gov.pt/viewer/86723/?offset=#page=6&amp;viewer=picture&amp;o=info&amp;n=0&amp;q=</v>
      </c>
      <c r="N843" s="12" t="s">
        <v>1497</v>
      </c>
      <c r="O843" s="12" t="str">
        <f>CONCATENATE(N843,A843,"\",B843,"\",C843,".jpg")</f>
        <v>C:\Users\mbaptista\OneDrive - Biblioteca Nacional de Portugal\Documentos\python\camoniana\imagens\capas\452510\1\6.jpg</v>
      </c>
      <c r="P843" s="12" t="str">
        <f>HYPERLINK(O843)</f>
        <v>C:\Users\mbaptista\OneDrive - Biblioteca Nacional de Portugal\Documentos\python\camoniana\imagens\capas\452510\1\6.jpg</v>
      </c>
      <c r="Q843" s="12"/>
      <c r="R843" s="6" t="s">
        <v>1121</v>
      </c>
      <c r="S843" s="12"/>
      <c r="T843" s="1" t="s">
        <v>1120</v>
      </c>
      <c r="U843" s="13"/>
      <c r="V843" s="13"/>
      <c r="W843" s="5" t="s">
        <v>1491</v>
      </c>
    </row>
    <row r="844" spans="1:23" ht="225">
      <c r="A844" s="1">
        <v>452510</v>
      </c>
      <c r="B844" s="1">
        <v>1</v>
      </c>
      <c r="C844" s="1">
        <v>11</v>
      </c>
      <c r="D844" s="2" t="s">
        <v>1118</v>
      </c>
      <c r="E844" s="5" t="s">
        <v>1118</v>
      </c>
      <c r="F844" s="5">
        <v>86723</v>
      </c>
      <c r="G844" s="2" t="s">
        <v>1494</v>
      </c>
      <c r="H844" s="2" t="s">
        <v>1495</v>
      </c>
      <c r="I844" s="2" t="s">
        <v>1496</v>
      </c>
      <c r="J844" s="2" t="str">
        <f>CONCATENATE(G844,F844,H844,C844,I844)</f>
        <v>https://permalinkbnd.bnportugal.gov.pt/viewer/86723/?offset=#page=11&amp;viewer=picture&amp;o=info&amp;n=0&amp;q=</v>
      </c>
      <c r="K844" s="1" t="s">
        <v>1119</v>
      </c>
      <c r="L844" s="1" t="str">
        <f>VLOOKUP(A844,Folha2!$A$2:$B$2019,2,FALSE)</f>
        <v>As traduções italianas dos "Lusiadas" / Joaquim de Araújo. - Livorno : Tip. Raffaello Giusti, 1897.</v>
      </c>
      <c r="M844" s="12" t="str">
        <f>HYPERLINK(J844)</f>
        <v>https://permalinkbnd.bnportugal.gov.pt/viewer/86723/?offset=#page=11&amp;viewer=picture&amp;o=info&amp;n=0&amp;q=</v>
      </c>
      <c r="N844" s="12" t="s">
        <v>1497</v>
      </c>
      <c r="O844" s="12" t="str">
        <f>CONCATENATE(N844,A844,"\",B844,"\",C844,".jpg")</f>
        <v>C:\Users\mbaptista\OneDrive - Biblioteca Nacional de Portugal\Documentos\python\camoniana\imagens\capas\452510\1\11.jpg</v>
      </c>
      <c r="P844" s="12" t="str">
        <f>HYPERLINK(O844)</f>
        <v>C:\Users\mbaptista\OneDrive - Biblioteca Nacional de Portugal\Documentos\python\camoniana\imagens\capas\452510\1\11.jpg</v>
      </c>
      <c r="Q844" s="12"/>
      <c r="R844" s="6" t="s">
        <v>1122</v>
      </c>
      <c r="S844" s="12"/>
      <c r="T844" s="1" t="s">
        <v>1120</v>
      </c>
      <c r="U844" s="13"/>
      <c r="V844" s="13"/>
      <c r="W844" s="5" t="s">
        <v>1491</v>
      </c>
    </row>
    <row r="845" spans="1:23" ht="225">
      <c r="A845" s="1">
        <v>464971</v>
      </c>
      <c r="B845" s="1">
        <v>1</v>
      </c>
      <c r="C845" s="1">
        <v>17</v>
      </c>
      <c r="D845" s="2" t="s">
        <v>1123</v>
      </c>
      <c r="E845" s="11" t="s">
        <v>1123</v>
      </c>
      <c r="F845" s="11">
        <v>278583</v>
      </c>
      <c r="G845" s="2" t="s">
        <v>1494</v>
      </c>
      <c r="H845" s="2" t="s">
        <v>1495</v>
      </c>
      <c r="I845" s="2" t="s">
        <v>1496</v>
      </c>
      <c r="J845" s="2" t="str">
        <f>CONCATENATE(G845,F845,H845,C845,I845)</f>
        <v>https://permalinkbnd.bnportugal.gov.pt/viewer/278583/?offset=#page=17&amp;viewer=picture&amp;o=info&amp;n=0&amp;q=</v>
      </c>
      <c r="K845" s="1" t="s">
        <v>1124</v>
      </c>
      <c r="L845" s="1" t="str">
        <f>VLOOKUP(A845,Folha2!$A$2:$B$2019,2,FALSE)</f>
        <v>Lusiadas de Luis de Camões. Canto terceiro. - [Lisboa : s.n., 1880?]. A inserir Obra, fragmentos, épica, paratextos gerais: fica em paratextos gerais épica, outros.</v>
      </c>
      <c r="M845" s="12" t="str">
        <f>HYPERLINK(J845)</f>
        <v>https://permalinkbnd.bnportugal.gov.pt/viewer/278583/?offset=#page=17&amp;viewer=picture&amp;o=info&amp;n=0&amp;q=</v>
      </c>
      <c r="N845" s="12" t="s">
        <v>1497</v>
      </c>
      <c r="O845" s="12" t="str">
        <f>CONCATENATE(N845,A845,"\",B845,"\",C845,".jpg")</f>
        <v>C:\Users\mbaptista\OneDrive - Biblioteca Nacional de Portugal\Documentos\python\camoniana\imagens\capas\464971\1\17.jpg</v>
      </c>
      <c r="P845" s="12" t="str">
        <f>HYPERLINK(O845)</f>
        <v>C:\Users\mbaptista\OneDrive - Biblioteca Nacional de Portugal\Documentos\python\camoniana\imagens\capas\464971\1\17.jpg</v>
      </c>
      <c r="Q845" s="12"/>
      <c r="R845" s="6" t="s">
        <v>1125</v>
      </c>
      <c r="S845" s="12"/>
      <c r="T845" s="1">
        <v>17</v>
      </c>
      <c r="U845" s="13"/>
      <c r="V845" s="13"/>
      <c r="W845" s="5" t="s">
        <v>1491</v>
      </c>
    </row>
    <row r="846" spans="1:23" ht="225">
      <c r="A846" s="1">
        <v>465618</v>
      </c>
      <c r="B846" s="1">
        <v>1</v>
      </c>
      <c r="C846" s="1">
        <v>8</v>
      </c>
      <c r="D846" s="2" t="s">
        <v>1126</v>
      </c>
      <c r="E846" s="5" t="s">
        <v>1126</v>
      </c>
      <c r="F846" s="5">
        <v>274032</v>
      </c>
      <c r="G846" s="2" t="s">
        <v>1494</v>
      </c>
      <c r="H846" s="2" t="s">
        <v>1495</v>
      </c>
      <c r="I846" s="2" t="s">
        <v>1496</v>
      </c>
      <c r="J846" s="2" t="str">
        <f>CONCATENATE(G846,F846,H846,C846,I846)</f>
        <v>https://permalinkbnd.bnportugal.gov.pt/viewer/274032/?offset=#page=8&amp;viewer=picture&amp;o=info&amp;n=0&amp;q=</v>
      </c>
      <c r="K846" s="1" t="s">
        <v>1127</v>
      </c>
      <c r="L846" s="1" t="str">
        <f>VLOOKUP(A846,Folha2!$A$2:$B$2019,2,FALSE)</f>
        <v>G. de la Landelle. A velhice de Camões. Trad. e ed. de J. L. Rodrigues Trigueiros. Lisboa. 1860. A inserir Celebrações (1860), recepção criativa, tematização e vida</v>
      </c>
      <c r="M846" s="12" t="str">
        <f>HYPERLINK(J846)</f>
        <v>https://permalinkbnd.bnportugal.gov.pt/viewer/274032/?offset=#page=8&amp;viewer=picture&amp;o=info&amp;n=0&amp;q=</v>
      </c>
      <c r="N846" s="12" t="s">
        <v>1497</v>
      </c>
      <c r="O846" s="12" t="str">
        <f>CONCATENATE(N846,A846,"\",B846,"\",C846,".jpg")</f>
        <v>C:\Users\mbaptista\OneDrive - Biblioteca Nacional de Portugal\Documentos\python\camoniana\imagens\capas\465618\1\8.jpg</v>
      </c>
      <c r="P846" s="12" t="str">
        <f>HYPERLINK(O846)</f>
        <v>C:\Users\mbaptista\OneDrive - Biblioteca Nacional de Portugal\Documentos\python\camoniana\imagens\capas\465618\1\8.jpg</v>
      </c>
      <c r="Q846" s="12"/>
      <c r="R846" s="6" t="s">
        <v>1129</v>
      </c>
      <c r="S846" s="12"/>
      <c r="T846" s="1" t="s">
        <v>1128</v>
      </c>
      <c r="U846" s="13"/>
      <c r="V846" s="13"/>
      <c r="W846" s="5" t="s">
        <v>1491</v>
      </c>
    </row>
    <row r="847" spans="1:23" ht="225">
      <c r="A847" s="1">
        <v>465618</v>
      </c>
      <c r="B847" s="1">
        <v>1</v>
      </c>
      <c r="C847" s="1">
        <v>55</v>
      </c>
      <c r="D847" s="2" t="s">
        <v>1126</v>
      </c>
      <c r="E847" s="11" t="s">
        <v>1126</v>
      </c>
      <c r="F847" s="11">
        <v>274032</v>
      </c>
      <c r="G847" s="2" t="s">
        <v>1494</v>
      </c>
      <c r="H847" s="2" t="s">
        <v>1495</v>
      </c>
      <c r="I847" s="2" t="s">
        <v>1496</v>
      </c>
      <c r="J847" s="2" t="str">
        <f>CONCATENATE(G847,F847,H847,C847,I847)</f>
        <v>https://permalinkbnd.bnportugal.gov.pt/viewer/274032/?offset=#page=55&amp;viewer=picture&amp;o=info&amp;n=0&amp;q=</v>
      </c>
      <c r="K847" s="1" t="s">
        <v>1127</v>
      </c>
      <c r="L847" s="1" t="str">
        <f>VLOOKUP(A847,Folha2!$A$2:$B$2019,2,FALSE)</f>
        <v>G. de la Landelle. A velhice de Camões. Trad. e ed. de J. L. Rodrigues Trigueiros. Lisboa. 1860. A inserir Celebrações (1860), recepção criativa, tematização e vida</v>
      </c>
      <c r="M847" s="12" t="str">
        <f>HYPERLINK(J847)</f>
        <v>https://permalinkbnd.bnportugal.gov.pt/viewer/274032/?offset=#page=55&amp;viewer=picture&amp;o=info&amp;n=0&amp;q=</v>
      </c>
      <c r="N847" s="12" t="s">
        <v>1497</v>
      </c>
      <c r="O847" s="12" t="str">
        <f>CONCATENATE(N847,A847,"\",B847,"\",C847,".jpg")</f>
        <v>C:\Users\mbaptista\OneDrive - Biblioteca Nacional de Portugal\Documentos\python\camoniana\imagens\capas\465618\1\55.jpg</v>
      </c>
      <c r="P847" s="12" t="str">
        <f>HYPERLINK(O847)</f>
        <v>C:\Users\mbaptista\OneDrive - Biblioteca Nacional de Portugal\Documentos\python\camoniana\imagens\capas\465618\1\55.jpg</v>
      </c>
      <c r="Q847" s="12"/>
      <c r="R847" s="6" t="s">
        <v>1130</v>
      </c>
      <c r="S847" s="12"/>
      <c r="T847" s="1" t="s">
        <v>1128</v>
      </c>
      <c r="U847" s="13"/>
      <c r="V847" s="13"/>
      <c r="W847" s="5" t="s">
        <v>1491</v>
      </c>
    </row>
    <row r="848" spans="1:23" ht="225">
      <c r="A848" s="1">
        <v>465618</v>
      </c>
      <c r="B848" s="1">
        <v>1</v>
      </c>
      <c r="C848" s="1">
        <v>81</v>
      </c>
      <c r="D848" s="2" t="s">
        <v>1126</v>
      </c>
      <c r="E848" s="5" t="s">
        <v>1126</v>
      </c>
      <c r="F848" s="5">
        <v>274032</v>
      </c>
      <c r="G848" s="2" t="s">
        <v>1494</v>
      </c>
      <c r="H848" s="2" t="s">
        <v>1495</v>
      </c>
      <c r="I848" s="2" t="s">
        <v>1496</v>
      </c>
      <c r="J848" s="2" t="str">
        <f>CONCATENATE(G848,F848,H848,C848,I848)</f>
        <v>https://permalinkbnd.bnportugal.gov.pt/viewer/274032/?offset=#page=81&amp;viewer=picture&amp;o=info&amp;n=0&amp;q=</v>
      </c>
      <c r="K848" s="1" t="s">
        <v>1127</v>
      </c>
      <c r="L848" s="1" t="str">
        <f>VLOOKUP(A848,Folha2!$A$2:$B$2019,2,FALSE)</f>
        <v>G. de la Landelle. A velhice de Camões. Trad. e ed. de J. L. Rodrigues Trigueiros. Lisboa. 1860. A inserir Celebrações (1860), recepção criativa, tematização e vida</v>
      </c>
      <c r="M848" s="12" t="str">
        <f>HYPERLINK(J848)</f>
        <v>https://permalinkbnd.bnportugal.gov.pt/viewer/274032/?offset=#page=81&amp;viewer=picture&amp;o=info&amp;n=0&amp;q=</v>
      </c>
      <c r="N848" s="12" t="s">
        <v>1497</v>
      </c>
      <c r="O848" s="12" t="str">
        <f>CONCATENATE(N848,A848,"\",B848,"\",C848,".jpg")</f>
        <v>C:\Users\mbaptista\OneDrive - Biblioteca Nacional de Portugal\Documentos\python\camoniana\imagens\capas\465618\1\81.jpg</v>
      </c>
      <c r="P848" s="12" t="str">
        <f>HYPERLINK(O848)</f>
        <v>C:\Users\mbaptista\OneDrive - Biblioteca Nacional de Portugal\Documentos\python\camoniana\imagens\capas\465618\1\81.jpg</v>
      </c>
      <c r="Q848" s="12"/>
      <c r="R848" s="6" t="s">
        <v>1131</v>
      </c>
      <c r="S848" s="12"/>
      <c r="T848" s="1" t="s">
        <v>1128</v>
      </c>
      <c r="U848" s="13"/>
      <c r="V848" s="13"/>
      <c r="W848" s="5" t="s">
        <v>1491</v>
      </c>
    </row>
    <row r="849" spans="1:23" ht="225">
      <c r="A849" s="1">
        <v>465618</v>
      </c>
      <c r="B849" s="1">
        <v>1</v>
      </c>
      <c r="C849" s="1">
        <v>198</v>
      </c>
      <c r="D849" s="2" t="s">
        <v>1126</v>
      </c>
      <c r="E849" s="11" t="s">
        <v>1126</v>
      </c>
      <c r="F849" s="11">
        <v>274032</v>
      </c>
      <c r="G849" s="2" t="s">
        <v>1494</v>
      </c>
      <c r="H849" s="2" t="s">
        <v>1495</v>
      </c>
      <c r="I849" s="2" t="s">
        <v>1496</v>
      </c>
      <c r="J849" s="2" t="str">
        <f>CONCATENATE(G849,F849,H849,C849,I849)</f>
        <v>https://permalinkbnd.bnportugal.gov.pt/viewer/274032/?offset=#page=198&amp;viewer=picture&amp;o=info&amp;n=0&amp;q=</v>
      </c>
      <c r="K849" s="1" t="s">
        <v>1127</v>
      </c>
      <c r="L849" s="1" t="str">
        <f>VLOOKUP(A849,Folha2!$A$2:$B$2019,2,FALSE)</f>
        <v>G. de la Landelle. A velhice de Camões. Trad. e ed. de J. L. Rodrigues Trigueiros. Lisboa. 1860. A inserir Celebrações (1860), recepção criativa, tematização e vida</v>
      </c>
      <c r="M849" s="12" t="str">
        <f>HYPERLINK(J849)</f>
        <v>https://permalinkbnd.bnportugal.gov.pt/viewer/274032/?offset=#page=198&amp;viewer=picture&amp;o=info&amp;n=0&amp;q=</v>
      </c>
      <c r="N849" s="12" t="s">
        <v>1497</v>
      </c>
      <c r="O849" s="12" t="str">
        <f>CONCATENATE(N849,A849,"\",B849,"\",C849,".jpg")</f>
        <v>C:\Users\mbaptista\OneDrive - Biblioteca Nacional de Portugal\Documentos\python\camoniana\imagens\capas\465618\1\198.jpg</v>
      </c>
      <c r="P849" s="12" t="str">
        <f>HYPERLINK(O849)</f>
        <v>C:\Users\mbaptista\OneDrive - Biblioteca Nacional de Portugal\Documentos\python\camoniana\imagens\capas\465618\1\198.jpg</v>
      </c>
      <c r="Q849" s="12"/>
      <c r="R849" s="6" t="s">
        <v>1132</v>
      </c>
      <c r="S849" s="12"/>
      <c r="T849" s="1" t="s">
        <v>1128</v>
      </c>
      <c r="U849" s="13"/>
      <c r="V849" s="13"/>
      <c r="W849" s="5" t="s">
        <v>1491</v>
      </c>
    </row>
    <row r="850" spans="1:23" ht="225">
      <c r="A850" s="1">
        <v>465618</v>
      </c>
      <c r="B850" s="1">
        <v>1</v>
      </c>
      <c r="C850" s="1">
        <v>307</v>
      </c>
      <c r="D850" s="2" t="s">
        <v>1126</v>
      </c>
      <c r="E850" s="5" t="s">
        <v>1126</v>
      </c>
      <c r="F850" s="5">
        <v>274032</v>
      </c>
      <c r="G850" s="2" t="s">
        <v>1494</v>
      </c>
      <c r="H850" s="2" t="s">
        <v>1495</v>
      </c>
      <c r="I850" s="2" t="s">
        <v>1496</v>
      </c>
      <c r="J850" s="2" t="str">
        <f>CONCATENATE(G850,F850,H850,C850,I850)</f>
        <v>https://permalinkbnd.bnportugal.gov.pt/viewer/274032/?offset=#page=307&amp;viewer=picture&amp;o=info&amp;n=0&amp;q=</v>
      </c>
      <c r="K850" s="1" t="s">
        <v>1127</v>
      </c>
      <c r="L850" s="1" t="str">
        <f>VLOOKUP(A850,Folha2!$A$2:$B$2019,2,FALSE)</f>
        <v>G. de la Landelle. A velhice de Camões. Trad. e ed. de J. L. Rodrigues Trigueiros. Lisboa. 1860. A inserir Celebrações (1860), recepção criativa, tematização e vida</v>
      </c>
      <c r="M850" s="12" t="str">
        <f>HYPERLINK(J850)</f>
        <v>https://permalinkbnd.bnportugal.gov.pt/viewer/274032/?offset=#page=307&amp;viewer=picture&amp;o=info&amp;n=0&amp;q=</v>
      </c>
      <c r="N850" s="12" t="s">
        <v>1497</v>
      </c>
      <c r="O850" s="12" t="str">
        <f>CONCATENATE(N850,A850,"\",B850,"\",C850,".jpg")</f>
        <v>C:\Users\mbaptista\OneDrive - Biblioteca Nacional de Portugal\Documentos\python\camoniana\imagens\capas\465618\1\307.jpg</v>
      </c>
      <c r="P850" s="12" t="str">
        <f>HYPERLINK(O850)</f>
        <v>C:\Users\mbaptista\OneDrive - Biblioteca Nacional de Portugal\Documentos\python\camoniana\imagens\capas\465618\1\307.jpg</v>
      </c>
      <c r="Q850" s="12"/>
      <c r="R850" s="6" t="s">
        <v>1133</v>
      </c>
      <c r="S850" s="12"/>
      <c r="T850" s="1" t="s">
        <v>1128</v>
      </c>
      <c r="U850" s="13"/>
      <c r="V850" s="13"/>
      <c r="W850" s="5" t="s">
        <v>1491</v>
      </c>
    </row>
    <row r="851" spans="1:23" ht="225">
      <c r="A851" s="1">
        <v>465618</v>
      </c>
      <c r="B851" s="1">
        <v>1</v>
      </c>
      <c r="C851" s="1">
        <v>369</v>
      </c>
      <c r="D851" s="2" t="s">
        <v>1126</v>
      </c>
      <c r="E851" s="11" t="s">
        <v>1126</v>
      </c>
      <c r="F851" s="11">
        <v>274032</v>
      </c>
      <c r="G851" s="2" t="s">
        <v>1494</v>
      </c>
      <c r="H851" s="2" t="s">
        <v>1495</v>
      </c>
      <c r="I851" s="2" t="s">
        <v>1496</v>
      </c>
      <c r="J851" s="2" t="str">
        <f>CONCATENATE(G851,F851,H851,C851,I851)</f>
        <v>https://permalinkbnd.bnportugal.gov.pt/viewer/274032/?offset=#page=369&amp;viewer=picture&amp;o=info&amp;n=0&amp;q=</v>
      </c>
      <c r="K851" s="1" t="s">
        <v>1127</v>
      </c>
      <c r="L851" s="1" t="str">
        <f>VLOOKUP(A851,Folha2!$A$2:$B$2019,2,FALSE)</f>
        <v>G. de la Landelle. A velhice de Camões. Trad. e ed. de J. L. Rodrigues Trigueiros. Lisboa. 1860. A inserir Celebrações (1860), recepção criativa, tematização e vida</v>
      </c>
      <c r="M851" s="12" t="str">
        <f>HYPERLINK(J851)</f>
        <v>https://permalinkbnd.bnportugal.gov.pt/viewer/274032/?offset=#page=369&amp;viewer=picture&amp;o=info&amp;n=0&amp;q=</v>
      </c>
      <c r="N851" s="12" t="s">
        <v>1497</v>
      </c>
      <c r="O851" s="12" t="str">
        <f>CONCATENATE(N851,A851,"\",B851,"\",C851,".jpg")</f>
        <v>C:\Users\mbaptista\OneDrive - Biblioteca Nacional de Portugal\Documentos\python\camoniana\imagens\capas\465618\1\369.jpg</v>
      </c>
      <c r="P851" s="12" t="str">
        <f>HYPERLINK(O851)</f>
        <v>C:\Users\mbaptista\OneDrive - Biblioteca Nacional de Portugal\Documentos\python\camoniana\imagens\capas\465618\1\369.jpg</v>
      </c>
      <c r="Q851" s="12"/>
      <c r="R851" s="6" t="s">
        <v>1134</v>
      </c>
      <c r="S851" s="12"/>
      <c r="T851" s="1" t="s">
        <v>1128</v>
      </c>
      <c r="U851" s="13"/>
      <c r="V851" s="13"/>
      <c r="W851" s="5" t="s">
        <v>1491</v>
      </c>
    </row>
    <row r="852" spans="1:23" ht="225">
      <c r="A852" s="1">
        <v>478277</v>
      </c>
      <c r="B852" s="1">
        <v>1</v>
      </c>
      <c r="C852" s="1">
        <v>1</v>
      </c>
      <c r="D852" s="2" t="s">
        <v>1135</v>
      </c>
      <c r="E852" s="5" t="s">
        <v>1135</v>
      </c>
      <c r="F852" s="5">
        <v>6839</v>
      </c>
      <c r="G852" s="2" t="s">
        <v>1494</v>
      </c>
      <c r="H852" s="2" t="s">
        <v>1495</v>
      </c>
      <c r="I852" s="2" t="s">
        <v>1496</v>
      </c>
      <c r="J852" s="2" t="str">
        <f>CONCATENATE(G852,F852,H852,C852,I852)</f>
        <v>https://permalinkbnd.bnportugal.gov.pt/viewer/6839/?offset=#page=1&amp;viewer=picture&amp;o=info&amp;n=0&amp;q=</v>
      </c>
      <c r="K852" s="1" t="s">
        <v>1136</v>
      </c>
      <c r="L852" s="1" t="str">
        <f>VLOOKUP(A852,Folha2!$A$2:$B$2019,2,FALSE)</f>
        <v>Portugal a Camões : publicação extraordinaria do jornal de viagens commemorando o tricentenario do cantor dos Lusiadas / dir. Emygdio dªOliveira, D. Benigno Joaquim Martinez. - 10 Jun. 1880. - Porto : Impr. Int. de Ferreira de Brito &amp; A. Monteiro, 1880</v>
      </c>
      <c r="M852" s="12" t="str">
        <f>HYPERLINK(J852)</f>
        <v>https://permalinkbnd.bnportugal.gov.pt/viewer/6839/?offset=#page=1&amp;viewer=picture&amp;o=info&amp;n=0&amp;q=</v>
      </c>
      <c r="N852" s="12" t="s">
        <v>1497</v>
      </c>
      <c r="O852" s="12" t="str">
        <f>CONCATENATE(N852,A852,"\",B852,"\",C852,".jpg")</f>
        <v>C:\Users\mbaptista\OneDrive - Biblioteca Nacional de Portugal\Documentos\python\camoniana\imagens\capas\478277\1\1.jpg</v>
      </c>
      <c r="P852" s="12" t="str">
        <f>HYPERLINK(O852)</f>
        <v>C:\Users\mbaptista\OneDrive - Biblioteca Nacional de Portugal\Documentos\python\camoniana\imagens\capas\478277\1\1.jpg</v>
      </c>
      <c r="Q852" s="12"/>
      <c r="R852" s="6" t="s">
        <v>1138</v>
      </c>
      <c r="S852" s="12"/>
      <c r="T852" s="1" t="s">
        <v>1137</v>
      </c>
      <c r="U852" s="13"/>
      <c r="V852" s="13"/>
      <c r="W852" s="5" t="s">
        <v>1491</v>
      </c>
    </row>
    <row r="853" spans="1:23" ht="225">
      <c r="A853" s="1">
        <v>478277</v>
      </c>
      <c r="B853" s="1">
        <v>1</v>
      </c>
      <c r="C853" s="1">
        <v>6</v>
      </c>
      <c r="D853" s="2" t="s">
        <v>1135</v>
      </c>
      <c r="E853" s="11" t="s">
        <v>1135</v>
      </c>
      <c r="F853" s="11">
        <v>6839</v>
      </c>
      <c r="G853" s="2" t="s">
        <v>1494</v>
      </c>
      <c r="H853" s="2" t="s">
        <v>1495</v>
      </c>
      <c r="I853" s="2" t="s">
        <v>1496</v>
      </c>
      <c r="J853" s="2" t="str">
        <f>CONCATENATE(G853,F853,H853,C853,I853)</f>
        <v>https://permalinkbnd.bnportugal.gov.pt/viewer/6839/?offset=#page=6&amp;viewer=picture&amp;o=info&amp;n=0&amp;q=</v>
      </c>
      <c r="K853" s="1" t="s">
        <v>1136</v>
      </c>
      <c r="L853" s="1" t="str">
        <f>VLOOKUP(A853,Folha2!$A$2:$B$2019,2,FALSE)</f>
        <v>Portugal a Camões : publicação extraordinaria do jornal de viagens commemorando o tricentenario do cantor dos Lusiadas / dir. Emygdio dªOliveira, D. Benigno Joaquim Martinez. - 10 Jun. 1880. - Porto : Impr. Int. de Ferreira de Brito &amp; A. Monteiro, 1880</v>
      </c>
      <c r="M853" s="12" t="str">
        <f>HYPERLINK(J853)</f>
        <v>https://permalinkbnd.bnportugal.gov.pt/viewer/6839/?offset=#page=6&amp;viewer=picture&amp;o=info&amp;n=0&amp;q=</v>
      </c>
      <c r="N853" s="12" t="s">
        <v>1497</v>
      </c>
      <c r="O853" s="12" t="str">
        <f>CONCATENATE(N853,A853,"\",B853,"\",C853,".jpg")</f>
        <v>C:\Users\mbaptista\OneDrive - Biblioteca Nacional de Portugal\Documentos\python\camoniana\imagens\capas\478277\1\6.jpg</v>
      </c>
      <c r="P853" s="12" t="str">
        <f>HYPERLINK(O853)</f>
        <v>C:\Users\mbaptista\OneDrive - Biblioteca Nacional de Portugal\Documentos\python\camoniana\imagens\capas\478277\1\6.jpg</v>
      </c>
      <c r="Q853" s="12"/>
      <c r="R853" s="6"/>
      <c r="S853" s="12"/>
      <c r="T853" s="1"/>
      <c r="U853" s="13"/>
      <c r="V853" s="13"/>
      <c r="W853" s="5"/>
    </row>
    <row r="854" spans="1:23" ht="225">
      <c r="A854" s="1">
        <v>478277</v>
      </c>
      <c r="B854" s="1">
        <v>1</v>
      </c>
      <c r="C854" s="1">
        <v>7</v>
      </c>
      <c r="D854" s="2" t="s">
        <v>1135</v>
      </c>
      <c r="E854" s="5" t="s">
        <v>1135</v>
      </c>
      <c r="F854" s="5">
        <v>6839</v>
      </c>
      <c r="G854" s="2" t="s">
        <v>1494</v>
      </c>
      <c r="H854" s="2" t="s">
        <v>1495</v>
      </c>
      <c r="I854" s="2" t="s">
        <v>1496</v>
      </c>
      <c r="J854" s="2" t="str">
        <f>CONCATENATE(G854,F854,H854,C854,I854)</f>
        <v>https://permalinkbnd.bnportugal.gov.pt/viewer/6839/?offset=#page=7&amp;viewer=picture&amp;o=info&amp;n=0&amp;q=</v>
      </c>
      <c r="K854" s="1" t="s">
        <v>1136</v>
      </c>
      <c r="L854" s="1" t="str">
        <f>VLOOKUP(A854,Folha2!$A$2:$B$2019,2,FALSE)</f>
        <v>Portugal a Camões : publicação extraordinaria do jornal de viagens commemorando o tricentenario do cantor dos Lusiadas / dir. Emygdio dªOliveira, D. Benigno Joaquim Martinez. - 10 Jun. 1880. - Porto : Impr. Int. de Ferreira de Brito &amp; A. Monteiro, 1880</v>
      </c>
      <c r="M854" s="12" t="str">
        <f>HYPERLINK(J854)</f>
        <v>https://permalinkbnd.bnportugal.gov.pt/viewer/6839/?offset=#page=7&amp;viewer=picture&amp;o=info&amp;n=0&amp;q=</v>
      </c>
      <c r="N854" s="12" t="s">
        <v>1497</v>
      </c>
      <c r="O854" s="12" t="str">
        <f>CONCATENATE(N854,A854,"\",B854,"\",C854,".jpg")</f>
        <v>C:\Users\mbaptista\OneDrive - Biblioteca Nacional de Portugal\Documentos\python\camoniana\imagens\capas\478277\1\7.jpg</v>
      </c>
      <c r="P854" s="12" t="str">
        <f>HYPERLINK(O854)</f>
        <v>C:\Users\mbaptista\OneDrive - Biblioteca Nacional de Portugal\Documentos\python\camoniana\imagens\capas\478277\1\7.jpg</v>
      </c>
      <c r="Q854" s="12"/>
      <c r="R854" s="6"/>
      <c r="S854" s="12"/>
      <c r="T854" s="1"/>
      <c r="U854" s="13"/>
      <c r="V854" s="13"/>
      <c r="W854" s="5"/>
    </row>
    <row r="855" spans="1:23" ht="225">
      <c r="A855" s="1">
        <v>478277</v>
      </c>
      <c r="B855" s="1">
        <v>1</v>
      </c>
      <c r="C855" s="1">
        <v>10</v>
      </c>
      <c r="D855" s="2" t="s">
        <v>1135</v>
      </c>
      <c r="E855" s="11" t="s">
        <v>1135</v>
      </c>
      <c r="F855" s="11">
        <v>6839</v>
      </c>
      <c r="G855" s="2" t="s">
        <v>1494</v>
      </c>
      <c r="H855" s="2" t="s">
        <v>1495</v>
      </c>
      <c r="I855" s="2" t="s">
        <v>1496</v>
      </c>
      <c r="J855" s="2" t="str">
        <f>CONCATENATE(G855,F855,H855,C855,I855)</f>
        <v>https://permalinkbnd.bnportugal.gov.pt/viewer/6839/?offset=#page=10&amp;viewer=picture&amp;o=info&amp;n=0&amp;q=</v>
      </c>
      <c r="K855" s="1" t="s">
        <v>1136</v>
      </c>
      <c r="L855" s="1" t="str">
        <f>VLOOKUP(A855,Folha2!$A$2:$B$2019,2,FALSE)</f>
        <v>Portugal a Camões : publicação extraordinaria do jornal de viagens commemorando o tricentenario do cantor dos Lusiadas / dir. Emygdio dªOliveira, D. Benigno Joaquim Martinez. - 10 Jun. 1880. - Porto : Impr. Int. de Ferreira de Brito &amp; A. Monteiro, 1880</v>
      </c>
      <c r="M855" s="12" t="str">
        <f>HYPERLINK(J855)</f>
        <v>https://permalinkbnd.bnportugal.gov.pt/viewer/6839/?offset=#page=10&amp;viewer=picture&amp;o=info&amp;n=0&amp;q=</v>
      </c>
      <c r="N855" s="12" t="s">
        <v>1497</v>
      </c>
      <c r="O855" s="12" t="str">
        <f>CONCATENATE(N855,A855,"\",B855,"\",C855,".jpg")</f>
        <v>C:\Users\mbaptista\OneDrive - Biblioteca Nacional de Portugal\Documentos\python\camoniana\imagens\capas\478277\1\10.jpg</v>
      </c>
      <c r="P855" s="12" t="str">
        <f>HYPERLINK(O855)</f>
        <v>C:\Users\mbaptista\OneDrive - Biblioteca Nacional de Portugal\Documentos\python\camoniana\imagens\capas\478277\1\10.jpg</v>
      </c>
      <c r="Q855" s="12"/>
      <c r="R855" s="6" t="s">
        <v>1139</v>
      </c>
      <c r="S855" s="12"/>
      <c r="T855" s="1" t="s">
        <v>1137</v>
      </c>
      <c r="U855" s="13"/>
      <c r="V855" s="13"/>
      <c r="W855" s="5" t="s">
        <v>1491</v>
      </c>
    </row>
    <row r="856" spans="1:23" ht="225">
      <c r="A856" s="1">
        <v>478277</v>
      </c>
      <c r="B856" s="1">
        <v>1</v>
      </c>
      <c r="C856" s="1">
        <v>11</v>
      </c>
      <c r="D856" s="2" t="s">
        <v>1135</v>
      </c>
      <c r="E856" s="5" t="s">
        <v>1135</v>
      </c>
      <c r="F856" s="5">
        <v>6839</v>
      </c>
      <c r="G856" s="2" t="s">
        <v>1494</v>
      </c>
      <c r="H856" s="2" t="s">
        <v>1495</v>
      </c>
      <c r="I856" s="2" t="s">
        <v>1496</v>
      </c>
      <c r="J856" s="2" t="str">
        <f>CONCATENATE(G856,F856,H856,C856,I856)</f>
        <v>https://permalinkbnd.bnportugal.gov.pt/viewer/6839/?offset=#page=11&amp;viewer=picture&amp;o=info&amp;n=0&amp;q=</v>
      </c>
      <c r="K856" s="1" t="s">
        <v>1136</v>
      </c>
      <c r="L856" s="1" t="str">
        <f>VLOOKUP(A856,Folha2!$A$2:$B$2019,2,FALSE)</f>
        <v>Portugal a Camões : publicação extraordinaria do jornal de viagens commemorando o tricentenario do cantor dos Lusiadas / dir. Emygdio dªOliveira, D. Benigno Joaquim Martinez. - 10 Jun. 1880. - Porto : Impr. Int. de Ferreira de Brito &amp; A. Monteiro, 1880</v>
      </c>
      <c r="M856" s="12" t="str">
        <f>HYPERLINK(J856)</f>
        <v>https://permalinkbnd.bnportugal.gov.pt/viewer/6839/?offset=#page=11&amp;viewer=picture&amp;o=info&amp;n=0&amp;q=</v>
      </c>
      <c r="N856" s="12" t="s">
        <v>1497</v>
      </c>
      <c r="O856" s="12" t="str">
        <f>CONCATENATE(N856,A856,"\",B856,"\",C856,".jpg")</f>
        <v>C:\Users\mbaptista\OneDrive - Biblioteca Nacional de Portugal\Documentos\python\camoniana\imagens\capas\478277\1\11.jpg</v>
      </c>
      <c r="P856" s="12" t="str">
        <f>HYPERLINK(O856)</f>
        <v>C:\Users\mbaptista\OneDrive - Biblioteca Nacional de Portugal\Documentos\python\camoniana\imagens\capas\478277\1\11.jpg</v>
      </c>
      <c r="Q856" s="12"/>
      <c r="R856" s="6" t="s">
        <v>1140</v>
      </c>
      <c r="S856" s="12"/>
      <c r="T856" s="1" t="s">
        <v>1137</v>
      </c>
      <c r="U856" s="13"/>
      <c r="V856" s="13"/>
      <c r="W856" s="5" t="s">
        <v>1491</v>
      </c>
    </row>
    <row r="857" spans="1:23" ht="225">
      <c r="A857" s="1">
        <v>478277</v>
      </c>
      <c r="B857" s="1">
        <v>1</v>
      </c>
      <c r="C857" s="1">
        <v>14</v>
      </c>
      <c r="D857" s="2" t="s">
        <v>1135</v>
      </c>
      <c r="E857" s="11" t="s">
        <v>1135</v>
      </c>
      <c r="F857" s="11">
        <v>6839</v>
      </c>
      <c r="G857" s="2" t="s">
        <v>1494</v>
      </c>
      <c r="H857" s="2" t="s">
        <v>1495</v>
      </c>
      <c r="I857" s="2" t="s">
        <v>1496</v>
      </c>
      <c r="J857" s="2" t="str">
        <f>CONCATENATE(G857,F857,H857,C857,I857)</f>
        <v>https://permalinkbnd.bnportugal.gov.pt/viewer/6839/?offset=#page=14&amp;viewer=picture&amp;o=info&amp;n=0&amp;q=</v>
      </c>
      <c r="K857" s="1" t="s">
        <v>1136</v>
      </c>
      <c r="L857" s="1" t="str">
        <f>VLOOKUP(A857,Folha2!$A$2:$B$2019,2,FALSE)</f>
        <v>Portugal a Camões : publicação extraordinaria do jornal de viagens commemorando o tricentenario do cantor dos Lusiadas / dir. Emygdio dªOliveira, D. Benigno Joaquim Martinez. - 10 Jun. 1880. - Porto : Impr. Int. de Ferreira de Brito &amp; A. Monteiro, 1880</v>
      </c>
      <c r="M857" s="12" t="str">
        <f>HYPERLINK(J857)</f>
        <v>https://permalinkbnd.bnportugal.gov.pt/viewer/6839/?offset=#page=14&amp;viewer=picture&amp;o=info&amp;n=0&amp;q=</v>
      </c>
      <c r="N857" s="12" t="s">
        <v>1497</v>
      </c>
      <c r="O857" s="12" t="str">
        <f>CONCATENATE(N857,A857,"\",B857,"\",C857,".jpg")</f>
        <v>C:\Users\mbaptista\OneDrive - Biblioteca Nacional de Portugal\Documentos\python\camoniana\imagens\capas\478277\1\14.jpg</v>
      </c>
      <c r="P857" s="12" t="str">
        <f>HYPERLINK(O857)</f>
        <v>C:\Users\mbaptista\OneDrive - Biblioteca Nacional de Portugal\Documentos\python\camoniana\imagens\capas\478277\1\14.jpg</v>
      </c>
      <c r="Q857" s="12"/>
      <c r="R857" s="6" t="s">
        <v>1141</v>
      </c>
      <c r="S857" s="12"/>
      <c r="T857" s="1" t="s">
        <v>1137</v>
      </c>
      <c r="U857" s="13"/>
      <c r="V857" s="13"/>
      <c r="W857" s="5" t="s">
        <v>1491</v>
      </c>
    </row>
    <row r="858" spans="1:23" ht="225">
      <c r="A858" s="1">
        <v>478277</v>
      </c>
      <c r="B858" s="1">
        <v>1</v>
      </c>
      <c r="C858" s="1">
        <v>16</v>
      </c>
      <c r="D858" s="2" t="s">
        <v>1135</v>
      </c>
      <c r="E858" s="5" t="s">
        <v>1135</v>
      </c>
      <c r="F858" s="5">
        <v>6839</v>
      </c>
      <c r="G858" s="2" t="s">
        <v>1494</v>
      </c>
      <c r="H858" s="2" t="s">
        <v>1495</v>
      </c>
      <c r="I858" s="2" t="s">
        <v>1496</v>
      </c>
      <c r="J858" s="2" t="str">
        <f>CONCATENATE(G858,F858,H858,C858,I858)</f>
        <v>https://permalinkbnd.bnportugal.gov.pt/viewer/6839/?offset=#page=16&amp;viewer=picture&amp;o=info&amp;n=0&amp;q=</v>
      </c>
      <c r="K858" s="1" t="s">
        <v>1136</v>
      </c>
      <c r="L858" s="1" t="str">
        <f>VLOOKUP(A858,Folha2!$A$2:$B$2019,2,FALSE)</f>
        <v>Portugal a Camões : publicação extraordinaria do jornal de viagens commemorando o tricentenario do cantor dos Lusiadas / dir. Emygdio dªOliveira, D. Benigno Joaquim Martinez. - 10 Jun. 1880. - Porto : Impr. Int. de Ferreira de Brito &amp; A. Monteiro, 1880</v>
      </c>
      <c r="M858" s="12" t="str">
        <f>HYPERLINK(J858)</f>
        <v>https://permalinkbnd.bnportugal.gov.pt/viewer/6839/?offset=#page=16&amp;viewer=picture&amp;o=info&amp;n=0&amp;q=</v>
      </c>
      <c r="N858" s="12" t="s">
        <v>1497</v>
      </c>
      <c r="O858" s="12" t="str">
        <f>CONCATENATE(N858,A858,"\",B858,"\",C858,".jpg")</f>
        <v>C:\Users\mbaptista\OneDrive - Biblioteca Nacional de Portugal\Documentos\python\camoniana\imagens\capas\478277\1\16.jpg</v>
      </c>
      <c r="P858" s="12" t="str">
        <f>HYPERLINK(O858)</f>
        <v>C:\Users\mbaptista\OneDrive - Biblioteca Nacional de Portugal\Documentos\python\camoniana\imagens\capas\478277\1\16.jpg</v>
      </c>
      <c r="Q858" s="12"/>
      <c r="R858" s="6" t="s">
        <v>1142</v>
      </c>
      <c r="S858" s="12"/>
      <c r="T858" s="1" t="s">
        <v>1137</v>
      </c>
      <c r="U858" s="13"/>
      <c r="V858" s="13"/>
      <c r="W858" s="5" t="s">
        <v>1491</v>
      </c>
    </row>
    <row r="859" spans="1:23" ht="225">
      <c r="A859" s="1">
        <v>478277</v>
      </c>
      <c r="B859" s="1">
        <v>1</v>
      </c>
      <c r="C859" s="1">
        <v>20</v>
      </c>
      <c r="D859" s="2" t="s">
        <v>1135</v>
      </c>
      <c r="E859" s="11" t="s">
        <v>1135</v>
      </c>
      <c r="F859" s="11">
        <v>6839</v>
      </c>
      <c r="G859" s="2" t="s">
        <v>1494</v>
      </c>
      <c r="H859" s="2" t="s">
        <v>1495</v>
      </c>
      <c r="I859" s="2" t="s">
        <v>1496</v>
      </c>
      <c r="J859" s="2" t="str">
        <f>CONCATENATE(G859,F859,H859,C859,I859)</f>
        <v>https://permalinkbnd.bnportugal.gov.pt/viewer/6839/?offset=#page=20&amp;viewer=picture&amp;o=info&amp;n=0&amp;q=</v>
      </c>
      <c r="K859" s="1" t="s">
        <v>1136</v>
      </c>
      <c r="L859" s="1" t="str">
        <f>VLOOKUP(A859,Folha2!$A$2:$B$2019,2,FALSE)</f>
        <v>Portugal a Camões : publicação extraordinaria do jornal de viagens commemorando o tricentenario do cantor dos Lusiadas / dir. Emygdio dªOliveira, D. Benigno Joaquim Martinez. - 10 Jun. 1880. - Porto : Impr. Int. de Ferreira de Brito &amp; A. Monteiro, 1880</v>
      </c>
      <c r="M859" s="12" t="str">
        <f>HYPERLINK(J859)</f>
        <v>https://permalinkbnd.bnportugal.gov.pt/viewer/6839/?offset=#page=20&amp;viewer=picture&amp;o=info&amp;n=0&amp;q=</v>
      </c>
      <c r="N859" s="12" t="s">
        <v>1497</v>
      </c>
      <c r="O859" s="12" t="str">
        <f>CONCATENATE(N859,A859,"\",B859,"\",C859,".jpg")</f>
        <v>C:\Users\mbaptista\OneDrive - Biblioteca Nacional de Portugal\Documentos\python\camoniana\imagens\capas\478277\1\20.jpg</v>
      </c>
      <c r="P859" s="12" t="str">
        <f>HYPERLINK(O859)</f>
        <v>C:\Users\mbaptista\OneDrive - Biblioteca Nacional de Portugal\Documentos\python\camoniana\imagens\capas\478277\1\20.jpg</v>
      </c>
      <c r="Q859" s="12"/>
      <c r="R859" s="6" t="s">
        <v>1143</v>
      </c>
      <c r="S859" s="12"/>
      <c r="T859" s="1" t="s">
        <v>1137</v>
      </c>
      <c r="U859" s="13"/>
      <c r="V859" s="13"/>
      <c r="W859" s="5" t="s">
        <v>1491</v>
      </c>
    </row>
    <row r="860" spans="1:23" ht="225">
      <c r="A860" s="1">
        <v>709123</v>
      </c>
      <c r="B860" s="1">
        <v>1</v>
      </c>
      <c r="C860" s="1">
        <v>1</v>
      </c>
      <c r="D860" s="2" t="s">
        <v>1144</v>
      </c>
      <c r="E860" s="5" t="s">
        <v>1144</v>
      </c>
      <c r="F860" s="5">
        <v>36391</v>
      </c>
      <c r="G860" s="2" t="s">
        <v>1494</v>
      </c>
      <c r="H860" s="2" t="s">
        <v>1495</v>
      </c>
      <c r="I860" s="2" t="s">
        <v>1496</v>
      </c>
      <c r="J860" s="2" t="str">
        <f>CONCATENATE(G860,F860,H860,C860,I860)</f>
        <v>https://permalinkbnd.bnportugal.gov.pt/viewer/36391/?offset=#page=1&amp;viewer=picture&amp;o=info&amp;n=0&amp;q=</v>
      </c>
      <c r="K860" s="1">
        <v>1</v>
      </c>
      <c r="L860" s="1" t="str">
        <f>VLOOKUP(A860,Folha2!$A$2:$B$2019,2,FALSE)</f>
        <v>A nympha Thetis recebe Vasco da Gama na ilha dos amores : Desta arte em fim conformes já as formosas... Lusiadas, canto IX, est. 84 / P. Marinho pht.º grav.. - &lt;[&gt;Lisboa&lt;]&gt; : João Romano Torres, [ca. 1900]. - 1 imagem</v>
      </c>
      <c r="M860" s="12" t="str">
        <f>HYPERLINK(J860)</f>
        <v>https://permalinkbnd.bnportugal.gov.pt/viewer/36391/?offset=#page=1&amp;viewer=picture&amp;o=info&amp;n=0&amp;q=</v>
      </c>
      <c r="N860" s="12" t="s">
        <v>1497</v>
      </c>
      <c r="O860" s="12" t="str">
        <f>CONCATENATE(N860,A860,"\",B860,"\",C860,".jpg")</f>
        <v>C:\Users\mbaptista\OneDrive - Biblioteca Nacional de Portugal\Documentos\python\camoniana\imagens\capas\709123\1\1.jpg</v>
      </c>
      <c r="P860" s="12" t="str">
        <f>HYPERLINK(O860)</f>
        <v>C:\Users\mbaptista\OneDrive - Biblioteca Nacional de Portugal\Documentos\python\camoniana\imagens\capas\709123\1\1.jpg</v>
      </c>
      <c r="Q860" s="12"/>
      <c r="R860" s="6" t="s">
        <v>1145</v>
      </c>
      <c r="S860" s="12"/>
      <c r="T860" s="1">
        <v>1</v>
      </c>
      <c r="U860" s="13"/>
      <c r="V860" s="13"/>
      <c r="W860" s="5" t="s">
        <v>1491</v>
      </c>
    </row>
    <row r="861" spans="1:23" ht="225">
      <c r="A861" s="1">
        <v>766189</v>
      </c>
      <c r="B861" s="1">
        <v>1</v>
      </c>
      <c r="C861" s="1">
        <v>1</v>
      </c>
      <c r="D861" s="2" t="s">
        <v>1146</v>
      </c>
      <c r="E861" s="11" t="s">
        <v>1146</v>
      </c>
      <c r="F861" s="11">
        <v>14630</v>
      </c>
      <c r="G861" s="2" t="s">
        <v>1494</v>
      </c>
      <c r="H861" s="2" t="s">
        <v>1495</v>
      </c>
      <c r="I861" s="2" t="s">
        <v>1496</v>
      </c>
      <c r="J861" s="2" t="str">
        <f>CONCATENATE(G861,F861,H861,C861,I861)</f>
        <v>https://permalinkbnd.bnportugal.gov.pt/viewer/14630/?offset=#page=1&amp;viewer=picture&amp;o=info&amp;n=0&amp;q=</v>
      </c>
      <c r="K861" s="1" t="s">
        <v>1147</v>
      </c>
      <c r="L861" s="1" t="str">
        <f>VLOOKUP(A861,Folha2!$A$2:$B$2019,2,FALSE)</f>
        <v>Os Lusiadas / de Luis de Camões. - Em Lisboa : por Paulo Crasbeeck, Impressor &amp; Liureiro das tres Ordens Militares, &amp; a sua custa, 1644. Erros gráficos paginação. Paratextos Argumentos.</v>
      </c>
      <c r="M861" s="12" t="str">
        <f>HYPERLINK(J861)</f>
        <v>https://permalinkbnd.bnportugal.gov.pt/viewer/14630/?offset=#page=1&amp;viewer=picture&amp;o=info&amp;n=0&amp;q=</v>
      </c>
      <c r="N861" s="12" t="s">
        <v>1497</v>
      </c>
      <c r="O861" s="12" t="str">
        <f>CONCATENATE(N861,A861,"\",B861,"\",C861,".jpg")</f>
        <v>C:\Users\mbaptista\OneDrive - Biblioteca Nacional de Portugal\Documentos\python\camoniana\imagens\capas\766189\1\1.jpg</v>
      </c>
      <c r="P861" s="12" t="str">
        <f>HYPERLINK(O861)</f>
        <v>C:\Users\mbaptista\OneDrive - Biblioteca Nacional de Portugal\Documentos\python\camoniana\imagens\capas\766189\1\1.jpg</v>
      </c>
      <c r="Q861" s="12"/>
      <c r="R861" s="6" t="s">
        <v>1149</v>
      </c>
      <c r="S861" s="12"/>
      <c r="T861" s="1"/>
      <c r="U861" s="13" t="s">
        <v>1148</v>
      </c>
      <c r="V861" s="13" t="s">
        <v>1493</v>
      </c>
      <c r="W861" s="5" t="s">
        <v>1491</v>
      </c>
    </row>
    <row r="862" spans="1:23" ht="225">
      <c r="A862" s="1">
        <v>782735</v>
      </c>
      <c r="B862" s="1">
        <v>1</v>
      </c>
      <c r="C862" s="1">
        <v>10</v>
      </c>
      <c r="D862" s="2" t="s">
        <v>1150</v>
      </c>
      <c r="E862" s="5" t="s">
        <v>1150</v>
      </c>
      <c r="F862" s="5">
        <v>278664</v>
      </c>
      <c r="G862" s="2" t="s">
        <v>1494</v>
      </c>
      <c r="H862" s="2" t="s">
        <v>1495</v>
      </c>
      <c r="I862" s="2" t="s">
        <v>1496</v>
      </c>
      <c r="J862" s="2" t="str">
        <f>CONCATENATE(G862,F862,H862,C862,I862)</f>
        <v>https://permalinkbnd.bnportugal.gov.pt/viewer/278664/?offset=#page=10&amp;viewer=picture&amp;o=info&amp;n=0&amp;q=</v>
      </c>
      <c r="K862" s="1" t="s">
        <v>1151</v>
      </c>
      <c r="L862" s="1" t="str">
        <f>VLOOKUP(A862,Folha2!$A$2:$B$2019,2,FALSE)</f>
        <v>Luís de Camões levantando o seu monumento ou a história de Portugal justificada pelos Lusiadas / pelo Dr. Melo Moraes. - Rio de Janeiro : Eduardo &amp; Henrique Laemmert, [1860]. Celebrações (1860), discussão [a propósito do monumento]. Salto na paginação entre pp. 39 a 42: truncada ou assim no original?  cf. Im. 51-52. Confirmado por Sara: (Confirma-se: faltam as págs. 40 e 41)</v>
      </c>
      <c r="M862" s="12" t="str">
        <f>HYPERLINK(J862)</f>
        <v>https://permalinkbnd.bnportugal.gov.pt/viewer/278664/?offset=#page=10&amp;viewer=picture&amp;o=info&amp;n=0&amp;q=</v>
      </c>
      <c r="N862" s="12" t="s">
        <v>1497</v>
      </c>
      <c r="O862" s="12" t="str">
        <f>CONCATENATE(N862,A862,"\",B862,"\",C862,".jpg")</f>
        <v>C:\Users\mbaptista\OneDrive - Biblioteca Nacional de Portugal\Documentos\python\camoniana\imagens\capas\782735\1\10.jpg</v>
      </c>
      <c r="P862" s="12" t="str">
        <f>HYPERLINK(O862)</f>
        <v>C:\Users\mbaptista\OneDrive - Biblioteca Nacional de Portugal\Documentos\python\camoniana\imagens\capas\782735\1\10.jpg</v>
      </c>
      <c r="Q862" s="12"/>
      <c r="R862" s="6" t="s">
        <v>1152</v>
      </c>
      <c r="S862" s="12"/>
      <c r="T862" s="1">
        <v>10</v>
      </c>
      <c r="U862" s="13"/>
      <c r="V862" s="13"/>
      <c r="W862" s="5" t="s">
        <v>1491</v>
      </c>
    </row>
    <row r="863" spans="1:23" ht="225">
      <c r="A863" s="1">
        <v>782740</v>
      </c>
      <c r="B863" s="1">
        <v>1</v>
      </c>
      <c r="C863" s="1">
        <v>8</v>
      </c>
      <c r="D863" s="2" t="s">
        <v>1153</v>
      </c>
      <c r="E863" s="11" t="s">
        <v>1153</v>
      </c>
      <c r="F863" s="11">
        <v>278660</v>
      </c>
      <c r="G863" s="2" t="s">
        <v>1494</v>
      </c>
      <c r="H863" s="2" t="s">
        <v>1495</v>
      </c>
      <c r="I863" s="2" t="s">
        <v>1496</v>
      </c>
      <c r="J863" s="2" t="str">
        <f>CONCATENATE(G863,F863,H863,C863,I863)</f>
        <v>https://permalinkbnd.bnportugal.gov.pt/viewer/278660/?offset=#page=8&amp;viewer=picture&amp;o=info&amp;n=0&amp;q=</v>
      </c>
      <c r="K863" s="1" t="s">
        <v>1154</v>
      </c>
      <c r="L863" s="1" t="str">
        <f>VLOOKUP(A863,Folha2!$A$2:$B$2019,2,FALSE)</f>
        <v>Os Lusiadas : poema épico / de Luis de Camões. - Nova ed. popular conforme às ed. clássicas de 1572. - Lisboa : Tip. de F. X. de Sousa &amp; Filho, 1871. Paratextos vida e Paratextos Argumentos.</v>
      </c>
      <c r="M863" s="12" t="str">
        <f>HYPERLINK(J863)</f>
        <v>https://permalinkbnd.bnportugal.gov.pt/viewer/278660/?offset=#page=8&amp;viewer=picture&amp;o=info&amp;n=0&amp;q=</v>
      </c>
      <c r="N863" s="12" t="s">
        <v>1497</v>
      </c>
      <c r="O863" s="12" t="str">
        <f>CONCATENATE(N863,A863,"\",B863,"\",C863,".jpg")</f>
        <v>C:\Users\mbaptista\OneDrive - Biblioteca Nacional de Portugal\Documentos\python\camoniana\imagens\capas\782740\1\8.jpg</v>
      </c>
      <c r="P863" s="12" t="str">
        <f>HYPERLINK(O863)</f>
        <v>C:\Users\mbaptista\OneDrive - Biblioteca Nacional de Portugal\Documentos\python\camoniana\imagens\capas\782740\1\8.jpg</v>
      </c>
      <c r="Q863" s="12"/>
      <c r="R863" s="6" t="s">
        <v>1155</v>
      </c>
      <c r="S863" s="12"/>
      <c r="T863" s="1">
        <v>8</v>
      </c>
      <c r="U863" s="13"/>
      <c r="V863" s="13"/>
      <c r="W863" s="5" t="s">
        <v>1491</v>
      </c>
    </row>
    <row r="864" spans="1:23" ht="225">
      <c r="A864" s="1">
        <v>782742</v>
      </c>
      <c r="B864" s="1">
        <v>1</v>
      </c>
      <c r="C864" s="1">
        <v>6</v>
      </c>
      <c r="D864" s="2" t="s">
        <v>1156</v>
      </c>
      <c r="E864" s="5" t="s">
        <v>1156</v>
      </c>
      <c r="F864" s="5">
        <v>278669</v>
      </c>
      <c r="G864" s="2" t="s">
        <v>1494</v>
      </c>
      <c r="H864" s="2" t="s">
        <v>1495</v>
      </c>
      <c r="I864" s="2" t="s">
        <v>1496</v>
      </c>
      <c r="J864" s="2" t="str">
        <f>CONCATENATE(G864,F864,H864,C864,I864)</f>
        <v>https://permalinkbnd.bnportugal.gov.pt/viewer/278669/?offset=#page=6&amp;viewer=picture&amp;o=info&amp;n=0&amp;q=</v>
      </c>
      <c r="K864" s="1" t="s">
        <v>889</v>
      </c>
      <c r="L864" s="1" t="str">
        <f>VLOOKUP(A864,Folha2!$A$2:$B$2019,2,FALSE)</f>
        <v>Os Lusiadas : poema épico / de Luis de Camões. - Nova ed. cuidadosamente revista, e conforme à de 1572... - Lisboa : Livr. de António Maria Pereira, 1874. Paratextos vida e Paratextos Argumentos. Repetição digitalização do Argumento Canto V, cf. Im. 194, estará assim no original? Confirmado por Sara: (Confirma-se, a digitalização dessa página e da página seguinte onde se inicia o canto V estão repetidas)</v>
      </c>
      <c r="M864" s="12" t="str">
        <f>HYPERLINK(J864)</f>
        <v>https://permalinkbnd.bnportugal.gov.pt/viewer/278669/?offset=#page=6&amp;viewer=picture&amp;o=info&amp;n=0&amp;q=</v>
      </c>
      <c r="N864" s="12" t="s">
        <v>1497</v>
      </c>
      <c r="O864" s="12" t="str">
        <f>CONCATENATE(N864,A864,"\",B864,"\",C864,".jpg")</f>
        <v>C:\Users\mbaptista\OneDrive - Biblioteca Nacional de Portugal\Documentos\python\camoniana\imagens\capas\782742\1\6.jpg</v>
      </c>
      <c r="P864" s="12" t="str">
        <f>HYPERLINK(O864)</f>
        <v>C:\Users\mbaptista\OneDrive - Biblioteca Nacional de Portugal\Documentos\python\camoniana\imagens\capas\782742\1\6.jpg</v>
      </c>
      <c r="Q864" s="12"/>
      <c r="R864" s="6" t="s">
        <v>1157</v>
      </c>
      <c r="S864" s="12"/>
      <c r="T864" s="1">
        <v>6</v>
      </c>
      <c r="U864" s="13"/>
      <c r="V864" s="13"/>
      <c r="W864" s="5" t="s">
        <v>1491</v>
      </c>
    </row>
    <row r="865" spans="1:23" ht="225">
      <c r="A865" s="1">
        <v>782743</v>
      </c>
      <c r="B865" s="1">
        <v>1</v>
      </c>
      <c r="C865" s="1">
        <v>6</v>
      </c>
      <c r="D865" s="2" t="s">
        <v>1158</v>
      </c>
      <c r="E865" s="11" t="s">
        <v>1158</v>
      </c>
      <c r="F865" s="11">
        <v>278783</v>
      </c>
      <c r="G865" s="2" t="s">
        <v>1494</v>
      </c>
      <c r="H865" s="2" t="s">
        <v>1495</v>
      </c>
      <c r="I865" s="2" t="s">
        <v>1496</v>
      </c>
      <c r="J865" s="2" t="str">
        <f>CONCATENATE(G865,F865,H865,C865,I865)</f>
        <v>https://permalinkbnd.bnportugal.gov.pt/viewer/278783/?offset=#page=6&amp;viewer=picture&amp;o=info&amp;n=0&amp;q=</v>
      </c>
      <c r="K865" s="1" t="s">
        <v>889</v>
      </c>
      <c r="L865" s="1" t="str">
        <f>VLOOKUP(A865,Folha2!$A$2:$B$2019,2,FALSE)</f>
        <v>Os Lusiadas : poema épico / Luis de Camões. - Nova ed. - Porto : Lelo &amp; Irmão, 1897. Erro gráfico paginação, cf. Im. 222, 251. Paratextos vida, Paratextos Argumentos, Paratextos notas aos cantos [algumas palavras alatinadas].</v>
      </c>
      <c r="M865" s="12" t="str">
        <f>HYPERLINK(J865)</f>
        <v>https://permalinkbnd.bnportugal.gov.pt/viewer/278783/?offset=#page=6&amp;viewer=picture&amp;o=info&amp;n=0&amp;q=</v>
      </c>
      <c r="N865" s="12" t="s">
        <v>1497</v>
      </c>
      <c r="O865" s="12" t="str">
        <f>CONCATENATE(N865,A865,"\",B865,"\",C865,".jpg")</f>
        <v>C:\Users\mbaptista\OneDrive - Biblioteca Nacional de Portugal\Documentos\python\camoniana\imagens\capas\782743\1\6.jpg</v>
      </c>
      <c r="P865" s="12" t="str">
        <f>HYPERLINK(O865)</f>
        <v>C:\Users\mbaptista\OneDrive - Biblioteca Nacional de Portugal\Documentos\python\camoniana\imagens\capas\782743\1\6.jpg</v>
      </c>
      <c r="Q865" s="12"/>
      <c r="R865" s="6" t="s">
        <v>1159</v>
      </c>
      <c r="S865" s="12"/>
      <c r="T865" s="1">
        <v>6</v>
      </c>
      <c r="U865" s="13"/>
      <c r="V865" s="13"/>
      <c r="W865" s="5" t="s">
        <v>1491</v>
      </c>
    </row>
    <row r="866" spans="1:23" ht="225">
      <c r="A866" s="1">
        <v>783484</v>
      </c>
      <c r="B866" s="1">
        <v>1</v>
      </c>
      <c r="C866" s="1">
        <v>10</v>
      </c>
      <c r="D866" s="2" t="s">
        <v>1160</v>
      </c>
      <c r="E866" s="5" t="s">
        <v>1160</v>
      </c>
      <c r="F866" s="5">
        <v>278786</v>
      </c>
      <c r="G866" s="2" t="s">
        <v>1494</v>
      </c>
      <c r="H866" s="2" t="s">
        <v>1495</v>
      </c>
      <c r="I866" s="2" t="s">
        <v>1496</v>
      </c>
      <c r="J866" s="2" t="str">
        <f>CONCATENATE(G866,F866,H866,C866,I866)</f>
        <v>https://permalinkbnd.bnportugal.gov.pt/viewer/278786/?offset=#page=10&amp;viewer=picture&amp;o=info&amp;n=0&amp;q=</v>
      </c>
      <c r="K866" s="1" t="s">
        <v>333</v>
      </c>
      <c r="L866" s="1" t="str">
        <f>VLOOKUP(A866,Folha2!$A$2:$B$2019,2,FALSE)</f>
        <v>Poems from the portuguese / of Luis de Camoens ; with remarks on his life and writings... by Lord Viscount Strangford... - 4th ed. - London : J. Carpenter, 1805. [canções, madrigais, cantigas, voltas, estanças, parte da terceira elegia, sonetos] &amp; Fragmentos Épica, Canto VI e os Doze, tradução interrompida por doença do tradutor. [paratextos gerais inclui brasão com agradecimento do tradutor]</v>
      </c>
      <c r="M866" s="12" t="str">
        <f>HYPERLINK(J866)</f>
        <v>https://permalinkbnd.bnportugal.gov.pt/viewer/278786/?offset=#page=10&amp;viewer=picture&amp;o=info&amp;n=0&amp;q=</v>
      </c>
      <c r="N866" s="12" t="s">
        <v>1497</v>
      </c>
      <c r="O866" s="12" t="str">
        <f>CONCATENATE(N866,A866,"\",B866,"\",C866,".jpg")</f>
        <v>C:\Users\mbaptista\OneDrive - Biblioteca Nacional de Portugal\Documentos\python\camoniana\imagens\capas\783484\1\10.jpg</v>
      </c>
      <c r="P866" s="12" t="str">
        <f>HYPERLINK(O866)</f>
        <v>C:\Users\mbaptista\OneDrive - Biblioteca Nacional de Portugal\Documentos\python\camoniana\imagens\capas\783484\1\10.jpg</v>
      </c>
      <c r="Q866" s="12"/>
      <c r="R866" s="6" t="s">
        <v>1161</v>
      </c>
      <c r="S866" s="12"/>
      <c r="T866" s="1">
        <v>10</v>
      </c>
      <c r="U866" s="13"/>
      <c r="V866" s="13"/>
      <c r="W866" s="5" t="s">
        <v>1491</v>
      </c>
    </row>
    <row r="867" spans="1:23" ht="225">
      <c r="A867" s="1">
        <v>783488</v>
      </c>
      <c r="B867" s="1">
        <v>1</v>
      </c>
      <c r="C867" s="1">
        <v>8</v>
      </c>
      <c r="D867" s="2" t="s">
        <v>1162</v>
      </c>
      <c r="E867" s="11" t="s">
        <v>1162</v>
      </c>
      <c r="F867" s="11">
        <v>278784</v>
      </c>
      <c r="G867" s="2" t="s">
        <v>1494</v>
      </c>
      <c r="H867" s="2" t="s">
        <v>1495</v>
      </c>
      <c r="I867" s="2" t="s">
        <v>1496</v>
      </c>
      <c r="J867" s="2" t="str">
        <f>CONCATENATE(G867,F867,H867,C867,I867)</f>
        <v>https://permalinkbnd.bnportugal.gov.pt/viewer/278784/?offset=#page=8&amp;viewer=picture&amp;o=info&amp;n=0&amp;q=</v>
      </c>
      <c r="K867" s="1" t="s">
        <v>1154</v>
      </c>
      <c r="L867" s="1" t="str">
        <f>VLOOKUP(A867,Folha2!$A$2:$B$2019,2,FALSE)</f>
        <v>Poems, from the portuguese / of Luis de Camoens ; with remarks on his life and writings...by Lord Viscount Strangford. - The third edition. - London : J. Carpenter, 1804. [canções, madrigais, cantigas, voltas, estanças, parte da terceira elegia, sonetos] &amp; Fragmentos Épica, Canto VI e os Doze, tradução interrompida por doença do tradutor. [paratextos gerais inclui brasão com agradecimento do tradutor].</v>
      </c>
      <c r="M867" s="12" t="str">
        <f>HYPERLINK(J867)</f>
        <v>https://permalinkbnd.bnportugal.gov.pt/viewer/278784/?offset=#page=8&amp;viewer=picture&amp;o=info&amp;n=0&amp;q=</v>
      </c>
      <c r="N867" s="12" t="s">
        <v>1497</v>
      </c>
      <c r="O867" s="12" t="str">
        <f>CONCATENATE(N867,A867,"\",B867,"\",C867,".jpg")</f>
        <v>C:\Users\mbaptista\OneDrive - Biblioteca Nacional de Portugal\Documentos\python\camoniana\imagens\capas\783488\1\8.jpg</v>
      </c>
      <c r="P867" s="12" t="str">
        <f>HYPERLINK(O867)</f>
        <v>C:\Users\mbaptista\OneDrive - Biblioteca Nacional de Portugal\Documentos\python\camoniana\imagens\capas\783488\1\8.jpg</v>
      </c>
      <c r="Q867" s="12"/>
      <c r="R867" s="6" t="s">
        <v>1163</v>
      </c>
      <c r="S867" s="12"/>
      <c r="T867" s="1">
        <v>8</v>
      </c>
      <c r="U867" s="13"/>
      <c r="V867" s="13"/>
      <c r="W867" s="5" t="s">
        <v>1491</v>
      </c>
    </row>
    <row r="868" spans="1:23" ht="225">
      <c r="A868" s="1">
        <v>784526</v>
      </c>
      <c r="B868" s="1">
        <v>1</v>
      </c>
      <c r="C868" s="1">
        <v>6</v>
      </c>
      <c r="D868" s="2" t="s">
        <v>1164</v>
      </c>
      <c r="E868" s="5" t="s">
        <v>1164</v>
      </c>
      <c r="F868" s="5">
        <v>278793</v>
      </c>
      <c r="G868" s="2" t="s">
        <v>1494</v>
      </c>
      <c r="H868" s="2" t="s">
        <v>1495</v>
      </c>
      <c r="I868" s="2" t="s">
        <v>1496</v>
      </c>
      <c r="J868" s="2" t="str">
        <f>CONCATENATE(G868,F868,H868,C868,I868)</f>
        <v>https://permalinkbnd.bnportugal.gov.pt/viewer/278793/?offset=#page=6&amp;viewer=picture&amp;o=info&amp;n=0&amp;q=</v>
      </c>
      <c r="K868" s="1" t="s">
        <v>889</v>
      </c>
      <c r="L868" s="1" t="str">
        <f>VLOOKUP(A868,Folha2!$A$2:$B$2019,2,FALSE)</f>
        <v>Poems from the portuguese / of Luis de Camoens ; with remarks on his life and writings... by Lord Viscount Strangford... - 5th ed. - London : J. Carpenter, 1808. [canções, madrigais, cantigas, voltas, estanças, parte da terceira elegia, sonetos] &amp; Fragmentos Épica, Canto VI e os Doze, tradução interrompida por doença do tradutor. [paratextos gerais inclui brasão com agradecimento do tradutor]. Salto na paginação, p. 81 salta para p. 97: obra truncada ou assim no original? Cf. Im. 105 a 109. Confirmado por Sara: (É mesmo assim na obra original: passa da pág. 95 para a 84, de seguida passa para a 79 que segue a numeração até à 81, passando daqui para a 97)</v>
      </c>
      <c r="M868" s="12" t="str">
        <f>HYPERLINK(J868)</f>
        <v>https://permalinkbnd.bnportugal.gov.pt/viewer/278793/?offset=#page=6&amp;viewer=picture&amp;o=info&amp;n=0&amp;q=</v>
      </c>
      <c r="N868" s="12" t="s">
        <v>1497</v>
      </c>
      <c r="O868" s="12" t="str">
        <f>CONCATENATE(N868,A868,"\",B868,"\",C868,".jpg")</f>
        <v>C:\Users\mbaptista\OneDrive - Biblioteca Nacional de Portugal\Documentos\python\camoniana\imagens\capas\784526\1\6.jpg</v>
      </c>
      <c r="P868" s="12" t="str">
        <f>HYPERLINK(O868)</f>
        <v>C:\Users\mbaptista\OneDrive - Biblioteca Nacional de Portugal\Documentos\python\camoniana\imagens\capas\784526\1\6.jpg</v>
      </c>
      <c r="Q868" s="12"/>
      <c r="R868" s="6" t="s">
        <v>1165</v>
      </c>
      <c r="S868" s="12"/>
      <c r="T868" s="1">
        <v>6</v>
      </c>
      <c r="U868" s="13"/>
      <c r="V868" s="13"/>
      <c r="W868" s="5" t="s">
        <v>1491</v>
      </c>
    </row>
    <row r="869" spans="1:23" ht="225">
      <c r="A869" s="1">
        <v>784628</v>
      </c>
      <c r="B869" s="1">
        <v>1</v>
      </c>
      <c r="C869" s="1">
        <v>6</v>
      </c>
      <c r="D869" s="2" t="s">
        <v>1166</v>
      </c>
      <c r="E869" s="11" t="s">
        <v>1166</v>
      </c>
      <c r="F869" s="11">
        <v>278782</v>
      </c>
      <c r="G869" s="2" t="s">
        <v>1494</v>
      </c>
      <c r="H869" s="2" t="s">
        <v>1495</v>
      </c>
      <c r="I869" s="2" t="s">
        <v>1496</v>
      </c>
      <c r="J869" s="2" t="str">
        <f>CONCATENATE(G869,F869,H869,C869,I869)</f>
        <v>https://permalinkbnd.bnportugal.gov.pt/viewer/278782/?offset=#page=6&amp;viewer=picture&amp;o=info&amp;n=0&amp;q=</v>
      </c>
      <c r="K869" s="1" t="s">
        <v>1167</v>
      </c>
      <c r="L869" s="1" t="str">
        <f>VLOOKUP(A869,Folha2!$A$2:$B$2019,2,FALSE)</f>
        <v>Die Lusiaden / des Camões ; Unter zugrundelegung der Uebersetzung von F. A. Kuhn und K. Th. Winkler... - Stuttgart : Gebrüder Kröner, [18--], sem argumentos. Introdução refere a vida do Poeta. Tabela dos reis portugueses, cf. Im. 255.</v>
      </c>
      <c r="M869" s="12" t="str">
        <f>HYPERLINK(J869)</f>
        <v>https://permalinkbnd.bnportugal.gov.pt/viewer/278782/?offset=#page=6&amp;viewer=picture&amp;o=info&amp;n=0&amp;q=</v>
      </c>
      <c r="N869" s="12" t="s">
        <v>1497</v>
      </c>
      <c r="O869" s="12" t="str">
        <f>CONCATENATE(N869,A869,"\",B869,"\",C869,".jpg")</f>
        <v>C:\Users\mbaptista\OneDrive - Biblioteca Nacional de Portugal\Documentos\python\camoniana\imagens\capas\784628\1\6.jpg</v>
      </c>
      <c r="P869" s="12" t="str">
        <f>HYPERLINK(O869)</f>
        <v>C:\Users\mbaptista\OneDrive - Biblioteca Nacional de Portugal\Documentos\python\camoniana\imagens\capas\784628\1\6.jpg</v>
      </c>
      <c r="Q869" s="12"/>
      <c r="R869" s="6" t="s">
        <v>1168</v>
      </c>
      <c r="S869" s="12"/>
      <c r="T869" s="1">
        <v>6</v>
      </c>
      <c r="U869" s="13"/>
      <c r="V869" s="13"/>
      <c r="W869" s="5" t="s">
        <v>1491</v>
      </c>
    </row>
    <row r="870" spans="1:23" ht="225">
      <c r="A870" s="1">
        <v>784628</v>
      </c>
      <c r="B870" s="1">
        <v>1</v>
      </c>
      <c r="C870" s="1">
        <v>7</v>
      </c>
      <c r="D870" s="2" t="s">
        <v>1166</v>
      </c>
      <c r="E870" s="5" t="s">
        <v>1166</v>
      </c>
      <c r="F870" s="5">
        <v>278782</v>
      </c>
      <c r="G870" s="2" t="s">
        <v>1494</v>
      </c>
      <c r="H870" s="2" t="s">
        <v>1495</v>
      </c>
      <c r="I870" s="2" t="s">
        <v>1496</v>
      </c>
      <c r="J870" s="2" t="str">
        <f>CONCATENATE(G870,F870,H870,C870,I870)</f>
        <v>https://permalinkbnd.bnportugal.gov.pt/viewer/278782/?offset=#page=7&amp;viewer=picture&amp;o=info&amp;n=0&amp;q=</v>
      </c>
      <c r="K870" s="1" t="s">
        <v>1167</v>
      </c>
      <c r="L870" s="1" t="str">
        <f>VLOOKUP(A870,Folha2!$A$2:$B$2019,2,FALSE)</f>
        <v>Die Lusiaden / des Camões ; Unter zugrundelegung der Uebersetzung von F. A. Kuhn und K. Th. Winkler... - Stuttgart : Gebrüder Kröner, [18--], sem argumentos. Introdução refere a vida do Poeta. Tabela dos reis portugueses, cf. Im. 255.</v>
      </c>
      <c r="M870" s="12" t="str">
        <f>HYPERLINK(J870)</f>
        <v>https://permalinkbnd.bnportugal.gov.pt/viewer/278782/?offset=#page=7&amp;viewer=picture&amp;o=info&amp;n=0&amp;q=</v>
      </c>
      <c r="N870" s="12" t="s">
        <v>1497</v>
      </c>
      <c r="O870" s="12" t="str">
        <f>CONCATENATE(N870,A870,"\",B870,"\",C870,".jpg")</f>
        <v>C:\Users\mbaptista\OneDrive - Biblioteca Nacional de Portugal\Documentos\python\camoniana\imagens\capas\784628\1\7.jpg</v>
      </c>
      <c r="P870" s="12" t="str">
        <f>HYPERLINK(O870)</f>
        <v>C:\Users\mbaptista\OneDrive - Biblioteca Nacional de Portugal\Documentos\python\camoniana\imagens\capas\784628\1\7.jpg</v>
      </c>
      <c r="Q870" s="12"/>
      <c r="R870" s="6"/>
      <c r="S870" s="12"/>
      <c r="T870" s="1"/>
      <c r="U870" s="13"/>
      <c r="V870" s="13"/>
      <c r="W870" s="5"/>
    </row>
    <row r="871" spans="1:23" ht="225">
      <c r="A871" s="1">
        <v>788999</v>
      </c>
      <c r="B871" s="1">
        <v>1</v>
      </c>
      <c r="C871" s="1">
        <v>1</v>
      </c>
      <c r="D871" s="2" t="s">
        <v>1169</v>
      </c>
      <c r="E871" s="11" t="s">
        <v>1169</v>
      </c>
      <c r="F871" s="11">
        <v>272640</v>
      </c>
      <c r="G871" s="2" t="s">
        <v>1494</v>
      </c>
      <c r="H871" s="2" t="s">
        <v>1495</v>
      </c>
      <c r="I871" s="2" t="s">
        <v>1496</v>
      </c>
      <c r="J871" s="2" t="str">
        <f>CONCATENATE(G871,F871,H871,C871,I871)</f>
        <v>https://permalinkbnd.bnportugal.gov.pt/viewer/272640/?offset=#page=1&amp;viewer=picture&amp;o=info&amp;n=0&amp;q=</v>
      </c>
      <c r="K871" s="1" t="s">
        <v>1170</v>
      </c>
      <c r="L871" s="1" t="str">
        <f>VLOOKUP(A871,Folha2!$A$2:$B$2019,2,FALSE)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1" s="12" t="str">
        <f>HYPERLINK(J871)</f>
        <v>https://permalinkbnd.bnportugal.gov.pt/viewer/272640/?offset=#page=1&amp;viewer=picture&amp;o=info&amp;n=0&amp;q=</v>
      </c>
      <c r="N871" s="12" t="s">
        <v>1497</v>
      </c>
      <c r="O871" s="12" t="str">
        <f>CONCATENATE(N871,A871,"\",B871,"\",C871,".jpg")</f>
        <v>C:\Users\mbaptista\OneDrive - Biblioteca Nacional de Portugal\Documentos\python\camoniana\imagens\capas\788999\1\1.jpg</v>
      </c>
      <c r="P871" s="12" t="str">
        <f>HYPERLINK(O871)</f>
        <v>C:\Users\mbaptista\OneDrive - Biblioteca Nacional de Portugal\Documentos\python\camoniana\imagens\capas\788999\1\1.jpg</v>
      </c>
      <c r="Q871" s="12"/>
      <c r="R871" s="6" t="s">
        <v>1172</v>
      </c>
      <c r="S871" s="12"/>
      <c r="T871" s="1" t="s">
        <v>1171</v>
      </c>
      <c r="U871" s="13"/>
      <c r="V871" s="13"/>
      <c r="W871" s="5" t="s">
        <v>1491</v>
      </c>
    </row>
    <row r="872" spans="1:23" ht="225">
      <c r="A872" s="1">
        <v>788999</v>
      </c>
      <c r="B872" s="1">
        <v>1</v>
      </c>
      <c r="C872" s="1">
        <v>8</v>
      </c>
      <c r="D872" s="2" t="s">
        <v>1169</v>
      </c>
      <c r="E872" s="5" t="s">
        <v>1169</v>
      </c>
      <c r="F872" s="5">
        <v>272640</v>
      </c>
      <c r="G872" s="2" t="s">
        <v>1494</v>
      </c>
      <c r="H872" s="2" t="s">
        <v>1495</v>
      </c>
      <c r="I872" s="2" t="s">
        <v>1496</v>
      </c>
      <c r="J872" s="2" t="str">
        <f>CONCATENATE(G872,F872,H872,C872,I872)</f>
        <v>https://permalinkbnd.bnportugal.gov.pt/viewer/272640/?offset=#page=8&amp;viewer=picture&amp;o=info&amp;n=0&amp;q=</v>
      </c>
      <c r="K872" s="1" t="s">
        <v>1170</v>
      </c>
      <c r="L872" s="1" t="str">
        <f>VLOOKUP(A872,Folha2!$A$2:$B$2019,2,FALSE)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2" s="12" t="str">
        <f>HYPERLINK(J872)</f>
        <v>https://permalinkbnd.bnportugal.gov.pt/viewer/272640/?offset=#page=8&amp;viewer=picture&amp;o=info&amp;n=0&amp;q=</v>
      </c>
      <c r="N872" s="12" t="s">
        <v>1497</v>
      </c>
      <c r="O872" s="12" t="str">
        <f>CONCATENATE(N872,A872,"\",B872,"\",C872,".jpg")</f>
        <v>C:\Users\mbaptista\OneDrive - Biblioteca Nacional de Portugal\Documentos\python\camoniana\imagens\capas\788999\1\8.jpg</v>
      </c>
      <c r="P872" s="12" t="str">
        <f>HYPERLINK(O872)</f>
        <v>C:\Users\mbaptista\OneDrive - Biblioteca Nacional de Portugal\Documentos\python\camoniana\imagens\capas\788999\1\8.jpg</v>
      </c>
      <c r="Q872" s="12"/>
      <c r="R872" s="6" t="s">
        <v>1173</v>
      </c>
      <c r="S872" s="12"/>
      <c r="T872" s="1" t="s">
        <v>1171</v>
      </c>
      <c r="U872" s="13"/>
      <c r="V872" s="13"/>
      <c r="W872" s="5" t="s">
        <v>1491</v>
      </c>
    </row>
    <row r="873" spans="1:23" ht="225">
      <c r="A873" s="1">
        <v>788999</v>
      </c>
      <c r="B873" s="1">
        <v>1</v>
      </c>
      <c r="C873" s="1">
        <v>9</v>
      </c>
      <c r="D873" s="2" t="s">
        <v>1169</v>
      </c>
      <c r="E873" s="11" t="s">
        <v>1169</v>
      </c>
      <c r="F873" s="11">
        <v>272640</v>
      </c>
      <c r="G873" s="2" t="s">
        <v>1494</v>
      </c>
      <c r="H873" s="2" t="s">
        <v>1495</v>
      </c>
      <c r="I873" s="2" t="s">
        <v>1496</v>
      </c>
      <c r="J873" s="2" t="str">
        <f>CONCATENATE(G873,F873,H873,C873,I873)</f>
        <v>https://permalinkbnd.bnportugal.gov.pt/viewer/272640/?offset=#page=9&amp;viewer=picture&amp;o=info&amp;n=0&amp;q=</v>
      </c>
      <c r="K873" s="1" t="s">
        <v>1170</v>
      </c>
      <c r="L873" s="1" t="str">
        <f>VLOOKUP(A873,Folha2!$A$2:$B$2019,2,FALSE)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3" s="12" t="str">
        <f>HYPERLINK(J873)</f>
        <v>https://permalinkbnd.bnportugal.gov.pt/viewer/272640/?offset=#page=9&amp;viewer=picture&amp;o=info&amp;n=0&amp;q=</v>
      </c>
      <c r="N873" s="12" t="s">
        <v>1497</v>
      </c>
      <c r="O873" s="12" t="str">
        <f>CONCATENATE(N873,A873,"\",B873,"\",C873,".jpg")</f>
        <v>C:\Users\mbaptista\OneDrive - Biblioteca Nacional de Portugal\Documentos\python\camoniana\imagens\capas\788999\1\9.jpg</v>
      </c>
      <c r="P873" s="12" t="str">
        <f>HYPERLINK(O873)</f>
        <v>C:\Users\mbaptista\OneDrive - Biblioteca Nacional de Portugal\Documentos\python\camoniana\imagens\capas\788999\1\9.jpg</v>
      </c>
      <c r="Q873" s="12"/>
      <c r="R873" s="6" t="s">
        <v>1174</v>
      </c>
      <c r="S873" s="12"/>
      <c r="T873" s="1" t="s">
        <v>1171</v>
      </c>
      <c r="U873" s="13"/>
      <c r="V873" s="13"/>
      <c r="W873" s="5" t="s">
        <v>1491</v>
      </c>
    </row>
    <row r="874" spans="1:23" ht="225">
      <c r="A874" s="1">
        <v>788999</v>
      </c>
      <c r="B874" s="1">
        <v>1</v>
      </c>
      <c r="C874" s="1">
        <v>12</v>
      </c>
      <c r="D874" s="2" t="s">
        <v>1169</v>
      </c>
      <c r="E874" s="5" t="s">
        <v>1169</v>
      </c>
      <c r="F874" s="5">
        <v>272640</v>
      </c>
      <c r="G874" s="2" t="s">
        <v>1494</v>
      </c>
      <c r="H874" s="2" t="s">
        <v>1495</v>
      </c>
      <c r="I874" s="2" t="s">
        <v>1496</v>
      </c>
      <c r="J874" s="2" t="str">
        <f>CONCATENATE(G874,F874,H874,C874,I874)</f>
        <v>https://permalinkbnd.bnportugal.gov.pt/viewer/272640/?offset=#page=12&amp;viewer=picture&amp;o=info&amp;n=0&amp;q=</v>
      </c>
      <c r="K874" s="1" t="s">
        <v>1170</v>
      </c>
      <c r="L874" s="1" t="str">
        <f>VLOOKUP(A874,Folha2!$A$2:$B$2019,2,FALSE)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4" s="12" t="str">
        <f>HYPERLINK(J874)</f>
        <v>https://permalinkbnd.bnportugal.gov.pt/viewer/272640/?offset=#page=12&amp;viewer=picture&amp;o=info&amp;n=0&amp;q=</v>
      </c>
      <c r="N874" s="12" t="s">
        <v>1497</v>
      </c>
      <c r="O874" s="12" t="str">
        <f>CONCATENATE(N874,A874,"\",B874,"\",C874,".jpg")</f>
        <v>C:\Users\mbaptista\OneDrive - Biblioteca Nacional de Portugal\Documentos\python\camoniana\imagens\capas\788999\1\12.jpg</v>
      </c>
      <c r="P874" s="12" t="str">
        <f>HYPERLINK(O874)</f>
        <v>C:\Users\mbaptista\OneDrive - Biblioteca Nacional de Portugal\Documentos\python\camoniana\imagens\capas\788999\1\12.jpg</v>
      </c>
      <c r="Q874" s="12"/>
      <c r="R874" s="6"/>
      <c r="S874" s="12"/>
      <c r="T874" s="1"/>
      <c r="U874" s="13"/>
      <c r="V874" s="13"/>
      <c r="W874" s="5"/>
    </row>
    <row r="875" spans="1:23" ht="225">
      <c r="A875" s="1">
        <v>788999</v>
      </c>
      <c r="B875" s="1">
        <v>1</v>
      </c>
      <c r="C875" s="1">
        <v>25</v>
      </c>
      <c r="D875" s="2" t="s">
        <v>1169</v>
      </c>
      <c r="E875" s="11" t="s">
        <v>1169</v>
      </c>
      <c r="F875" s="11">
        <v>272640</v>
      </c>
      <c r="G875" s="2" t="s">
        <v>1494</v>
      </c>
      <c r="H875" s="2" t="s">
        <v>1495</v>
      </c>
      <c r="I875" s="2" t="s">
        <v>1496</v>
      </c>
      <c r="J875" s="2" t="str">
        <f>CONCATENATE(G875,F875,H875,C875,I875)</f>
        <v>https://permalinkbnd.bnportugal.gov.pt/viewer/272640/?offset=#page=25&amp;viewer=picture&amp;o=info&amp;n=0&amp;q=</v>
      </c>
      <c r="K875" s="1" t="s">
        <v>1170</v>
      </c>
      <c r="L875" s="1" t="str">
        <f>VLOOKUP(A875,Folha2!$A$2:$B$2019,2,FALSE)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5" s="12" t="str">
        <f>HYPERLINK(J875)</f>
        <v>https://permalinkbnd.bnportugal.gov.pt/viewer/272640/?offset=#page=25&amp;viewer=picture&amp;o=info&amp;n=0&amp;q=</v>
      </c>
      <c r="N875" s="12" t="s">
        <v>1497</v>
      </c>
      <c r="O875" s="12" t="str">
        <f>CONCATENATE(N875,A875,"\",B875,"\",C875,".jpg")</f>
        <v>C:\Users\mbaptista\OneDrive - Biblioteca Nacional de Portugal\Documentos\python\camoniana\imagens\capas\788999\1\25.jpg</v>
      </c>
      <c r="P875" s="12" t="str">
        <f>HYPERLINK(O875)</f>
        <v>C:\Users\mbaptista\OneDrive - Biblioteca Nacional de Portugal\Documentos\python\camoniana\imagens\capas\788999\1\25.jpg</v>
      </c>
      <c r="Q875" s="12"/>
      <c r="R875" s="6" t="s">
        <v>1175</v>
      </c>
      <c r="S875" s="12"/>
      <c r="T875" s="1" t="s">
        <v>1171</v>
      </c>
      <c r="U875" s="13"/>
      <c r="V875" s="13"/>
      <c r="W875" s="5" t="s">
        <v>1491</v>
      </c>
    </row>
    <row r="876" spans="1:23" ht="225">
      <c r="A876" s="1">
        <v>788999</v>
      </c>
      <c r="B876" s="1">
        <v>1</v>
      </c>
      <c r="C876" s="1">
        <v>27</v>
      </c>
      <c r="D876" s="2" t="s">
        <v>1169</v>
      </c>
      <c r="E876" s="5" t="s">
        <v>1169</v>
      </c>
      <c r="F876" s="5">
        <v>272640</v>
      </c>
      <c r="G876" s="2" t="s">
        <v>1494</v>
      </c>
      <c r="H876" s="2" t="s">
        <v>1495</v>
      </c>
      <c r="I876" s="2" t="s">
        <v>1496</v>
      </c>
      <c r="J876" s="2" t="str">
        <f>CONCATENATE(G876,F876,H876,C876,I876)</f>
        <v>https://permalinkbnd.bnportugal.gov.pt/viewer/272640/?offset=#page=27&amp;viewer=picture&amp;o=info&amp;n=0&amp;q=</v>
      </c>
      <c r="K876" s="1" t="s">
        <v>1170</v>
      </c>
      <c r="L876" s="1" t="str">
        <f>VLOOKUP(A876,Folha2!$A$2:$B$2019,2,FALSE)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6" s="12" t="str">
        <f>HYPERLINK(J876)</f>
        <v>https://permalinkbnd.bnportugal.gov.pt/viewer/272640/?offset=#page=27&amp;viewer=picture&amp;o=info&amp;n=0&amp;q=</v>
      </c>
      <c r="N876" s="12" t="s">
        <v>1497</v>
      </c>
      <c r="O876" s="12" t="str">
        <f>CONCATENATE(N876,A876,"\",B876,"\",C876,".jpg")</f>
        <v>C:\Users\mbaptista\OneDrive - Biblioteca Nacional de Portugal\Documentos\python\camoniana\imagens\capas\788999\1\27.jpg</v>
      </c>
      <c r="P876" s="12" t="str">
        <f>HYPERLINK(O876)</f>
        <v>C:\Users\mbaptista\OneDrive - Biblioteca Nacional de Portugal\Documentos\python\camoniana\imagens\capas\788999\1\27.jpg</v>
      </c>
      <c r="Q876" s="12"/>
      <c r="R876" s="6" t="s">
        <v>1176</v>
      </c>
      <c r="S876" s="12"/>
      <c r="T876" s="1" t="s">
        <v>1171</v>
      </c>
      <c r="U876" s="13"/>
      <c r="V876" s="13"/>
      <c r="W876" s="5" t="s">
        <v>1491</v>
      </c>
    </row>
    <row r="877" spans="1:23" ht="225">
      <c r="A877" s="1">
        <v>788999</v>
      </c>
      <c r="B877" s="1">
        <v>1</v>
      </c>
      <c r="C877" s="1">
        <v>29</v>
      </c>
      <c r="D877" s="2" t="s">
        <v>1169</v>
      </c>
      <c r="E877" s="11" t="s">
        <v>1169</v>
      </c>
      <c r="F877" s="11">
        <v>272640</v>
      </c>
      <c r="G877" s="2" t="s">
        <v>1494</v>
      </c>
      <c r="H877" s="2" t="s">
        <v>1495</v>
      </c>
      <c r="I877" s="2" t="s">
        <v>1496</v>
      </c>
      <c r="J877" s="2" t="str">
        <f>CONCATENATE(G877,F877,H877,C877,I877)</f>
        <v>https://permalinkbnd.bnportugal.gov.pt/viewer/272640/?offset=#page=29&amp;viewer=picture&amp;o=info&amp;n=0&amp;q=</v>
      </c>
      <c r="K877" s="1" t="s">
        <v>1170</v>
      </c>
      <c r="L877" s="1" t="str">
        <f>VLOOKUP(A877,Folha2!$A$2:$B$2019,2,FALSE)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7" s="12" t="str">
        <f>HYPERLINK(J877)</f>
        <v>https://permalinkbnd.bnportugal.gov.pt/viewer/272640/?offset=#page=29&amp;viewer=picture&amp;o=info&amp;n=0&amp;q=</v>
      </c>
      <c r="N877" s="12" t="s">
        <v>1497</v>
      </c>
      <c r="O877" s="12" t="str">
        <f>CONCATENATE(N877,A877,"\",B877,"\",C877,".jpg")</f>
        <v>C:\Users\mbaptista\OneDrive - Biblioteca Nacional de Portugal\Documentos\python\camoniana\imagens\capas\788999\1\29.jpg</v>
      </c>
      <c r="P877" s="12" t="str">
        <f>HYPERLINK(O877)</f>
        <v>C:\Users\mbaptista\OneDrive - Biblioteca Nacional de Portugal\Documentos\python\camoniana\imagens\capas\788999\1\29.jpg</v>
      </c>
      <c r="Q877" s="12"/>
      <c r="R877" s="6" t="s">
        <v>1177</v>
      </c>
      <c r="S877" s="12"/>
      <c r="T877" s="1" t="s">
        <v>1171</v>
      </c>
      <c r="U877" s="13"/>
      <c r="V877" s="13"/>
      <c r="W877" s="5" t="s">
        <v>1491</v>
      </c>
    </row>
    <row r="878" spans="1:23" ht="225">
      <c r="A878" s="1">
        <v>788999</v>
      </c>
      <c r="B878" s="1">
        <v>1</v>
      </c>
      <c r="C878" s="1">
        <v>31</v>
      </c>
      <c r="D878" s="2" t="s">
        <v>1169</v>
      </c>
      <c r="E878" s="5" t="s">
        <v>1169</v>
      </c>
      <c r="F878" s="5">
        <v>272640</v>
      </c>
      <c r="G878" s="2" t="s">
        <v>1494</v>
      </c>
      <c r="H878" s="2" t="s">
        <v>1495</v>
      </c>
      <c r="I878" s="2" t="s">
        <v>1496</v>
      </c>
      <c r="J878" s="2" t="str">
        <f>CONCATENATE(G878,F878,H878,C878,I878)</f>
        <v>https://permalinkbnd.bnportugal.gov.pt/viewer/272640/?offset=#page=31&amp;viewer=picture&amp;o=info&amp;n=0&amp;q=</v>
      </c>
      <c r="K878" s="1" t="s">
        <v>1170</v>
      </c>
      <c r="L878" s="1" t="str">
        <f>VLOOKUP(A878,Folha2!$A$2:$B$2019,2,FALSE)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8" s="12" t="str">
        <f>HYPERLINK(J878)</f>
        <v>https://permalinkbnd.bnportugal.gov.pt/viewer/272640/?offset=#page=31&amp;viewer=picture&amp;o=info&amp;n=0&amp;q=</v>
      </c>
      <c r="N878" s="12" t="s">
        <v>1497</v>
      </c>
      <c r="O878" s="12" t="str">
        <f>CONCATENATE(N878,A878,"\",B878,"\",C878,".jpg")</f>
        <v>C:\Users\mbaptista\OneDrive - Biblioteca Nacional de Portugal\Documentos\python\camoniana\imagens\capas\788999\1\31.jpg</v>
      </c>
      <c r="P878" s="12" t="str">
        <f>HYPERLINK(O878)</f>
        <v>C:\Users\mbaptista\OneDrive - Biblioteca Nacional de Portugal\Documentos\python\camoniana\imagens\capas\788999\1\31.jpg</v>
      </c>
      <c r="Q878" s="12"/>
      <c r="R878" s="6" t="s">
        <v>1178</v>
      </c>
      <c r="S878" s="12"/>
      <c r="T878" s="1" t="s">
        <v>1171</v>
      </c>
      <c r="U878" s="13"/>
      <c r="V878" s="13"/>
      <c r="W878" s="5" t="s">
        <v>1491</v>
      </c>
    </row>
    <row r="879" spans="1:23" ht="225">
      <c r="A879" s="1">
        <v>788999</v>
      </c>
      <c r="B879" s="1">
        <v>1</v>
      </c>
      <c r="C879" s="1">
        <v>57</v>
      </c>
      <c r="D879" s="2" t="s">
        <v>1169</v>
      </c>
      <c r="E879" s="11" t="s">
        <v>1169</v>
      </c>
      <c r="F879" s="11">
        <v>272640</v>
      </c>
      <c r="G879" s="2" t="s">
        <v>1494</v>
      </c>
      <c r="H879" s="2" t="s">
        <v>1495</v>
      </c>
      <c r="I879" s="2" t="s">
        <v>1496</v>
      </c>
      <c r="J879" s="2" t="str">
        <f>CONCATENATE(G879,F879,H879,C879,I879)</f>
        <v>https://permalinkbnd.bnportugal.gov.pt/viewer/272640/?offset=#page=57&amp;viewer=picture&amp;o=info&amp;n=0&amp;q=</v>
      </c>
      <c r="K879" s="1" t="s">
        <v>1170</v>
      </c>
      <c r="L879" s="1" t="str">
        <f>VLOOKUP(A879,Folha2!$A$2:$B$2019,2,FALSE)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79" s="12" t="str">
        <f>HYPERLINK(J879)</f>
        <v>https://permalinkbnd.bnportugal.gov.pt/viewer/272640/?offset=#page=57&amp;viewer=picture&amp;o=info&amp;n=0&amp;q=</v>
      </c>
      <c r="N879" s="12" t="s">
        <v>1497</v>
      </c>
      <c r="O879" s="12" t="str">
        <f>CONCATENATE(N879,A879,"\",B879,"\",C879,".jpg")</f>
        <v>C:\Users\mbaptista\OneDrive - Biblioteca Nacional de Portugal\Documentos\python\camoniana\imagens\capas\788999\1\57.jpg</v>
      </c>
      <c r="P879" s="12" t="str">
        <f>HYPERLINK(O879)</f>
        <v>C:\Users\mbaptista\OneDrive - Biblioteca Nacional de Portugal\Documentos\python\camoniana\imagens\capas\788999\1\57.jpg</v>
      </c>
      <c r="Q879" s="12"/>
      <c r="R879" s="6"/>
      <c r="S879" s="12"/>
      <c r="T879" s="1"/>
      <c r="U879" s="13"/>
      <c r="V879" s="13"/>
      <c r="W879" s="5"/>
    </row>
    <row r="880" spans="1:23" ht="225">
      <c r="A880" s="1">
        <v>788999</v>
      </c>
      <c r="B880" s="1">
        <v>1</v>
      </c>
      <c r="C880" s="1">
        <v>59</v>
      </c>
      <c r="D880" s="2" t="s">
        <v>1169</v>
      </c>
      <c r="E880" s="5" t="s">
        <v>1169</v>
      </c>
      <c r="F880" s="5">
        <v>272640</v>
      </c>
      <c r="G880" s="2" t="s">
        <v>1494</v>
      </c>
      <c r="H880" s="2" t="s">
        <v>1495</v>
      </c>
      <c r="I880" s="2" t="s">
        <v>1496</v>
      </c>
      <c r="J880" s="2" t="str">
        <f>CONCATENATE(G880,F880,H880,C880,I880)</f>
        <v>https://permalinkbnd.bnportugal.gov.pt/viewer/272640/?offset=#page=59&amp;viewer=picture&amp;o=info&amp;n=0&amp;q=</v>
      </c>
      <c r="K880" s="1" t="s">
        <v>1170</v>
      </c>
      <c r="L880" s="1" t="str">
        <f>VLOOKUP(A880,Folha2!$A$2:$B$2019,2,FALSE)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0" s="12" t="str">
        <f>HYPERLINK(J880)</f>
        <v>https://permalinkbnd.bnportugal.gov.pt/viewer/272640/?offset=#page=59&amp;viewer=picture&amp;o=info&amp;n=0&amp;q=</v>
      </c>
      <c r="N880" s="12" t="s">
        <v>1497</v>
      </c>
      <c r="O880" s="12" t="str">
        <f>CONCATENATE(N880,A880,"\",B880,"\",C880,".jpg")</f>
        <v>C:\Users\mbaptista\OneDrive - Biblioteca Nacional de Portugal\Documentos\python\camoniana\imagens\capas\788999\1\59.jpg</v>
      </c>
      <c r="P880" s="12" t="str">
        <f>HYPERLINK(O880)</f>
        <v>C:\Users\mbaptista\OneDrive - Biblioteca Nacional de Portugal\Documentos\python\camoniana\imagens\capas\788999\1\59.jpg</v>
      </c>
      <c r="Q880" s="12"/>
      <c r="R880" s="6" t="s">
        <v>1179</v>
      </c>
      <c r="S880" s="12"/>
      <c r="T880" s="1" t="s">
        <v>1171</v>
      </c>
      <c r="U880" s="13"/>
      <c r="V880" s="13"/>
      <c r="W880" s="5" t="s">
        <v>1491</v>
      </c>
    </row>
    <row r="881" spans="1:23" ht="225">
      <c r="A881" s="1">
        <v>788999</v>
      </c>
      <c r="B881" s="1">
        <v>1</v>
      </c>
      <c r="C881" s="1">
        <v>61</v>
      </c>
      <c r="D881" s="2" t="s">
        <v>1169</v>
      </c>
      <c r="E881" s="11" t="s">
        <v>1169</v>
      </c>
      <c r="F881" s="11">
        <v>272640</v>
      </c>
      <c r="G881" s="2" t="s">
        <v>1494</v>
      </c>
      <c r="H881" s="2" t="s">
        <v>1495</v>
      </c>
      <c r="I881" s="2" t="s">
        <v>1496</v>
      </c>
      <c r="J881" s="2" t="str">
        <f>CONCATENATE(G881,F881,H881,C881,I881)</f>
        <v>https://permalinkbnd.bnportugal.gov.pt/viewer/272640/?offset=#page=61&amp;viewer=picture&amp;o=info&amp;n=0&amp;q=</v>
      </c>
      <c r="K881" s="1" t="s">
        <v>1170</v>
      </c>
      <c r="L881" s="1" t="str">
        <f>VLOOKUP(A881,Folha2!$A$2:$B$2019,2,FALSE)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1" s="12" t="str">
        <f>HYPERLINK(J881)</f>
        <v>https://permalinkbnd.bnportugal.gov.pt/viewer/272640/?offset=#page=61&amp;viewer=picture&amp;o=info&amp;n=0&amp;q=</v>
      </c>
      <c r="N881" s="12" t="s">
        <v>1497</v>
      </c>
      <c r="O881" s="12" t="str">
        <f>CONCATENATE(N881,A881,"\",B881,"\",C881,".jpg")</f>
        <v>C:\Users\mbaptista\OneDrive - Biblioteca Nacional de Portugal\Documentos\python\camoniana\imagens\capas\788999\1\61.jpg</v>
      </c>
      <c r="P881" s="12" t="str">
        <f>HYPERLINK(O881)</f>
        <v>C:\Users\mbaptista\OneDrive - Biblioteca Nacional de Portugal\Documentos\python\camoniana\imagens\capas\788999\1\61.jpg</v>
      </c>
      <c r="Q881" s="12"/>
      <c r="R881" s="6"/>
      <c r="S881" s="12"/>
      <c r="T881" s="1"/>
      <c r="U881" s="13"/>
      <c r="V881" s="13"/>
      <c r="W881" s="5"/>
    </row>
    <row r="882" spans="1:23" ht="225">
      <c r="A882" s="1">
        <v>788999</v>
      </c>
      <c r="B882" s="1">
        <v>1</v>
      </c>
      <c r="C882" s="1">
        <v>71</v>
      </c>
      <c r="D882" s="2" t="s">
        <v>1169</v>
      </c>
      <c r="E882" s="5" t="s">
        <v>1169</v>
      </c>
      <c r="F882" s="5">
        <v>272640</v>
      </c>
      <c r="G882" s="2" t="s">
        <v>1494</v>
      </c>
      <c r="H882" s="2" t="s">
        <v>1495</v>
      </c>
      <c r="I882" s="2" t="s">
        <v>1496</v>
      </c>
      <c r="J882" s="2" t="str">
        <f>CONCATENATE(G882,F882,H882,C882,I882)</f>
        <v>https://permalinkbnd.bnportugal.gov.pt/viewer/272640/?offset=#page=71&amp;viewer=picture&amp;o=info&amp;n=0&amp;q=</v>
      </c>
      <c r="K882" s="1" t="s">
        <v>1170</v>
      </c>
      <c r="L882" s="1" t="str">
        <f>VLOOKUP(A882,Folha2!$A$2:$B$2019,2,FALSE)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2" s="12" t="str">
        <f>HYPERLINK(J882)</f>
        <v>https://permalinkbnd.bnportugal.gov.pt/viewer/272640/?offset=#page=71&amp;viewer=picture&amp;o=info&amp;n=0&amp;q=</v>
      </c>
      <c r="N882" s="12" t="s">
        <v>1497</v>
      </c>
      <c r="O882" s="12" t="str">
        <f>CONCATENATE(N882,A882,"\",B882,"\",C882,".jpg")</f>
        <v>C:\Users\mbaptista\OneDrive - Biblioteca Nacional de Portugal\Documentos\python\camoniana\imagens\capas\788999\1\71.jpg</v>
      </c>
      <c r="P882" s="12" t="str">
        <f>HYPERLINK(O882)</f>
        <v>C:\Users\mbaptista\OneDrive - Biblioteca Nacional de Portugal\Documentos\python\camoniana\imagens\capas\788999\1\71.jpg</v>
      </c>
      <c r="Q882" s="12"/>
      <c r="R882" s="6" t="s">
        <v>1180</v>
      </c>
      <c r="S882" s="12"/>
      <c r="T882" s="1" t="s">
        <v>1171</v>
      </c>
      <c r="U882" s="13"/>
      <c r="V882" s="13"/>
      <c r="W882" s="5" t="s">
        <v>1491</v>
      </c>
    </row>
    <row r="883" spans="1:23" ht="225">
      <c r="A883" s="1">
        <v>788999</v>
      </c>
      <c r="B883" s="1">
        <v>1</v>
      </c>
      <c r="C883" s="1">
        <v>89</v>
      </c>
      <c r="D883" s="2" t="s">
        <v>1169</v>
      </c>
      <c r="E883" s="11" t="s">
        <v>1169</v>
      </c>
      <c r="F883" s="11">
        <v>272640</v>
      </c>
      <c r="G883" s="2" t="s">
        <v>1494</v>
      </c>
      <c r="H883" s="2" t="s">
        <v>1495</v>
      </c>
      <c r="I883" s="2" t="s">
        <v>1496</v>
      </c>
      <c r="J883" s="2" t="str">
        <f>CONCATENATE(G883,F883,H883,C883,I883)</f>
        <v>https://permalinkbnd.bnportugal.gov.pt/viewer/272640/?offset=#page=89&amp;viewer=picture&amp;o=info&amp;n=0&amp;q=</v>
      </c>
      <c r="K883" s="1" t="s">
        <v>1170</v>
      </c>
      <c r="L883" s="1" t="str">
        <f>VLOOKUP(A883,Folha2!$A$2:$B$2019,2,FALSE)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3" s="12" t="str">
        <f>HYPERLINK(J883)</f>
        <v>https://permalinkbnd.bnportugal.gov.pt/viewer/272640/?offset=#page=89&amp;viewer=picture&amp;o=info&amp;n=0&amp;q=</v>
      </c>
      <c r="N883" s="12" t="s">
        <v>1497</v>
      </c>
      <c r="O883" s="12" t="str">
        <f>CONCATENATE(N883,A883,"\",B883,"\",C883,".jpg")</f>
        <v>C:\Users\mbaptista\OneDrive - Biblioteca Nacional de Portugal\Documentos\python\camoniana\imagens\capas\788999\1\89.jpg</v>
      </c>
      <c r="P883" s="12" t="str">
        <f>HYPERLINK(O883)</f>
        <v>C:\Users\mbaptista\OneDrive - Biblioteca Nacional de Portugal\Documentos\python\camoniana\imagens\capas\788999\1\89.jpg</v>
      </c>
      <c r="Q883" s="12"/>
      <c r="R883" s="6" t="s">
        <v>1181</v>
      </c>
      <c r="S883" s="12"/>
      <c r="T883" s="1" t="s">
        <v>1171</v>
      </c>
      <c r="U883" s="13"/>
      <c r="V883" s="13"/>
      <c r="W883" s="5" t="s">
        <v>1491</v>
      </c>
    </row>
    <row r="884" spans="1:23" ht="225">
      <c r="A884" s="1">
        <v>788999</v>
      </c>
      <c r="B884" s="1">
        <v>1</v>
      </c>
      <c r="C884" s="1">
        <v>95</v>
      </c>
      <c r="D884" s="2" t="s">
        <v>1169</v>
      </c>
      <c r="E884" s="5" t="s">
        <v>1169</v>
      </c>
      <c r="F884" s="5">
        <v>272640</v>
      </c>
      <c r="G884" s="2" t="s">
        <v>1494</v>
      </c>
      <c r="H884" s="2" t="s">
        <v>1495</v>
      </c>
      <c r="I884" s="2" t="s">
        <v>1496</v>
      </c>
      <c r="J884" s="2" t="str">
        <f>CONCATENATE(G884,F884,H884,C884,I884)</f>
        <v>https://permalinkbnd.bnportugal.gov.pt/viewer/272640/?offset=#page=95&amp;viewer=picture&amp;o=info&amp;n=0&amp;q=</v>
      </c>
      <c r="K884" s="1" t="s">
        <v>1170</v>
      </c>
      <c r="L884" s="1" t="str">
        <f>VLOOKUP(A884,Folha2!$A$2:$B$2019,2,FALSE)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4" s="12" t="str">
        <f>HYPERLINK(J884)</f>
        <v>https://permalinkbnd.bnportugal.gov.pt/viewer/272640/?offset=#page=95&amp;viewer=picture&amp;o=info&amp;n=0&amp;q=</v>
      </c>
      <c r="N884" s="12" t="s">
        <v>1497</v>
      </c>
      <c r="O884" s="12" t="str">
        <f>CONCATENATE(N884,A884,"\",B884,"\",C884,".jpg")</f>
        <v>C:\Users\mbaptista\OneDrive - Biblioteca Nacional de Portugal\Documentos\python\camoniana\imagens\capas\788999\1\95.jpg</v>
      </c>
      <c r="P884" s="12" t="str">
        <f>HYPERLINK(O884)</f>
        <v>C:\Users\mbaptista\OneDrive - Biblioteca Nacional de Portugal\Documentos\python\camoniana\imagens\capas\788999\1\95.jpg</v>
      </c>
      <c r="Q884" s="12"/>
      <c r="R884" s="6" t="s">
        <v>1182</v>
      </c>
      <c r="S884" s="12"/>
      <c r="T884" s="1" t="s">
        <v>1171</v>
      </c>
      <c r="U884" s="13"/>
      <c r="V884" s="13"/>
      <c r="W884" s="5" t="s">
        <v>1491</v>
      </c>
    </row>
    <row r="885" spans="1:23" ht="225">
      <c r="A885" s="1">
        <v>788999</v>
      </c>
      <c r="B885" s="1">
        <v>1</v>
      </c>
      <c r="C885" s="1">
        <v>97</v>
      </c>
      <c r="D885" s="2" t="s">
        <v>1169</v>
      </c>
      <c r="E885" s="11" t="s">
        <v>1169</v>
      </c>
      <c r="F885" s="11">
        <v>272640</v>
      </c>
      <c r="G885" s="2" t="s">
        <v>1494</v>
      </c>
      <c r="H885" s="2" t="s">
        <v>1495</v>
      </c>
      <c r="I885" s="2" t="s">
        <v>1496</v>
      </c>
      <c r="J885" s="2" t="str">
        <f>CONCATENATE(G885,F885,H885,C885,I885)</f>
        <v>https://permalinkbnd.bnportugal.gov.pt/viewer/272640/?offset=#page=97&amp;viewer=picture&amp;o=info&amp;n=0&amp;q=</v>
      </c>
      <c r="K885" s="1" t="s">
        <v>1170</v>
      </c>
      <c r="L885" s="1" t="str">
        <f>VLOOKUP(A885,Folha2!$A$2:$B$2019,2,FALSE)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5" s="12" t="str">
        <f>HYPERLINK(J885)</f>
        <v>https://permalinkbnd.bnportugal.gov.pt/viewer/272640/?offset=#page=97&amp;viewer=picture&amp;o=info&amp;n=0&amp;q=</v>
      </c>
      <c r="N885" s="12" t="s">
        <v>1497</v>
      </c>
      <c r="O885" s="12" t="str">
        <f>CONCATENATE(N885,A885,"\",B885,"\",C885,".jpg")</f>
        <v>C:\Users\mbaptista\OneDrive - Biblioteca Nacional de Portugal\Documentos\python\camoniana\imagens\capas\788999\1\97.jpg</v>
      </c>
      <c r="P885" s="12" t="str">
        <f>HYPERLINK(O885)</f>
        <v>C:\Users\mbaptista\OneDrive - Biblioteca Nacional de Portugal\Documentos\python\camoniana\imagens\capas\788999\1\97.jpg</v>
      </c>
      <c r="Q885" s="12"/>
      <c r="R885" s="6"/>
      <c r="S885" s="12"/>
      <c r="T885" s="1"/>
      <c r="U885" s="13"/>
      <c r="V885" s="13"/>
      <c r="W885" s="5"/>
    </row>
    <row r="886" spans="1:23" ht="225">
      <c r="A886" s="1">
        <v>788999</v>
      </c>
      <c r="B886" s="1">
        <v>1</v>
      </c>
      <c r="C886" s="1">
        <v>127</v>
      </c>
      <c r="D886" s="2" t="s">
        <v>1169</v>
      </c>
      <c r="E886" s="5" t="s">
        <v>1169</v>
      </c>
      <c r="F886" s="5">
        <v>272640</v>
      </c>
      <c r="G886" s="2" t="s">
        <v>1494</v>
      </c>
      <c r="H886" s="2" t="s">
        <v>1495</v>
      </c>
      <c r="I886" s="2" t="s">
        <v>1496</v>
      </c>
      <c r="J886" s="2" t="str">
        <f>CONCATENATE(G886,F886,H886,C886,I886)</f>
        <v>https://permalinkbnd.bnportugal.gov.pt/viewer/272640/?offset=#page=127&amp;viewer=picture&amp;o=info&amp;n=0&amp;q=</v>
      </c>
      <c r="K886" s="1" t="s">
        <v>1170</v>
      </c>
      <c r="L886" s="1" t="str">
        <f>VLOOKUP(A886,Folha2!$A$2:$B$2019,2,FALSE)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6" s="12" t="str">
        <f>HYPERLINK(J886)</f>
        <v>https://permalinkbnd.bnportugal.gov.pt/viewer/272640/?offset=#page=127&amp;viewer=picture&amp;o=info&amp;n=0&amp;q=</v>
      </c>
      <c r="N886" s="12" t="s">
        <v>1497</v>
      </c>
      <c r="O886" s="12" t="str">
        <f>CONCATENATE(N886,A886,"\",B886,"\",C886,".jpg")</f>
        <v>C:\Users\mbaptista\OneDrive - Biblioteca Nacional de Portugal\Documentos\python\camoniana\imagens\capas\788999\1\127.jpg</v>
      </c>
      <c r="P886" s="12" t="str">
        <f>HYPERLINK(O886)</f>
        <v>C:\Users\mbaptista\OneDrive - Biblioteca Nacional de Portugal\Documentos\python\camoniana\imagens\capas\788999\1\127.jpg</v>
      </c>
      <c r="Q886" s="12"/>
      <c r="R886" s="6" t="s">
        <v>1183</v>
      </c>
      <c r="S886" s="12"/>
      <c r="T886" s="1" t="s">
        <v>1171</v>
      </c>
      <c r="U886" s="13"/>
      <c r="V886" s="13"/>
      <c r="W886" s="5" t="s">
        <v>1491</v>
      </c>
    </row>
    <row r="887" spans="1:23" ht="225">
      <c r="A887" s="1">
        <v>788999</v>
      </c>
      <c r="B887" s="1">
        <v>1</v>
      </c>
      <c r="C887" s="1">
        <v>135</v>
      </c>
      <c r="D887" s="2" t="s">
        <v>1169</v>
      </c>
      <c r="E887" s="11" t="s">
        <v>1169</v>
      </c>
      <c r="F887" s="11">
        <v>272640</v>
      </c>
      <c r="G887" s="2" t="s">
        <v>1494</v>
      </c>
      <c r="H887" s="2" t="s">
        <v>1495</v>
      </c>
      <c r="I887" s="2" t="s">
        <v>1496</v>
      </c>
      <c r="J887" s="2" t="str">
        <f>CONCATENATE(G887,F887,H887,C887,I887)</f>
        <v>https://permalinkbnd.bnportugal.gov.pt/viewer/272640/?offset=#page=135&amp;viewer=picture&amp;o=info&amp;n=0&amp;q=</v>
      </c>
      <c r="K887" s="1" t="s">
        <v>1170</v>
      </c>
      <c r="L887" s="1" t="str">
        <f>VLOOKUP(A887,Folha2!$A$2:$B$2019,2,FALSE)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7" s="12" t="str">
        <f>HYPERLINK(J887)</f>
        <v>https://permalinkbnd.bnportugal.gov.pt/viewer/272640/?offset=#page=135&amp;viewer=picture&amp;o=info&amp;n=0&amp;q=</v>
      </c>
      <c r="N887" s="12" t="s">
        <v>1497</v>
      </c>
      <c r="O887" s="12" t="str">
        <f>CONCATENATE(N887,A887,"\",B887,"\",C887,".jpg")</f>
        <v>C:\Users\mbaptista\OneDrive - Biblioteca Nacional de Portugal\Documentos\python\camoniana\imagens\capas\788999\1\135.jpg</v>
      </c>
      <c r="P887" s="12" t="str">
        <f>HYPERLINK(O887)</f>
        <v>C:\Users\mbaptista\OneDrive - Biblioteca Nacional de Portugal\Documentos\python\camoniana\imagens\capas\788999\1\135.jpg</v>
      </c>
      <c r="Q887" s="12"/>
      <c r="R887" s="6" t="s">
        <v>1184</v>
      </c>
      <c r="S887" s="12"/>
      <c r="T887" s="1" t="s">
        <v>1171</v>
      </c>
      <c r="U887" s="13"/>
      <c r="V887" s="13"/>
      <c r="W887" s="5" t="s">
        <v>1491</v>
      </c>
    </row>
    <row r="888" spans="1:23" ht="225">
      <c r="A888" s="1">
        <v>788999</v>
      </c>
      <c r="B888" s="1">
        <v>1</v>
      </c>
      <c r="C888" s="1">
        <v>137</v>
      </c>
      <c r="D888" s="2" t="s">
        <v>1169</v>
      </c>
      <c r="E888" s="5" t="s">
        <v>1169</v>
      </c>
      <c r="F888" s="5">
        <v>272640</v>
      </c>
      <c r="G888" s="2" t="s">
        <v>1494</v>
      </c>
      <c r="H888" s="2" t="s">
        <v>1495</v>
      </c>
      <c r="I888" s="2" t="s">
        <v>1496</v>
      </c>
      <c r="J888" s="2" t="str">
        <f>CONCATENATE(G888,F888,H888,C888,I888)</f>
        <v>https://permalinkbnd.bnportugal.gov.pt/viewer/272640/?offset=#page=137&amp;viewer=picture&amp;o=info&amp;n=0&amp;q=</v>
      </c>
      <c r="K888" s="1" t="s">
        <v>1170</v>
      </c>
      <c r="L888" s="1" t="str">
        <f>VLOOKUP(A888,Folha2!$A$2:$B$2019,2,FALSE)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8" s="12" t="str">
        <f>HYPERLINK(J888)</f>
        <v>https://permalinkbnd.bnportugal.gov.pt/viewer/272640/?offset=#page=137&amp;viewer=picture&amp;o=info&amp;n=0&amp;q=</v>
      </c>
      <c r="N888" s="12" t="s">
        <v>1497</v>
      </c>
      <c r="O888" s="12" t="str">
        <f>CONCATENATE(N888,A888,"\",B888,"\",C888,".jpg")</f>
        <v>C:\Users\mbaptista\OneDrive - Biblioteca Nacional de Portugal\Documentos\python\camoniana\imagens\capas\788999\1\137.jpg</v>
      </c>
      <c r="P888" s="12" t="str">
        <f>HYPERLINK(O888)</f>
        <v>C:\Users\mbaptista\OneDrive - Biblioteca Nacional de Portugal\Documentos\python\camoniana\imagens\capas\788999\1\137.jpg</v>
      </c>
      <c r="Q888" s="12"/>
      <c r="R888" s="6"/>
      <c r="S888" s="12"/>
      <c r="T888" s="1"/>
      <c r="U888" s="13"/>
      <c r="V888" s="13"/>
      <c r="W888" s="5"/>
    </row>
    <row r="889" spans="1:23" ht="225">
      <c r="A889" s="1">
        <v>788999</v>
      </c>
      <c r="B889" s="1">
        <v>1</v>
      </c>
      <c r="C889" s="1">
        <v>161</v>
      </c>
      <c r="D889" s="2" t="s">
        <v>1169</v>
      </c>
      <c r="E889" s="11" t="s">
        <v>1169</v>
      </c>
      <c r="F889" s="11">
        <v>272640</v>
      </c>
      <c r="G889" s="2" t="s">
        <v>1494</v>
      </c>
      <c r="H889" s="2" t="s">
        <v>1495</v>
      </c>
      <c r="I889" s="2" t="s">
        <v>1496</v>
      </c>
      <c r="J889" s="2" t="str">
        <f>CONCATENATE(G889,F889,H889,C889,I889)</f>
        <v>https://permalinkbnd.bnportugal.gov.pt/viewer/272640/?offset=#page=161&amp;viewer=picture&amp;o=info&amp;n=0&amp;q=</v>
      </c>
      <c r="K889" s="1" t="s">
        <v>1170</v>
      </c>
      <c r="L889" s="1" t="str">
        <f>VLOOKUP(A889,Folha2!$A$2:$B$2019,2,FALSE)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89" s="12" t="str">
        <f>HYPERLINK(J889)</f>
        <v>https://permalinkbnd.bnportugal.gov.pt/viewer/272640/?offset=#page=161&amp;viewer=picture&amp;o=info&amp;n=0&amp;q=</v>
      </c>
      <c r="N889" s="12" t="s">
        <v>1497</v>
      </c>
      <c r="O889" s="12" t="str">
        <f>CONCATENATE(N889,A889,"\",B889,"\",C889,".jpg")</f>
        <v>C:\Users\mbaptista\OneDrive - Biblioteca Nacional de Portugal\Documentos\python\camoniana\imagens\capas\788999\1\161.jpg</v>
      </c>
      <c r="P889" s="12" t="str">
        <f>HYPERLINK(O889)</f>
        <v>C:\Users\mbaptista\OneDrive - Biblioteca Nacional de Portugal\Documentos\python\camoniana\imagens\capas\788999\1\161.jpg</v>
      </c>
      <c r="Q889" s="12"/>
      <c r="R889" s="6" t="s">
        <v>1185</v>
      </c>
      <c r="S889" s="12"/>
      <c r="T889" s="1" t="s">
        <v>1171</v>
      </c>
      <c r="U889" s="13"/>
      <c r="V889" s="13"/>
      <c r="W889" s="5" t="s">
        <v>1491</v>
      </c>
    </row>
    <row r="890" spans="1:23" ht="225">
      <c r="A890" s="1">
        <v>788999</v>
      </c>
      <c r="B890" s="1">
        <v>1</v>
      </c>
      <c r="C890" s="1">
        <v>167</v>
      </c>
      <c r="D890" s="2" t="s">
        <v>1169</v>
      </c>
      <c r="E890" s="5" t="s">
        <v>1169</v>
      </c>
      <c r="F890" s="5">
        <v>272640</v>
      </c>
      <c r="G890" s="2" t="s">
        <v>1494</v>
      </c>
      <c r="H890" s="2" t="s">
        <v>1495</v>
      </c>
      <c r="I890" s="2" t="s">
        <v>1496</v>
      </c>
      <c r="J890" s="2" t="str">
        <f>CONCATENATE(G890,F890,H890,C890,I890)</f>
        <v>https://permalinkbnd.bnportugal.gov.pt/viewer/272640/?offset=#page=167&amp;viewer=picture&amp;o=info&amp;n=0&amp;q=</v>
      </c>
      <c r="K890" s="1" t="s">
        <v>1170</v>
      </c>
      <c r="L890" s="1" t="str">
        <f>VLOOKUP(A890,Folha2!$A$2:$B$2019,2,FALSE)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0" s="12" t="str">
        <f>HYPERLINK(J890)</f>
        <v>https://permalinkbnd.bnportugal.gov.pt/viewer/272640/?offset=#page=167&amp;viewer=picture&amp;o=info&amp;n=0&amp;q=</v>
      </c>
      <c r="N890" s="12" t="s">
        <v>1497</v>
      </c>
      <c r="O890" s="12" t="str">
        <f>CONCATENATE(N890,A890,"\",B890,"\",C890,".jpg")</f>
        <v>C:\Users\mbaptista\OneDrive - Biblioteca Nacional de Portugal\Documentos\python\camoniana\imagens\capas\788999\1\167.jpg</v>
      </c>
      <c r="P890" s="12" t="str">
        <f>HYPERLINK(O890)</f>
        <v>C:\Users\mbaptista\OneDrive - Biblioteca Nacional de Portugal\Documentos\python\camoniana\imagens\capas\788999\1\167.jpg</v>
      </c>
      <c r="Q890" s="12"/>
      <c r="R890" s="6" t="s">
        <v>1186</v>
      </c>
      <c r="S890" s="12"/>
      <c r="T890" s="1" t="s">
        <v>1171</v>
      </c>
      <c r="U890" s="13"/>
      <c r="V890" s="13"/>
      <c r="W890" s="5" t="s">
        <v>1491</v>
      </c>
    </row>
    <row r="891" spans="1:23" ht="225">
      <c r="A891" s="1">
        <v>788999</v>
      </c>
      <c r="B891" s="1">
        <v>1</v>
      </c>
      <c r="C891" s="1">
        <v>169</v>
      </c>
      <c r="D891" s="2" t="s">
        <v>1169</v>
      </c>
      <c r="E891" s="11" t="s">
        <v>1169</v>
      </c>
      <c r="F891" s="11">
        <v>272640</v>
      </c>
      <c r="G891" s="2" t="s">
        <v>1494</v>
      </c>
      <c r="H891" s="2" t="s">
        <v>1495</v>
      </c>
      <c r="I891" s="2" t="s">
        <v>1496</v>
      </c>
      <c r="J891" s="2" t="str">
        <f>CONCATENATE(G891,F891,H891,C891,I891)</f>
        <v>https://permalinkbnd.bnportugal.gov.pt/viewer/272640/?offset=#page=169&amp;viewer=picture&amp;o=info&amp;n=0&amp;q=</v>
      </c>
      <c r="K891" s="1" t="s">
        <v>1170</v>
      </c>
      <c r="L891" s="1" t="str">
        <f>VLOOKUP(A891,Folha2!$A$2:$B$2019,2,FALSE)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1" s="12" t="str">
        <f>HYPERLINK(J891)</f>
        <v>https://permalinkbnd.bnportugal.gov.pt/viewer/272640/?offset=#page=169&amp;viewer=picture&amp;o=info&amp;n=0&amp;q=</v>
      </c>
      <c r="N891" s="12" t="s">
        <v>1497</v>
      </c>
      <c r="O891" s="12" t="str">
        <f>CONCATENATE(N891,A891,"\",B891,"\",C891,".jpg")</f>
        <v>C:\Users\mbaptista\OneDrive - Biblioteca Nacional de Portugal\Documentos\python\camoniana\imagens\capas\788999\1\169.jpg</v>
      </c>
      <c r="P891" s="12" t="str">
        <f>HYPERLINK(O891)</f>
        <v>C:\Users\mbaptista\OneDrive - Biblioteca Nacional de Portugal\Documentos\python\camoniana\imagens\capas\788999\1\169.jpg</v>
      </c>
      <c r="Q891" s="12"/>
      <c r="R891" s="6"/>
      <c r="S891" s="12"/>
      <c r="T891" s="1"/>
      <c r="U891" s="13"/>
      <c r="V891" s="13"/>
      <c r="W891" s="5"/>
    </row>
    <row r="892" spans="1:23" ht="225">
      <c r="A892" s="1">
        <v>788999</v>
      </c>
      <c r="B892" s="1">
        <v>1</v>
      </c>
      <c r="C892" s="1">
        <v>181</v>
      </c>
      <c r="D892" s="2" t="s">
        <v>1169</v>
      </c>
      <c r="E892" s="5" t="s">
        <v>1169</v>
      </c>
      <c r="F892" s="5">
        <v>272640</v>
      </c>
      <c r="G892" s="2" t="s">
        <v>1494</v>
      </c>
      <c r="H892" s="2" t="s">
        <v>1495</v>
      </c>
      <c r="I892" s="2" t="s">
        <v>1496</v>
      </c>
      <c r="J892" s="2" t="str">
        <f>CONCATENATE(G892,F892,H892,C892,I892)</f>
        <v>https://permalinkbnd.bnportugal.gov.pt/viewer/272640/?offset=#page=181&amp;viewer=picture&amp;o=info&amp;n=0&amp;q=</v>
      </c>
      <c r="K892" s="1" t="s">
        <v>1170</v>
      </c>
      <c r="L892" s="1" t="str">
        <f>VLOOKUP(A892,Folha2!$A$2:$B$2019,2,FALSE)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2" s="12" t="str">
        <f>HYPERLINK(J892)</f>
        <v>https://permalinkbnd.bnportugal.gov.pt/viewer/272640/?offset=#page=181&amp;viewer=picture&amp;o=info&amp;n=0&amp;q=</v>
      </c>
      <c r="N892" s="12" t="s">
        <v>1497</v>
      </c>
      <c r="O892" s="12" t="str">
        <f>CONCATENATE(N892,A892,"\",B892,"\",C892,".jpg")</f>
        <v>C:\Users\mbaptista\OneDrive - Biblioteca Nacional de Portugal\Documentos\python\camoniana\imagens\capas\788999\1\181.jpg</v>
      </c>
      <c r="P892" s="12" t="str">
        <f>HYPERLINK(O892)</f>
        <v>C:\Users\mbaptista\OneDrive - Biblioteca Nacional de Portugal\Documentos\python\camoniana\imagens\capas\788999\1\181.jpg</v>
      </c>
      <c r="Q892" s="12"/>
      <c r="R892" s="6" t="s">
        <v>1187</v>
      </c>
      <c r="S892" s="12"/>
      <c r="T892" s="1" t="s">
        <v>1171</v>
      </c>
      <c r="U892" s="13"/>
      <c r="V892" s="13"/>
      <c r="W892" s="5" t="s">
        <v>1491</v>
      </c>
    </row>
    <row r="893" spans="1:23" ht="225">
      <c r="A893" s="1">
        <v>788999</v>
      </c>
      <c r="B893" s="1">
        <v>1</v>
      </c>
      <c r="C893" s="1">
        <v>197</v>
      </c>
      <c r="D893" s="2" t="s">
        <v>1169</v>
      </c>
      <c r="E893" s="11" t="s">
        <v>1169</v>
      </c>
      <c r="F893" s="11">
        <v>272640</v>
      </c>
      <c r="G893" s="2" t="s">
        <v>1494</v>
      </c>
      <c r="H893" s="2" t="s">
        <v>1495</v>
      </c>
      <c r="I893" s="2" t="s">
        <v>1496</v>
      </c>
      <c r="J893" s="2" t="str">
        <f>CONCATENATE(G893,F893,H893,C893,I893)</f>
        <v>https://permalinkbnd.bnportugal.gov.pt/viewer/272640/?offset=#page=197&amp;viewer=picture&amp;o=info&amp;n=0&amp;q=</v>
      </c>
      <c r="K893" s="1" t="s">
        <v>1170</v>
      </c>
      <c r="L893" s="1" t="str">
        <f>VLOOKUP(A893,Folha2!$A$2:$B$2019,2,FALSE)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3" s="12" t="str">
        <f>HYPERLINK(J893)</f>
        <v>https://permalinkbnd.bnportugal.gov.pt/viewer/272640/?offset=#page=197&amp;viewer=picture&amp;o=info&amp;n=0&amp;q=</v>
      </c>
      <c r="N893" s="12" t="s">
        <v>1497</v>
      </c>
      <c r="O893" s="12" t="str">
        <f>CONCATENATE(N893,A893,"\",B893,"\",C893,".jpg")</f>
        <v>C:\Users\mbaptista\OneDrive - Biblioteca Nacional de Portugal\Documentos\python\camoniana\imagens\capas\788999\1\197.jpg</v>
      </c>
      <c r="P893" s="12" t="str">
        <f>HYPERLINK(O893)</f>
        <v>C:\Users\mbaptista\OneDrive - Biblioteca Nacional de Portugal\Documentos\python\camoniana\imagens\capas\788999\1\197.jpg</v>
      </c>
      <c r="Q893" s="12"/>
      <c r="R893" s="6" t="s">
        <v>1188</v>
      </c>
      <c r="S893" s="12"/>
      <c r="T893" s="1" t="s">
        <v>1171</v>
      </c>
      <c r="U893" s="13"/>
      <c r="V893" s="13"/>
      <c r="W893" s="5" t="s">
        <v>1491</v>
      </c>
    </row>
    <row r="894" spans="1:23" ht="225">
      <c r="A894" s="1">
        <v>788999</v>
      </c>
      <c r="B894" s="1">
        <v>1</v>
      </c>
      <c r="C894" s="1">
        <v>199</v>
      </c>
      <c r="D894" s="2" t="s">
        <v>1169</v>
      </c>
      <c r="E894" s="5" t="s">
        <v>1169</v>
      </c>
      <c r="F894" s="5">
        <v>272640</v>
      </c>
      <c r="G894" s="2" t="s">
        <v>1494</v>
      </c>
      <c r="H894" s="2" t="s">
        <v>1495</v>
      </c>
      <c r="I894" s="2" t="s">
        <v>1496</v>
      </c>
      <c r="J894" s="2" t="str">
        <f>CONCATENATE(G894,F894,H894,C894,I894)</f>
        <v>https://permalinkbnd.bnportugal.gov.pt/viewer/272640/?offset=#page=199&amp;viewer=picture&amp;o=info&amp;n=0&amp;q=</v>
      </c>
      <c r="K894" s="1" t="s">
        <v>1170</v>
      </c>
      <c r="L894" s="1" t="str">
        <f>VLOOKUP(A894,Folha2!$A$2:$B$2019,2,FALSE)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4" s="12" t="str">
        <f>HYPERLINK(J894)</f>
        <v>https://permalinkbnd.bnportugal.gov.pt/viewer/272640/?offset=#page=199&amp;viewer=picture&amp;o=info&amp;n=0&amp;q=</v>
      </c>
      <c r="N894" s="12" t="s">
        <v>1497</v>
      </c>
      <c r="O894" s="12" t="str">
        <f>CONCATENATE(N894,A894,"\",B894,"\",C894,".jpg")</f>
        <v>C:\Users\mbaptista\OneDrive - Biblioteca Nacional de Portugal\Documentos\python\camoniana\imagens\capas\788999\1\199.jpg</v>
      </c>
      <c r="P894" s="12" t="str">
        <f>HYPERLINK(O894)</f>
        <v>C:\Users\mbaptista\OneDrive - Biblioteca Nacional de Portugal\Documentos\python\camoniana\imagens\capas\788999\1\199.jpg</v>
      </c>
      <c r="Q894" s="12"/>
      <c r="R894" s="6"/>
      <c r="S894" s="12"/>
      <c r="T894" s="1"/>
      <c r="U894" s="13"/>
      <c r="V894" s="13"/>
      <c r="W894" s="5"/>
    </row>
    <row r="895" spans="1:23" ht="225">
      <c r="A895" s="1">
        <v>788999</v>
      </c>
      <c r="B895" s="1">
        <v>1</v>
      </c>
      <c r="C895" s="1">
        <v>207</v>
      </c>
      <c r="D895" s="2" t="s">
        <v>1169</v>
      </c>
      <c r="E895" s="11" t="s">
        <v>1169</v>
      </c>
      <c r="F895" s="11">
        <v>272640</v>
      </c>
      <c r="G895" s="2" t="s">
        <v>1494</v>
      </c>
      <c r="H895" s="2" t="s">
        <v>1495</v>
      </c>
      <c r="I895" s="2" t="s">
        <v>1496</v>
      </c>
      <c r="J895" s="2" t="str">
        <f>CONCATENATE(G895,F895,H895,C895,I895)</f>
        <v>https://permalinkbnd.bnportugal.gov.pt/viewer/272640/?offset=#page=207&amp;viewer=picture&amp;o=info&amp;n=0&amp;q=</v>
      </c>
      <c r="K895" s="1" t="s">
        <v>1170</v>
      </c>
      <c r="L895" s="1" t="str">
        <f>VLOOKUP(A895,Folha2!$A$2:$B$2019,2,FALSE)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5" s="12" t="str">
        <f>HYPERLINK(J895)</f>
        <v>https://permalinkbnd.bnportugal.gov.pt/viewer/272640/?offset=#page=207&amp;viewer=picture&amp;o=info&amp;n=0&amp;q=</v>
      </c>
      <c r="N895" s="12" t="s">
        <v>1497</v>
      </c>
      <c r="O895" s="12" t="str">
        <f>CONCATENATE(N895,A895,"\",B895,"\",C895,".jpg")</f>
        <v>C:\Users\mbaptista\OneDrive - Biblioteca Nacional de Portugal\Documentos\python\camoniana\imagens\capas\788999\1\207.jpg</v>
      </c>
      <c r="P895" s="12" t="str">
        <f>HYPERLINK(O895)</f>
        <v>C:\Users\mbaptista\OneDrive - Biblioteca Nacional de Portugal\Documentos\python\camoniana\imagens\capas\788999\1\207.jpg</v>
      </c>
      <c r="Q895" s="12"/>
      <c r="R895" s="6" t="s">
        <v>1189</v>
      </c>
      <c r="S895" s="12"/>
      <c r="T895" s="1" t="s">
        <v>1171</v>
      </c>
      <c r="U895" s="13"/>
      <c r="V895" s="13"/>
      <c r="W895" s="5" t="s">
        <v>1491</v>
      </c>
    </row>
    <row r="896" spans="1:23" ht="225">
      <c r="A896" s="1">
        <v>788999</v>
      </c>
      <c r="B896" s="1">
        <v>1</v>
      </c>
      <c r="C896" s="1">
        <v>227</v>
      </c>
      <c r="D896" s="2" t="s">
        <v>1169</v>
      </c>
      <c r="E896" s="5" t="s">
        <v>1169</v>
      </c>
      <c r="F896" s="5">
        <v>272640</v>
      </c>
      <c r="G896" s="2" t="s">
        <v>1494</v>
      </c>
      <c r="H896" s="2" t="s">
        <v>1495</v>
      </c>
      <c r="I896" s="2" t="s">
        <v>1496</v>
      </c>
      <c r="J896" s="2" t="str">
        <f>CONCATENATE(G896,F896,H896,C896,I896)</f>
        <v>https://permalinkbnd.bnportugal.gov.pt/viewer/272640/?offset=#page=227&amp;viewer=picture&amp;o=info&amp;n=0&amp;q=</v>
      </c>
      <c r="K896" s="1" t="s">
        <v>1170</v>
      </c>
      <c r="L896" s="1" t="str">
        <f>VLOOKUP(A896,Folha2!$A$2:$B$2019,2,FALSE)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6" s="12" t="str">
        <f>HYPERLINK(J896)</f>
        <v>https://permalinkbnd.bnportugal.gov.pt/viewer/272640/?offset=#page=227&amp;viewer=picture&amp;o=info&amp;n=0&amp;q=</v>
      </c>
      <c r="N896" s="12" t="s">
        <v>1497</v>
      </c>
      <c r="O896" s="12" t="str">
        <f>CONCATENATE(N896,A896,"\",B896,"\",C896,".jpg")</f>
        <v>C:\Users\mbaptista\OneDrive - Biblioteca Nacional de Portugal\Documentos\python\camoniana\imagens\capas\788999\1\227.jpg</v>
      </c>
      <c r="P896" s="12" t="str">
        <f>HYPERLINK(O896)</f>
        <v>C:\Users\mbaptista\OneDrive - Biblioteca Nacional de Portugal\Documentos\python\camoniana\imagens\capas\788999\1\227.jpg</v>
      </c>
      <c r="Q896" s="12"/>
      <c r="R896" s="6" t="s">
        <v>1190</v>
      </c>
      <c r="S896" s="12"/>
      <c r="T896" s="1" t="s">
        <v>1171</v>
      </c>
      <c r="U896" s="13"/>
      <c r="V896" s="13"/>
      <c r="W896" s="5" t="s">
        <v>1491</v>
      </c>
    </row>
    <row r="897" spans="1:23" ht="225">
      <c r="A897" s="1">
        <v>788999</v>
      </c>
      <c r="B897" s="1">
        <v>1</v>
      </c>
      <c r="C897" s="1">
        <v>229</v>
      </c>
      <c r="D897" s="2" t="s">
        <v>1169</v>
      </c>
      <c r="E897" s="11" t="s">
        <v>1169</v>
      </c>
      <c r="F897" s="11">
        <v>272640</v>
      </c>
      <c r="G897" s="2" t="s">
        <v>1494</v>
      </c>
      <c r="H897" s="2" t="s">
        <v>1495</v>
      </c>
      <c r="I897" s="2" t="s">
        <v>1496</v>
      </c>
      <c r="J897" s="2" t="str">
        <f>CONCATENATE(G897,F897,H897,C897,I897)</f>
        <v>https://permalinkbnd.bnportugal.gov.pt/viewer/272640/?offset=#page=229&amp;viewer=picture&amp;o=info&amp;n=0&amp;q=</v>
      </c>
      <c r="K897" s="1" t="s">
        <v>1170</v>
      </c>
      <c r="L897" s="1" t="str">
        <f>VLOOKUP(A897,Folha2!$A$2:$B$2019,2,FALSE)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7" s="12" t="str">
        <f>HYPERLINK(J897)</f>
        <v>https://permalinkbnd.bnportugal.gov.pt/viewer/272640/?offset=#page=229&amp;viewer=picture&amp;o=info&amp;n=0&amp;q=</v>
      </c>
      <c r="N897" s="12" t="s">
        <v>1497</v>
      </c>
      <c r="O897" s="12" t="str">
        <f>CONCATENATE(N897,A897,"\",B897,"\",C897,".jpg")</f>
        <v>C:\Users\mbaptista\OneDrive - Biblioteca Nacional de Portugal\Documentos\python\camoniana\imagens\capas\788999\1\229.jpg</v>
      </c>
      <c r="P897" s="12" t="str">
        <f>HYPERLINK(O897)</f>
        <v>C:\Users\mbaptista\OneDrive - Biblioteca Nacional de Portugal\Documentos\python\camoniana\imagens\capas\788999\1\229.jpg</v>
      </c>
      <c r="Q897" s="12"/>
      <c r="R897" s="6"/>
      <c r="S897" s="12"/>
      <c r="T897" s="1"/>
      <c r="U897" s="13"/>
      <c r="V897" s="13"/>
      <c r="W897" s="5"/>
    </row>
    <row r="898" spans="1:23" ht="225">
      <c r="A898" s="1">
        <v>788999</v>
      </c>
      <c r="B898" s="1">
        <v>1</v>
      </c>
      <c r="C898" s="1">
        <v>241</v>
      </c>
      <c r="D898" s="2" t="s">
        <v>1169</v>
      </c>
      <c r="E898" s="5" t="s">
        <v>1169</v>
      </c>
      <c r="F898" s="5">
        <v>272640</v>
      </c>
      <c r="G898" s="2" t="s">
        <v>1494</v>
      </c>
      <c r="H898" s="2" t="s">
        <v>1495</v>
      </c>
      <c r="I898" s="2" t="s">
        <v>1496</v>
      </c>
      <c r="J898" s="2" t="str">
        <f>CONCATENATE(G898,F898,H898,C898,I898)</f>
        <v>https://permalinkbnd.bnportugal.gov.pt/viewer/272640/?offset=#page=241&amp;viewer=picture&amp;o=info&amp;n=0&amp;q=</v>
      </c>
      <c r="K898" s="1" t="s">
        <v>1170</v>
      </c>
      <c r="L898" s="1" t="str">
        <f>VLOOKUP(A898,Folha2!$A$2:$B$2019,2,FALSE)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8" s="12" t="str">
        <f>HYPERLINK(J898)</f>
        <v>https://permalinkbnd.bnportugal.gov.pt/viewer/272640/?offset=#page=241&amp;viewer=picture&amp;o=info&amp;n=0&amp;q=</v>
      </c>
      <c r="N898" s="12" t="s">
        <v>1497</v>
      </c>
      <c r="O898" s="12" t="str">
        <f>CONCATENATE(N898,A898,"\",B898,"\",C898,".jpg")</f>
        <v>C:\Users\mbaptista\OneDrive - Biblioteca Nacional de Portugal\Documentos\python\camoniana\imagens\capas\788999\1\241.jpg</v>
      </c>
      <c r="P898" s="12" t="str">
        <f>HYPERLINK(O898)</f>
        <v>C:\Users\mbaptista\OneDrive - Biblioteca Nacional de Portugal\Documentos\python\camoniana\imagens\capas\788999\1\241.jpg</v>
      </c>
      <c r="Q898" s="12"/>
      <c r="R898" s="6" t="s">
        <v>1191</v>
      </c>
      <c r="S898" s="12"/>
      <c r="T898" s="1" t="s">
        <v>1171</v>
      </c>
      <c r="U898" s="13"/>
      <c r="V898" s="13"/>
      <c r="W898" s="5" t="s">
        <v>1491</v>
      </c>
    </row>
    <row r="899" spans="1:23" ht="225">
      <c r="A899" s="1">
        <v>788999</v>
      </c>
      <c r="B899" s="1">
        <v>1</v>
      </c>
      <c r="C899" s="1">
        <v>253</v>
      </c>
      <c r="D899" s="2" t="s">
        <v>1169</v>
      </c>
      <c r="E899" s="11" t="s">
        <v>1169</v>
      </c>
      <c r="F899" s="11">
        <v>272640</v>
      </c>
      <c r="G899" s="2" t="s">
        <v>1494</v>
      </c>
      <c r="H899" s="2" t="s">
        <v>1495</v>
      </c>
      <c r="I899" s="2" t="s">
        <v>1496</v>
      </c>
      <c r="J899" s="2" t="str">
        <f>CONCATENATE(G899,F899,H899,C899,I899)</f>
        <v>https://permalinkbnd.bnportugal.gov.pt/viewer/272640/?offset=#page=253&amp;viewer=picture&amp;o=info&amp;n=0&amp;q=</v>
      </c>
      <c r="K899" s="1" t="s">
        <v>1170</v>
      </c>
      <c r="L899" s="1" t="str">
        <f>VLOOKUP(A899,Folha2!$A$2:$B$2019,2,FALSE)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899" s="12" t="str">
        <f>HYPERLINK(J899)</f>
        <v>https://permalinkbnd.bnportugal.gov.pt/viewer/272640/?offset=#page=253&amp;viewer=picture&amp;o=info&amp;n=0&amp;q=</v>
      </c>
      <c r="N899" s="12" t="s">
        <v>1497</v>
      </c>
      <c r="O899" s="12" t="str">
        <f>CONCATENATE(N899,A899,"\",B899,"\",C899,".jpg")</f>
        <v>C:\Users\mbaptista\OneDrive - Biblioteca Nacional de Portugal\Documentos\python\camoniana\imagens\capas\788999\1\253.jpg</v>
      </c>
      <c r="P899" s="12" t="str">
        <f>HYPERLINK(O899)</f>
        <v>C:\Users\mbaptista\OneDrive - Biblioteca Nacional de Portugal\Documentos\python\camoniana\imagens\capas\788999\1\253.jpg</v>
      </c>
      <c r="Q899" s="12"/>
      <c r="R899" s="6" t="s">
        <v>1192</v>
      </c>
      <c r="S899" s="12"/>
      <c r="T899" s="1" t="s">
        <v>1171</v>
      </c>
      <c r="U899" s="13"/>
      <c r="V899" s="13"/>
      <c r="W899" s="5" t="s">
        <v>1491</v>
      </c>
    </row>
    <row r="900" spans="1:23" ht="225">
      <c r="A900" s="1">
        <v>788999</v>
      </c>
      <c r="B900" s="1">
        <v>1</v>
      </c>
      <c r="C900" s="1">
        <v>255</v>
      </c>
      <c r="D900" s="2" t="s">
        <v>1169</v>
      </c>
      <c r="E900" s="5" t="s">
        <v>1169</v>
      </c>
      <c r="F900" s="5">
        <v>272640</v>
      </c>
      <c r="G900" s="2" t="s">
        <v>1494</v>
      </c>
      <c r="H900" s="2" t="s">
        <v>1495</v>
      </c>
      <c r="I900" s="2" t="s">
        <v>1496</v>
      </c>
      <c r="J900" s="2" t="str">
        <f>CONCATENATE(G900,F900,H900,C900,I900)</f>
        <v>https://permalinkbnd.bnportugal.gov.pt/viewer/272640/?offset=#page=255&amp;viewer=picture&amp;o=info&amp;n=0&amp;q=</v>
      </c>
      <c r="K900" s="1" t="s">
        <v>1170</v>
      </c>
      <c r="L900" s="1" t="str">
        <f>VLOOKUP(A900,Folha2!$A$2:$B$2019,2,FALSE)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0" s="12" t="str">
        <f>HYPERLINK(J900)</f>
        <v>https://permalinkbnd.bnportugal.gov.pt/viewer/272640/?offset=#page=255&amp;viewer=picture&amp;o=info&amp;n=0&amp;q=</v>
      </c>
      <c r="N900" s="12" t="s">
        <v>1497</v>
      </c>
      <c r="O900" s="12" t="str">
        <f>CONCATENATE(N900,A900,"\",B900,"\",C900,".jpg")</f>
        <v>C:\Users\mbaptista\OneDrive - Biblioteca Nacional de Portugal\Documentos\python\camoniana\imagens\capas\788999\1\255.jpg</v>
      </c>
      <c r="P900" s="12" t="str">
        <f>HYPERLINK(O900)</f>
        <v>C:\Users\mbaptista\OneDrive - Biblioteca Nacional de Portugal\Documentos\python\camoniana\imagens\capas\788999\1\255.jpg</v>
      </c>
      <c r="Q900" s="12"/>
      <c r="R900" s="6"/>
      <c r="S900" s="12"/>
      <c r="T900" s="1"/>
      <c r="U900" s="13"/>
      <c r="V900" s="13"/>
      <c r="W900" s="5"/>
    </row>
    <row r="901" spans="1:23" ht="225">
      <c r="A901" s="1">
        <v>788999</v>
      </c>
      <c r="B901" s="1">
        <v>1</v>
      </c>
      <c r="C901" s="1">
        <v>271</v>
      </c>
      <c r="D901" s="2" t="s">
        <v>1169</v>
      </c>
      <c r="E901" s="11" t="s">
        <v>1169</v>
      </c>
      <c r="F901" s="11">
        <v>272640</v>
      </c>
      <c r="G901" s="2" t="s">
        <v>1494</v>
      </c>
      <c r="H901" s="2" t="s">
        <v>1495</v>
      </c>
      <c r="I901" s="2" t="s">
        <v>1496</v>
      </c>
      <c r="J901" s="2" t="str">
        <f>CONCATENATE(G901,F901,H901,C901,I901)</f>
        <v>https://permalinkbnd.bnportugal.gov.pt/viewer/272640/?offset=#page=271&amp;viewer=picture&amp;o=info&amp;n=0&amp;q=</v>
      </c>
      <c r="K901" s="1" t="s">
        <v>1170</v>
      </c>
      <c r="L901" s="1" t="str">
        <f>VLOOKUP(A901,Folha2!$A$2:$B$2019,2,FALSE)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1" s="12" t="str">
        <f>HYPERLINK(J901)</f>
        <v>https://permalinkbnd.bnportugal.gov.pt/viewer/272640/?offset=#page=271&amp;viewer=picture&amp;o=info&amp;n=0&amp;q=</v>
      </c>
      <c r="N901" s="12" t="s">
        <v>1497</v>
      </c>
      <c r="O901" s="12" t="str">
        <f>CONCATENATE(N901,A901,"\",B901,"\",C901,".jpg")</f>
        <v>C:\Users\mbaptista\OneDrive - Biblioteca Nacional de Portugal\Documentos\python\camoniana\imagens\capas\788999\1\271.jpg</v>
      </c>
      <c r="P901" s="12" t="str">
        <f>HYPERLINK(O901)</f>
        <v>C:\Users\mbaptista\OneDrive - Biblioteca Nacional de Portugal\Documentos\python\camoniana\imagens\capas\788999\1\271.jpg</v>
      </c>
      <c r="Q901" s="12"/>
      <c r="R901" s="6" t="s">
        <v>1193</v>
      </c>
      <c r="S901" s="12"/>
      <c r="T901" s="1" t="s">
        <v>1171</v>
      </c>
      <c r="U901" s="13"/>
      <c r="V901" s="13"/>
      <c r="W901" s="5" t="s">
        <v>1491</v>
      </c>
    </row>
    <row r="902" spans="1:23" ht="225">
      <c r="A902" s="1">
        <v>788999</v>
      </c>
      <c r="B902" s="1">
        <v>1</v>
      </c>
      <c r="C902" s="1">
        <v>283</v>
      </c>
      <c r="D902" s="2" t="s">
        <v>1169</v>
      </c>
      <c r="E902" s="5" t="s">
        <v>1169</v>
      </c>
      <c r="F902" s="5">
        <v>272640</v>
      </c>
      <c r="G902" s="2" t="s">
        <v>1494</v>
      </c>
      <c r="H902" s="2" t="s">
        <v>1495</v>
      </c>
      <c r="I902" s="2" t="s">
        <v>1496</v>
      </c>
      <c r="J902" s="2" t="str">
        <f>CONCATENATE(G902,F902,H902,C902,I902)</f>
        <v>https://permalinkbnd.bnportugal.gov.pt/viewer/272640/?offset=#page=283&amp;viewer=picture&amp;o=info&amp;n=0&amp;q=</v>
      </c>
      <c r="K902" s="1" t="s">
        <v>1170</v>
      </c>
      <c r="L902" s="1" t="str">
        <f>VLOOKUP(A902,Folha2!$A$2:$B$2019,2,FALSE)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2" s="12" t="str">
        <f>HYPERLINK(J902)</f>
        <v>https://permalinkbnd.bnportugal.gov.pt/viewer/272640/?offset=#page=283&amp;viewer=picture&amp;o=info&amp;n=0&amp;q=</v>
      </c>
      <c r="N902" s="12" t="s">
        <v>1497</v>
      </c>
      <c r="O902" s="12" t="str">
        <f>CONCATENATE(N902,A902,"\",B902,"\",C902,".jpg")</f>
        <v>C:\Users\mbaptista\OneDrive - Biblioteca Nacional de Portugal\Documentos\python\camoniana\imagens\capas\788999\1\283.jpg</v>
      </c>
      <c r="P902" s="12" t="str">
        <f>HYPERLINK(O902)</f>
        <v>C:\Users\mbaptista\OneDrive - Biblioteca Nacional de Portugal\Documentos\python\camoniana\imagens\capas\788999\1\283.jpg</v>
      </c>
      <c r="Q902" s="12"/>
      <c r="R902" s="6" t="s">
        <v>1194</v>
      </c>
      <c r="S902" s="12"/>
      <c r="T902" s="1" t="s">
        <v>1171</v>
      </c>
      <c r="U902" s="13"/>
      <c r="V902" s="13"/>
      <c r="W902" s="5" t="s">
        <v>1491</v>
      </c>
    </row>
    <row r="903" spans="1:23" ht="225">
      <c r="A903" s="1">
        <v>788999</v>
      </c>
      <c r="B903" s="1">
        <v>1</v>
      </c>
      <c r="C903" s="1">
        <v>285</v>
      </c>
      <c r="D903" s="2" t="s">
        <v>1169</v>
      </c>
      <c r="E903" s="11" t="s">
        <v>1169</v>
      </c>
      <c r="F903" s="11">
        <v>272640</v>
      </c>
      <c r="G903" s="2" t="s">
        <v>1494</v>
      </c>
      <c r="H903" s="2" t="s">
        <v>1495</v>
      </c>
      <c r="I903" s="2" t="s">
        <v>1496</v>
      </c>
      <c r="J903" s="2" t="str">
        <f>CONCATENATE(G903,F903,H903,C903,I903)</f>
        <v>https://permalinkbnd.bnportugal.gov.pt/viewer/272640/?offset=#page=285&amp;viewer=picture&amp;o=info&amp;n=0&amp;q=</v>
      </c>
      <c r="K903" s="1" t="s">
        <v>1170</v>
      </c>
      <c r="L903" s="1" t="str">
        <f>VLOOKUP(A903,Folha2!$A$2:$B$2019,2,FALSE)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3" s="12" t="str">
        <f>HYPERLINK(J903)</f>
        <v>https://permalinkbnd.bnportugal.gov.pt/viewer/272640/?offset=#page=285&amp;viewer=picture&amp;o=info&amp;n=0&amp;q=</v>
      </c>
      <c r="N903" s="12" t="s">
        <v>1497</v>
      </c>
      <c r="O903" s="12" t="str">
        <f>CONCATENATE(N903,A903,"\",B903,"\",C903,".jpg")</f>
        <v>C:\Users\mbaptista\OneDrive - Biblioteca Nacional de Portugal\Documentos\python\camoniana\imagens\capas\788999\1\285.jpg</v>
      </c>
      <c r="P903" s="12" t="str">
        <f>HYPERLINK(O903)</f>
        <v>C:\Users\mbaptista\OneDrive - Biblioteca Nacional de Portugal\Documentos\python\camoniana\imagens\capas\788999\1\285.jpg</v>
      </c>
      <c r="Q903" s="12"/>
      <c r="R903" s="6"/>
      <c r="S903" s="12"/>
      <c r="T903" s="1"/>
      <c r="U903" s="13"/>
      <c r="V903" s="13"/>
      <c r="W903" s="5"/>
    </row>
    <row r="904" spans="1:23" ht="225">
      <c r="A904" s="1">
        <v>788999</v>
      </c>
      <c r="B904" s="1">
        <v>1</v>
      </c>
      <c r="C904" s="1">
        <v>307</v>
      </c>
      <c r="D904" s="2" t="s">
        <v>1169</v>
      </c>
      <c r="E904" s="5" t="s">
        <v>1169</v>
      </c>
      <c r="F904" s="5">
        <v>272640</v>
      </c>
      <c r="G904" s="2" t="s">
        <v>1494</v>
      </c>
      <c r="H904" s="2" t="s">
        <v>1495</v>
      </c>
      <c r="I904" s="2" t="s">
        <v>1496</v>
      </c>
      <c r="J904" s="2" t="str">
        <f>CONCATENATE(G904,F904,H904,C904,I904)</f>
        <v>https://permalinkbnd.bnportugal.gov.pt/viewer/272640/?offset=#page=307&amp;viewer=picture&amp;o=info&amp;n=0&amp;q=</v>
      </c>
      <c r="K904" s="1" t="s">
        <v>1170</v>
      </c>
      <c r="L904" s="1" t="str">
        <f>VLOOKUP(A904,Folha2!$A$2:$B$2019,2,FALSE)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4" s="12" t="str">
        <f>HYPERLINK(J904)</f>
        <v>https://permalinkbnd.bnportugal.gov.pt/viewer/272640/?offset=#page=307&amp;viewer=picture&amp;o=info&amp;n=0&amp;q=</v>
      </c>
      <c r="N904" s="12" t="s">
        <v>1497</v>
      </c>
      <c r="O904" s="12" t="str">
        <f>CONCATENATE(N904,A904,"\",B904,"\",C904,".jpg")</f>
        <v>C:\Users\mbaptista\OneDrive - Biblioteca Nacional de Portugal\Documentos\python\camoniana\imagens\capas\788999\1\307.jpg</v>
      </c>
      <c r="P904" s="12" t="str">
        <f>HYPERLINK(O904)</f>
        <v>C:\Users\mbaptista\OneDrive - Biblioteca Nacional de Portugal\Documentos\python\camoniana\imagens\capas\788999\1\307.jpg</v>
      </c>
      <c r="Q904" s="12"/>
      <c r="R904" s="6" t="s">
        <v>1195</v>
      </c>
      <c r="S904" s="12"/>
      <c r="T904" s="1" t="s">
        <v>1171</v>
      </c>
      <c r="U904" s="13"/>
      <c r="V904" s="13"/>
      <c r="W904" s="5" t="s">
        <v>1491</v>
      </c>
    </row>
    <row r="905" spans="1:23" ht="225">
      <c r="A905" s="1">
        <v>788999</v>
      </c>
      <c r="B905" s="1">
        <v>1</v>
      </c>
      <c r="C905" s="1">
        <v>311</v>
      </c>
      <c r="D905" s="2" t="s">
        <v>1169</v>
      </c>
      <c r="E905" s="11" t="s">
        <v>1169</v>
      </c>
      <c r="F905" s="11">
        <v>272640</v>
      </c>
      <c r="G905" s="2" t="s">
        <v>1494</v>
      </c>
      <c r="H905" s="2" t="s">
        <v>1495</v>
      </c>
      <c r="I905" s="2" t="s">
        <v>1496</v>
      </c>
      <c r="J905" s="2" t="str">
        <f>CONCATENATE(G905,F905,H905,C905,I905)</f>
        <v>https://permalinkbnd.bnportugal.gov.pt/viewer/272640/?offset=#page=311&amp;viewer=picture&amp;o=info&amp;n=0&amp;q=</v>
      </c>
      <c r="K905" s="1" t="s">
        <v>1170</v>
      </c>
      <c r="L905" s="1" t="str">
        <f>VLOOKUP(A905,Folha2!$A$2:$B$2019,2,FALSE)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5" s="12" t="str">
        <f>HYPERLINK(J905)</f>
        <v>https://permalinkbnd.bnportugal.gov.pt/viewer/272640/?offset=#page=311&amp;viewer=picture&amp;o=info&amp;n=0&amp;q=</v>
      </c>
      <c r="N905" s="12" t="s">
        <v>1497</v>
      </c>
      <c r="O905" s="12" t="str">
        <f>CONCATENATE(N905,A905,"\",B905,"\",C905,".jpg")</f>
        <v>C:\Users\mbaptista\OneDrive - Biblioteca Nacional de Portugal\Documentos\python\camoniana\imagens\capas\788999\1\311.jpg</v>
      </c>
      <c r="P905" s="12" t="str">
        <f>HYPERLINK(O905)</f>
        <v>C:\Users\mbaptista\OneDrive - Biblioteca Nacional de Portugal\Documentos\python\camoniana\imagens\capas\788999\1\311.jpg</v>
      </c>
      <c r="Q905" s="12"/>
      <c r="R905" s="6" t="s">
        <v>1196</v>
      </c>
      <c r="S905" s="12"/>
      <c r="T905" s="1" t="s">
        <v>1171</v>
      </c>
      <c r="U905" s="13"/>
      <c r="V905" s="13"/>
      <c r="W905" s="5" t="s">
        <v>1491</v>
      </c>
    </row>
    <row r="906" spans="1:23" ht="225">
      <c r="A906" s="1">
        <v>788999</v>
      </c>
      <c r="B906" s="1">
        <v>1</v>
      </c>
      <c r="C906" s="1">
        <v>313</v>
      </c>
      <c r="D906" s="2" t="s">
        <v>1169</v>
      </c>
      <c r="E906" s="5" t="s">
        <v>1169</v>
      </c>
      <c r="F906" s="5">
        <v>272640</v>
      </c>
      <c r="G906" s="2" t="s">
        <v>1494</v>
      </c>
      <c r="H906" s="2" t="s">
        <v>1495</v>
      </c>
      <c r="I906" s="2" t="s">
        <v>1496</v>
      </c>
      <c r="J906" s="2" t="str">
        <f>CONCATENATE(G906,F906,H906,C906,I906)</f>
        <v>https://permalinkbnd.bnportugal.gov.pt/viewer/272640/?offset=#page=313&amp;viewer=picture&amp;o=info&amp;n=0&amp;q=</v>
      </c>
      <c r="K906" s="1" t="s">
        <v>1170</v>
      </c>
      <c r="L906" s="1" t="str">
        <f>VLOOKUP(A906,Folha2!$A$2:$B$2019,2,FALSE)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6" s="12" t="str">
        <f>HYPERLINK(J906)</f>
        <v>https://permalinkbnd.bnportugal.gov.pt/viewer/272640/?offset=#page=313&amp;viewer=picture&amp;o=info&amp;n=0&amp;q=</v>
      </c>
      <c r="N906" s="12" t="s">
        <v>1497</v>
      </c>
      <c r="O906" s="12" t="str">
        <f>CONCATENATE(N906,A906,"\",B906,"\",C906,".jpg")</f>
        <v>C:\Users\mbaptista\OneDrive - Biblioteca Nacional de Portugal\Documentos\python\camoniana\imagens\capas\788999\1\313.jpg</v>
      </c>
      <c r="P906" s="12" t="str">
        <f>HYPERLINK(O906)</f>
        <v>C:\Users\mbaptista\OneDrive - Biblioteca Nacional de Portugal\Documentos\python\camoniana\imagens\capas\788999\1\313.jpg</v>
      </c>
      <c r="Q906" s="12"/>
      <c r="R906" s="6"/>
      <c r="S906" s="12"/>
      <c r="T906" s="1"/>
      <c r="U906" s="13"/>
      <c r="V906" s="13"/>
      <c r="W906" s="5"/>
    </row>
    <row r="907" spans="1:23" ht="225">
      <c r="A907" s="1">
        <v>788999</v>
      </c>
      <c r="B907" s="1">
        <v>1</v>
      </c>
      <c r="C907" s="1">
        <v>349</v>
      </c>
      <c r="D907" s="2" t="s">
        <v>1169</v>
      </c>
      <c r="E907" s="11" t="s">
        <v>1169</v>
      </c>
      <c r="F907" s="11">
        <v>272640</v>
      </c>
      <c r="G907" s="2" t="s">
        <v>1494</v>
      </c>
      <c r="H907" s="2" t="s">
        <v>1495</v>
      </c>
      <c r="I907" s="2" t="s">
        <v>1496</v>
      </c>
      <c r="J907" s="2" t="str">
        <f>CONCATENATE(G907,F907,H907,C907,I907)</f>
        <v>https://permalinkbnd.bnportugal.gov.pt/viewer/272640/?offset=#page=349&amp;viewer=picture&amp;o=info&amp;n=0&amp;q=</v>
      </c>
      <c r="K907" s="1" t="s">
        <v>1170</v>
      </c>
      <c r="L907" s="1" t="str">
        <f>VLOOKUP(A907,Folha2!$A$2:$B$2019,2,FALSE)</f>
        <v>A epopeia nacional : os Lusiadas de Luiz de Camões : segundo os textos das edições de 1572, de 1834 (de Hamburgo) e a de Leipzig (de 1880) / revista pelo... Sr. José Gomes Monteiro ; [pref. Olimpio Cesar]. - Lisboa : [s.n.], 1916. Sem argumentos. Paratextos vida [no prefácio existem menções à vida do Poeta]</v>
      </c>
      <c r="M907" s="12" t="str">
        <f>HYPERLINK(J907)</f>
        <v>https://permalinkbnd.bnportugal.gov.pt/viewer/272640/?offset=#page=349&amp;viewer=picture&amp;o=info&amp;n=0&amp;q=</v>
      </c>
      <c r="N907" s="12" t="s">
        <v>1497</v>
      </c>
      <c r="O907" s="12" t="str">
        <f>CONCATENATE(N907,A907,"\",B907,"\",C907,".jpg")</f>
        <v>C:\Users\mbaptista\OneDrive - Biblioteca Nacional de Portugal\Documentos\python\camoniana\imagens\capas\788999\1\349.jpg</v>
      </c>
      <c r="P907" s="12" t="str">
        <f>HYPERLINK(O907)</f>
        <v>C:\Users\mbaptista\OneDrive - Biblioteca Nacional de Portugal\Documentos\python\camoniana\imagens\capas\788999\1\349.jpg</v>
      </c>
      <c r="Q907" s="12"/>
      <c r="R907" s="6" t="s">
        <v>1197</v>
      </c>
      <c r="S907" s="12"/>
      <c r="T907" s="1" t="s">
        <v>1171</v>
      </c>
      <c r="U907" s="13"/>
      <c r="V907" s="13"/>
      <c r="W907" s="5" t="s">
        <v>1491</v>
      </c>
    </row>
    <row r="908" spans="1:23" ht="225">
      <c r="A908" s="1">
        <v>796045</v>
      </c>
      <c r="B908" s="1">
        <v>1</v>
      </c>
      <c r="C908" s="1">
        <v>5</v>
      </c>
      <c r="D908" s="2" t="s">
        <v>1198</v>
      </c>
      <c r="E908" s="5" t="s">
        <v>1198</v>
      </c>
      <c r="F908" s="5">
        <v>279630</v>
      </c>
      <c r="G908" s="2" t="s">
        <v>1494</v>
      </c>
      <c r="H908" s="2" t="s">
        <v>1495</v>
      </c>
      <c r="I908" s="2" t="s">
        <v>1496</v>
      </c>
      <c r="J908" s="2" t="str">
        <f>CONCATENATE(G908,F908,H908,C908,I908)</f>
        <v>https://permalinkbnd.bnportugal.gov.pt/viewer/279630/?offset=#page=5&amp;viewer=picture&amp;o=info&amp;n=0&amp;q=</v>
      </c>
      <c r="K908" s="1" t="s">
        <v>1199</v>
      </c>
      <c r="L908" s="1" t="str">
        <f>VLOOKUP(A908,Folha2!$A$2:$B$2019,2,FALSE)</f>
        <v>Os Lusiadas / Luis de Camões. - Lisboa : Livr. Barateira, [18--], sem argumentos, catálogo livraria [paratextos gerais?].</v>
      </c>
      <c r="M908" s="12" t="str">
        <f>HYPERLINK(J908)</f>
        <v>https://permalinkbnd.bnportugal.gov.pt/viewer/279630/?offset=#page=5&amp;viewer=picture&amp;o=info&amp;n=0&amp;q=</v>
      </c>
      <c r="N908" s="12" t="s">
        <v>1497</v>
      </c>
      <c r="O908" s="12" t="str">
        <f>CONCATENATE(N908,A908,"\",B908,"\",C908,".jpg")</f>
        <v>C:\Users\mbaptista\OneDrive - Biblioteca Nacional de Portugal\Documentos\python\camoniana\imagens\capas\796045\1\5.jpg</v>
      </c>
      <c r="P908" s="12" t="str">
        <f>HYPERLINK(O908)</f>
        <v>C:\Users\mbaptista\OneDrive - Biblioteca Nacional de Portugal\Documentos\python\camoniana\imagens\capas\796045\1\5.jpg</v>
      </c>
      <c r="Q908" s="12"/>
      <c r="R908" s="6" t="s">
        <v>1201</v>
      </c>
      <c r="S908" s="12"/>
      <c r="T908" s="1" t="s">
        <v>1200</v>
      </c>
      <c r="U908" s="13"/>
      <c r="V908" s="13"/>
      <c r="W908" s="5" t="s">
        <v>1491</v>
      </c>
    </row>
    <row r="909" spans="1:23" ht="225">
      <c r="A909" s="1">
        <v>796045</v>
      </c>
      <c r="B909" s="1">
        <v>1</v>
      </c>
      <c r="C909" s="1">
        <v>7</v>
      </c>
      <c r="D909" s="2" t="s">
        <v>1198</v>
      </c>
      <c r="E909" s="11" t="s">
        <v>1198</v>
      </c>
      <c r="F909" s="11">
        <v>279630</v>
      </c>
      <c r="G909" s="2" t="s">
        <v>1494</v>
      </c>
      <c r="H909" s="2" t="s">
        <v>1495</v>
      </c>
      <c r="I909" s="2" t="s">
        <v>1496</v>
      </c>
      <c r="J909" s="2" t="str">
        <f>CONCATENATE(G909,F909,H909,C909,I909)</f>
        <v>https://permalinkbnd.bnportugal.gov.pt/viewer/279630/?offset=#page=7&amp;viewer=picture&amp;o=info&amp;n=0&amp;q=</v>
      </c>
      <c r="K909" s="1" t="s">
        <v>1199</v>
      </c>
      <c r="L909" s="1" t="str">
        <f>VLOOKUP(A909,Folha2!$A$2:$B$2019,2,FALSE)</f>
        <v>Os Lusiadas / Luis de Camões. - Lisboa : Livr. Barateira, [18--], sem argumentos, catálogo livraria [paratextos gerais?].</v>
      </c>
      <c r="M909" s="12" t="str">
        <f>HYPERLINK(J909)</f>
        <v>https://permalinkbnd.bnportugal.gov.pt/viewer/279630/?offset=#page=7&amp;viewer=picture&amp;o=info&amp;n=0&amp;q=</v>
      </c>
      <c r="N909" s="12" t="s">
        <v>1497</v>
      </c>
      <c r="O909" s="12" t="str">
        <f>CONCATENATE(N909,A909,"\",B909,"\",C909,".jpg")</f>
        <v>C:\Users\mbaptista\OneDrive - Biblioteca Nacional de Portugal\Documentos\python\camoniana\imagens\capas\796045\1\7.jpg</v>
      </c>
      <c r="P909" s="12" t="str">
        <f>HYPERLINK(O909)</f>
        <v>C:\Users\mbaptista\OneDrive - Biblioteca Nacional de Portugal\Documentos\python\camoniana\imagens\capas\796045\1\7.jpg</v>
      </c>
      <c r="Q909" s="12"/>
      <c r="R909" s="6" t="s">
        <v>1202</v>
      </c>
      <c r="S909" s="12"/>
      <c r="T909" s="1" t="s">
        <v>1200</v>
      </c>
      <c r="U909" s="13"/>
      <c r="V909" s="13"/>
      <c r="W909" s="5" t="s">
        <v>1491</v>
      </c>
    </row>
    <row r="910" spans="1:23" ht="225">
      <c r="A910" s="1">
        <v>798858</v>
      </c>
      <c r="B910" s="1">
        <v>1</v>
      </c>
      <c r="C910" s="1">
        <v>4</v>
      </c>
      <c r="D910" s="2" t="s">
        <v>1203</v>
      </c>
      <c r="E910" s="5" t="s">
        <v>1203</v>
      </c>
      <c r="F910" s="5">
        <v>279634</v>
      </c>
      <c r="G910" s="2" t="s">
        <v>1494</v>
      </c>
      <c r="H910" s="2" t="s">
        <v>1495</v>
      </c>
      <c r="I910" s="2" t="s">
        <v>1496</v>
      </c>
      <c r="J910" s="2" t="str">
        <f>CONCATENATE(G910,F910,H910,C910,I910)</f>
        <v>https://permalinkbnd.bnportugal.gov.pt/viewer/279634/?offset=#page=4&amp;viewer=picture&amp;o=info&amp;n=0&amp;q=</v>
      </c>
      <c r="K910" s="1" t="s">
        <v>1204</v>
      </c>
      <c r="L910" s="1" t="str">
        <f>VLOOKUP(A910,Folha2!$A$2:$B$2019,2,FALSE)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0" s="12" t="str">
        <f>HYPERLINK(J910)</f>
        <v>https://permalinkbnd.bnportugal.gov.pt/viewer/279634/?offset=#page=4&amp;viewer=picture&amp;o=info&amp;n=0&amp;q=</v>
      </c>
      <c r="N910" s="12" t="s">
        <v>1497</v>
      </c>
      <c r="O910" s="12" t="str">
        <f>CONCATENATE(N910,A910,"\",B910,"\",C910,".jpg")</f>
        <v>C:\Users\mbaptista\OneDrive - Biblioteca Nacional de Portugal\Documentos\python\camoniana\imagens\capas\798858\1\4.jpg</v>
      </c>
      <c r="P910" s="12" t="str">
        <f>HYPERLINK(O910)</f>
        <v>C:\Users\mbaptista\OneDrive - Biblioteca Nacional de Portugal\Documentos\python\camoniana\imagens\capas\798858\1\4.jpg</v>
      </c>
      <c r="Q910" s="12"/>
      <c r="R910" s="6" t="s">
        <v>1205</v>
      </c>
      <c r="S910" s="12"/>
      <c r="T910" s="1">
        <v>4</v>
      </c>
      <c r="U910" s="13"/>
      <c r="V910" s="13"/>
      <c r="W910" s="5" t="s">
        <v>1491</v>
      </c>
    </row>
    <row r="911" spans="1:23" ht="225">
      <c r="A911" s="1">
        <v>798858</v>
      </c>
      <c r="B911" s="1">
        <v>1</v>
      </c>
      <c r="C911" s="1">
        <v>104</v>
      </c>
      <c r="D911" s="2" t="s">
        <v>1203</v>
      </c>
      <c r="E911" s="11" t="s">
        <v>1203</v>
      </c>
      <c r="F911" s="11">
        <v>279634</v>
      </c>
      <c r="G911" s="2" t="s">
        <v>1494</v>
      </c>
      <c r="H911" s="2" t="s">
        <v>1495</v>
      </c>
      <c r="I911" s="2" t="s">
        <v>1496</v>
      </c>
      <c r="J911" s="2" t="str">
        <f>CONCATENATE(G911,F911,H911,C911,I911)</f>
        <v>https://permalinkbnd.bnportugal.gov.pt/viewer/279634/?offset=#page=104&amp;viewer=picture&amp;o=info&amp;n=0&amp;q=</v>
      </c>
      <c r="K911" s="1" t="s">
        <v>1204</v>
      </c>
      <c r="L911" s="1" t="str">
        <f>VLOOKUP(A911,Folha2!$A$2:$B$2019,2,FALSE)</f>
        <v>Os Lusiadas : poema epico / de Luiz de Camões. - Nova ed. cuidadosamente revista e conforme às de 1572, precedida d'uma biografia do poeta / escripta pelo sr. Innocencio Francisco da Silva.... - Lisboa : Antonio Maria Pereira, 1898. Erro gráfico paginação Im. 413.  Paratextos vida e Paratextos argumentos.</v>
      </c>
      <c r="M911" s="12" t="str">
        <f>HYPERLINK(J911)</f>
        <v>https://permalinkbnd.bnportugal.gov.pt/viewer/279634/?offset=#page=104&amp;viewer=picture&amp;o=info&amp;n=0&amp;q=</v>
      </c>
      <c r="N911" s="12" t="s">
        <v>1497</v>
      </c>
      <c r="O911" s="12" t="str">
        <f>CONCATENATE(N911,A911,"\",B911,"\",C911,".jpg")</f>
        <v>C:\Users\mbaptista\OneDrive - Biblioteca Nacional de Portugal\Documentos\python\camoniana\imagens\capas\798858\1\104.jpg</v>
      </c>
      <c r="P911" s="12" t="str">
        <f>HYPERLINK(O911)</f>
        <v>C:\Users\mbaptista\OneDrive - Biblioteca Nacional de Portugal\Documentos\python\camoniana\imagens\capas\798858\1\104.jpg</v>
      </c>
      <c r="Q911" s="12"/>
      <c r="R911" s="6"/>
      <c r="S911" s="12"/>
      <c r="T911" s="1"/>
      <c r="U911" s="13"/>
      <c r="V911" s="13"/>
      <c r="W911" s="5"/>
    </row>
    <row r="912" spans="1:23" ht="225">
      <c r="A912" s="1">
        <v>798866</v>
      </c>
      <c r="B912" s="1">
        <v>1</v>
      </c>
      <c r="C912" s="1">
        <v>1</v>
      </c>
      <c r="D912" s="2" t="s">
        <v>1206</v>
      </c>
      <c r="E912" s="5" t="s">
        <v>1206</v>
      </c>
      <c r="F912" s="5">
        <v>279104</v>
      </c>
      <c r="G912" s="2" t="s">
        <v>1494</v>
      </c>
      <c r="H912" s="2" t="s">
        <v>1495</v>
      </c>
      <c r="I912" s="2" t="s">
        <v>1496</v>
      </c>
      <c r="J912" s="2" t="str">
        <f>CONCATENATE(G912,F912,H912,C912,I912)</f>
        <v>https://permalinkbnd.bnportugal.gov.pt/viewer/279104/?offset=#page=1&amp;viewer=picture&amp;o=info&amp;n=0&amp;q=</v>
      </c>
      <c r="K912" s="1" t="s">
        <v>1207</v>
      </c>
      <c r="L912" s="1" t="str">
        <f>VLOOKUP(A912,Folha2!$A$2:$B$2019,2,FALSE)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2" s="12" t="str">
        <f>HYPERLINK(J912)</f>
        <v>https://permalinkbnd.bnportugal.gov.pt/viewer/279104/?offset=#page=1&amp;viewer=picture&amp;o=info&amp;n=0&amp;q=</v>
      </c>
      <c r="N912" s="12" t="s">
        <v>1497</v>
      </c>
      <c r="O912" s="12" t="str">
        <f>CONCATENATE(N912,A912,"\",B912,"\",C912,".jpg")</f>
        <v>C:\Users\mbaptista\OneDrive - Biblioteca Nacional de Portugal\Documentos\python\camoniana\imagens\capas\798866\1\1.jpg</v>
      </c>
      <c r="P912" s="12" t="str">
        <f>HYPERLINK(O912)</f>
        <v>C:\Users\mbaptista\OneDrive - Biblioteca Nacional de Portugal\Documentos\python\camoniana\imagens\capas\798866\1\1.jpg</v>
      </c>
      <c r="Q912" s="12"/>
      <c r="R912" s="6" t="s">
        <v>1208</v>
      </c>
      <c r="S912" s="12"/>
      <c r="T912" s="1">
        <v>1</v>
      </c>
      <c r="U912" s="13"/>
      <c r="V912" s="13"/>
      <c r="W912" s="5" t="s">
        <v>1491</v>
      </c>
    </row>
    <row r="913" spans="1:23" ht="225">
      <c r="A913" s="1">
        <v>798866</v>
      </c>
      <c r="B913" s="1">
        <v>1</v>
      </c>
      <c r="C913" s="1">
        <v>83</v>
      </c>
      <c r="D913" s="2" t="s">
        <v>1206</v>
      </c>
      <c r="E913" s="11" t="s">
        <v>1206</v>
      </c>
      <c r="F913" s="11">
        <v>279104</v>
      </c>
      <c r="G913" s="2" t="s">
        <v>1494</v>
      </c>
      <c r="H913" s="2" t="s">
        <v>1495</v>
      </c>
      <c r="I913" s="2" t="s">
        <v>1496</v>
      </c>
      <c r="J913" s="2" t="str">
        <f>CONCATENATE(G913,F913,H913,C913,I913)</f>
        <v>https://permalinkbnd.bnportugal.gov.pt/viewer/279104/?offset=#page=83&amp;viewer=picture&amp;o=info&amp;n=0&amp;q=</v>
      </c>
      <c r="K913" s="1" t="s">
        <v>1207</v>
      </c>
      <c r="L913" s="1" t="str">
        <f>VLOOKUP(A913,Folha2!$A$2:$B$2019,2,FALSE)</f>
        <v xml:space="preserve">The first [-second] canto of The Lusiad / [Luís de Camões] ; translated into english verse by James E. Hewitt ; accompanied by the Portuguese Text together with a letter from the great american poet Henry W. Longfellow. - Rio de Janeiro : Camoens Printing Office, 1883. Bilingue. 1.º e 2.º Cantos. Trad. a partir da edição do Gabinete Português de Leitura, Rio de Janeiro. Refere tricentenário da cidade, mas não do Poeta, embora a fonte tenha sido uma edição do GPL, a propósito do Tricentenário. Sem argumentos. </v>
      </c>
      <c r="M913" s="12" t="str">
        <f>HYPERLINK(J913)</f>
        <v>https://permalinkbnd.bnportugal.gov.pt/viewer/279104/?offset=#page=83&amp;viewer=picture&amp;o=info&amp;n=0&amp;q=</v>
      </c>
      <c r="N913" s="12" t="s">
        <v>1497</v>
      </c>
      <c r="O913" s="12" t="str">
        <f>CONCATENATE(N913,A913,"\",B913,"\",C913,".jpg")</f>
        <v>C:\Users\mbaptista\OneDrive - Biblioteca Nacional de Portugal\Documentos\python\camoniana\imagens\capas\798866\1\83.jpg</v>
      </c>
      <c r="P913" s="12" t="str">
        <f>HYPERLINK(O913)</f>
        <v>C:\Users\mbaptista\OneDrive - Biblioteca Nacional de Portugal\Documentos\python\camoniana\imagens\capas\798866\1\83.jpg</v>
      </c>
      <c r="Q913" s="12"/>
      <c r="R913" s="6"/>
      <c r="S913" s="12"/>
      <c r="T913" s="1"/>
      <c r="U913" s="13"/>
      <c r="V913" s="13"/>
      <c r="W913" s="5"/>
    </row>
    <row r="914" spans="1:23" ht="225">
      <c r="A914" s="1">
        <v>993818</v>
      </c>
      <c r="B914" s="1">
        <v>1</v>
      </c>
      <c r="C914" s="1">
        <v>1</v>
      </c>
      <c r="D914" s="2" t="s">
        <v>1209</v>
      </c>
      <c r="E914" s="5" t="s">
        <v>1209</v>
      </c>
      <c r="F914" s="5">
        <v>20471</v>
      </c>
      <c r="G914" s="2" t="s">
        <v>1494</v>
      </c>
      <c r="H914" s="2" t="s">
        <v>1495</v>
      </c>
      <c r="I914" s="2" t="s">
        <v>1496</v>
      </c>
      <c r="J914" s="2" t="str">
        <f>CONCATENATE(G914,F914,H914,C914,I914)</f>
        <v>https://permalinkbnd.bnportugal.gov.pt/viewer/20471/?offset=#page=1&amp;viewer=picture&amp;o=info&amp;n=0&amp;q=</v>
      </c>
      <c r="K914" s="1" t="s">
        <v>1210</v>
      </c>
      <c r="L914" s="1" t="str">
        <f>VLOOKUP(A914,Folha2!$A$2:$B$2019,2,FALSE)</f>
        <v>Camões et les Lusiades : exposition Bibliothèque Royale Albert 1er : quatrième centenaire des Lusiades 1572 - hommage à Camões / Ministère de lªEducation Nationale ; [design] Fernand Baudin. - Bruxelles : M.E.N., 1972. - 1 cartaz</v>
      </c>
      <c r="M914" s="12" t="str">
        <f>HYPERLINK(J914)</f>
        <v>https://permalinkbnd.bnportugal.gov.pt/viewer/20471/?offset=#page=1&amp;viewer=picture&amp;o=info&amp;n=0&amp;q=</v>
      </c>
      <c r="N914" s="12" t="s">
        <v>1497</v>
      </c>
      <c r="O914" s="12" t="str">
        <f>CONCATENATE(N914,A914,"\",B914,"\",C914,".jpg")</f>
        <v>C:\Users\mbaptista\OneDrive - Biblioteca Nacional de Portugal\Documentos\python\camoniana\imagens\capas\993818\1\1.jpg</v>
      </c>
      <c r="P914" s="12" t="str">
        <f>HYPERLINK(O914)</f>
        <v>C:\Users\mbaptista\OneDrive - Biblioteca Nacional de Portugal\Documentos\python\camoniana\imagens\capas\993818\1\1.jpg</v>
      </c>
      <c r="Q914" s="12"/>
      <c r="R914" s="6" t="s">
        <v>1211</v>
      </c>
      <c r="S914" s="12"/>
      <c r="T914" s="1">
        <v>1</v>
      </c>
      <c r="U914" s="13"/>
      <c r="V914" s="13"/>
      <c r="W914" s="5" t="s">
        <v>1491</v>
      </c>
    </row>
    <row r="915" spans="1:23" ht="225">
      <c r="A915" s="1">
        <v>1001679</v>
      </c>
      <c r="B915" s="1">
        <v>1</v>
      </c>
      <c r="C915" s="1">
        <v>1</v>
      </c>
      <c r="D915" s="2" t="s">
        <v>1212</v>
      </c>
      <c r="E915" s="11" t="s">
        <v>1212</v>
      </c>
      <c r="F915" s="11">
        <v>17516</v>
      </c>
      <c r="G915" s="2" t="s">
        <v>1494</v>
      </c>
      <c r="H915" s="2" t="s">
        <v>1495</v>
      </c>
      <c r="I915" s="2" t="s">
        <v>1496</v>
      </c>
      <c r="J915" s="2" t="str">
        <f>CONCATENATE(G915,F915,H915,C915,I915)</f>
        <v>https://permalinkbnd.bnportugal.gov.pt/viewer/17516/?offset=#page=1&amp;viewer=picture&amp;o=info&amp;n=0&amp;q=</v>
      </c>
      <c r="K915" s="1" t="s">
        <v>1213</v>
      </c>
      <c r="L915" s="1" t="str">
        <f>VLOOKUP(A915,Folha2!$A$2:$B$2019,2,FALSE)</f>
        <v xml:space="preserve">Comemorações Camonianas : visita guiada ao Mosteiro dos Jerónimos. - [Lisboa] : Sec. Est. Comunicação Social [ca 1980?]. - 1 cartaz. </v>
      </c>
      <c r="M915" s="12" t="str">
        <f>HYPERLINK(J915)</f>
        <v>https://permalinkbnd.bnportugal.gov.pt/viewer/17516/?offset=#page=1&amp;viewer=picture&amp;o=info&amp;n=0&amp;q=</v>
      </c>
      <c r="N915" s="12" t="s">
        <v>1497</v>
      </c>
      <c r="O915" s="12" t="str">
        <f>CONCATENATE(N915,A915,"\",B915,"\",C915,".jpg")</f>
        <v>C:\Users\mbaptista\OneDrive - Biblioteca Nacional de Portugal\Documentos\python\camoniana\imagens\capas\1001679\1\1.jpg</v>
      </c>
      <c r="P915" s="12" t="str">
        <f>HYPERLINK(O915)</f>
        <v>C:\Users\mbaptista\OneDrive - Biblioteca Nacional de Portugal\Documentos\python\camoniana\imagens\capas\1001679\1\1.jpg</v>
      </c>
      <c r="Q915" s="12"/>
      <c r="R915" s="6" t="s">
        <v>1214</v>
      </c>
      <c r="S915" s="12"/>
      <c r="T915" s="1">
        <v>1</v>
      </c>
      <c r="U915" s="13"/>
      <c r="V915" s="13"/>
      <c r="W915" s="5" t="s">
        <v>1491</v>
      </c>
    </row>
    <row r="916" spans="1:23" ht="225">
      <c r="A916" s="1">
        <v>1366577</v>
      </c>
      <c r="B916" s="1">
        <v>1</v>
      </c>
      <c r="C916" s="1">
        <v>1</v>
      </c>
      <c r="D916" s="2" t="s">
        <v>1215</v>
      </c>
      <c r="E916" s="5" t="s">
        <v>1215</v>
      </c>
      <c r="F916" s="5">
        <v>14594</v>
      </c>
      <c r="G916" s="2" t="s">
        <v>1494</v>
      </c>
      <c r="H916" s="2" t="s">
        <v>1495</v>
      </c>
      <c r="I916" s="2" t="s">
        <v>1496</v>
      </c>
      <c r="J916" s="2" t="str">
        <f>CONCATENATE(G916,F916,H916,C916,I916)</f>
        <v>https://permalinkbnd.bnportugal.gov.pt/viewer/14594/?offset=#page=1&amp;viewer=picture&amp;o=info&amp;n=0&amp;q=</v>
      </c>
      <c r="K916" s="1" t="s">
        <v>1216</v>
      </c>
      <c r="L916" s="1" t="str">
        <f>VLOOKUP(A916,Folha2!$A$2:$B$2019,2,FALSE)</f>
        <v>Les lusiades de Luiz de Camoens / traduit du portugais par J. B. J. Millié ; a été illustré par Bernard Roy. - Paris : imprimerie F. Paillart : en la rue de Beaune, à lªenseigne du Pot Cassé, 1931, sem argumentos. As notas são brevíssimas.</v>
      </c>
      <c r="M916" s="12" t="str">
        <f>HYPERLINK(J916)</f>
        <v>https://permalinkbnd.bnportugal.gov.pt/viewer/14594/?offset=#page=1&amp;viewer=picture&amp;o=info&amp;n=0&amp;q=</v>
      </c>
      <c r="N916" s="12" t="s">
        <v>1497</v>
      </c>
      <c r="O916" s="12" t="str">
        <f>CONCATENATE(N916,A916,"\",B916,"\",C916,".jpg")</f>
        <v>C:\Users\mbaptista\OneDrive - Biblioteca Nacional de Portugal\Documentos\python\camoniana\imagens\capas\1366577\1\1.jpg</v>
      </c>
      <c r="P916" s="12" t="str">
        <f>HYPERLINK(O916)</f>
        <v>C:\Users\mbaptista\OneDrive - Biblioteca Nacional de Portugal\Documentos\python\camoniana\imagens\capas\1366577\1\1.jpg</v>
      </c>
      <c r="Q916" s="12"/>
      <c r="R916" s="6"/>
      <c r="S916" s="12"/>
      <c r="T916" s="1"/>
      <c r="U916" s="13"/>
      <c r="V916" s="13"/>
      <c r="W916" s="5"/>
    </row>
    <row r="917" spans="1:23" ht="225">
      <c r="A917" s="1">
        <v>1366577</v>
      </c>
      <c r="B917" s="1">
        <v>1</v>
      </c>
      <c r="C917" s="1">
        <v>5</v>
      </c>
      <c r="D917" s="2" t="s">
        <v>1215</v>
      </c>
      <c r="E917" s="11" t="s">
        <v>1215</v>
      </c>
      <c r="F917" s="11">
        <v>14594</v>
      </c>
      <c r="G917" s="2" t="s">
        <v>1494</v>
      </c>
      <c r="H917" s="2" t="s">
        <v>1495</v>
      </c>
      <c r="I917" s="2" t="s">
        <v>1496</v>
      </c>
      <c r="J917" s="2" t="str">
        <f>CONCATENATE(G917,F917,H917,C917,I917)</f>
        <v>https://permalinkbnd.bnportugal.gov.pt/viewer/14594/?offset=#page=5&amp;viewer=picture&amp;o=info&amp;n=0&amp;q=</v>
      </c>
      <c r="K917" s="1" t="s">
        <v>1216</v>
      </c>
      <c r="L917" s="1" t="str">
        <f>VLOOKUP(A917,Folha2!$A$2:$B$2019,2,FALSE)</f>
        <v>Les lusiades de Luiz de Camoens / traduit du portugais par J. B. J. Millié ; a été illustré par Bernard Roy. - Paris : imprimerie F. Paillart : en la rue de Beaune, à lªenseigne du Pot Cassé, 1931, sem argumentos. As notas são brevíssimas.</v>
      </c>
      <c r="M917" s="12" t="str">
        <f>HYPERLINK(J917)</f>
        <v>https://permalinkbnd.bnportugal.gov.pt/viewer/14594/?offset=#page=5&amp;viewer=picture&amp;o=info&amp;n=0&amp;q=</v>
      </c>
      <c r="N917" s="12" t="s">
        <v>1497</v>
      </c>
      <c r="O917" s="12" t="str">
        <f>CONCATENATE(N917,A917,"\",B917,"\",C917,".jpg")</f>
        <v>C:\Users\mbaptista\OneDrive - Biblioteca Nacional de Portugal\Documentos\python\camoniana\imagens\capas\1366577\1\5.jpg</v>
      </c>
      <c r="P917" s="12" t="str">
        <f>HYPERLINK(O917)</f>
        <v>C:\Users\mbaptista\OneDrive - Biblioteca Nacional de Portugal\Documentos\python\camoniana\imagens\capas\1366577\1\5.jpg</v>
      </c>
      <c r="Q917" s="12"/>
      <c r="R917" s="6"/>
      <c r="S917" s="12"/>
      <c r="T917" s="1"/>
      <c r="U917" s="13"/>
      <c r="V917" s="13"/>
      <c r="W917" s="5"/>
    </row>
    <row r="918" spans="1:23" ht="225">
      <c r="A918" s="1">
        <v>1366577</v>
      </c>
      <c r="B918" s="1">
        <v>1</v>
      </c>
      <c r="C918" s="1">
        <v>9</v>
      </c>
      <c r="D918" s="2" t="s">
        <v>1215</v>
      </c>
      <c r="E918" s="5" t="s">
        <v>1215</v>
      </c>
      <c r="F918" s="5">
        <v>14594</v>
      </c>
      <c r="G918" s="2" t="s">
        <v>1494</v>
      </c>
      <c r="H918" s="2" t="s">
        <v>1495</v>
      </c>
      <c r="I918" s="2" t="s">
        <v>1496</v>
      </c>
      <c r="J918" s="2" t="str">
        <f>CONCATENATE(G918,F918,H918,C918,I918)</f>
        <v>https://permalinkbnd.bnportugal.gov.pt/viewer/14594/?offset=#page=9&amp;viewer=picture&amp;o=info&amp;n=0&amp;q=</v>
      </c>
      <c r="K918" s="1" t="s">
        <v>1216</v>
      </c>
      <c r="L918" s="1" t="str">
        <f>VLOOKUP(A918,Folha2!$A$2:$B$2019,2,FALSE)</f>
        <v>Les lusiades de Luiz de Camoens / traduit du portugais par J. B. J. Millié ; a été illustré par Bernard Roy. - Paris : imprimerie F. Paillart : en la rue de Beaune, à lªenseigne du Pot Cassé, 1931, sem argumentos. As notas são brevíssimas.</v>
      </c>
      <c r="M918" s="12" t="str">
        <f>HYPERLINK(J918)</f>
        <v>https://permalinkbnd.bnportugal.gov.pt/viewer/14594/?offset=#page=9&amp;viewer=picture&amp;o=info&amp;n=0&amp;q=</v>
      </c>
      <c r="N918" s="12" t="s">
        <v>1497</v>
      </c>
      <c r="O918" s="12" t="str">
        <f>CONCATENATE(N918,A918,"\",B918,"\",C918,".jpg")</f>
        <v>C:\Users\mbaptista\OneDrive - Biblioteca Nacional de Portugal\Documentos\python\camoniana\imagens\capas\1366577\1\9.jpg</v>
      </c>
      <c r="P918" s="12" t="str">
        <f>HYPERLINK(O918)</f>
        <v>C:\Users\mbaptista\OneDrive - Biblioteca Nacional de Portugal\Documentos\python\camoniana\imagens\capas\1366577\1\9.jpg</v>
      </c>
      <c r="Q918" s="12"/>
      <c r="R918" s="6"/>
      <c r="S918" s="12"/>
      <c r="T918" s="1"/>
      <c r="U918" s="13"/>
      <c r="V918" s="13"/>
      <c r="W918" s="5"/>
    </row>
    <row r="919" spans="1:23" ht="225">
      <c r="A919" s="1">
        <v>1366577</v>
      </c>
      <c r="B919" s="1">
        <v>1</v>
      </c>
      <c r="C919" s="1">
        <v>13</v>
      </c>
      <c r="D919" s="2" t="s">
        <v>1215</v>
      </c>
      <c r="E919" s="11" t="s">
        <v>1215</v>
      </c>
      <c r="F919" s="11">
        <v>14594</v>
      </c>
      <c r="G919" s="2" t="s">
        <v>1494</v>
      </c>
      <c r="H919" s="2" t="s">
        <v>1495</v>
      </c>
      <c r="I919" s="2" t="s">
        <v>1496</v>
      </c>
      <c r="J919" s="2" t="str">
        <f>CONCATENATE(G919,F919,H919,C919,I919)</f>
        <v>https://permalinkbnd.bnportugal.gov.pt/viewer/14594/?offset=#page=13&amp;viewer=picture&amp;o=info&amp;n=0&amp;q=</v>
      </c>
      <c r="K919" s="1" t="s">
        <v>1216</v>
      </c>
      <c r="L919" s="1" t="str">
        <f>VLOOKUP(A919,Folha2!$A$2:$B$2019,2,FALSE)</f>
        <v>Les lusiades de Luiz de Camoens / traduit du portugais par J. B. J. Millié ; a été illustré par Bernard Roy. - Paris : imprimerie F. Paillart : en la rue de Beaune, à lªenseigne du Pot Cassé, 1931, sem argumentos. As notas são brevíssimas.</v>
      </c>
      <c r="M919" s="12" t="str">
        <f>HYPERLINK(J919)</f>
        <v>https://permalinkbnd.bnportugal.gov.pt/viewer/14594/?offset=#page=13&amp;viewer=picture&amp;o=info&amp;n=0&amp;q=</v>
      </c>
      <c r="N919" s="12" t="s">
        <v>1497</v>
      </c>
      <c r="O919" s="12" t="str">
        <f>CONCATENATE(N919,A919,"\",B919,"\",C919,".jpg")</f>
        <v>C:\Users\mbaptista\OneDrive - Biblioteca Nacional de Portugal\Documentos\python\camoniana\imagens\capas\1366577\1\13.jpg</v>
      </c>
      <c r="P919" s="12" t="str">
        <f>HYPERLINK(O919)</f>
        <v>C:\Users\mbaptista\OneDrive - Biblioteca Nacional de Portugal\Documentos\python\camoniana\imagens\capas\1366577\1\13.jpg</v>
      </c>
      <c r="Q919" s="12"/>
      <c r="R919" s="6" t="s">
        <v>1218</v>
      </c>
      <c r="S919" s="12"/>
      <c r="T919" s="1" t="s">
        <v>1217</v>
      </c>
      <c r="U919" s="13"/>
      <c r="V919" s="13"/>
      <c r="W919" s="5" t="s">
        <v>1491</v>
      </c>
    </row>
    <row r="920" spans="1:23" ht="225">
      <c r="A920" s="1">
        <v>1366577</v>
      </c>
      <c r="B920" s="1">
        <v>1</v>
      </c>
      <c r="C920" s="1">
        <v>30</v>
      </c>
      <c r="D920" s="2" t="s">
        <v>1215</v>
      </c>
      <c r="E920" s="5" t="s">
        <v>1215</v>
      </c>
      <c r="F920" s="5">
        <v>14594</v>
      </c>
      <c r="G920" s="2" t="s">
        <v>1494</v>
      </c>
      <c r="H920" s="2" t="s">
        <v>1495</v>
      </c>
      <c r="I920" s="2" t="s">
        <v>1496</v>
      </c>
      <c r="J920" s="2" t="str">
        <f>CONCATENATE(G920,F920,H920,C920,I920)</f>
        <v>https://permalinkbnd.bnportugal.gov.pt/viewer/14594/?offset=#page=30&amp;viewer=picture&amp;o=info&amp;n=0&amp;q=</v>
      </c>
      <c r="K920" s="1" t="s">
        <v>1216</v>
      </c>
      <c r="L920" s="1" t="str">
        <f>VLOOKUP(A920,Folha2!$A$2:$B$2019,2,FALSE)</f>
        <v>Les lusiades de Luiz de Camoens / traduit du portugais par J. B. J. Millié ; a été illustré par Bernard Roy. - Paris : imprimerie F. Paillart : en la rue de Beaune, à lªenseigne du Pot Cassé, 1931, sem argumentos. As notas são brevíssimas.</v>
      </c>
      <c r="M920" s="12" t="str">
        <f>HYPERLINK(J920)</f>
        <v>https://permalinkbnd.bnportugal.gov.pt/viewer/14594/?offset=#page=30&amp;viewer=picture&amp;o=info&amp;n=0&amp;q=</v>
      </c>
      <c r="N920" s="12" t="s">
        <v>1497</v>
      </c>
      <c r="O920" s="12" t="str">
        <f>CONCATENATE(N920,A920,"\",B920,"\",C920,".jpg")</f>
        <v>C:\Users\mbaptista\OneDrive - Biblioteca Nacional de Portugal\Documentos\python\camoniana\imagens\capas\1366577\1\30.jpg</v>
      </c>
      <c r="P920" s="12" t="str">
        <f>HYPERLINK(O920)</f>
        <v>C:\Users\mbaptista\OneDrive - Biblioteca Nacional de Portugal\Documentos\python\camoniana\imagens\capas\1366577\1\30.jpg</v>
      </c>
      <c r="Q920" s="12"/>
      <c r="R920" s="6" t="s">
        <v>1219</v>
      </c>
      <c r="S920" s="12"/>
      <c r="T920" s="1" t="s">
        <v>1217</v>
      </c>
      <c r="U920" s="13"/>
      <c r="V920" s="13"/>
      <c r="W920" s="5" t="s">
        <v>1491</v>
      </c>
    </row>
    <row r="921" spans="1:23" ht="225">
      <c r="A921" s="1">
        <v>1366577</v>
      </c>
      <c r="B921" s="1">
        <v>1</v>
      </c>
      <c r="C921" s="1">
        <v>32</v>
      </c>
      <c r="D921" s="2" t="s">
        <v>1215</v>
      </c>
      <c r="E921" s="11" t="s">
        <v>1215</v>
      </c>
      <c r="F921" s="11">
        <v>14594</v>
      </c>
      <c r="G921" s="2" t="s">
        <v>1494</v>
      </c>
      <c r="H921" s="2" t="s">
        <v>1495</v>
      </c>
      <c r="I921" s="2" t="s">
        <v>1496</v>
      </c>
      <c r="J921" s="2" t="str">
        <f>CONCATENATE(G921,F921,H921,C921,I921)</f>
        <v>https://permalinkbnd.bnportugal.gov.pt/viewer/14594/?offset=#page=32&amp;viewer=picture&amp;o=info&amp;n=0&amp;q=</v>
      </c>
      <c r="K921" s="1" t="s">
        <v>1216</v>
      </c>
      <c r="L921" s="1" t="str">
        <f>VLOOKUP(A921,Folha2!$A$2:$B$2019,2,FALSE)</f>
        <v>Les lusiades de Luiz de Camoens / traduit du portugais par J. B. J. Millié ; a été illustré par Bernard Roy. - Paris : imprimerie F. Paillart : en la rue de Beaune, à lªenseigne du Pot Cassé, 1931, sem argumentos. As notas são brevíssimas.</v>
      </c>
      <c r="M921" s="12" t="str">
        <f>HYPERLINK(J921)</f>
        <v>https://permalinkbnd.bnportugal.gov.pt/viewer/14594/?offset=#page=32&amp;viewer=picture&amp;o=info&amp;n=0&amp;q=</v>
      </c>
      <c r="N921" s="12" t="s">
        <v>1497</v>
      </c>
      <c r="O921" s="12" t="str">
        <f>CONCATENATE(N921,A921,"\",B921,"\",C921,".jpg")</f>
        <v>C:\Users\mbaptista\OneDrive - Biblioteca Nacional de Portugal\Documentos\python\camoniana\imagens\capas\1366577\1\32.jpg</v>
      </c>
      <c r="P921" s="12" t="str">
        <f>HYPERLINK(O921)</f>
        <v>C:\Users\mbaptista\OneDrive - Biblioteca Nacional de Portugal\Documentos\python\camoniana\imagens\capas\1366577\1\32.jpg</v>
      </c>
      <c r="Q921" s="12"/>
      <c r="R921" s="6" t="s">
        <v>1220</v>
      </c>
      <c r="S921" s="12"/>
      <c r="T921" s="1" t="s">
        <v>1217</v>
      </c>
      <c r="U921" s="13"/>
      <c r="V921" s="13"/>
      <c r="W921" s="5" t="s">
        <v>1491</v>
      </c>
    </row>
    <row r="922" spans="1:23" ht="225">
      <c r="A922" s="1">
        <v>1366577</v>
      </c>
      <c r="B922" s="1">
        <v>1</v>
      </c>
      <c r="C922" s="1">
        <v>54</v>
      </c>
      <c r="D922" s="2" t="s">
        <v>1215</v>
      </c>
      <c r="E922" s="5" t="s">
        <v>1215</v>
      </c>
      <c r="F922" s="5">
        <v>14594</v>
      </c>
      <c r="G922" s="2" t="s">
        <v>1494</v>
      </c>
      <c r="H922" s="2" t="s">
        <v>1495</v>
      </c>
      <c r="I922" s="2" t="s">
        <v>1496</v>
      </c>
      <c r="J922" s="2" t="str">
        <f>CONCATENATE(G922,F922,H922,C922,I922)</f>
        <v>https://permalinkbnd.bnportugal.gov.pt/viewer/14594/?offset=#page=54&amp;viewer=picture&amp;o=info&amp;n=0&amp;q=</v>
      </c>
      <c r="K922" s="1" t="s">
        <v>1216</v>
      </c>
      <c r="L922" s="1" t="str">
        <f>VLOOKUP(A922,Folha2!$A$2:$B$2019,2,FALSE)</f>
        <v>Les lusiades de Luiz de Camoens / traduit du portugais par J. B. J. Millié ; a été illustré par Bernard Roy. - Paris : imprimerie F. Paillart : en la rue de Beaune, à lªenseigne du Pot Cassé, 1931, sem argumentos. As notas são brevíssimas.</v>
      </c>
      <c r="M922" s="12" t="str">
        <f>HYPERLINK(J922)</f>
        <v>https://permalinkbnd.bnportugal.gov.pt/viewer/14594/?offset=#page=54&amp;viewer=picture&amp;o=info&amp;n=0&amp;q=</v>
      </c>
      <c r="N922" s="12" t="s">
        <v>1497</v>
      </c>
      <c r="O922" s="12" t="str">
        <f>CONCATENATE(N922,A922,"\",B922,"\",C922,".jpg")</f>
        <v>C:\Users\mbaptista\OneDrive - Biblioteca Nacional de Portugal\Documentos\python\camoniana\imagens\capas\1366577\1\54.jpg</v>
      </c>
      <c r="P922" s="12" t="str">
        <f>HYPERLINK(O922)</f>
        <v>C:\Users\mbaptista\OneDrive - Biblioteca Nacional de Portugal\Documentos\python\camoniana\imagens\capas\1366577\1\54.jpg</v>
      </c>
      <c r="Q922" s="12"/>
      <c r="R922" s="6" t="s">
        <v>1221</v>
      </c>
      <c r="S922" s="12"/>
      <c r="T922" s="1" t="s">
        <v>1217</v>
      </c>
      <c r="U922" s="13"/>
      <c r="V922" s="13"/>
      <c r="W922" s="5" t="s">
        <v>1491</v>
      </c>
    </row>
    <row r="923" spans="1:23" ht="225">
      <c r="A923" s="1">
        <v>1366577</v>
      </c>
      <c r="B923" s="1">
        <v>1</v>
      </c>
      <c r="C923" s="1">
        <v>55</v>
      </c>
      <c r="D923" s="2" t="s">
        <v>1215</v>
      </c>
      <c r="E923" s="11" t="s">
        <v>1215</v>
      </c>
      <c r="F923" s="11">
        <v>14594</v>
      </c>
      <c r="G923" s="2" t="s">
        <v>1494</v>
      </c>
      <c r="H923" s="2" t="s">
        <v>1495</v>
      </c>
      <c r="I923" s="2" t="s">
        <v>1496</v>
      </c>
      <c r="J923" s="2" t="str">
        <f>CONCATENATE(G923,F923,H923,C923,I923)</f>
        <v>https://permalinkbnd.bnportugal.gov.pt/viewer/14594/?offset=#page=55&amp;viewer=picture&amp;o=info&amp;n=0&amp;q=</v>
      </c>
      <c r="K923" s="1" t="s">
        <v>1216</v>
      </c>
      <c r="L923" s="1" t="str">
        <f>VLOOKUP(A923,Folha2!$A$2:$B$2019,2,FALSE)</f>
        <v>Les lusiades de Luiz de Camoens / traduit du portugais par J. B. J. Millié ; a été illustré par Bernard Roy. - Paris : imprimerie F. Paillart : en la rue de Beaune, à lªenseigne du Pot Cassé, 1931, sem argumentos. As notas são brevíssimas.</v>
      </c>
      <c r="M923" s="12" t="str">
        <f>HYPERLINK(J923)</f>
        <v>https://permalinkbnd.bnportugal.gov.pt/viewer/14594/?offset=#page=55&amp;viewer=picture&amp;o=info&amp;n=0&amp;q=</v>
      </c>
      <c r="N923" s="12" t="s">
        <v>1497</v>
      </c>
      <c r="O923" s="12" t="str">
        <f>CONCATENATE(N923,A923,"\",B923,"\",C923,".jpg")</f>
        <v>C:\Users\mbaptista\OneDrive - Biblioteca Nacional de Portugal\Documentos\python\camoniana\imagens\capas\1366577\1\55.jpg</v>
      </c>
      <c r="P923" s="12" t="str">
        <f>HYPERLINK(O923)</f>
        <v>C:\Users\mbaptista\OneDrive - Biblioteca Nacional de Portugal\Documentos\python\camoniana\imagens\capas\1366577\1\55.jpg</v>
      </c>
      <c r="Q923" s="12"/>
      <c r="R923" s="6"/>
      <c r="S923" s="12"/>
      <c r="T923" s="1"/>
      <c r="U923" s="13"/>
      <c r="V923" s="13"/>
      <c r="W923" s="5"/>
    </row>
    <row r="924" spans="1:23" ht="225">
      <c r="A924" s="1">
        <v>1366577</v>
      </c>
      <c r="B924" s="1">
        <v>1</v>
      </c>
      <c r="C924" s="1">
        <v>76</v>
      </c>
      <c r="D924" s="2" t="s">
        <v>1215</v>
      </c>
      <c r="E924" s="5" t="s">
        <v>1215</v>
      </c>
      <c r="F924" s="5">
        <v>14594</v>
      </c>
      <c r="G924" s="2" t="s">
        <v>1494</v>
      </c>
      <c r="H924" s="2" t="s">
        <v>1495</v>
      </c>
      <c r="I924" s="2" t="s">
        <v>1496</v>
      </c>
      <c r="J924" s="2" t="str">
        <f>CONCATENATE(G924,F924,H924,C924,I924)</f>
        <v>https://permalinkbnd.bnportugal.gov.pt/viewer/14594/?offset=#page=76&amp;viewer=picture&amp;o=info&amp;n=0&amp;q=</v>
      </c>
      <c r="K924" s="1" t="s">
        <v>1216</v>
      </c>
      <c r="L924" s="1" t="str">
        <f>VLOOKUP(A924,Folha2!$A$2:$B$2019,2,FALSE)</f>
        <v>Les lusiades de Luiz de Camoens / traduit du portugais par J. B. J. Millié ; a été illustré par Bernard Roy. - Paris : imprimerie F. Paillart : en la rue de Beaune, à lªenseigne du Pot Cassé, 1931, sem argumentos. As notas são brevíssimas.</v>
      </c>
      <c r="M924" s="12" t="str">
        <f>HYPERLINK(J924)</f>
        <v>https://permalinkbnd.bnportugal.gov.pt/viewer/14594/?offset=#page=76&amp;viewer=picture&amp;o=info&amp;n=0&amp;q=</v>
      </c>
      <c r="N924" s="12" t="s">
        <v>1497</v>
      </c>
      <c r="O924" s="12" t="str">
        <f>CONCATENATE(N924,A924,"\",B924,"\",C924,".jpg")</f>
        <v>C:\Users\mbaptista\OneDrive - Biblioteca Nacional de Portugal\Documentos\python\camoniana\imagens\capas\1366577\1\76.jpg</v>
      </c>
      <c r="P924" s="12" t="str">
        <f>HYPERLINK(O924)</f>
        <v>C:\Users\mbaptista\OneDrive - Biblioteca Nacional de Portugal\Documentos\python\camoniana\imagens\capas\1366577\1\76.jpg</v>
      </c>
      <c r="Q924" s="12"/>
      <c r="R924" s="6"/>
      <c r="S924" s="12"/>
      <c r="T924" s="1"/>
      <c r="U924" s="13"/>
      <c r="V924" s="13"/>
      <c r="W924" s="5"/>
    </row>
    <row r="925" spans="1:23" ht="225">
      <c r="A925" s="1">
        <v>1366577</v>
      </c>
      <c r="B925" s="1">
        <v>1</v>
      </c>
      <c r="C925" s="1">
        <v>78</v>
      </c>
      <c r="D925" s="2" t="s">
        <v>1215</v>
      </c>
      <c r="E925" s="11" t="s">
        <v>1215</v>
      </c>
      <c r="F925" s="11">
        <v>14594</v>
      </c>
      <c r="G925" s="2" t="s">
        <v>1494</v>
      </c>
      <c r="H925" s="2" t="s">
        <v>1495</v>
      </c>
      <c r="I925" s="2" t="s">
        <v>1496</v>
      </c>
      <c r="J925" s="2" t="str">
        <f>CONCATENATE(G925,F925,H925,C925,I925)</f>
        <v>https://permalinkbnd.bnportugal.gov.pt/viewer/14594/?offset=#page=78&amp;viewer=picture&amp;o=info&amp;n=0&amp;q=</v>
      </c>
      <c r="K925" s="1" t="s">
        <v>1216</v>
      </c>
      <c r="L925" s="1" t="str">
        <f>VLOOKUP(A925,Folha2!$A$2:$B$2019,2,FALSE)</f>
        <v>Les lusiades de Luiz de Camoens / traduit du portugais par J. B. J. Millié ; a été illustré par Bernard Roy. - Paris : imprimerie F. Paillart : en la rue de Beaune, à lªenseigne du Pot Cassé, 1931, sem argumentos. As notas são brevíssimas.</v>
      </c>
      <c r="M925" s="12" t="str">
        <f>HYPERLINK(J925)</f>
        <v>https://permalinkbnd.bnportugal.gov.pt/viewer/14594/?offset=#page=78&amp;viewer=picture&amp;o=info&amp;n=0&amp;q=</v>
      </c>
      <c r="N925" s="12" t="s">
        <v>1497</v>
      </c>
      <c r="O925" s="12" t="str">
        <f>CONCATENATE(N925,A925,"\",B925,"\",C925,".jpg")</f>
        <v>C:\Users\mbaptista\OneDrive - Biblioteca Nacional de Portugal\Documentos\python\camoniana\imagens\capas\1366577\1\78.jpg</v>
      </c>
      <c r="P925" s="12" t="str">
        <f>HYPERLINK(O925)</f>
        <v>C:\Users\mbaptista\OneDrive - Biblioteca Nacional de Portugal\Documentos\python\camoniana\imagens\capas\1366577\1\78.jpg</v>
      </c>
      <c r="Q925" s="12"/>
      <c r="R925" s="6" t="s">
        <v>1222</v>
      </c>
      <c r="S925" s="12"/>
      <c r="T925" s="1" t="s">
        <v>1217</v>
      </c>
      <c r="U925" s="13"/>
      <c r="V925" s="13"/>
      <c r="W925" s="5" t="s">
        <v>1491</v>
      </c>
    </row>
    <row r="926" spans="1:23" ht="225">
      <c r="A926" s="1">
        <v>1366577</v>
      </c>
      <c r="B926" s="1">
        <v>1</v>
      </c>
      <c r="C926" s="1">
        <v>106</v>
      </c>
      <c r="D926" s="2" t="s">
        <v>1215</v>
      </c>
      <c r="E926" s="5" t="s">
        <v>1215</v>
      </c>
      <c r="F926" s="5">
        <v>14594</v>
      </c>
      <c r="G926" s="2" t="s">
        <v>1494</v>
      </c>
      <c r="H926" s="2" t="s">
        <v>1495</v>
      </c>
      <c r="I926" s="2" t="s">
        <v>1496</v>
      </c>
      <c r="J926" s="2" t="str">
        <f>CONCATENATE(G926,F926,H926,C926,I926)</f>
        <v>https://permalinkbnd.bnportugal.gov.pt/viewer/14594/?offset=#page=106&amp;viewer=picture&amp;o=info&amp;n=0&amp;q=</v>
      </c>
      <c r="K926" s="1" t="s">
        <v>1216</v>
      </c>
      <c r="L926" s="1" t="str">
        <f>VLOOKUP(A926,Folha2!$A$2:$B$2019,2,FALSE)</f>
        <v>Les lusiades de Luiz de Camoens / traduit du portugais par J. B. J. Millié ; a été illustré par Bernard Roy. - Paris : imprimerie F. Paillart : en la rue de Beaune, à lªenseigne du Pot Cassé, 1931, sem argumentos. As notas são brevíssimas.</v>
      </c>
      <c r="M926" s="12" t="str">
        <f>HYPERLINK(J926)</f>
        <v>https://permalinkbnd.bnportugal.gov.pt/viewer/14594/?offset=#page=106&amp;viewer=picture&amp;o=info&amp;n=0&amp;q=</v>
      </c>
      <c r="N926" s="12" t="s">
        <v>1497</v>
      </c>
      <c r="O926" s="12" t="str">
        <f>CONCATENATE(N926,A926,"\",B926,"\",C926,".jpg")</f>
        <v>C:\Users\mbaptista\OneDrive - Biblioteca Nacional de Portugal\Documentos\python\camoniana\imagens\capas\1366577\1\106.jpg</v>
      </c>
      <c r="P926" s="12" t="str">
        <f>HYPERLINK(O926)</f>
        <v>C:\Users\mbaptista\OneDrive - Biblioteca Nacional de Portugal\Documentos\python\camoniana\imagens\capas\1366577\1\106.jpg</v>
      </c>
      <c r="Q926" s="12"/>
      <c r="R926" s="6" t="s">
        <v>1223</v>
      </c>
      <c r="S926" s="12"/>
      <c r="T926" s="1" t="s">
        <v>1217</v>
      </c>
      <c r="U926" s="13"/>
      <c r="V926" s="13"/>
      <c r="W926" s="5" t="s">
        <v>1491</v>
      </c>
    </row>
    <row r="927" spans="1:23" ht="225">
      <c r="A927" s="1">
        <v>1366577</v>
      </c>
      <c r="B927" s="1">
        <v>1</v>
      </c>
      <c r="C927" s="1">
        <v>107</v>
      </c>
      <c r="D927" s="2" t="s">
        <v>1215</v>
      </c>
      <c r="E927" s="11" t="s">
        <v>1215</v>
      </c>
      <c r="F927" s="11">
        <v>14594</v>
      </c>
      <c r="G927" s="2" t="s">
        <v>1494</v>
      </c>
      <c r="H927" s="2" t="s">
        <v>1495</v>
      </c>
      <c r="I927" s="2" t="s">
        <v>1496</v>
      </c>
      <c r="J927" s="2" t="str">
        <f>CONCATENATE(G927,F927,H927,C927,I927)</f>
        <v>https://permalinkbnd.bnportugal.gov.pt/viewer/14594/?offset=#page=107&amp;viewer=picture&amp;o=info&amp;n=0&amp;q=</v>
      </c>
      <c r="K927" s="1" t="s">
        <v>1216</v>
      </c>
      <c r="L927" s="1" t="str">
        <f>VLOOKUP(A927,Folha2!$A$2:$B$2019,2,FALSE)</f>
        <v>Les lusiades de Luiz de Camoens / traduit du portugais par J. B. J. Millié ; a été illustré par Bernard Roy. - Paris : imprimerie F. Paillart : en la rue de Beaune, à lªenseigne du Pot Cassé, 1931, sem argumentos. As notas são brevíssimas.</v>
      </c>
      <c r="M927" s="12" t="str">
        <f>HYPERLINK(J927)</f>
        <v>https://permalinkbnd.bnportugal.gov.pt/viewer/14594/?offset=#page=107&amp;viewer=picture&amp;o=info&amp;n=0&amp;q=</v>
      </c>
      <c r="N927" s="12" t="s">
        <v>1497</v>
      </c>
      <c r="O927" s="12" t="str">
        <f>CONCATENATE(N927,A927,"\",B927,"\",C927,".jpg")</f>
        <v>C:\Users\mbaptista\OneDrive - Biblioteca Nacional de Portugal\Documentos\python\camoniana\imagens\capas\1366577\1\107.jpg</v>
      </c>
      <c r="P927" s="12" t="str">
        <f>HYPERLINK(O927)</f>
        <v>C:\Users\mbaptista\OneDrive - Biblioteca Nacional de Portugal\Documentos\python\camoniana\imagens\capas\1366577\1\107.jpg</v>
      </c>
      <c r="Q927" s="12"/>
      <c r="R927" s="6"/>
      <c r="S927" s="12"/>
      <c r="T927" s="1"/>
      <c r="U927" s="13"/>
      <c r="V927" s="13"/>
      <c r="W927" s="5"/>
    </row>
    <row r="928" spans="1:23" ht="225">
      <c r="A928" s="1">
        <v>1366577</v>
      </c>
      <c r="B928" s="1">
        <v>1</v>
      </c>
      <c r="C928" s="1">
        <v>128</v>
      </c>
      <c r="D928" s="2" t="s">
        <v>1215</v>
      </c>
      <c r="E928" s="5" t="s">
        <v>1215</v>
      </c>
      <c r="F928" s="5">
        <v>14594</v>
      </c>
      <c r="G928" s="2" t="s">
        <v>1494</v>
      </c>
      <c r="H928" s="2" t="s">
        <v>1495</v>
      </c>
      <c r="I928" s="2" t="s">
        <v>1496</v>
      </c>
      <c r="J928" s="2" t="str">
        <f>CONCATENATE(G928,F928,H928,C928,I928)</f>
        <v>https://permalinkbnd.bnportugal.gov.pt/viewer/14594/?offset=#page=128&amp;viewer=picture&amp;o=info&amp;n=0&amp;q=</v>
      </c>
      <c r="K928" s="1" t="s">
        <v>1216</v>
      </c>
      <c r="L928" s="1" t="str">
        <f>VLOOKUP(A928,Folha2!$A$2:$B$2019,2,FALSE)</f>
        <v>Les lusiades de Luiz de Camoens / traduit du portugais par J. B. J. Millié ; a été illustré par Bernard Roy. - Paris : imprimerie F. Paillart : en la rue de Beaune, à lªenseigne du Pot Cassé, 1931, sem argumentos. As notas são brevíssimas.</v>
      </c>
      <c r="M928" s="12" t="str">
        <f>HYPERLINK(J928)</f>
        <v>https://permalinkbnd.bnportugal.gov.pt/viewer/14594/?offset=#page=128&amp;viewer=picture&amp;o=info&amp;n=0&amp;q=</v>
      </c>
      <c r="N928" s="12" t="s">
        <v>1497</v>
      </c>
      <c r="O928" s="12" t="str">
        <f>CONCATENATE(N928,A928,"\",B928,"\",C928,".jpg")</f>
        <v>C:\Users\mbaptista\OneDrive - Biblioteca Nacional de Portugal\Documentos\python\camoniana\imagens\capas\1366577\1\128.jpg</v>
      </c>
      <c r="P928" s="12" t="str">
        <f>HYPERLINK(O928)</f>
        <v>C:\Users\mbaptista\OneDrive - Biblioteca Nacional de Portugal\Documentos\python\camoniana\imagens\capas\1366577\1\128.jpg</v>
      </c>
      <c r="Q928" s="12"/>
      <c r="R928" s="6" t="s">
        <v>1224</v>
      </c>
      <c r="S928" s="12"/>
      <c r="T928" s="1" t="s">
        <v>1217</v>
      </c>
      <c r="U928" s="13"/>
      <c r="V928" s="13"/>
      <c r="W928" s="5" t="s">
        <v>1491</v>
      </c>
    </row>
    <row r="929" spans="1:23" ht="225">
      <c r="A929" s="1">
        <v>1366577</v>
      </c>
      <c r="B929" s="1">
        <v>1</v>
      </c>
      <c r="C929" s="1">
        <v>129</v>
      </c>
      <c r="D929" s="2" t="s">
        <v>1215</v>
      </c>
      <c r="E929" s="11" t="s">
        <v>1215</v>
      </c>
      <c r="F929" s="11">
        <v>14594</v>
      </c>
      <c r="G929" s="2" t="s">
        <v>1494</v>
      </c>
      <c r="H929" s="2" t="s">
        <v>1495</v>
      </c>
      <c r="I929" s="2" t="s">
        <v>1496</v>
      </c>
      <c r="J929" s="2" t="str">
        <f>CONCATENATE(G929,F929,H929,C929,I929)</f>
        <v>https://permalinkbnd.bnportugal.gov.pt/viewer/14594/?offset=#page=129&amp;viewer=picture&amp;o=info&amp;n=0&amp;q=</v>
      </c>
      <c r="K929" s="1" t="s">
        <v>1216</v>
      </c>
      <c r="L929" s="1" t="str">
        <f>VLOOKUP(A929,Folha2!$A$2:$B$2019,2,FALSE)</f>
        <v>Les lusiades de Luiz de Camoens / traduit du portugais par J. B. J. Millié ; a été illustré par Bernard Roy. - Paris : imprimerie F. Paillart : en la rue de Beaune, à lªenseigne du Pot Cassé, 1931, sem argumentos. As notas são brevíssimas.</v>
      </c>
      <c r="M929" s="12" t="str">
        <f>HYPERLINK(J929)</f>
        <v>https://permalinkbnd.bnportugal.gov.pt/viewer/14594/?offset=#page=129&amp;viewer=picture&amp;o=info&amp;n=0&amp;q=</v>
      </c>
      <c r="N929" s="12" t="s">
        <v>1497</v>
      </c>
      <c r="O929" s="12" t="str">
        <f>CONCATENATE(N929,A929,"\",B929,"\",C929,".jpg")</f>
        <v>C:\Users\mbaptista\OneDrive - Biblioteca Nacional de Portugal\Documentos\python\camoniana\imagens\capas\1366577\1\129.jpg</v>
      </c>
      <c r="P929" s="12" t="str">
        <f>HYPERLINK(O929)</f>
        <v>C:\Users\mbaptista\OneDrive - Biblioteca Nacional de Portugal\Documentos\python\camoniana\imagens\capas\1366577\1\129.jpg</v>
      </c>
      <c r="Q929" s="12"/>
      <c r="R929" s="6" t="s">
        <v>1225</v>
      </c>
      <c r="S929" s="12"/>
      <c r="T929" s="1" t="s">
        <v>1217</v>
      </c>
      <c r="U929" s="13"/>
      <c r="V929" s="13"/>
      <c r="W929" s="5" t="s">
        <v>1491</v>
      </c>
    </row>
    <row r="930" spans="1:23" ht="225">
      <c r="A930" s="1">
        <v>1366577</v>
      </c>
      <c r="B930" s="1">
        <v>1</v>
      </c>
      <c r="C930" s="1">
        <v>148</v>
      </c>
      <c r="D930" s="2" t="s">
        <v>1215</v>
      </c>
      <c r="E930" s="5" t="s">
        <v>1215</v>
      </c>
      <c r="F930" s="5">
        <v>14594</v>
      </c>
      <c r="G930" s="2" t="s">
        <v>1494</v>
      </c>
      <c r="H930" s="2" t="s">
        <v>1495</v>
      </c>
      <c r="I930" s="2" t="s">
        <v>1496</v>
      </c>
      <c r="J930" s="2" t="str">
        <f>CONCATENATE(G930,F930,H930,C930,I930)</f>
        <v>https://permalinkbnd.bnportugal.gov.pt/viewer/14594/?offset=#page=148&amp;viewer=picture&amp;o=info&amp;n=0&amp;q=</v>
      </c>
      <c r="K930" s="1" t="s">
        <v>1216</v>
      </c>
      <c r="L930" s="1" t="str">
        <f>VLOOKUP(A930,Folha2!$A$2:$B$2019,2,FALSE)</f>
        <v>Les lusiades de Luiz de Camoens / traduit du portugais par J. B. J. Millié ; a été illustré par Bernard Roy. - Paris : imprimerie F. Paillart : en la rue de Beaune, à lªenseigne du Pot Cassé, 1931, sem argumentos. As notas são brevíssimas.</v>
      </c>
      <c r="M930" s="12" t="str">
        <f>HYPERLINK(J930)</f>
        <v>https://permalinkbnd.bnportugal.gov.pt/viewer/14594/?offset=#page=148&amp;viewer=picture&amp;o=info&amp;n=0&amp;q=</v>
      </c>
      <c r="N930" s="12" t="s">
        <v>1497</v>
      </c>
      <c r="O930" s="12" t="str">
        <f>CONCATENATE(N930,A930,"\",B930,"\",C930,".jpg")</f>
        <v>C:\Users\mbaptista\OneDrive - Biblioteca Nacional de Portugal\Documentos\python\camoniana\imagens\capas\1366577\1\148.jpg</v>
      </c>
      <c r="P930" s="12" t="str">
        <f>HYPERLINK(O930)</f>
        <v>C:\Users\mbaptista\OneDrive - Biblioteca Nacional de Portugal\Documentos\python\camoniana\imagens\capas\1366577\1\148.jpg</v>
      </c>
      <c r="Q930" s="12"/>
      <c r="R930" s="6"/>
      <c r="S930" s="12"/>
      <c r="T930" s="1"/>
      <c r="U930" s="13"/>
      <c r="V930" s="13"/>
      <c r="W930" s="5"/>
    </row>
    <row r="931" spans="1:23" ht="225">
      <c r="A931" s="1">
        <v>1366577</v>
      </c>
      <c r="B931" s="1">
        <v>1</v>
      </c>
      <c r="C931" s="1">
        <v>150</v>
      </c>
      <c r="D931" s="2" t="s">
        <v>1215</v>
      </c>
      <c r="E931" s="11" t="s">
        <v>1215</v>
      </c>
      <c r="F931" s="11">
        <v>14594</v>
      </c>
      <c r="G931" s="2" t="s">
        <v>1494</v>
      </c>
      <c r="H931" s="2" t="s">
        <v>1495</v>
      </c>
      <c r="I931" s="2" t="s">
        <v>1496</v>
      </c>
      <c r="J931" s="2" t="str">
        <f>CONCATENATE(G931,F931,H931,C931,I931)</f>
        <v>https://permalinkbnd.bnportugal.gov.pt/viewer/14594/?offset=#page=150&amp;viewer=picture&amp;o=info&amp;n=0&amp;q=</v>
      </c>
      <c r="K931" s="1" t="s">
        <v>1216</v>
      </c>
      <c r="L931" s="1" t="str">
        <f>VLOOKUP(A931,Folha2!$A$2:$B$2019,2,FALSE)</f>
        <v>Les lusiades de Luiz de Camoens / traduit du portugais par J. B. J. Millié ; a été illustré par Bernard Roy. - Paris : imprimerie F. Paillart : en la rue de Beaune, à lªenseigne du Pot Cassé, 1931, sem argumentos. As notas são brevíssimas.</v>
      </c>
      <c r="M931" s="12" t="str">
        <f>HYPERLINK(J931)</f>
        <v>https://permalinkbnd.bnportugal.gov.pt/viewer/14594/?offset=#page=150&amp;viewer=picture&amp;o=info&amp;n=0&amp;q=</v>
      </c>
      <c r="N931" s="12" t="s">
        <v>1497</v>
      </c>
      <c r="O931" s="12" t="str">
        <f>CONCATENATE(N931,A931,"\",B931,"\",C931,".jpg")</f>
        <v>C:\Users\mbaptista\OneDrive - Biblioteca Nacional de Portugal\Documentos\python\camoniana\imagens\capas\1366577\1\150.jpg</v>
      </c>
      <c r="P931" s="12" t="str">
        <f>HYPERLINK(O931)</f>
        <v>C:\Users\mbaptista\OneDrive - Biblioteca Nacional de Portugal\Documentos\python\camoniana\imagens\capas\1366577\1\150.jpg</v>
      </c>
      <c r="Q931" s="12"/>
      <c r="R931" s="6" t="s">
        <v>1226</v>
      </c>
      <c r="S931" s="12"/>
      <c r="T931" s="1" t="s">
        <v>1217</v>
      </c>
      <c r="U931" s="13"/>
      <c r="V931" s="13"/>
      <c r="W931" s="5" t="s">
        <v>1491</v>
      </c>
    </row>
    <row r="932" spans="1:23" ht="225">
      <c r="A932" s="1">
        <v>1366577</v>
      </c>
      <c r="B932" s="1">
        <v>1</v>
      </c>
      <c r="C932" s="1">
        <v>151</v>
      </c>
      <c r="D932" s="2" t="s">
        <v>1215</v>
      </c>
      <c r="E932" s="5" t="s">
        <v>1215</v>
      </c>
      <c r="F932" s="5">
        <v>14594</v>
      </c>
      <c r="G932" s="2" t="s">
        <v>1494</v>
      </c>
      <c r="H932" s="2" t="s">
        <v>1495</v>
      </c>
      <c r="I932" s="2" t="s">
        <v>1496</v>
      </c>
      <c r="J932" s="2" t="str">
        <f>CONCATENATE(G932,F932,H932,C932,I932)</f>
        <v>https://permalinkbnd.bnportugal.gov.pt/viewer/14594/?offset=#page=151&amp;viewer=picture&amp;o=info&amp;n=0&amp;q=</v>
      </c>
      <c r="K932" s="1" t="s">
        <v>1216</v>
      </c>
      <c r="L932" s="1" t="str">
        <f>VLOOKUP(A932,Folha2!$A$2:$B$2019,2,FALSE)</f>
        <v>Les lusiades de Luiz de Camoens / traduit du portugais par J. B. J. Millié ; a été illustré par Bernard Roy. - Paris : imprimerie F. Paillart : en la rue de Beaune, à lªenseigne du Pot Cassé, 1931, sem argumentos. As notas são brevíssimas.</v>
      </c>
      <c r="M932" s="12" t="str">
        <f>HYPERLINK(J932)</f>
        <v>https://permalinkbnd.bnportugal.gov.pt/viewer/14594/?offset=#page=151&amp;viewer=picture&amp;o=info&amp;n=0&amp;q=</v>
      </c>
      <c r="N932" s="12" t="s">
        <v>1497</v>
      </c>
      <c r="O932" s="12" t="str">
        <f>CONCATENATE(N932,A932,"\",B932,"\",C932,".jpg")</f>
        <v>C:\Users\mbaptista\OneDrive - Biblioteca Nacional de Portugal\Documentos\python\camoniana\imagens\capas\1366577\1\151.jpg</v>
      </c>
      <c r="P932" s="12" t="str">
        <f>HYPERLINK(O932)</f>
        <v>C:\Users\mbaptista\OneDrive - Biblioteca Nacional de Portugal\Documentos\python\camoniana\imagens\capas\1366577\1\151.jpg</v>
      </c>
      <c r="Q932" s="12"/>
      <c r="R932" s="6" t="s">
        <v>1227</v>
      </c>
      <c r="S932" s="12"/>
      <c r="T932" s="1" t="s">
        <v>1217</v>
      </c>
      <c r="U932" s="13"/>
      <c r="V932" s="13"/>
      <c r="W932" s="5" t="s">
        <v>1491</v>
      </c>
    </row>
    <row r="933" spans="1:23" ht="225">
      <c r="A933" s="1">
        <v>1366577</v>
      </c>
      <c r="B933" s="1">
        <v>1</v>
      </c>
      <c r="C933" s="1">
        <v>170</v>
      </c>
      <c r="D933" s="2" t="s">
        <v>1215</v>
      </c>
      <c r="E933" s="11" t="s">
        <v>1215</v>
      </c>
      <c r="F933" s="11">
        <v>14594</v>
      </c>
      <c r="G933" s="2" t="s">
        <v>1494</v>
      </c>
      <c r="H933" s="2" t="s">
        <v>1495</v>
      </c>
      <c r="I933" s="2" t="s">
        <v>1496</v>
      </c>
      <c r="J933" s="2" t="str">
        <f>CONCATENATE(G933,F933,H933,C933,I933)</f>
        <v>https://permalinkbnd.bnportugal.gov.pt/viewer/14594/?offset=#page=170&amp;viewer=picture&amp;o=info&amp;n=0&amp;q=</v>
      </c>
      <c r="K933" s="1" t="s">
        <v>1216</v>
      </c>
      <c r="L933" s="1" t="str">
        <f>VLOOKUP(A933,Folha2!$A$2:$B$2019,2,FALSE)</f>
        <v>Les lusiades de Luiz de Camoens / traduit du portugais par J. B. J. Millié ; a été illustré par Bernard Roy. - Paris : imprimerie F. Paillart : en la rue de Beaune, à lªenseigne du Pot Cassé, 1931, sem argumentos. As notas são brevíssimas.</v>
      </c>
      <c r="M933" s="12" t="str">
        <f>HYPERLINK(J933)</f>
        <v>https://permalinkbnd.bnportugal.gov.pt/viewer/14594/?offset=#page=170&amp;viewer=picture&amp;o=info&amp;n=0&amp;q=</v>
      </c>
      <c r="N933" s="12" t="s">
        <v>1497</v>
      </c>
      <c r="O933" s="12" t="str">
        <f>CONCATENATE(N933,A933,"\",B933,"\",C933,".jpg")</f>
        <v>C:\Users\mbaptista\OneDrive - Biblioteca Nacional de Portugal\Documentos\python\camoniana\imagens\capas\1366577\1\170.jpg</v>
      </c>
      <c r="P933" s="12" t="str">
        <f>HYPERLINK(O933)</f>
        <v>C:\Users\mbaptista\OneDrive - Biblioteca Nacional de Portugal\Documentos\python\camoniana\imagens\capas\1366577\1\170.jpg</v>
      </c>
      <c r="Q933" s="12"/>
      <c r="R933" s="6" t="s">
        <v>1228</v>
      </c>
      <c r="S933" s="12"/>
      <c r="T933" s="1" t="s">
        <v>1217</v>
      </c>
      <c r="U933" s="13"/>
      <c r="V933" s="13"/>
      <c r="W933" s="5" t="s">
        <v>1491</v>
      </c>
    </row>
    <row r="934" spans="1:23" ht="225">
      <c r="A934" s="1">
        <v>1366577</v>
      </c>
      <c r="B934" s="1">
        <v>1</v>
      </c>
      <c r="C934" s="1">
        <v>171</v>
      </c>
      <c r="D934" s="2" t="s">
        <v>1215</v>
      </c>
      <c r="E934" s="5" t="s">
        <v>1215</v>
      </c>
      <c r="F934" s="5">
        <v>14594</v>
      </c>
      <c r="G934" s="2" t="s">
        <v>1494</v>
      </c>
      <c r="H934" s="2" t="s">
        <v>1495</v>
      </c>
      <c r="I934" s="2" t="s">
        <v>1496</v>
      </c>
      <c r="J934" s="2" t="str">
        <f>CONCATENATE(G934,F934,H934,C934,I934)</f>
        <v>https://permalinkbnd.bnportugal.gov.pt/viewer/14594/?offset=#page=171&amp;viewer=picture&amp;o=info&amp;n=0&amp;q=</v>
      </c>
      <c r="K934" s="1" t="s">
        <v>1216</v>
      </c>
      <c r="L934" s="1" t="str">
        <f>VLOOKUP(A934,Folha2!$A$2:$B$2019,2,FALSE)</f>
        <v>Les lusiades de Luiz de Camoens / traduit du portugais par J. B. J. Millié ; a été illustré par Bernard Roy. - Paris : imprimerie F. Paillart : en la rue de Beaune, à lªenseigne du Pot Cassé, 1931, sem argumentos. As notas são brevíssimas.</v>
      </c>
      <c r="M934" s="12" t="str">
        <f>HYPERLINK(J934)</f>
        <v>https://permalinkbnd.bnportugal.gov.pt/viewer/14594/?offset=#page=171&amp;viewer=picture&amp;o=info&amp;n=0&amp;q=</v>
      </c>
      <c r="N934" s="12" t="s">
        <v>1497</v>
      </c>
      <c r="O934" s="12" t="str">
        <f>CONCATENATE(N934,A934,"\",B934,"\",C934,".jpg")</f>
        <v>C:\Users\mbaptista\OneDrive - Biblioteca Nacional de Portugal\Documentos\python\camoniana\imagens\capas\1366577\1\171.jpg</v>
      </c>
      <c r="P934" s="12" t="str">
        <f>HYPERLINK(O934)</f>
        <v>C:\Users\mbaptista\OneDrive - Biblioteca Nacional de Portugal\Documentos\python\camoniana\imagens\capas\1366577\1\171.jpg</v>
      </c>
      <c r="Q934" s="12"/>
      <c r="R934" s="6" t="s">
        <v>1229</v>
      </c>
      <c r="S934" s="12"/>
      <c r="T934" s="1" t="s">
        <v>1217</v>
      </c>
      <c r="U934" s="13"/>
      <c r="V934" s="13"/>
      <c r="W934" s="5" t="s">
        <v>1491</v>
      </c>
    </row>
    <row r="935" spans="1:23" ht="225">
      <c r="A935" s="1">
        <v>1366577</v>
      </c>
      <c r="B935" s="1">
        <v>1</v>
      </c>
      <c r="C935" s="1">
        <v>188</v>
      </c>
      <c r="D935" s="2" t="s">
        <v>1215</v>
      </c>
      <c r="E935" s="11" t="s">
        <v>1215</v>
      </c>
      <c r="F935" s="11">
        <v>14594</v>
      </c>
      <c r="G935" s="2" t="s">
        <v>1494</v>
      </c>
      <c r="H935" s="2" t="s">
        <v>1495</v>
      </c>
      <c r="I935" s="2" t="s">
        <v>1496</v>
      </c>
      <c r="J935" s="2" t="str">
        <f>CONCATENATE(G935,F935,H935,C935,I935)</f>
        <v>https://permalinkbnd.bnportugal.gov.pt/viewer/14594/?offset=#page=188&amp;viewer=picture&amp;o=info&amp;n=0&amp;q=</v>
      </c>
      <c r="K935" s="1" t="s">
        <v>1216</v>
      </c>
      <c r="L935" s="1" t="str">
        <f>VLOOKUP(A935,Folha2!$A$2:$B$2019,2,FALSE)</f>
        <v>Les lusiades de Luiz de Camoens / traduit du portugais par J. B. J. Millié ; a été illustré par Bernard Roy. - Paris : imprimerie F. Paillart : en la rue de Beaune, à lªenseigne du Pot Cassé, 1931, sem argumentos. As notas são brevíssimas.</v>
      </c>
      <c r="M935" s="12" t="str">
        <f>HYPERLINK(J935)</f>
        <v>https://permalinkbnd.bnportugal.gov.pt/viewer/14594/?offset=#page=188&amp;viewer=picture&amp;o=info&amp;n=0&amp;q=</v>
      </c>
      <c r="N935" s="12" t="s">
        <v>1497</v>
      </c>
      <c r="O935" s="12" t="str">
        <f>CONCATENATE(N935,A935,"\",B935,"\",C935,".jpg")</f>
        <v>C:\Users\mbaptista\OneDrive - Biblioteca Nacional de Portugal\Documentos\python\camoniana\imagens\capas\1366577\1\188.jpg</v>
      </c>
      <c r="P935" s="12" t="str">
        <f>HYPERLINK(O935)</f>
        <v>C:\Users\mbaptista\OneDrive - Biblioteca Nacional de Portugal\Documentos\python\camoniana\imagens\capas\1366577\1\188.jpg</v>
      </c>
      <c r="Q935" s="12"/>
      <c r="R935" s="6" t="s">
        <v>1230</v>
      </c>
      <c r="S935" s="12"/>
      <c r="T935" s="1" t="s">
        <v>1217</v>
      </c>
      <c r="U935" s="13"/>
      <c r="V935" s="13"/>
      <c r="W935" s="5" t="s">
        <v>1491</v>
      </c>
    </row>
    <row r="936" spans="1:23" ht="225">
      <c r="A936" s="1">
        <v>1366577</v>
      </c>
      <c r="B936" s="1">
        <v>1</v>
      </c>
      <c r="C936" s="1">
        <v>189</v>
      </c>
      <c r="D936" s="2" t="s">
        <v>1215</v>
      </c>
      <c r="E936" s="5" t="s">
        <v>1215</v>
      </c>
      <c r="F936" s="5">
        <v>14594</v>
      </c>
      <c r="G936" s="2" t="s">
        <v>1494</v>
      </c>
      <c r="H936" s="2" t="s">
        <v>1495</v>
      </c>
      <c r="I936" s="2" t="s">
        <v>1496</v>
      </c>
      <c r="J936" s="2" t="str">
        <f>CONCATENATE(G936,F936,H936,C936,I936)</f>
        <v>https://permalinkbnd.bnportugal.gov.pt/viewer/14594/?offset=#page=189&amp;viewer=picture&amp;o=info&amp;n=0&amp;q=</v>
      </c>
      <c r="K936" s="1" t="s">
        <v>1216</v>
      </c>
      <c r="L936" s="1" t="str">
        <f>VLOOKUP(A936,Folha2!$A$2:$B$2019,2,FALSE)</f>
        <v>Les lusiades de Luiz de Camoens / traduit du portugais par J. B. J. Millié ; a été illustré par Bernard Roy. - Paris : imprimerie F. Paillart : en la rue de Beaune, à lªenseigne du Pot Cassé, 1931, sem argumentos. As notas são brevíssimas.</v>
      </c>
      <c r="M936" s="12" t="str">
        <f>HYPERLINK(J936)</f>
        <v>https://permalinkbnd.bnportugal.gov.pt/viewer/14594/?offset=#page=189&amp;viewer=picture&amp;o=info&amp;n=0&amp;q=</v>
      </c>
      <c r="N936" s="12" t="s">
        <v>1497</v>
      </c>
      <c r="O936" s="12" t="str">
        <f>CONCATENATE(N936,A936,"\",B936,"\",C936,".jpg")</f>
        <v>C:\Users\mbaptista\OneDrive - Biblioteca Nacional de Portugal\Documentos\python\camoniana\imagens\capas\1366577\1\189.jpg</v>
      </c>
      <c r="P936" s="12" t="str">
        <f>HYPERLINK(O936)</f>
        <v>C:\Users\mbaptista\OneDrive - Biblioteca Nacional de Portugal\Documentos\python\camoniana\imagens\capas\1366577\1\189.jpg</v>
      </c>
      <c r="Q936" s="12"/>
      <c r="R936" s="6" t="s">
        <v>1231</v>
      </c>
      <c r="S936" s="12"/>
      <c r="T936" s="1" t="s">
        <v>1217</v>
      </c>
      <c r="U936" s="13"/>
      <c r="V936" s="13"/>
      <c r="W936" s="5" t="s">
        <v>1491</v>
      </c>
    </row>
    <row r="937" spans="1:23" ht="225">
      <c r="A937" s="1">
        <v>1366577</v>
      </c>
      <c r="B937" s="1">
        <v>1</v>
      </c>
      <c r="C937" s="1">
        <v>208</v>
      </c>
      <c r="D937" s="2" t="s">
        <v>1215</v>
      </c>
      <c r="E937" s="11" t="s">
        <v>1215</v>
      </c>
      <c r="F937" s="11">
        <v>14594</v>
      </c>
      <c r="G937" s="2" t="s">
        <v>1494</v>
      </c>
      <c r="H937" s="2" t="s">
        <v>1495</v>
      </c>
      <c r="I937" s="2" t="s">
        <v>1496</v>
      </c>
      <c r="J937" s="2" t="str">
        <f>CONCATENATE(G937,F937,H937,C937,I937)</f>
        <v>https://permalinkbnd.bnportugal.gov.pt/viewer/14594/?offset=#page=208&amp;viewer=picture&amp;o=info&amp;n=0&amp;q=</v>
      </c>
      <c r="K937" s="1" t="s">
        <v>1216</v>
      </c>
      <c r="L937" s="1" t="str">
        <f>VLOOKUP(A937,Folha2!$A$2:$B$2019,2,FALSE)</f>
        <v>Les lusiades de Luiz de Camoens / traduit du portugais par J. B. J. Millié ; a été illustré par Bernard Roy. - Paris : imprimerie F. Paillart : en la rue de Beaune, à lªenseigne du Pot Cassé, 1931, sem argumentos. As notas são brevíssimas.</v>
      </c>
      <c r="M937" s="12" t="str">
        <f>HYPERLINK(J937)</f>
        <v>https://permalinkbnd.bnportugal.gov.pt/viewer/14594/?offset=#page=208&amp;viewer=picture&amp;o=info&amp;n=0&amp;q=</v>
      </c>
      <c r="N937" s="12" t="s">
        <v>1497</v>
      </c>
      <c r="O937" s="12" t="str">
        <f>CONCATENATE(N937,A937,"\",B937,"\",C937,".jpg")</f>
        <v>C:\Users\mbaptista\OneDrive - Biblioteca Nacional de Portugal\Documentos\python\camoniana\imagens\capas\1366577\1\208.jpg</v>
      </c>
      <c r="P937" s="12" t="str">
        <f>HYPERLINK(O937)</f>
        <v>C:\Users\mbaptista\OneDrive - Biblioteca Nacional de Portugal\Documentos\python\camoniana\imagens\capas\1366577\1\208.jpg</v>
      </c>
      <c r="Q937" s="12"/>
      <c r="R937" s="6" t="s">
        <v>1232</v>
      </c>
      <c r="S937" s="12"/>
      <c r="T937" s="1" t="s">
        <v>1217</v>
      </c>
      <c r="U937" s="13"/>
      <c r="V937" s="13"/>
      <c r="W937" s="5" t="s">
        <v>1491</v>
      </c>
    </row>
    <row r="938" spans="1:23" ht="225">
      <c r="A938" s="1">
        <v>1366577</v>
      </c>
      <c r="B938" s="1">
        <v>1</v>
      </c>
      <c r="C938" s="1">
        <v>209</v>
      </c>
      <c r="D938" s="2" t="s">
        <v>1215</v>
      </c>
      <c r="E938" s="5" t="s">
        <v>1215</v>
      </c>
      <c r="F938" s="5">
        <v>14594</v>
      </c>
      <c r="G938" s="2" t="s">
        <v>1494</v>
      </c>
      <c r="H938" s="2" t="s">
        <v>1495</v>
      </c>
      <c r="I938" s="2" t="s">
        <v>1496</v>
      </c>
      <c r="J938" s="2" t="str">
        <f>CONCATENATE(G938,F938,H938,C938,I938)</f>
        <v>https://permalinkbnd.bnportugal.gov.pt/viewer/14594/?offset=#page=209&amp;viewer=picture&amp;o=info&amp;n=0&amp;q=</v>
      </c>
      <c r="K938" s="1" t="s">
        <v>1216</v>
      </c>
      <c r="L938" s="1" t="str">
        <f>VLOOKUP(A938,Folha2!$A$2:$B$2019,2,FALSE)</f>
        <v>Les lusiades de Luiz de Camoens / traduit du portugais par J. B. J. Millié ; a été illustré par Bernard Roy. - Paris : imprimerie F. Paillart : en la rue de Beaune, à lªenseigne du Pot Cassé, 1931, sem argumentos. As notas são brevíssimas.</v>
      </c>
      <c r="M938" s="12" t="str">
        <f>HYPERLINK(J938)</f>
        <v>https://permalinkbnd.bnportugal.gov.pt/viewer/14594/?offset=#page=209&amp;viewer=picture&amp;o=info&amp;n=0&amp;q=</v>
      </c>
      <c r="N938" s="12" t="s">
        <v>1497</v>
      </c>
      <c r="O938" s="12" t="str">
        <f>CONCATENATE(N938,A938,"\",B938,"\",C938,".jpg")</f>
        <v>C:\Users\mbaptista\OneDrive - Biblioteca Nacional de Portugal\Documentos\python\camoniana\imagens\capas\1366577\1\209.jpg</v>
      </c>
      <c r="P938" s="12" t="str">
        <f>HYPERLINK(O938)</f>
        <v>C:\Users\mbaptista\OneDrive - Biblioteca Nacional de Portugal\Documentos\python\camoniana\imagens\capas\1366577\1\209.jpg</v>
      </c>
      <c r="Q938" s="12"/>
      <c r="R938" s="6" t="s">
        <v>1233</v>
      </c>
      <c r="S938" s="12"/>
      <c r="T938" s="1" t="s">
        <v>1217</v>
      </c>
      <c r="U938" s="13"/>
      <c r="V938" s="13"/>
      <c r="W938" s="5" t="s">
        <v>1491</v>
      </c>
    </row>
    <row r="939" spans="1:23" ht="225">
      <c r="A939" s="1">
        <v>1366577</v>
      </c>
      <c r="B939" s="1">
        <v>1</v>
      </c>
      <c r="C939" s="1">
        <v>228</v>
      </c>
      <c r="D939" s="2" t="s">
        <v>1215</v>
      </c>
      <c r="E939" s="11" t="s">
        <v>1215</v>
      </c>
      <c r="F939" s="11">
        <v>14594</v>
      </c>
      <c r="G939" s="2" t="s">
        <v>1494</v>
      </c>
      <c r="H939" s="2" t="s">
        <v>1495</v>
      </c>
      <c r="I939" s="2" t="s">
        <v>1496</v>
      </c>
      <c r="J939" s="2" t="str">
        <f>CONCATENATE(G939,F939,H939,C939,I939)</f>
        <v>https://permalinkbnd.bnportugal.gov.pt/viewer/14594/?offset=#page=228&amp;viewer=picture&amp;o=info&amp;n=0&amp;q=</v>
      </c>
      <c r="K939" s="1" t="s">
        <v>1216</v>
      </c>
      <c r="L939" s="1" t="str">
        <f>VLOOKUP(A939,Folha2!$A$2:$B$2019,2,FALSE)</f>
        <v>Les lusiades de Luiz de Camoens / traduit du portugais par J. B. J. Millié ; a été illustré par Bernard Roy. - Paris : imprimerie F. Paillart : en la rue de Beaune, à lªenseigne du Pot Cassé, 1931, sem argumentos. As notas são brevíssimas.</v>
      </c>
      <c r="M939" s="12" t="str">
        <f>HYPERLINK(J939)</f>
        <v>https://permalinkbnd.bnportugal.gov.pt/viewer/14594/?offset=#page=228&amp;viewer=picture&amp;o=info&amp;n=0&amp;q=</v>
      </c>
      <c r="N939" s="12" t="s">
        <v>1497</v>
      </c>
      <c r="O939" s="12" t="str">
        <f>CONCATENATE(N939,A939,"\",B939,"\",C939,".jpg")</f>
        <v>C:\Users\mbaptista\OneDrive - Biblioteca Nacional de Portugal\Documentos\python\camoniana\imagens\capas\1366577\1\228.jpg</v>
      </c>
      <c r="P939" s="12" t="str">
        <f>HYPERLINK(O939)</f>
        <v>C:\Users\mbaptista\OneDrive - Biblioteca Nacional de Portugal\Documentos\python\camoniana\imagens\capas\1366577\1\228.jpg</v>
      </c>
      <c r="Q939" s="12"/>
      <c r="R939" s="6" t="s">
        <v>1234</v>
      </c>
      <c r="S939" s="12"/>
      <c r="T939" s="1" t="s">
        <v>1217</v>
      </c>
      <c r="U939" s="13"/>
      <c r="V939" s="13"/>
      <c r="W939" s="5" t="s">
        <v>1491</v>
      </c>
    </row>
    <row r="940" spans="1:23" ht="225">
      <c r="A940" s="1">
        <v>1366577</v>
      </c>
      <c r="B940" s="1">
        <v>1</v>
      </c>
      <c r="C940" s="1">
        <v>229</v>
      </c>
      <c r="D940" s="2" t="s">
        <v>1215</v>
      </c>
      <c r="E940" s="5" t="s">
        <v>1215</v>
      </c>
      <c r="F940" s="5">
        <v>14594</v>
      </c>
      <c r="G940" s="2" t="s">
        <v>1494</v>
      </c>
      <c r="H940" s="2" t="s">
        <v>1495</v>
      </c>
      <c r="I940" s="2" t="s">
        <v>1496</v>
      </c>
      <c r="J940" s="2" t="str">
        <f>CONCATENATE(G940,F940,H940,C940,I940)</f>
        <v>https://permalinkbnd.bnportugal.gov.pt/viewer/14594/?offset=#page=229&amp;viewer=picture&amp;o=info&amp;n=0&amp;q=</v>
      </c>
      <c r="K940" s="1" t="s">
        <v>1216</v>
      </c>
      <c r="L940" s="1" t="str">
        <f>VLOOKUP(A940,Folha2!$A$2:$B$2019,2,FALSE)</f>
        <v>Les lusiades de Luiz de Camoens / traduit du portugais par J. B. J. Millié ; a été illustré par Bernard Roy. - Paris : imprimerie F. Paillart : en la rue de Beaune, à lªenseigne du Pot Cassé, 1931, sem argumentos. As notas são brevíssimas.</v>
      </c>
      <c r="M940" s="12" t="str">
        <f>HYPERLINK(J940)</f>
        <v>https://permalinkbnd.bnportugal.gov.pt/viewer/14594/?offset=#page=229&amp;viewer=picture&amp;o=info&amp;n=0&amp;q=</v>
      </c>
      <c r="N940" s="12" t="s">
        <v>1497</v>
      </c>
      <c r="O940" s="12" t="str">
        <f>CONCATENATE(N940,A940,"\",B940,"\",C940,".jpg")</f>
        <v>C:\Users\mbaptista\OneDrive - Biblioteca Nacional de Portugal\Documentos\python\camoniana\imagens\capas\1366577\1\229.jpg</v>
      </c>
      <c r="P940" s="12" t="str">
        <f>HYPERLINK(O940)</f>
        <v>C:\Users\mbaptista\OneDrive - Biblioteca Nacional de Portugal\Documentos\python\camoniana\imagens\capas\1366577\1\229.jpg</v>
      </c>
      <c r="Q940" s="12"/>
      <c r="R940" s="6" t="s">
        <v>1235</v>
      </c>
      <c r="S940" s="12"/>
      <c r="T940" s="1" t="s">
        <v>1217</v>
      </c>
      <c r="U940" s="13"/>
      <c r="V940" s="13"/>
      <c r="W940" s="5" t="s">
        <v>1491</v>
      </c>
    </row>
    <row r="941" spans="1:23" ht="225">
      <c r="A941" s="1">
        <v>1366577</v>
      </c>
      <c r="B941" s="1">
        <v>1</v>
      </c>
      <c r="C941" s="1">
        <v>256</v>
      </c>
      <c r="D941" s="2" t="s">
        <v>1215</v>
      </c>
      <c r="E941" s="11" t="s">
        <v>1215</v>
      </c>
      <c r="F941" s="11">
        <v>14594</v>
      </c>
      <c r="G941" s="2" t="s">
        <v>1494</v>
      </c>
      <c r="H941" s="2" t="s">
        <v>1495</v>
      </c>
      <c r="I941" s="2" t="s">
        <v>1496</v>
      </c>
      <c r="J941" s="2" t="str">
        <f>CONCATENATE(G941,F941,H941,C941,I941)</f>
        <v>https://permalinkbnd.bnportugal.gov.pt/viewer/14594/?offset=#page=256&amp;viewer=picture&amp;o=info&amp;n=0&amp;q=</v>
      </c>
      <c r="K941" s="1" t="s">
        <v>1216</v>
      </c>
      <c r="L941" s="1" t="str">
        <f>VLOOKUP(A941,Folha2!$A$2:$B$2019,2,FALSE)</f>
        <v>Les lusiades de Luiz de Camoens / traduit du portugais par J. B. J. Millié ; a été illustré par Bernard Roy. - Paris : imprimerie F. Paillart : en la rue de Beaune, à lªenseigne du Pot Cassé, 1931, sem argumentos. As notas são brevíssimas.</v>
      </c>
      <c r="M941" s="12" t="str">
        <f>HYPERLINK(J941)</f>
        <v>https://permalinkbnd.bnportugal.gov.pt/viewer/14594/?offset=#page=256&amp;viewer=picture&amp;o=info&amp;n=0&amp;q=</v>
      </c>
      <c r="N941" s="12" t="s">
        <v>1497</v>
      </c>
      <c r="O941" s="12" t="str">
        <f>CONCATENATE(N941,A941,"\",B941,"\",C941,".jpg")</f>
        <v>C:\Users\mbaptista\OneDrive - Biblioteca Nacional de Portugal\Documentos\python\camoniana\imagens\capas\1366577\1\256.jpg</v>
      </c>
      <c r="P941" s="12" t="str">
        <f>HYPERLINK(O941)</f>
        <v>C:\Users\mbaptista\OneDrive - Biblioteca Nacional de Portugal\Documentos\python\camoniana\imagens\capas\1366577\1\256.jpg</v>
      </c>
      <c r="Q941" s="12"/>
      <c r="R941" s="6"/>
      <c r="S941" s="12"/>
      <c r="T941" s="1"/>
      <c r="U941" s="13"/>
      <c r="V941" s="13"/>
      <c r="W941" s="5"/>
    </row>
    <row r="942" spans="1:23" ht="225">
      <c r="A942" s="1">
        <v>1366577</v>
      </c>
      <c r="B942" s="1">
        <v>1</v>
      </c>
      <c r="C942" s="1">
        <v>257</v>
      </c>
      <c r="D942" s="2" t="s">
        <v>1215</v>
      </c>
      <c r="E942" s="5" t="s">
        <v>1215</v>
      </c>
      <c r="F942" s="5">
        <v>14594</v>
      </c>
      <c r="G942" s="2" t="s">
        <v>1494</v>
      </c>
      <c r="H942" s="2" t="s">
        <v>1495</v>
      </c>
      <c r="I942" s="2" t="s">
        <v>1496</v>
      </c>
      <c r="J942" s="2" t="str">
        <f>CONCATENATE(G942,F942,H942,C942,I942)</f>
        <v>https://permalinkbnd.bnportugal.gov.pt/viewer/14594/?offset=#page=257&amp;viewer=picture&amp;o=info&amp;n=0&amp;q=</v>
      </c>
      <c r="K942" s="1" t="s">
        <v>1216</v>
      </c>
      <c r="L942" s="1" t="str">
        <f>VLOOKUP(A942,Folha2!$A$2:$B$2019,2,FALSE)</f>
        <v>Les lusiades de Luiz de Camoens / traduit du portugais par J. B. J. Millié ; a été illustré par Bernard Roy. - Paris : imprimerie F. Paillart : en la rue de Beaune, à lªenseigne du Pot Cassé, 1931, sem argumentos. As notas são brevíssimas.</v>
      </c>
      <c r="M942" s="12" t="str">
        <f>HYPERLINK(J942)</f>
        <v>https://permalinkbnd.bnportugal.gov.pt/viewer/14594/?offset=#page=257&amp;viewer=picture&amp;o=info&amp;n=0&amp;q=</v>
      </c>
      <c r="N942" s="12" t="s">
        <v>1497</v>
      </c>
      <c r="O942" s="12" t="str">
        <f>CONCATENATE(N942,A942,"\",B942,"\",C942,".jpg")</f>
        <v>C:\Users\mbaptista\OneDrive - Biblioteca Nacional de Portugal\Documentos\python\camoniana\imagens\capas\1366577\1\257.jpg</v>
      </c>
      <c r="P942" s="12" t="str">
        <f>HYPERLINK(O942)</f>
        <v>C:\Users\mbaptista\OneDrive - Biblioteca Nacional de Portugal\Documentos\python\camoniana\imagens\capas\1366577\1\257.jpg</v>
      </c>
      <c r="Q942" s="12"/>
      <c r="R942" s="6"/>
      <c r="S942" s="12"/>
      <c r="T942" s="1"/>
      <c r="U942" s="13"/>
      <c r="V942" s="13"/>
      <c r="W942" s="5"/>
    </row>
    <row r="943" spans="1:23" ht="225">
      <c r="A943" s="1">
        <v>1917811</v>
      </c>
      <c r="B943" s="1">
        <v>1</v>
      </c>
      <c r="C943" s="1">
        <v>1</v>
      </c>
      <c r="D943" s="2" t="s">
        <v>1236</v>
      </c>
      <c r="E943" s="11" t="s">
        <v>1236</v>
      </c>
      <c r="F943" s="11">
        <v>89062</v>
      </c>
      <c r="G943" s="2" t="s">
        <v>1494</v>
      </c>
      <c r="H943" s="2" t="s">
        <v>1495</v>
      </c>
      <c r="I943" s="2" t="s">
        <v>1496</v>
      </c>
      <c r="J943" s="2" t="str">
        <f>CONCATENATE(G943,F943,H943,C943,I943)</f>
        <v>https://permalinkbnd.bnportugal.gov.pt/viewer/89062/?offset=#page=1&amp;viewer=picture&amp;o=info&amp;n=0&amp;q=</v>
      </c>
      <c r="K943" s="1">
        <v>1</v>
      </c>
      <c r="L943" s="1" t="str">
        <f>VLOOKUP(A943,Folha2!$A$2:$B$2019,2,FALSE)</f>
        <v>Gruta de Camões, postal. Iconografia, Lugares de memória.</v>
      </c>
      <c r="M943" s="12" t="str">
        <f>HYPERLINK(J943)</f>
        <v>https://permalinkbnd.bnportugal.gov.pt/viewer/89062/?offset=#page=1&amp;viewer=picture&amp;o=info&amp;n=0&amp;q=</v>
      </c>
      <c r="N943" s="12" t="s">
        <v>1497</v>
      </c>
      <c r="O943" s="12" t="str">
        <f>CONCATENATE(N943,A943,"\",B943,"\",C943,".jpg")</f>
        <v>C:\Users\mbaptista\OneDrive - Biblioteca Nacional de Portugal\Documentos\python\camoniana\imagens\capas\1917811\1\1.jpg</v>
      </c>
      <c r="P943" s="12" t="str">
        <f>HYPERLINK(O943)</f>
        <v>C:\Users\mbaptista\OneDrive - Biblioteca Nacional de Portugal\Documentos\python\camoniana\imagens\capas\1917811\1\1.jpg</v>
      </c>
      <c r="Q943" s="12"/>
      <c r="R943" s="6" t="s">
        <v>1237</v>
      </c>
      <c r="S943" s="12"/>
      <c r="T943" s="1">
        <v>1</v>
      </c>
      <c r="U943" s="13"/>
      <c r="V943" s="13"/>
      <c r="W943" s="5" t="s">
        <v>1491</v>
      </c>
    </row>
    <row r="944" spans="1:23" ht="225">
      <c r="A944" s="1">
        <v>2186705</v>
      </c>
      <c r="B944" s="1">
        <v>1</v>
      </c>
      <c r="C944" s="1">
        <v>4</v>
      </c>
      <c r="D944" s="2" t="s">
        <v>1238</v>
      </c>
      <c r="E944" s="5" t="s">
        <v>1238</v>
      </c>
      <c r="F944" s="5">
        <v>272813</v>
      </c>
      <c r="G944" s="2" t="s">
        <v>1494</v>
      </c>
      <c r="H944" s="2" t="s">
        <v>1495</v>
      </c>
      <c r="I944" s="2" t="s">
        <v>1496</v>
      </c>
      <c r="J944" s="2" t="str">
        <f>CONCATENATE(G944,F944,H944,C944,I944)</f>
        <v>https://permalinkbnd.bnportugal.gov.pt/viewer/272813/?offset=#page=4&amp;viewer=picture&amp;o=info&amp;n=0&amp;q=</v>
      </c>
      <c r="K944" s="1" t="s">
        <v>1239</v>
      </c>
      <c r="L944" s="1" t="str">
        <f>VLOOKUP(A944,Folha2!$A$2:$B$2019,2,FALSE)</f>
        <v>[Miscelânea camoniana : artigos de imprensa sobre Camões, 1867]. - Lisboa, 1867, inclui ainda imagem de G. Garibaldi, não inserida, recepção criativa, tematização, artigo sobre a vida do Poeta, sobre as oito estátuas do monumento do Poeta, entre outros. Celebrações (1860), periódicos.</v>
      </c>
      <c r="M944" s="12" t="str">
        <f>HYPERLINK(J944)</f>
        <v>https://permalinkbnd.bnportugal.gov.pt/viewer/272813/?offset=#page=4&amp;viewer=picture&amp;o=info&amp;n=0&amp;q=</v>
      </c>
      <c r="N944" s="12" t="s">
        <v>1497</v>
      </c>
      <c r="O944" s="12" t="str">
        <f>CONCATENATE(N944,A944,"\",B944,"\",C944,".jpg")</f>
        <v>C:\Users\mbaptista\OneDrive - Biblioteca Nacional de Portugal\Documentos\python\camoniana\imagens\capas\2186705\1\4.jpg</v>
      </c>
      <c r="P944" s="12" t="str">
        <f>HYPERLINK(O944)</f>
        <v>C:\Users\mbaptista\OneDrive - Biblioteca Nacional de Portugal\Documentos\python\camoniana\imagens\capas\2186705\1\4.jpg</v>
      </c>
      <c r="Q944" s="12"/>
      <c r="R944" s="6" t="s">
        <v>1240</v>
      </c>
      <c r="S944" s="12"/>
      <c r="T944" s="1">
        <v>4</v>
      </c>
      <c r="U944" s="13"/>
      <c r="V944" s="13"/>
      <c r="W944" s="5" t="s">
        <v>1491</v>
      </c>
    </row>
    <row r="945" spans="1:23" ht="225">
      <c r="A945" s="1">
        <v>252584</v>
      </c>
      <c r="B945" s="1">
        <v>1</v>
      </c>
      <c r="C945" s="1">
        <v>13</v>
      </c>
      <c r="D945" s="2" t="s">
        <v>1241</v>
      </c>
      <c r="E945" s="11" t="s">
        <v>1241</v>
      </c>
      <c r="F945" s="11">
        <v>279095</v>
      </c>
      <c r="G945" s="2" t="s">
        <v>1494</v>
      </c>
      <c r="H945" s="2" t="s">
        <v>1495</v>
      </c>
      <c r="I945" s="2" t="s">
        <v>1496</v>
      </c>
      <c r="J945" s="2" t="str">
        <f>CONCATENATE(G945,F945,H945,C945,I945)</f>
        <v>https://permalinkbnd.bnportugal.gov.pt/viewer/279095/?offset=#page=13&amp;viewer=picture&amp;o=info&amp;n=0&amp;q=</v>
      </c>
      <c r="K945" s="1" t="s">
        <v>276</v>
      </c>
      <c r="L945" s="1" t="str">
        <f>VLOOKUP(A945,Folha2!$A$2:$B$2019,2,FALSE)</f>
        <v>A fábula de Narciso / por Luís de Camões. - Porto : Imprensa Internacional, 1880. Paratextos vida, que surgem em "Cálculo", cf. Im. 36; Inclui ainda "O leito de Camões" de Ulpio Veiga, cf. Im. 37: Celebrações (1880), recepção criativa, tematização.</v>
      </c>
      <c r="M945" s="12" t="str">
        <f>HYPERLINK(J945)</f>
        <v>https://permalinkbnd.bnportugal.gov.pt/viewer/279095/?offset=#page=13&amp;viewer=picture&amp;o=info&amp;n=0&amp;q=</v>
      </c>
      <c r="N945" s="12" t="s">
        <v>1497</v>
      </c>
      <c r="O945" s="12" t="str">
        <f>CONCATENATE(N945,A945,"\",B945,"\",C945,".jpg")</f>
        <v>C:\Users\mbaptista\OneDrive - Biblioteca Nacional de Portugal\Documentos\python\camoniana\imagens\capas\252584\1\13.jpg</v>
      </c>
      <c r="P945" s="12" t="str">
        <f>HYPERLINK(O945)</f>
        <v>C:\Users\mbaptista\OneDrive - Biblioteca Nacional de Portugal\Documentos\python\camoniana\imagens\capas\252584\1\13.jpg</v>
      </c>
      <c r="Q945" s="12"/>
      <c r="R945" s="6" t="s">
        <v>1242</v>
      </c>
      <c r="S945" s="12"/>
      <c r="T945" s="1">
        <v>13</v>
      </c>
      <c r="U945" s="13"/>
      <c r="V945" s="13"/>
      <c r="W945" s="5" t="s">
        <v>1491</v>
      </c>
    </row>
    <row r="946" spans="1:23" ht="225">
      <c r="A946" s="1">
        <v>370691</v>
      </c>
      <c r="B946" s="1">
        <v>1</v>
      </c>
      <c r="C946" s="1">
        <v>15</v>
      </c>
      <c r="D946" s="2" t="s">
        <v>1243</v>
      </c>
      <c r="E946" s="5" t="s">
        <v>1243</v>
      </c>
      <c r="F946" s="5">
        <v>278400</v>
      </c>
      <c r="G946" s="2" t="s">
        <v>1494</v>
      </c>
      <c r="H946" s="2" t="s">
        <v>1495</v>
      </c>
      <c r="I946" s="2" t="s">
        <v>1496</v>
      </c>
      <c r="J946" s="2" t="str">
        <f>CONCATENATE(G946,F946,H946,C946,I946)</f>
        <v>https://permalinkbnd.bnportugal.gov.pt/viewer/278400/?offset=#page=15&amp;viewer=picture&amp;o=info&amp;n=0&amp;q=</v>
      </c>
      <c r="K946" s="1" t="s">
        <v>1244</v>
      </c>
      <c r="L946" s="1" t="str">
        <f>VLOOKUP(A946,Folha2!$A$2:$B$2019,2,FALSE)</f>
        <v>Poesias lyricas / de Luiz de Camões. - Rio de Janeiro : [s.n., 1880]. [sonetos, elegias, odes, canções, oitavas, sextinas] Obra não tem indicação de fim e, por isso, parece estar incompleta, assim no original?</v>
      </c>
      <c r="M946" s="12" t="str">
        <f>HYPERLINK(J946)</f>
        <v>https://permalinkbnd.bnportugal.gov.pt/viewer/278400/?offset=#page=15&amp;viewer=picture&amp;o=info&amp;n=0&amp;q=</v>
      </c>
      <c r="N946" s="12" t="s">
        <v>1497</v>
      </c>
      <c r="O946" s="12" t="str">
        <f>CONCATENATE(N946,A946,"\",B946,"\",C946,".jpg")</f>
        <v>C:\Users\mbaptista\OneDrive - Biblioteca Nacional de Portugal\Documentos\python\camoniana\imagens\capas\370691\1\15.jpg</v>
      </c>
      <c r="P946" s="12" t="str">
        <f>HYPERLINK(O946)</f>
        <v>C:\Users\mbaptista\OneDrive - Biblioteca Nacional de Portugal\Documentos\python\camoniana\imagens\capas\370691\1\15.jpg</v>
      </c>
      <c r="Q946" s="12"/>
      <c r="R946" s="6" t="s">
        <v>1245</v>
      </c>
      <c r="S946" s="12"/>
      <c r="T946" s="1"/>
      <c r="U946" s="13"/>
      <c r="V946" s="13"/>
      <c r="W946" s="5" t="s">
        <v>1491</v>
      </c>
    </row>
    <row r="947" spans="1:23" ht="225">
      <c r="A947" s="1">
        <v>370691</v>
      </c>
      <c r="B947" s="1">
        <v>1</v>
      </c>
      <c r="C947" s="13" t="s">
        <v>1246</v>
      </c>
      <c r="D947" s="2" t="s">
        <v>1243</v>
      </c>
      <c r="E947" s="11" t="s">
        <v>1243</v>
      </c>
      <c r="F947" s="11">
        <v>278400</v>
      </c>
      <c r="G947" s="2" t="s">
        <v>1494</v>
      </c>
      <c r="H947" s="2" t="s">
        <v>1495</v>
      </c>
      <c r="I947" s="2" t="s">
        <v>1496</v>
      </c>
      <c r="J947" s="2" t="str">
        <f>CONCATENATE(G947,F947,H947,C947,I947)</f>
        <v>https://permalinkbnd.bnportugal.gov.pt/viewer/278400/?offset=#page=117 vs. 109&amp;viewer=picture&amp;o=info&amp;n=0&amp;q=</v>
      </c>
      <c r="K947" s="1" t="s">
        <v>1244</v>
      </c>
      <c r="L947" s="1" t="str">
        <f>VLOOKUP(A947,Folha2!$A$2:$B$2019,2,FALSE)</f>
        <v>Poesias lyricas / de Luiz de Camões. - Rio de Janeiro : [s.n., 1880]. [sonetos, elegias, odes, canções, oitavas, sextinas] Obra não tem indicação de fim e, por isso, parece estar incompleta, assim no original?</v>
      </c>
      <c r="M947" s="12" t="str">
        <f>HYPERLINK(J947)</f>
        <v>https://permalinkbnd.bnportugal.gov.pt/viewer/278400/?offset=#page=117 vs. 109&amp;viewer=picture&amp;o=info&amp;n=0&amp;q=</v>
      </c>
      <c r="N947" s="12" t="s">
        <v>1497</v>
      </c>
      <c r="O947" s="12" t="str">
        <f>CONCATENATE(N947,A947,"\",B947,"\",C947,".jpg")</f>
        <v>C:\Users\mbaptista\OneDrive - Biblioteca Nacional de Portugal\Documentos\python\camoniana\imagens\capas\370691\1\117 vs. 109.jpg</v>
      </c>
      <c r="P947" s="12" t="str">
        <f>HYPERLINK(O947)</f>
        <v>C:\Users\mbaptista\OneDrive - Biblioteca Nacional de Portugal\Documentos\python\camoniana\imagens\capas\370691\1\117 vs. 109.jpg</v>
      </c>
      <c r="Q947" s="12"/>
      <c r="R947" s="6" t="s">
        <v>1248</v>
      </c>
      <c r="S947" s="12"/>
      <c r="T947" s="1"/>
      <c r="U947" s="13" t="s">
        <v>1247</v>
      </c>
      <c r="V947" s="13"/>
      <c r="W947" s="5" t="s">
        <v>1491</v>
      </c>
    </row>
    <row r="948" spans="1:23" ht="225">
      <c r="A948" s="1">
        <v>370691</v>
      </c>
      <c r="B948" s="1">
        <v>1</v>
      </c>
      <c r="C948" s="1">
        <v>121</v>
      </c>
      <c r="D948" s="2" t="s">
        <v>1243</v>
      </c>
      <c r="E948" s="5" t="s">
        <v>1243</v>
      </c>
      <c r="F948" s="5">
        <v>278400</v>
      </c>
      <c r="G948" s="2" t="s">
        <v>1494</v>
      </c>
      <c r="H948" s="2" t="s">
        <v>1495</v>
      </c>
      <c r="I948" s="2" t="s">
        <v>1496</v>
      </c>
      <c r="J948" s="2" t="str">
        <f>CONCATENATE(G948,F948,H948,C948,I948)</f>
        <v>https://permalinkbnd.bnportugal.gov.pt/viewer/278400/?offset=#page=121&amp;viewer=picture&amp;o=info&amp;n=0&amp;q=</v>
      </c>
      <c r="K948" s="1" t="s">
        <v>1244</v>
      </c>
      <c r="L948" s="1" t="str">
        <f>VLOOKUP(A948,Folha2!$A$2:$B$2019,2,FALSE)</f>
        <v>Poesias lyricas / de Luiz de Camões. - Rio de Janeiro : [s.n., 1880]. [sonetos, elegias, odes, canções, oitavas, sextinas] Obra não tem indicação de fim e, por isso, parece estar incompleta, assim no original?</v>
      </c>
      <c r="M948" s="12" t="str">
        <f>HYPERLINK(J948)</f>
        <v>https://permalinkbnd.bnportugal.gov.pt/viewer/278400/?offset=#page=121&amp;viewer=picture&amp;o=info&amp;n=0&amp;q=</v>
      </c>
      <c r="N948" s="12" t="s">
        <v>1497</v>
      </c>
      <c r="O948" s="12" t="str">
        <f>CONCATENATE(N948,A948,"\",B948,"\",C948,".jpg")</f>
        <v>C:\Users\mbaptista\OneDrive - Biblioteca Nacional de Portugal\Documentos\python\camoniana\imagens\capas\370691\1\121.jpg</v>
      </c>
      <c r="P948" s="12" t="str">
        <f>HYPERLINK(O948)</f>
        <v>C:\Users\mbaptista\OneDrive - Biblioteca Nacional de Portugal\Documentos\python\camoniana\imagens\capas\370691\1\121.jpg</v>
      </c>
      <c r="Q948" s="12"/>
      <c r="R948" s="6" t="s">
        <v>1249</v>
      </c>
      <c r="S948" s="12"/>
      <c r="T948" s="1"/>
      <c r="U948" s="13"/>
      <c r="V948" s="13"/>
      <c r="W948" s="5" t="s">
        <v>1491</v>
      </c>
    </row>
    <row r="949" spans="1:23" ht="225">
      <c r="A949" s="1">
        <v>370691</v>
      </c>
      <c r="B949" s="1">
        <v>1</v>
      </c>
      <c r="C949" s="13" t="s">
        <v>1250</v>
      </c>
      <c r="D949" s="2" t="s">
        <v>1243</v>
      </c>
      <c r="E949" s="11" t="s">
        <v>1243</v>
      </c>
      <c r="F949" s="11">
        <v>278400</v>
      </c>
      <c r="G949" s="2" t="s">
        <v>1494</v>
      </c>
      <c r="H949" s="2" t="s">
        <v>1495</v>
      </c>
      <c r="I949" s="2" t="s">
        <v>1496</v>
      </c>
      <c r="J949" s="2" t="str">
        <f>CONCATENATE(G949,F949,H949,C949,I949)</f>
        <v>https://permalinkbnd.bnportugal.gov.pt/viewer/278400/?offset=#page=153 vs. 135&amp;viewer=picture&amp;o=info&amp;n=0&amp;q=</v>
      </c>
      <c r="K949" s="1" t="s">
        <v>1244</v>
      </c>
      <c r="L949" s="1" t="str">
        <f>VLOOKUP(A949,Folha2!$A$2:$B$2019,2,FALSE)</f>
        <v>Poesias lyricas / de Luiz de Camões. - Rio de Janeiro : [s.n., 1880]. [sonetos, elegias, odes, canções, oitavas, sextinas] Obra não tem indicação de fim e, por isso, parece estar incompleta, assim no original?</v>
      </c>
      <c r="M949" s="12" t="str">
        <f>HYPERLINK(J949)</f>
        <v>https://permalinkbnd.bnportugal.gov.pt/viewer/278400/?offset=#page=153 vs. 135&amp;viewer=picture&amp;o=info&amp;n=0&amp;q=</v>
      </c>
      <c r="N949" s="12" t="s">
        <v>1497</v>
      </c>
      <c r="O949" s="12" t="str">
        <f>CONCATENATE(N949,A949,"\",B949,"\",C949,".jpg")</f>
        <v>C:\Users\mbaptista\OneDrive - Biblioteca Nacional de Portugal\Documentos\python\camoniana\imagens\capas\370691\1\153 vs. 135.jpg</v>
      </c>
      <c r="P949" s="12" t="str">
        <f>HYPERLINK(O949)</f>
        <v>C:\Users\mbaptista\OneDrive - Biblioteca Nacional de Portugal\Documentos\python\camoniana\imagens\capas\370691\1\153 vs. 135.jpg</v>
      </c>
      <c r="Q949" s="12"/>
      <c r="R949" s="6" t="s">
        <v>1252</v>
      </c>
      <c r="S949" s="12"/>
      <c r="T949" s="1"/>
      <c r="U949" s="13" t="s">
        <v>1251</v>
      </c>
      <c r="V949" s="13"/>
      <c r="W949" s="5" t="s">
        <v>1491</v>
      </c>
    </row>
    <row r="950" spans="1:23" ht="225">
      <c r="A950" s="1">
        <v>370691</v>
      </c>
      <c r="B950" s="1">
        <v>1</v>
      </c>
      <c r="C950" s="1">
        <v>145</v>
      </c>
      <c r="D950" s="2" t="s">
        <v>1243</v>
      </c>
      <c r="E950" s="5" t="s">
        <v>1243</v>
      </c>
      <c r="F950" s="5">
        <v>278400</v>
      </c>
      <c r="G950" s="2" t="s">
        <v>1494</v>
      </c>
      <c r="H950" s="2" t="s">
        <v>1495</v>
      </c>
      <c r="I950" s="2" t="s">
        <v>1496</v>
      </c>
      <c r="J950" s="2" t="str">
        <f>CONCATENATE(G950,F950,H950,C950,I950)</f>
        <v>https://permalinkbnd.bnportugal.gov.pt/viewer/278400/?offset=#page=145&amp;viewer=picture&amp;o=info&amp;n=0&amp;q=</v>
      </c>
      <c r="K950" s="1" t="s">
        <v>1244</v>
      </c>
      <c r="L950" s="1" t="str">
        <f>VLOOKUP(A950,Folha2!$A$2:$B$2019,2,FALSE)</f>
        <v>Poesias lyricas / de Luiz de Camões. - Rio de Janeiro : [s.n., 1880]. [sonetos, elegias, odes, canções, oitavas, sextinas] Obra não tem indicação de fim e, por isso, parece estar incompleta, assim no original?</v>
      </c>
      <c r="M950" s="12" t="str">
        <f>HYPERLINK(J950)</f>
        <v>https://permalinkbnd.bnportugal.gov.pt/viewer/278400/?offset=#page=145&amp;viewer=picture&amp;o=info&amp;n=0&amp;q=</v>
      </c>
      <c r="N950" s="12" t="s">
        <v>1497</v>
      </c>
      <c r="O950" s="12" t="str">
        <f>CONCATENATE(N950,A950,"\",B950,"\",C950,".jpg")</f>
        <v>C:\Users\mbaptista\OneDrive - Biblioteca Nacional de Portugal\Documentos\python\camoniana\imagens\capas\370691\1\145.jpg</v>
      </c>
      <c r="P950" s="12" t="str">
        <f>HYPERLINK(O950)</f>
        <v>C:\Users\mbaptista\OneDrive - Biblioteca Nacional de Portugal\Documentos\python\camoniana\imagens\capas\370691\1\145.jpg</v>
      </c>
      <c r="Q950" s="12"/>
      <c r="R950" s="6" t="s">
        <v>1253</v>
      </c>
      <c r="S950" s="12"/>
      <c r="T950" s="1"/>
      <c r="U950" s="13" t="s">
        <v>142</v>
      </c>
      <c r="V950" s="13"/>
      <c r="W950" s="5" t="s">
        <v>1491</v>
      </c>
    </row>
    <row r="951" spans="1:23" ht="225">
      <c r="A951" s="1">
        <v>370691</v>
      </c>
      <c r="B951" s="1">
        <v>1</v>
      </c>
      <c r="C951" s="1">
        <v>165</v>
      </c>
      <c r="D951" s="2" t="s">
        <v>1243</v>
      </c>
      <c r="E951" s="11" t="s">
        <v>1243</v>
      </c>
      <c r="F951" s="11">
        <v>278400</v>
      </c>
      <c r="G951" s="2" t="s">
        <v>1494</v>
      </c>
      <c r="H951" s="2" t="s">
        <v>1495</v>
      </c>
      <c r="I951" s="2" t="s">
        <v>1496</v>
      </c>
      <c r="J951" s="2" t="str">
        <f>CONCATENATE(G951,F951,H951,C951,I951)</f>
        <v>https://permalinkbnd.bnportugal.gov.pt/viewer/278400/?offset=#page=165&amp;viewer=picture&amp;o=info&amp;n=0&amp;q=</v>
      </c>
      <c r="K951" s="1" t="s">
        <v>1244</v>
      </c>
      <c r="L951" s="1" t="str">
        <f>VLOOKUP(A951,Folha2!$A$2:$B$2019,2,FALSE)</f>
        <v>Poesias lyricas / de Luiz de Camões. - Rio de Janeiro : [s.n., 1880]. [sonetos, elegias, odes, canções, oitavas, sextinas] Obra não tem indicação de fim e, por isso, parece estar incompleta, assim no original?</v>
      </c>
      <c r="M951" s="12" t="str">
        <f>HYPERLINK(J951)</f>
        <v>https://permalinkbnd.bnportugal.gov.pt/viewer/278400/?offset=#page=165&amp;viewer=picture&amp;o=info&amp;n=0&amp;q=</v>
      </c>
      <c r="N951" s="12" t="s">
        <v>1497</v>
      </c>
      <c r="O951" s="12" t="str">
        <f>CONCATENATE(N951,A951,"\",B951,"\",C951,".jpg")</f>
        <v>C:\Users\mbaptista\OneDrive - Biblioteca Nacional de Portugal\Documentos\python\camoniana\imagens\capas\370691\1\165.jpg</v>
      </c>
      <c r="P951" s="12" t="str">
        <f>HYPERLINK(O951)</f>
        <v>C:\Users\mbaptista\OneDrive - Biblioteca Nacional de Portugal\Documentos\python\camoniana\imagens\capas\370691\1\165.jpg</v>
      </c>
      <c r="Q951" s="12"/>
      <c r="R951" s="6" t="s">
        <v>1254</v>
      </c>
      <c r="S951" s="12"/>
      <c r="T951" s="1"/>
      <c r="U951" s="13"/>
      <c r="V951" s="13"/>
      <c r="W951" s="5" t="s">
        <v>1491</v>
      </c>
    </row>
    <row r="952" spans="1:23" ht="225">
      <c r="A952" s="1">
        <v>397797</v>
      </c>
      <c r="B952" s="1">
        <v>1</v>
      </c>
      <c r="C952" s="1">
        <v>5</v>
      </c>
      <c r="D952" s="2" t="s">
        <v>1255</v>
      </c>
      <c r="E952" s="5" t="s">
        <v>1255</v>
      </c>
      <c r="F952" s="5">
        <v>278662</v>
      </c>
      <c r="G952" s="2" t="s">
        <v>1494</v>
      </c>
      <c r="H952" s="2" t="s">
        <v>1495</v>
      </c>
      <c r="I952" s="2" t="s">
        <v>1496</v>
      </c>
      <c r="J952" s="2" t="str">
        <f>CONCATENATE(G952,F952,H952,C952,I952)</f>
        <v>https://permalinkbnd.bnportugal.gov.pt/viewer/278662/?offset=#page=5&amp;viewer=picture&amp;o=info&amp;n=0&amp;q=</v>
      </c>
      <c r="K952" s="1" t="s">
        <v>1256</v>
      </c>
      <c r="L952" s="1" t="str">
        <f>VLOOKUP(A952,Folha2!$A$2:$B$2019,2,FALSE)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2" s="12" t="str">
        <f>HYPERLINK(J952)</f>
        <v>https://permalinkbnd.bnportugal.gov.pt/viewer/278662/?offset=#page=5&amp;viewer=picture&amp;o=info&amp;n=0&amp;q=</v>
      </c>
      <c r="N952" s="12" t="s">
        <v>1497</v>
      </c>
      <c r="O952" s="12" t="str">
        <f>CONCATENATE(N952,A952,"\",B952,"\",C952,".jpg")</f>
        <v>C:\Users\mbaptista\OneDrive - Biblioteca Nacional de Portugal\Documentos\python\camoniana\imagens\capas\397797\1\5.jpg</v>
      </c>
      <c r="P952" s="12" t="str">
        <f>HYPERLINK(O952)</f>
        <v>C:\Users\mbaptista\OneDrive - Biblioteca Nacional de Portugal\Documentos\python\camoniana\imagens\capas\397797\1\5.jpg</v>
      </c>
      <c r="Q952" s="12"/>
      <c r="R952" s="6" t="s">
        <v>1257</v>
      </c>
      <c r="S952" s="12"/>
      <c r="T952" s="1"/>
      <c r="U952" s="13"/>
      <c r="V952" s="13"/>
      <c r="W952" s="5" t="s">
        <v>1491</v>
      </c>
    </row>
    <row r="953" spans="1:23" ht="225">
      <c r="A953" s="1">
        <v>397797</v>
      </c>
      <c r="B953" s="1">
        <v>1</v>
      </c>
      <c r="C953" s="1">
        <v>8</v>
      </c>
      <c r="D953" s="2" t="s">
        <v>1255</v>
      </c>
      <c r="E953" s="11" t="s">
        <v>1255</v>
      </c>
      <c r="F953" s="11">
        <v>278662</v>
      </c>
      <c r="G953" s="2" t="s">
        <v>1494</v>
      </c>
      <c r="H953" s="2" t="s">
        <v>1495</v>
      </c>
      <c r="I953" s="2" t="s">
        <v>1496</v>
      </c>
      <c r="J953" s="2" t="str">
        <f>CONCATENATE(G953,F953,H953,C953,I953)</f>
        <v>https://permalinkbnd.bnportugal.gov.pt/viewer/278662/?offset=#page=8&amp;viewer=picture&amp;o=info&amp;n=0&amp;q=</v>
      </c>
      <c r="K953" s="1" t="s">
        <v>1256</v>
      </c>
      <c r="L953" s="1" t="str">
        <f>VLOOKUP(A953,Folha2!$A$2:$B$2019,2,FALSE)</f>
        <v>Os Lusíadas : poema epico ... / Luís de Camöes. - Nova ed. - Lisboa : Typ. de L.C. da Cunha, 1868. Paratextos, argumentos. Sem referência às Celebrações. Estrofes XLII a LXXXIX do Canto VIII deslocadas do Canto correspondente, pois surgem a seguir à p. 320, que corresponde ao Canto IX: assim no original ou deslocadas no processo de digitalização?</v>
      </c>
      <c r="M953" s="12" t="str">
        <f>HYPERLINK(J953)</f>
        <v>https://permalinkbnd.bnportugal.gov.pt/viewer/278662/?offset=#page=8&amp;viewer=picture&amp;o=info&amp;n=0&amp;q=</v>
      </c>
      <c r="N953" s="12" t="s">
        <v>1497</v>
      </c>
      <c r="O953" s="12" t="str">
        <f>CONCATENATE(N953,A953,"\",B953,"\",C953,".jpg")</f>
        <v>C:\Users\mbaptista\OneDrive - Biblioteca Nacional de Portugal\Documentos\python\camoniana\imagens\capas\397797\1\8.jpg</v>
      </c>
      <c r="P953" s="12" t="str">
        <f>HYPERLINK(O953)</f>
        <v>C:\Users\mbaptista\OneDrive - Biblioteca Nacional de Portugal\Documentos\python\camoniana\imagens\capas\397797\1\8.jpg</v>
      </c>
      <c r="Q953" s="12"/>
      <c r="R953" s="6" t="s">
        <v>1258</v>
      </c>
      <c r="S953" s="12"/>
      <c r="T953" s="1"/>
      <c r="U953" s="13"/>
      <c r="V953" s="13"/>
      <c r="W953" s="5" t="s">
        <v>1491</v>
      </c>
    </row>
    <row r="954" spans="1:23" ht="225">
      <c r="A954" s="1">
        <v>397855</v>
      </c>
      <c r="B954" s="1">
        <v>1</v>
      </c>
      <c r="C954" s="1">
        <v>5</v>
      </c>
      <c r="D954" s="2" t="s">
        <v>1259</v>
      </c>
      <c r="E954" s="5" t="s">
        <v>1259</v>
      </c>
      <c r="F954" s="5">
        <v>278491</v>
      </c>
      <c r="G954" s="2" t="s">
        <v>1494</v>
      </c>
      <c r="H954" s="2" t="s">
        <v>1495</v>
      </c>
      <c r="I954" s="2" t="s">
        <v>1496</v>
      </c>
      <c r="J954" s="2" t="str">
        <f>CONCATENATE(G954,F954,H954,C954,I954)</f>
        <v>https://permalinkbnd.bnportugal.gov.pt/viewer/278491/?offset=#page=5&amp;viewer=picture&amp;o=info&amp;n=0&amp;q=</v>
      </c>
      <c r="K954" s="1" t="s">
        <v>261</v>
      </c>
      <c r="L954" s="1" t="str">
        <f>VLOOKUP(A954,Folha2!$A$2:$B$2019,2,FALSE)</f>
        <v xml:space="preserve">Novas poesias / Luís de Camöes ; [anot.] de J. A. Alves Viana. - Porto : J. A. Alves Viana, 1890. Soneto: "Olhos de cristal puro, que vertendo"; Canção: "Não de cores fingidas". </v>
      </c>
      <c r="M954" s="12" t="str">
        <f>HYPERLINK(J954)</f>
        <v>https://permalinkbnd.bnportugal.gov.pt/viewer/278491/?offset=#page=5&amp;viewer=picture&amp;o=info&amp;n=0&amp;q=</v>
      </c>
      <c r="N954" s="12" t="s">
        <v>1497</v>
      </c>
      <c r="O954" s="12" t="str">
        <f>CONCATENATE(N954,A954,"\",B954,"\",C954,".jpg")</f>
        <v>C:\Users\mbaptista\OneDrive - Biblioteca Nacional de Portugal\Documentos\python\camoniana\imagens\capas\397855\1\5.jpg</v>
      </c>
      <c r="P954" s="12" t="str">
        <f>HYPERLINK(O954)</f>
        <v>C:\Users\mbaptista\OneDrive - Biblioteca Nacional de Portugal\Documentos\python\camoniana\imagens\capas\397855\1\5.jpg</v>
      </c>
      <c r="Q954" s="12"/>
      <c r="R954" s="6" t="s">
        <v>1260</v>
      </c>
      <c r="S954" s="12"/>
      <c r="T954" s="1"/>
      <c r="U954" s="13"/>
      <c r="V954" s="13"/>
      <c r="W954" s="5" t="s">
        <v>1491</v>
      </c>
    </row>
    <row r="955" spans="1:23" ht="225">
      <c r="A955" s="1">
        <v>397878</v>
      </c>
      <c r="B955" s="1">
        <v>1</v>
      </c>
      <c r="C955" s="1">
        <v>4</v>
      </c>
      <c r="D955" s="2" t="s">
        <v>1261</v>
      </c>
      <c r="E955" s="11" t="s">
        <v>1261</v>
      </c>
      <c r="F955" s="11">
        <v>278670</v>
      </c>
      <c r="G955" s="2" t="s">
        <v>1494</v>
      </c>
      <c r="H955" s="2" t="s">
        <v>1495</v>
      </c>
      <c r="I955" s="2" t="s">
        <v>1496</v>
      </c>
      <c r="J955" s="2" t="str">
        <f>CONCATENATE(G955,F955,H955,C955,I955)</f>
        <v>https://permalinkbnd.bnportugal.gov.pt/viewer/278670/?offset=#page=4&amp;viewer=picture&amp;o=info&amp;n=0&amp;q=</v>
      </c>
      <c r="K955" s="1" t="s">
        <v>1262</v>
      </c>
      <c r="L955" s="1" t="str">
        <f>VLOOKUP(A955,Folha2!$A$2:$B$2019,2,FALSE)</f>
        <v>Uma traducção hollandeza de Camões / trad. Theodorus Johannes Kerkhoven, Anibal Fernandes Tomás. - Porto : Circulo Camoniano : Imprensa Moderna, 1890. Sem indicação de fim: truncada ou assim no original?</v>
      </c>
      <c r="M955" s="12" t="str">
        <f>HYPERLINK(J955)</f>
        <v>https://permalinkbnd.bnportugal.gov.pt/viewer/278670/?offset=#page=4&amp;viewer=picture&amp;o=info&amp;n=0&amp;q=</v>
      </c>
      <c r="N955" s="12" t="s">
        <v>1497</v>
      </c>
      <c r="O955" s="12" t="str">
        <f>CONCATENATE(N955,A955,"\",B955,"\",C955,".jpg")</f>
        <v>C:\Users\mbaptista\OneDrive - Biblioteca Nacional de Portugal\Documentos\python\camoniana\imagens\capas\397878\1\4.jpg</v>
      </c>
      <c r="P955" s="12" t="str">
        <f>HYPERLINK(O955)</f>
        <v>C:\Users\mbaptista\OneDrive - Biblioteca Nacional de Portugal\Documentos\python\camoniana\imagens\capas\397878\1\4.jpg</v>
      </c>
      <c r="Q955" s="12"/>
      <c r="R955" s="6" t="s">
        <v>1263</v>
      </c>
      <c r="S955" s="12"/>
      <c r="T955" s="1">
        <v>4</v>
      </c>
      <c r="U955" s="13"/>
      <c r="V955" s="13"/>
      <c r="W955" s="5" t="s">
        <v>1491</v>
      </c>
    </row>
    <row r="956" spans="1:23" ht="225">
      <c r="A956" s="1">
        <v>397880</v>
      </c>
      <c r="B956" s="1">
        <v>1</v>
      </c>
      <c r="C956" s="1">
        <v>3</v>
      </c>
      <c r="D956" s="2" t="s">
        <v>1264</v>
      </c>
      <c r="E956" s="5" t="s">
        <v>1264</v>
      </c>
      <c r="F956" s="5">
        <v>279637</v>
      </c>
      <c r="G956" s="2" t="s">
        <v>1494</v>
      </c>
      <c r="H956" s="2" t="s">
        <v>1495</v>
      </c>
      <c r="I956" s="2" t="s">
        <v>1496</v>
      </c>
      <c r="J956" s="2" t="str">
        <f>CONCATENATE(G956,F956,H956,C956,I956)</f>
        <v>https://permalinkbnd.bnportugal.gov.pt/viewer/279637/?offset=#page=3&amp;viewer=picture&amp;o=info&amp;n=0&amp;q=</v>
      </c>
      <c r="K956" s="1" t="s">
        <v>1265</v>
      </c>
      <c r="L956" s="1" t="str">
        <f>VLOOKUP(A956,Folha2!$A$2:$B$2019,2,FALSE)</f>
        <v>Tres estrophes / Luís de Camöes ; trad. do arménio por Arsenio Ghazik ; [pref.] Joaquim de Araújo. - Veneza : Typographia da Ilha de S. Lazaro, 1898</v>
      </c>
      <c r="M956" s="12" t="str">
        <f>HYPERLINK(J956)</f>
        <v>https://permalinkbnd.bnportugal.gov.pt/viewer/279637/?offset=#page=3&amp;viewer=picture&amp;o=info&amp;n=0&amp;q=</v>
      </c>
      <c r="N956" s="12" t="s">
        <v>1497</v>
      </c>
      <c r="O956" s="12" t="str">
        <f>CONCATENATE(N956,A956,"\",B956,"\",C956,".jpg")</f>
        <v>C:\Users\mbaptista\OneDrive - Biblioteca Nacional de Portugal\Documentos\python\camoniana\imagens\capas\397880\1\3.jpg</v>
      </c>
      <c r="P956" s="12" t="str">
        <f>HYPERLINK(O956)</f>
        <v>C:\Users\mbaptista\OneDrive - Biblioteca Nacional de Portugal\Documentos\python\camoniana\imagens\capas\397880\1\3.jpg</v>
      </c>
      <c r="Q956" s="12"/>
      <c r="R956" s="6" t="s">
        <v>1266</v>
      </c>
      <c r="S956" s="12"/>
      <c r="T956" s="1"/>
      <c r="U956" s="13"/>
      <c r="V956" s="13"/>
      <c r="W956" s="5" t="s">
        <v>1491</v>
      </c>
    </row>
    <row r="957" spans="1:23" ht="225">
      <c r="A957" s="1">
        <v>397880</v>
      </c>
      <c r="B957" s="1">
        <v>1</v>
      </c>
      <c r="C957" s="1">
        <v>5</v>
      </c>
      <c r="D957" s="2" t="s">
        <v>1264</v>
      </c>
      <c r="E957" s="11" t="s">
        <v>1264</v>
      </c>
      <c r="F957" s="11">
        <v>279637</v>
      </c>
      <c r="G957" s="2" t="s">
        <v>1494</v>
      </c>
      <c r="H957" s="2" t="s">
        <v>1495</v>
      </c>
      <c r="I957" s="2" t="s">
        <v>1496</v>
      </c>
      <c r="J957" s="2" t="str">
        <f>CONCATENATE(G957,F957,H957,C957,I957)</f>
        <v>https://permalinkbnd.bnportugal.gov.pt/viewer/279637/?offset=#page=5&amp;viewer=picture&amp;o=info&amp;n=0&amp;q=</v>
      </c>
      <c r="K957" s="1" t="s">
        <v>1267</v>
      </c>
      <c r="L957" s="1" t="str">
        <f>VLOOKUP(A957,Folha2!$A$2:$B$2019,2,FALSE)</f>
        <v>Tres estrophes / Luís de Camöes ; trad. do arménio por Arsenio Ghazik ; [pref.] Joaquim de Araújo. - Veneza : Typographia da Ilha de S. Lazaro, 1898</v>
      </c>
      <c r="M957" s="12" t="str">
        <f>HYPERLINK(J957)</f>
        <v>https://permalinkbnd.bnportugal.gov.pt/viewer/279637/?offset=#page=5&amp;viewer=picture&amp;o=info&amp;n=0&amp;q=</v>
      </c>
      <c r="N957" s="12" t="s">
        <v>1497</v>
      </c>
      <c r="O957" s="12" t="str">
        <f>CONCATENATE(N957,A957,"\",B957,"\",C957,".jpg")</f>
        <v>C:\Users\mbaptista\OneDrive - Biblioteca Nacional de Portugal\Documentos\python\camoniana\imagens\capas\397880\1\5.jpg</v>
      </c>
      <c r="P957" s="12" t="str">
        <f>HYPERLINK(O957)</f>
        <v>C:\Users\mbaptista\OneDrive - Biblioteca Nacional de Portugal\Documentos\python\camoniana\imagens\capas\397880\1\5.jpg</v>
      </c>
      <c r="Q957" s="12"/>
      <c r="R957" s="6" t="s">
        <v>1268</v>
      </c>
      <c r="S957" s="12"/>
      <c r="T957" s="1"/>
      <c r="U957" s="13"/>
      <c r="V957" s="13"/>
      <c r="W957" s="5" t="s">
        <v>1491</v>
      </c>
    </row>
    <row r="958" spans="1:23" ht="225">
      <c r="A958" s="1">
        <v>397880</v>
      </c>
      <c r="B958" s="1">
        <v>1</v>
      </c>
      <c r="C958" s="1">
        <v>8</v>
      </c>
      <c r="D958" s="2" t="s">
        <v>1264</v>
      </c>
      <c r="E958" s="5" t="s">
        <v>1264</v>
      </c>
      <c r="F958" s="5">
        <v>279637</v>
      </c>
      <c r="G958" s="2" t="s">
        <v>1494</v>
      </c>
      <c r="H958" s="2" t="s">
        <v>1495</v>
      </c>
      <c r="I958" s="2" t="s">
        <v>1496</v>
      </c>
      <c r="J958" s="2" t="str">
        <f>CONCATENATE(G958,F958,H958,C958,I958)</f>
        <v>https://permalinkbnd.bnportugal.gov.pt/viewer/279637/?offset=#page=8&amp;viewer=picture&amp;o=info&amp;n=0&amp;q=</v>
      </c>
      <c r="K958" s="1" t="s">
        <v>1269</v>
      </c>
      <c r="L958" s="1" t="str">
        <f>VLOOKUP(A958,Folha2!$A$2:$B$2019,2,FALSE)</f>
        <v>Tres estrophes / Luís de Camöes ; trad. do arménio por Arsenio Ghazik ; [pref.] Joaquim de Araújo. - Veneza : Typographia da Ilha de S. Lazaro, 1898</v>
      </c>
      <c r="M958" s="12" t="str">
        <f>HYPERLINK(J958)</f>
        <v>https://permalinkbnd.bnportugal.gov.pt/viewer/279637/?offset=#page=8&amp;viewer=picture&amp;o=info&amp;n=0&amp;q=</v>
      </c>
      <c r="N958" s="12" t="s">
        <v>1497</v>
      </c>
      <c r="O958" s="12" t="str">
        <f>CONCATENATE(N958,A958,"\",B958,"\",C958,".jpg")</f>
        <v>C:\Users\mbaptista\OneDrive - Biblioteca Nacional de Portugal\Documentos\python\camoniana\imagens\capas\397880\1\8.jpg</v>
      </c>
      <c r="P958" s="12" t="str">
        <f>HYPERLINK(O958)</f>
        <v>C:\Users\mbaptista\OneDrive - Biblioteca Nacional de Portugal\Documentos\python\camoniana\imagens\capas\397880\1\8.jpg</v>
      </c>
      <c r="Q958" s="12"/>
      <c r="R958" s="6" t="s">
        <v>1270</v>
      </c>
      <c r="S958" s="12"/>
      <c r="T958" s="1"/>
      <c r="U958" s="13"/>
      <c r="V958" s="13"/>
      <c r="W958" s="5" t="s">
        <v>1491</v>
      </c>
    </row>
    <row r="959" spans="1:23" ht="225">
      <c r="A959" s="1">
        <v>397880</v>
      </c>
      <c r="B959" s="1">
        <v>1</v>
      </c>
      <c r="C959" s="1">
        <v>10</v>
      </c>
      <c r="D959" s="2" t="s">
        <v>1264</v>
      </c>
      <c r="E959" s="11" t="s">
        <v>1264</v>
      </c>
      <c r="F959" s="11">
        <v>279637</v>
      </c>
      <c r="G959" s="2" t="s">
        <v>1494</v>
      </c>
      <c r="H959" s="2" t="s">
        <v>1495</v>
      </c>
      <c r="I959" s="2" t="s">
        <v>1496</v>
      </c>
      <c r="J959" s="2" t="str">
        <f>CONCATENATE(G959,F959,H959,C959,I959)</f>
        <v>https://permalinkbnd.bnportugal.gov.pt/viewer/279637/?offset=#page=10&amp;viewer=picture&amp;o=info&amp;n=0&amp;q=</v>
      </c>
      <c r="K959" s="1" t="s">
        <v>1271</v>
      </c>
      <c r="L959" s="1" t="str">
        <f>VLOOKUP(A959,Folha2!$A$2:$B$2019,2,FALSE)</f>
        <v>Tres estrophes / Luís de Camöes ; trad. do arménio por Arsenio Ghazik ; [pref.] Joaquim de Araújo. - Veneza : Typographia da Ilha de S. Lazaro, 1898</v>
      </c>
      <c r="M959" s="12" t="str">
        <f>HYPERLINK(J959)</f>
        <v>https://permalinkbnd.bnportugal.gov.pt/viewer/279637/?offset=#page=10&amp;viewer=picture&amp;o=info&amp;n=0&amp;q=</v>
      </c>
      <c r="N959" s="12" t="s">
        <v>1497</v>
      </c>
      <c r="O959" s="12" t="str">
        <f>CONCATENATE(N959,A959,"\",B959,"\",C959,".jpg")</f>
        <v>C:\Users\mbaptista\OneDrive - Biblioteca Nacional de Portugal\Documentos\python\camoniana\imagens\capas\397880\1\10.jpg</v>
      </c>
      <c r="P959" s="12" t="str">
        <f>HYPERLINK(O959)</f>
        <v>C:\Users\mbaptista\OneDrive - Biblioteca Nacional de Portugal\Documentos\python\camoniana\imagens\capas\397880\1\10.jpg</v>
      </c>
      <c r="Q959" s="12"/>
      <c r="R959" s="6" t="s">
        <v>1272</v>
      </c>
      <c r="S959" s="12"/>
      <c r="T959" s="1"/>
      <c r="U959" s="13"/>
      <c r="V959" s="13"/>
      <c r="W959" s="5" t="s">
        <v>1491</v>
      </c>
    </row>
    <row r="960" spans="1:23" ht="225">
      <c r="A960" s="1">
        <v>458381</v>
      </c>
      <c r="B960" s="1">
        <v>1</v>
      </c>
      <c r="C960" s="1">
        <v>12</v>
      </c>
      <c r="D960" s="2" t="s">
        <v>1273</v>
      </c>
      <c r="E960" s="5" t="s">
        <v>1273</v>
      </c>
      <c r="F960" s="5">
        <v>1880</v>
      </c>
      <c r="G960" s="2" t="s">
        <v>1494</v>
      </c>
      <c r="H960" s="2" t="s">
        <v>1495</v>
      </c>
      <c r="I960" s="2" t="s">
        <v>1496</v>
      </c>
      <c r="J960" s="2" t="str">
        <f>CONCATENATE(G960,F960,H960,C960,I960)</f>
        <v>https://permalinkbnd.bnportugal.gov.pt/viewer/1880/?offset=#page=12&amp;viewer=picture&amp;o=info&amp;n=0&amp;q=</v>
      </c>
      <c r="K960" s="1" t="s">
        <v>1274</v>
      </c>
      <c r="L960" s="1" t="str">
        <f>VLOOKUP(A960,Folha2!$A$2:$B$2019,2,FALSE)</f>
        <v>Sarau literario em comemoração do tri-centenario de Luiz de Camões 1580-1880. - Coimbra : Imprensa da Universidade, 1880. Texto de Francisco Augusto Corrêa Barata descreve episódios da vida do Poeta. Celebrações (1880), recepção criativa, tematização e centão da autoria de Joaquim de Araújo.</v>
      </c>
      <c r="M960" s="12" t="str">
        <f>HYPERLINK(J960)</f>
        <v>https://permalinkbnd.bnportugal.gov.pt/viewer/1880/?offset=#page=12&amp;viewer=picture&amp;o=info&amp;n=0&amp;q=</v>
      </c>
      <c r="N960" s="12" t="s">
        <v>1497</v>
      </c>
      <c r="O960" s="12" t="str">
        <f>CONCATENATE(N960,A960,"\",B960,"\",C960,".jpg")</f>
        <v>C:\Users\mbaptista\OneDrive - Biblioteca Nacional de Portugal\Documentos\python\camoniana\imagens\capas\458381\1\12.jpg</v>
      </c>
      <c r="P960" s="12" t="str">
        <f>HYPERLINK(O960)</f>
        <v>C:\Users\mbaptista\OneDrive - Biblioteca Nacional de Portugal\Documentos\python\camoniana\imagens\capas\458381\1\12.jpg</v>
      </c>
      <c r="Q960" s="12"/>
      <c r="R960" s="6" t="s">
        <v>1275</v>
      </c>
      <c r="S960" s="12"/>
      <c r="T960" s="1">
        <v>12</v>
      </c>
      <c r="U960" s="13"/>
      <c r="V960" s="13"/>
      <c r="W960" s="5" t="s">
        <v>1491</v>
      </c>
    </row>
    <row r="961" spans="1:23" ht="225">
      <c r="A961" s="1">
        <v>464811</v>
      </c>
      <c r="B961" s="1">
        <v>1</v>
      </c>
      <c r="C961" s="1">
        <v>10</v>
      </c>
      <c r="D961" s="2" t="s">
        <v>1276</v>
      </c>
      <c r="E961" s="11" t="s">
        <v>1276</v>
      </c>
      <c r="F961" s="11">
        <v>278595</v>
      </c>
      <c r="G961" s="2" t="s">
        <v>1494</v>
      </c>
      <c r="H961" s="2" t="s">
        <v>1495</v>
      </c>
      <c r="I961" s="2" t="s">
        <v>1496</v>
      </c>
      <c r="J961" s="2" t="str">
        <f>CONCATENATE(G961,F961,H961,C961,I961)</f>
        <v>https://permalinkbnd.bnportugal.gov.pt/viewer/278595/?offset=#page=10&amp;viewer=picture&amp;o=info&amp;n=0&amp;q=</v>
      </c>
      <c r="K961" s="1">
        <v>10</v>
      </c>
      <c r="L961" s="1" t="str">
        <f>VLOOKUP(A961,Folha2!$A$2:$B$2019,2,FALSE)</f>
        <v>Les poétes les plus célébres français, italiens, allemands, anglais, espagnols, portugais / par Maxime de Montrond.... - Lille : L. Lefort, 1859, cf. Im. 64-73. Celebrações (1860), vida.</v>
      </c>
      <c r="M961" s="12" t="str">
        <f>HYPERLINK(J961)</f>
        <v>https://permalinkbnd.bnportugal.gov.pt/viewer/278595/?offset=#page=10&amp;viewer=picture&amp;o=info&amp;n=0&amp;q=</v>
      </c>
      <c r="N961" s="12" t="s">
        <v>1497</v>
      </c>
      <c r="O961" s="12" t="str">
        <f>CONCATENATE(N961,A961,"\",B961,"\",C961,".jpg")</f>
        <v>C:\Users\mbaptista\OneDrive - Biblioteca Nacional de Portugal\Documentos\python\camoniana\imagens\capas\464811\1\10.jpg</v>
      </c>
      <c r="P961" s="12" t="str">
        <f>HYPERLINK(O961)</f>
        <v>C:\Users\mbaptista\OneDrive - Biblioteca Nacional de Portugal\Documentos\python\camoniana\imagens\capas\464811\1\10.jpg</v>
      </c>
      <c r="Q961" s="12"/>
      <c r="R961" s="6" t="s">
        <v>1277</v>
      </c>
      <c r="S961" s="12"/>
      <c r="T961" s="1"/>
      <c r="U961" s="13"/>
      <c r="V961" s="13"/>
      <c r="W961" s="5" t="s">
        <v>1491</v>
      </c>
    </row>
    <row r="962" spans="1:23" ht="225">
      <c r="A962" s="1">
        <v>464977</v>
      </c>
      <c r="B962" s="1">
        <v>1</v>
      </c>
      <c r="C962" s="1">
        <v>8</v>
      </c>
      <c r="D962" s="2" t="s">
        <v>1278</v>
      </c>
      <c r="E962" s="5" t="s">
        <v>1278</v>
      </c>
      <c r="F962" s="5">
        <v>278597</v>
      </c>
      <c r="G962" s="2" t="s">
        <v>1494</v>
      </c>
      <c r="H962" s="2" t="s">
        <v>1495</v>
      </c>
      <c r="I962" s="2" t="s">
        <v>1496</v>
      </c>
      <c r="J962" s="2" t="str">
        <f>CONCATENATE(G962,F962,H962,C962,I962)</f>
        <v>https://permalinkbnd.bnportugal.gov.pt/viewer/278597/?offset=#page=8&amp;viewer=picture&amp;o=info&amp;n=0&amp;q=</v>
      </c>
      <c r="K962" s="1" t="s">
        <v>1279</v>
      </c>
      <c r="L962" s="1" t="str">
        <f>VLOOKUP(A962,Folha2!$A$2:$B$2019,2,FALSE)</f>
        <v>A estrela Vénus nos Lusíadas / Luciano Pereira da Silva. - Porto : Tip. da Renascença Portuguesa, [191-].</v>
      </c>
      <c r="M962" s="12" t="str">
        <f>HYPERLINK(J962)</f>
        <v>https://permalinkbnd.bnportugal.gov.pt/viewer/278597/?offset=#page=8&amp;viewer=picture&amp;o=info&amp;n=0&amp;q=</v>
      </c>
      <c r="N962" s="12" t="s">
        <v>1497</v>
      </c>
      <c r="O962" s="12" t="str">
        <f>CONCATENATE(N962,A962,"\",B962,"\",C962,".jpg")</f>
        <v>C:\Users\mbaptista\OneDrive - Biblioteca Nacional de Portugal\Documentos\python\camoniana\imagens\capas\464977\1\8.jpg</v>
      </c>
      <c r="P962" s="12" t="str">
        <f>HYPERLINK(O962)</f>
        <v>C:\Users\mbaptista\OneDrive - Biblioteca Nacional de Portugal\Documentos\python\camoniana\imagens\capas\464977\1\8.jpg</v>
      </c>
      <c r="Q962" s="12"/>
      <c r="R962" s="6" t="s">
        <v>1280</v>
      </c>
      <c r="S962" s="12"/>
      <c r="T962" s="1"/>
      <c r="U962" s="13"/>
      <c r="V962" s="13"/>
      <c r="W962" s="5" t="s">
        <v>1491</v>
      </c>
    </row>
    <row r="963" spans="1:23" ht="225">
      <c r="A963" s="1">
        <v>465372</v>
      </c>
      <c r="B963" s="1">
        <v>1</v>
      </c>
      <c r="C963" s="1">
        <v>1</v>
      </c>
      <c r="D963" s="2" t="s">
        <v>1281</v>
      </c>
      <c r="E963" s="11" t="s">
        <v>1281</v>
      </c>
      <c r="F963" s="11">
        <v>278668</v>
      </c>
      <c r="G963" s="2" t="s">
        <v>1494</v>
      </c>
      <c r="H963" s="2" t="s">
        <v>1495</v>
      </c>
      <c r="I963" s="2" t="s">
        <v>1496</v>
      </c>
      <c r="J963" s="2" t="str">
        <f>CONCATENATE(G963,F963,H963,C963,I963)</f>
        <v>https://permalinkbnd.bnportugal.gov.pt/viewer/278668/?offset=#page=1&amp;viewer=picture&amp;o=info&amp;n=0&amp;q=</v>
      </c>
      <c r="K963" s="1" t="s">
        <v>1041</v>
      </c>
      <c r="L963" s="1" t="str">
        <f>VLOOKUP(A963,Folha2!$A$2:$B$2019,2,FALSE)</f>
        <v>Camões, patria e caridade : homenagem da Associação Portugueza de Beneficiência : memória a Luiz de Camões em 10 de Junho de 1882. Segundo Anniversario de sua fundação e do Tricentenário de Camões. Poema de Amélia Janny "Os Lusíadas". Celebrações (1880), recepção criativa, tematização e centão.</v>
      </c>
      <c r="M963" s="12" t="str">
        <f>HYPERLINK(J963)</f>
        <v>https://permalinkbnd.bnportugal.gov.pt/viewer/278668/?offset=#page=1&amp;viewer=picture&amp;o=info&amp;n=0&amp;q=</v>
      </c>
      <c r="N963" s="12" t="s">
        <v>1497</v>
      </c>
      <c r="O963" s="12" t="str">
        <f>CONCATENATE(N963,A963,"\",B963,"\",C963,".jpg")</f>
        <v>C:\Users\mbaptista\OneDrive - Biblioteca Nacional de Portugal\Documentos\python\camoniana\imagens\capas\465372\1\1.jpg</v>
      </c>
      <c r="P963" s="12" t="str">
        <f>HYPERLINK(O963)</f>
        <v>C:\Users\mbaptista\OneDrive - Biblioteca Nacional de Portugal\Documentos\python\camoniana\imagens\capas\465372\1\1.jpg</v>
      </c>
      <c r="Q963" s="12"/>
      <c r="R963" s="6" t="s">
        <v>1282</v>
      </c>
      <c r="S963" s="12"/>
      <c r="T963" s="1">
        <v>1</v>
      </c>
      <c r="U963" s="13"/>
      <c r="V963" s="13"/>
      <c r="W963" s="5" t="s">
        <v>1491</v>
      </c>
    </row>
    <row r="964" spans="1:23" ht="225">
      <c r="A964" s="1">
        <v>782738</v>
      </c>
      <c r="B964" s="1">
        <v>1</v>
      </c>
      <c r="C964" s="1">
        <v>5</v>
      </c>
      <c r="D964" s="2" t="s">
        <v>1283</v>
      </c>
      <c r="E964" s="5" t="s">
        <v>1283</v>
      </c>
      <c r="F964" s="5">
        <v>278663</v>
      </c>
      <c r="G964" s="2" t="s">
        <v>1494</v>
      </c>
      <c r="H964" s="2" t="s">
        <v>1495</v>
      </c>
      <c r="I964" s="2" t="s">
        <v>1496</v>
      </c>
      <c r="J964" s="2" t="str">
        <f>CONCATENATE(G964,F964,H964,C964,I964)</f>
        <v>https://permalinkbnd.bnportugal.gov.pt/viewer/278663/?offset=#page=5&amp;viewer=picture&amp;o=info&amp;n=0&amp;q=</v>
      </c>
      <c r="K964" s="1" t="s">
        <v>1284</v>
      </c>
      <c r="L964" s="1" t="str">
        <f>VLOOKUP(A964,Folha2!$A$2:$B$2019,2,FALSE)</f>
        <v>Os Lusíadas : poema épico / de Luís de Camões. - Nova ed. popular conforme às ed. clássicas de 1572. - Lisboa : Tip. de F. X. de Sousa &amp; Filho, 1870. Paratextos argumentos, sem paratextos gerais, com alguns erros gráficos na paginação e numeração das estrofes. Faltam estrofes III-VIII do Canto IX, cf. pp. 311-312: assim no original?</v>
      </c>
      <c r="M964" s="12" t="str">
        <f>HYPERLINK(J964)</f>
        <v>https://permalinkbnd.bnportugal.gov.pt/viewer/278663/?offset=#page=5&amp;viewer=picture&amp;o=info&amp;n=0&amp;q=</v>
      </c>
      <c r="N964" s="12" t="s">
        <v>1497</v>
      </c>
      <c r="O964" s="12" t="str">
        <f>CONCATENATE(N964,A964,"\",B964,"\",C964,".jpg")</f>
        <v>C:\Users\mbaptista\OneDrive - Biblioteca Nacional de Portugal\Documentos\python\camoniana\imagens\capas\782738\1\5.jpg</v>
      </c>
      <c r="P964" s="12" t="str">
        <f>HYPERLINK(O964)</f>
        <v>C:\Users\mbaptista\OneDrive - Biblioteca Nacional de Portugal\Documentos\python\camoniana\imagens\capas\782738\1\5.jpg</v>
      </c>
      <c r="Q964" s="12"/>
      <c r="R964" s="6" t="s">
        <v>1285</v>
      </c>
      <c r="S964" s="12"/>
      <c r="T964" s="1">
        <v>5</v>
      </c>
      <c r="U964" s="13"/>
      <c r="V964" s="13"/>
      <c r="W964" s="5" t="s">
        <v>1491</v>
      </c>
    </row>
    <row r="965" spans="1:23" ht="225">
      <c r="A965" s="1">
        <v>784624</v>
      </c>
      <c r="B965" s="1">
        <v>1</v>
      </c>
      <c r="C965" s="1">
        <v>1</v>
      </c>
      <c r="D965" s="2" t="s">
        <v>1286</v>
      </c>
      <c r="E965" s="11" t="s">
        <v>1286</v>
      </c>
      <c r="F965" s="11">
        <v>278795</v>
      </c>
      <c r="G965" s="2" t="s">
        <v>1494</v>
      </c>
      <c r="H965" s="2" t="s">
        <v>1495</v>
      </c>
      <c r="I965" s="2" t="s">
        <v>1496</v>
      </c>
      <c r="J965" s="2" t="str">
        <f>CONCATENATE(G965,F965,H965,C965,I965)</f>
        <v>https://permalinkbnd.bnportugal.gov.pt/viewer/278795/?offset=#page=1&amp;viewer=picture&amp;o=info&amp;n=0&amp;q=</v>
      </c>
      <c r="K965" s="1" t="s">
        <v>1287</v>
      </c>
      <c r="L965" s="1" t="str">
        <f>VLOOKUP(A965,Folha2!$A$2:$B$2019,2,FALSE)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5" s="12" t="str">
        <f>HYPERLINK(J965)</f>
        <v>https://permalinkbnd.bnportugal.gov.pt/viewer/278795/?offset=#page=1&amp;viewer=picture&amp;o=info&amp;n=0&amp;q=</v>
      </c>
      <c r="N965" s="12" t="s">
        <v>1497</v>
      </c>
      <c r="O965" s="12" t="str">
        <f>CONCATENATE(N965,A965,"\",B965,"\",C965,".jpg")</f>
        <v>C:\Users\mbaptista\OneDrive - Biblioteca Nacional de Portugal\Documentos\python\camoniana\imagens\capas\784624\1\1.jpg</v>
      </c>
      <c r="P965" s="12" t="str">
        <f>HYPERLINK(O965)</f>
        <v>C:\Users\mbaptista\OneDrive - Biblioteca Nacional de Portugal\Documentos\python\camoniana\imagens\capas\784624\1\1.jpg</v>
      </c>
      <c r="Q965" s="12"/>
      <c r="R965" s="6"/>
      <c r="S965" s="12"/>
      <c r="T965" s="1"/>
      <c r="U965" s="13"/>
      <c r="V965" s="13"/>
      <c r="W965" s="5"/>
    </row>
    <row r="966" spans="1:23" ht="225">
      <c r="A966" s="1">
        <v>784624</v>
      </c>
      <c r="B966" s="1">
        <v>1</v>
      </c>
      <c r="C966" s="1">
        <v>8</v>
      </c>
      <c r="D966" s="2" t="s">
        <v>1286</v>
      </c>
      <c r="E966" s="5" t="s">
        <v>1286</v>
      </c>
      <c r="F966" s="5">
        <v>278795</v>
      </c>
      <c r="G966" s="2" t="s">
        <v>1494</v>
      </c>
      <c r="H966" s="2" t="s">
        <v>1495</v>
      </c>
      <c r="I966" s="2" t="s">
        <v>1496</v>
      </c>
      <c r="J966" s="2" t="str">
        <f>CONCATENATE(G966,F966,H966,C966,I966)</f>
        <v>https://permalinkbnd.bnportugal.gov.pt/viewer/278795/?offset=#page=8&amp;viewer=picture&amp;o=info&amp;n=0&amp;q=</v>
      </c>
      <c r="K966" s="1" t="s">
        <v>1287</v>
      </c>
      <c r="L966" s="1" t="str">
        <f>VLOOKUP(A966,Folha2!$A$2:$B$2019,2,FALSE)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6" s="12" t="str">
        <f>HYPERLINK(J966)</f>
        <v>https://permalinkbnd.bnportugal.gov.pt/viewer/278795/?offset=#page=8&amp;viewer=picture&amp;o=info&amp;n=0&amp;q=</v>
      </c>
      <c r="N966" s="12" t="s">
        <v>1497</v>
      </c>
      <c r="O966" s="12" t="str">
        <f>CONCATENATE(N966,A966,"\",B966,"\",C966,".jpg")</f>
        <v>C:\Users\mbaptista\OneDrive - Biblioteca Nacional de Portugal\Documentos\python\camoniana\imagens\capas\784624\1\8.jpg</v>
      </c>
      <c r="P966" s="12" t="str">
        <f>HYPERLINK(O966)</f>
        <v>C:\Users\mbaptista\OneDrive - Biblioteca Nacional de Portugal\Documentos\python\camoniana\imagens\capas\784624\1\8.jpg</v>
      </c>
      <c r="Q966" s="12"/>
      <c r="R966" s="6" t="s">
        <v>1289</v>
      </c>
      <c r="S966" s="12"/>
      <c r="T966" s="1" t="s">
        <v>1288</v>
      </c>
      <c r="U966" s="13"/>
      <c r="V966" s="13"/>
      <c r="W966" s="5" t="s">
        <v>1491</v>
      </c>
    </row>
    <row r="967" spans="1:23" ht="225">
      <c r="A967" s="1">
        <v>784624</v>
      </c>
      <c r="B967" s="1">
        <v>1</v>
      </c>
      <c r="C967" s="1">
        <v>59</v>
      </c>
      <c r="D967" s="2" t="s">
        <v>1286</v>
      </c>
      <c r="E967" s="11" t="s">
        <v>1286</v>
      </c>
      <c r="F967" s="11">
        <v>278795</v>
      </c>
      <c r="G967" s="2" t="s">
        <v>1494</v>
      </c>
      <c r="H967" s="2" t="s">
        <v>1495</v>
      </c>
      <c r="I967" s="2" t="s">
        <v>1496</v>
      </c>
      <c r="J967" s="2" t="str">
        <f>CONCATENATE(G967,F967,H967,C967,I967)</f>
        <v>https://permalinkbnd.bnportugal.gov.pt/viewer/278795/?offset=#page=59&amp;viewer=picture&amp;o=info&amp;n=0&amp;q=</v>
      </c>
      <c r="K967" s="1" t="s">
        <v>1287</v>
      </c>
      <c r="L967" s="1" t="str">
        <f>VLOOKUP(A967,Folha2!$A$2:$B$2019,2,FALSE)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7" s="12" t="str">
        <f>HYPERLINK(J967)</f>
        <v>https://permalinkbnd.bnportugal.gov.pt/viewer/278795/?offset=#page=59&amp;viewer=picture&amp;o=info&amp;n=0&amp;q=</v>
      </c>
      <c r="N967" s="12" t="s">
        <v>1497</v>
      </c>
      <c r="O967" s="12" t="str">
        <f>CONCATENATE(N967,A967,"\",B967,"\",C967,".jpg")</f>
        <v>C:\Users\mbaptista\OneDrive - Biblioteca Nacional de Portugal\Documentos\python\camoniana\imagens\capas\784624\1\59.jpg</v>
      </c>
      <c r="P967" s="12" t="str">
        <f>HYPERLINK(O967)</f>
        <v>C:\Users\mbaptista\OneDrive - Biblioteca Nacional de Portugal\Documentos\python\camoniana\imagens\capas\784624\1\59.jpg</v>
      </c>
      <c r="Q967" s="12"/>
      <c r="R967" s="6" t="s">
        <v>1290</v>
      </c>
      <c r="S967" s="12"/>
      <c r="T967" s="1" t="s">
        <v>1288</v>
      </c>
      <c r="U967" s="13"/>
      <c r="V967" s="13"/>
      <c r="W967" s="5" t="s">
        <v>1491</v>
      </c>
    </row>
    <row r="968" spans="1:23" ht="225">
      <c r="A968" s="1">
        <v>784624</v>
      </c>
      <c r="B968" s="1">
        <v>1</v>
      </c>
      <c r="C968" s="1">
        <v>97</v>
      </c>
      <c r="D968" s="2" t="s">
        <v>1286</v>
      </c>
      <c r="E968" s="5" t="s">
        <v>1286</v>
      </c>
      <c r="F968" s="5">
        <v>278795</v>
      </c>
      <c r="G968" s="2" t="s">
        <v>1494</v>
      </c>
      <c r="H968" s="2" t="s">
        <v>1495</v>
      </c>
      <c r="I968" s="2" t="s">
        <v>1496</v>
      </c>
      <c r="J968" s="2" t="str">
        <f>CONCATENATE(G968,F968,H968,C968,I968)</f>
        <v>https://permalinkbnd.bnportugal.gov.pt/viewer/278795/?offset=#page=97&amp;viewer=picture&amp;o=info&amp;n=0&amp;q=</v>
      </c>
      <c r="K968" s="1" t="s">
        <v>1287</v>
      </c>
      <c r="L968" s="1" t="str">
        <f>VLOOKUP(A968,Folha2!$A$2:$B$2019,2,FALSE)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8" s="12" t="str">
        <f>HYPERLINK(J968)</f>
        <v>https://permalinkbnd.bnportugal.gov.pt/viewer/278795/?offset=#page=97&amp;viewer=picture&amp;o=info&amp;n=0&amp;q=</v>
      </c>
      <c r="N968" s="12" t="s">
        <v>1497</v>
      </c>
      <c r="O968" s="12" t="str">
        <f>CONCATENATE(N968,A968,"\",B968,"\",C968,".jpg")</f>
        <v>C:\Users\mbaptista\OneDrive - Biblioteca Nacional de Portugal\Documentos\python\camoniana\imagens\capas\784624\1\97.jpg</v>
      </c>
      <c r="P968" s="12" t="str">
        <f>HYPERLINK(O968)</f>
        <v>C:\Users\mbaptista\OneDrive - Biblioteca Nacional de Portugal\Documentos\python\camoniana\imagens\capas\784624\1\97.jpg</v>
      </c>
      <c r="Q968" s="12"/>
      <c r="R968" s="6" t="s">
        <v>1291</v>
      </c>
      <c r="S968" s="12"/>
      <c r="T968" s="1" t="s">
        <v>1288</v>
      </c>
      <c r="U968" s="13"/>
      <c r="V968" s="13"/>
      <c r="W968" s="5" t="s">
        <v>1491</v>
      </c>
    </row>
    <row r="969" spans="1:23" ht="225">
      <c r="A969" s="1">
        <v>784624</v>
      </c>
      <c r="B969" s="1">
        <v>1</v>
      </c>
      <c r="C969" s="1">
        <v>139</v>
      </c>
      <c r="D969" s="2" t="s">
        <v>1286</v>
      </c>
      <c r="E969" s="11" t="s">
        <v>1286</v>
      </c>
      <c r="F969" s="11">
        <v>278795</v>
      </c>
      <c r="G969" s="2" t="s">
        <v>1494</v>
      </c>
      <c r="H969" s="2" t="s">
        <v>1495</v>
      </c>
      <c r="I969" s="2" t="s">
        <v>1496</v>
      </c>
      <c r="J969" s="2" t="str">
        <f>CONCATENATE(G969,F969,H969,C969,I969)</f>
        <v>https://permalinkbnd.bnportugal.gov.pt/viewer/278795/?offset=#page=139&amp;viewer=picture&amp;o=info&amp;n=0&amp;q=</v>
      </c>
      <c r="K969" s="1" t="s">
        <v>1287</v>
      </c>
      <c r="L969" s="1" t="str">
        <f>VLOOKUP(A969,Folha2!$A$2:$B$2019,2,FALSE)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69" s="12" t="str">
        <f>HYPERLINK(J969)</f>
        <v>https://permalinkbnd.bnportugal.gov.pt/viewer/278795/?offset=#page=139&amp;viewer=picture&amp;o=info&amp;n=0&amp;q=</v>
      </c>
      <c r="N969" s="12" t="s">
        <v>1497</v>
      </c>
      <c r="O969" s="12" t="str">
        <f>CONCATENATE(N969,A969,"\",B969,"\",C969,".jpg")</f>
        <v>C:\Users\mbaptista\OneDrive - Biblioteca Nacional de Portugal\Documentos\python\camoniana\imagens\capas\784624\1\139.jpg</v>
      </c>
      <c r="P969" s="12" t="str">
        <f>HYPERLINK(O969)</f>
        <v>C:\Users\mbaptista\OneDrive - Biblioteca Nacional de Portugal\Documentos\python\camoniana\imagens\capas\784624\1\139.jpg</v>
      </c>
      <c r="Q969" s="12"/>
      <c r="R969" s="6" t="s">
        <v>1292</v>
      </c>
      <c r="S969" s="12"/>
      <c r="T969" s="1" t="s">
        <v>1288</v>
      </c>
      <c r="U969" s="13"/>
      <c r="V969" s="13"/>
      <c r="W969" s="5" t="s">
        <v>1491</v>
      </c>
    </row>
    <row r="970" spans="1:23" ht="225">
      <c r="A970" s="1">
        <v>784624</v>
      </c>
      <c r="B970" s="1">
        <v>1</v>
      </c>
      <c r="C970" s="1">
        <v>191</v>
      </c>
      <c r="D970" s="2" t="s">
        <v>1286</v>
      </c>
      <c r="E970" s="5" t="s">
        <v>1286</v>
      </c>
      <c r="F970" s="5">
        <v>278795</v>
      </c>
      <c r="G970" s="2" t="s">
        <v>1494</v>
      </c>
      <c r="H970" s="2" t="s">
        <v>1495</v>
      </c>
      <c r="I970" s="2" t="s">
        <v>1496</v>
      </c>
      <c r="J970" s="2" t="str">
        <f>CONCATENATE(G970,F970,H970,C970,I970)</f>
        <v>https://permalinkbnd.bnportugal.gov.pt/viewer/278795/?offset=#page=191&amp;viewer=picture&amp;o=info&amp;n=0&amp;q=</v>
      </c>
      <c r="K970" s="1" t="s">
        <v>1287</v>
      </c>
      <c r="L970" s="1" t="str">
        <f>VLOOKUP(A970,Folha2!$A$2:$B$2019,2,FALSE)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0" s="12" t="str">
        <f>HYPERLINK(J970)</f>
        <v>https://permalinkbnd.bnportugal.gov.pt/viewer/278795/?offset=#page=191&amp;viewer=picture&amp;o=info&amp;n=0&amp;q=</v>
      </c>
      <c r="N970" s="12" t="s">
        <v>1497</v>
      </c>
      <c r="O970" s="12" t="str">
        <f>CONCATENATE(N970,A970,"\",B970,"\",C970,".jpg")</f>
        <v>C:\Users\mbaptista\OneDrive - Biblioteca Nacional de Portugal\Documentos\python\camoniana\imagens\capas\784624\1\191.jpg</v>
      </c>
      <c r="P970" s="12" t="str">
        <f>HYPERLINK(O970)</f>
        <v>C:\Users\mbaptista\OneDrive - Biblioteca Nacional de Portugal\Documentos\python\camoniana\imagens\capas\784624\1\191.jpg</v>
      </c>
      <c r="Q970" s="12"/>
      <c r="R970" s="6" t="s">
        <v>1293</v>
      </c>
      <c r="S970" s="12"/>
      <c r="T970" s="1" t="s">
        <v>1288</v>
      </c>
      <c r="U970" s="13"/>
      <c r="V970" s="13"/>
      <c r="W970" s="5" t="s">
        <v>1491</v>
      </c>
    </row>
    <row r="971" spans="1:23" ht="225">
      <c r="A971" s="1">
        <v>784624</v>
      </c>
      <c r="B971" s="1">
        <v>1</v>
      </c>
      <c r="C971" s="1">
        <v>229</v>
      </c>
      <c r="D971" s="2" t="s">
        <v>1286</v>
      </c>
      <c r="E971" s="11" t="s">
        <v>1286</v>
      </c>
      <c r="F971" s="11">
        <v>278795</v>
      </c>
      <c r="G971" s="2" t="s">
        <v>1494</v>
      </c>
      <c r="H971" s="2" t="s">
        <v>1495</v>
      </c>
      <c r="I971" s="2" t="s">
        <v>1496</v>
      </c>
      <c r="J971" s="2" t="str">
        <f>CONCATENATE(G971,F971,H971,C971,I971)</f>
        <v>https://permalinkbnd.bnportugal.gov.pt/viewer/278795/?offset=#page=229&amp;viewer=picture&amp;o=info&amp;n=0&amp;q=</v>
      </c>
      <c r="K971" s="1" t="s">
        <v>1287</v>
      </c>
      <c r="L971" s="1" t="str">
        <f>VLOOKUP(A971,Folha2!$A$2:$B$2019,2,FALSE)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1" s="12" t="str">
        <f>HYPERLINK(J971)</f>
        <v>https://permalinkbnd.bnportugal.gov.pt/viewer/278795/?offset=#page=229&amp;viewer=picture&amp;o=info&amp;n=0&amp;q=</v>
      </c>
      <c r="N971" s="12" t="s">
        <v>1497</v>
      </c>
      <c r="O971" s="12" t="str">
        <f>CONCATENATE(N971,A971,"\",B971,"\",C971,".jpg")</f>
        <v>C:\Users\mbaptista\OneDrive - Biblioteca Nacional de Portugal\Documentos\python\camoniana\imagens\capas\784624\1\229.jpg</v>
      </c>
      <c r="P971" s="12" t="str">
        <f>HYPERLINK(O971)</f>
        <v>C:\Users\mbaptista\OneDrive - Biblioteca Nacional de Portugal\Documentos\python\camoniana\imagens\capas\784624\1\229.jpg</v>
      </c>
      <c r="Q971" s="12"/>
      <c r="R971" s="6" t="s">
        <v>1294</v>
      </c>
      <c r="S971" s="12"/>
      <c r="T971" s="1" t="s">
        <v>1288</v>
      </c>
      <c r="U971" s="13"/>
      <c r="V971" s="13"/>
      <c r="W971" s="5" t="s">
        <v>1491</v>
      </c>
    </row>
    <row r="972" spans="1:23" ht="225">
      <c r="A972" s="1">
        <v>784624</v>
      </c>
      <c r="B972" s="1">
        <v>1</v>
      </c>
      <c r="C972" s="1">
        <v>265</v>
      </c>
      <c r="D972" s="2" t="s">
        <v>1286</v>
      </c>
      <c r="E972" s="5" t="s">
        <v>1286</v>
      </c>
      <c r="F972" s="5">
        <v>278795</v>
      </c>
      <c r="G972" s="2" t="s">
        <v>1494</v>
      </c>
      <c r="H972" s="2" t="s">
        <v>1495</v>
      </c>
      <c r="I972" s="2" t="s">
        <v>1496</v>
      </c>
      <c r="J972" s="2" t="str">
        <f>CONCATENATE(G972,F972,H972,C972,I972)</f>
        <v>https://permalinkbnd.bnportugal.gov.pt/viewer/278795/?offset=#page=265&amp;viewer=picture&amp;o=info&amp;n=0&amp;q=</v>
      </c>
      <c r="K972" s="1" t="s">
        <v>1287</v>
      </c>
      <c r="L972" s="1" t="str">
        <f>VLOOKUP(A972,Folha2!$A$2:$B$2019,2,FALSE)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2" s="12" t="str">
        <f>HYPERLINK(J972)</f>
        <v>https://permalinkbnd.bnportugal.gov.pt/viewer/278795/?offset=#page=265&amp;viewer=picture&amp;o=info&amp;n=0&amp;q=</v>
      </c>
      <c r="N972" s="12" t="s">
        <v>1497</v>
      </c>
      <c r="O972" s="12" t="str">
        <f>CONCATENATE(N972,A972,"\",B972,"\",C972,".jpg")</f>
        <v>C:\Users\mbaptista\OneDrive - Biblioteca Nacional de Portugal\Documentos\python\camoniana\imagens\capas\784624\1\265.jpg</v>
      </c>
      <c r="P972" s="12" t="str">
        <f>HYPERLINK(O972)</f>
        <v>C:\Users\mbaptista\OneDrive - Biblioteca Nacional de Portugal\Documentos\python\camoniana\imagens\capas\784624\1\265.jpg</v>
      </c>
      <c r="Q972" s="12"/>
      <c r="R972" s="6" t="s">
        <v>1295</v>
      </c>
      <c r="S972" s="12"/>
      <c r="T972" s="1" t="s">
        <v>1288</v>
      </c>
      <c r="U972" s="13"/>
      <c r="V972" s="13"/>
      <c r="W972" s="5" t="s">
        <v>1491</v>
      </c>
    </row>
    <row r="973" spans="1:23" ht="225">
      <c r="A973" s="1">
        <v>784624</v>
      </c>
      <c r="B973" s="1">
        <v>1</v>
      </c>
      <c r="C973" s="1">
        <v>301</v>
      </c>
      <c r="D973" s="2" t="s">
        <v>1286</v>
      </c>
      <c r="E973" s="11" t="s">
        <v>1286</v>
      </c>
      <c r="F973" s="11">
        <v>278795</v>
      </c>
      <c r="G973" s="2" t="s">
        <v>1494</v>
      </c>
      <c r="H973" s="2" t="s">
        <v>1495</v>
      </c>
      <c r="I973" s="2" t="s">
        <v>1496</v>
      </c>
      <c r="J973" s="2" t="str">
        <f>CONCATENATE(G973,F973,H973,C973,I973)</f>
        <v>https://permalinkbnd.bnportugal.gov.pt/viewer/278795/?offset=#page=301&amp;viewer=picture&amp;o=info&amp;n=0&amp;q=</v>
      </c>
      <c r="K973" s="1" t="s">
        <v>1287</v>
      </c>
      <c r="L973" s="1" t="str">
        <f>VLOOKUP(A973,Folha2!$A$2:$B$2019,2,FALSE)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3" s="12" t="str">
        <f>HYPERLINK(J973)</f>
        <v>https://permalinkbnd.bnportugal.gov.pt/viewer/278795/?offset=#page=301&amp;viewer=picture&amp;o=info&amp;n=0&amp;q=</v>
      </c>
      <c r="N973" s="12" t="s">
        <v>1497</v>
      </c>
      <c r="O973" s="12" t="str">
        <f>CONCATENATE(N973,A973,"\",B973,"\",C973,".jpg")</f>
        <v>C:\Users\mbaptista\OneDrive - Biblioteca Nacional de Portugal\Documentos\python\camoniana\imagens\capas\784624\1\301.jpg</v>
      </c>
      <c r="P973" s="12" t="str">
        <f>HYPERLINK(O973)</f>
        <v>C:\Users\mbaptista\OneDrive - Biblioteca Nacional de Portugal\Documentos\python\camoniana\imagens\capas\784624\1\301.jpg</v>
      </c>
      <c r="Q973" s="12"/>
      <c r="R973" s="6" t="s">
        <v>1296</v>
      </c>
      <c r="S973" s="12"/>
      <c r="T973" s="1" t="s">
        <v>1288</v>
      </c>
      <c r="U973" s="13"/>
      <c r="V973" s="13"/>
      <c r="W973" s="5" t="s">
        <v>1491</v>
      </c>
    </row>
    <row r="974" spans="1:23" ht="225">
      <c r="A974" s="1">
        <v>784624</v>
      </c>
      <c r="B974" s="1">
        <v>1</v>
      </c>
      <c r="C974" s="1">
        <v>333</v>
      </c>
      <c r="D974" s="2" t="s">
        <v>1286</v>
      </c>
      <c r="E974" s="5" t="s">
        <v>1286</v>
      </c>
      <c r="F974" s="5">
        <v>278795</v>
      </c>
      <c r="G974" s="2" t="s">
        <v>1494</v>
      </c>
      <c r="H974" s="2" t="s">
        <v>1495</v>
      </c>
      <c r="I974" s="2" t="s">
        <v>1496</v>
      </c>
      <c r="J974" s="2" t="str">
        <f>CONCATENATE(G974,F974,H974,C974,I974)</f>
        <v>https://permalinkbnd.bnportugal.gov.pt/viewer/278795/?offset=#page=333&amp;viewer=picture&amp;o=info&amp;n=0&amp;q=</v>
      </c>
      <c r="K974" s="1" t="s">
        <v>1287</v>
      </c>
      <c r="L974" s="1" t="str">
        <f>VLOOKUP(A974,Folha2!$A$2:$B$2019,2,FALSE)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4" s="12" t="str">
        <f>HYPERLINK(J974)</f>
        <v>https://permalinkbnd.bnportugal.gov.pt/viewer/278795/?offset=#page=333&amp;viewer=picture&amp;o=info&amp;n=0&amp;q=</v>
      </c>
      <c r="N974" s="12" t="s">
        <v>1497</v>
      </c>
      <c r="O974" s="12" t="str">
        <f>CONCATENATE(N974,A974,"\",B974,"\",C974,".jpg")</f>
        <v>C:\Users\mbaptista\OneDrive - Biblioteca Nacional de Portugal\Documentos\python\camoniana\imagens\capas\784624\1\333.jpg</v>
      </c>
      <c r="P974" s="12" t="str">
        <f>HYPERLINK(O974)</f>
        <v>C:\Users\mbaptista\OneDrive - Biblioteca Nacional de Portugal\Documentos\python\camoniana\imagens\capas\784624\1\333.jpg</v>
      </c>
      <c r="Q974" s="12"/>
      <c r="R974" s="6" t="s">
        <v>1297</v>
      </c>
      <c r="S974" s="12"/>
      <c r="T974" s="1" t="s">
        <v>1288</v>
      </c>
      <c r="U974" s="13"/>
      <c r="V974" s="13"/>
      <c r="W974" s="5" t="s">
        <v>1491</v>
      </c>
    </row>
    <row r="975" spans="1:23" ht="225">
      <c r="A975" s="1">
        <v>784624</v>
      </c>
      <c r="B975" s="1">
        <v>1</v>
      </c>
      <c r="C975" s="1">
        <v>369</v>
      </c>
      <c r="D975" s="2" t="s">
        <v>1286</v>
      </c>
      <c r="E975" s="11" t="s">
        <v>1286</v>
      </c>
      <c r="F975" s="11">
        <v>278795</v>
      </c>
      <c r="G975" s="2" t="s">
        <v>1494</v>
      </c>
      <c r="H975" s="2" t="s">
        <v>1495</v>
      </c>
      <c r="I975" s="2" t="s">
        <v>1496</v>
      </c>
      <c r="J975" s="2" t="str">
        <f>CONCATENATE(G975,F975,H975,C975,I975)</f>
        <v>https://permalinkbnd.bnportugal.gov.pt/viewer/278795/?offset=#page=369&amp;viewer=picture&amp;o=info&amp;n=0&amp;q=</v>
      </c>
      <c r="K975" s="1" t="s">
        <v>1287</v>
      </c>
      <c r="L975" s="1" t="str">
        <f>VLOOKUP(A975,Folha2!$A$2:$B$2019,2,FALSE)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5" s="12" t="str">
        <f>HYPERLINK(J975)</f>
        <v>https://permalinkbnd.bnportugal.gov.pt/viewer/278795/?offset=#page=369&amp;viewer=picture&amp;o=info&amp;n=0&amp;q=</v>
      </c>
      <c r="N975" s="12" t="s">
        <v>1497</v>
      </c>
      <c r="O975" s="12" t="str">
        <f>CONCATENATE(N975,A975,"\",B975,"\",C975,".jpg")</f>
        <v>C:\Users\mbaptista\OneDrive - Biblioteca Nacional de Portugal\Documentos\python\camoniana\imagens\capas\784624\1\369.jpg</v>
      </c>
      <c r="P975" s="12" t="str">
        <f>HYPERLINK(O975)</f>
        <v>C:\Users\mbaptista\OneDrive - Biblioteca Nacional de Portugal\Documentos\python\camoniana\imagens\capas\784624\1\369.jpg</v>
      </c>
      <c r="Q975" s="12"/>
      <c r="R975" s="6" t="s">
        <v>1298</v>
      </c>
      <c r="S975" s="12"/>
      <c r="T975" s="1" t="s">
        <v>1288</v>
      </c>
      <c r="U975" s="13"/>
      <c r="V975" s="13"/>
      <c r="W975" s="5" t="s">
        <v>1491</v>
      </c>
    </row>
    <row r="976" spans="1:23" ht="225">
      <c r="A976" s="1">
        <v>784624</v>
      </c>
      <c r="B976" s="1">
        <v>1</v>
      </c>
      <c r="C976" s="1">
        <v>405</v>
      </c>
      <c r="D976" s="2" t="s">
        <v>1286</v>
      </c>
      <c r="E976" s="5" t="s">
        <v>1286</v>
      </c>
      <c r="F976" s="5">
        <v>278795</v>
      </c>
      <c r="G976" s="2" t="s">
        <v>1494</v>
      </c>
      <c r="H976" s="2" t="s">
        <v>1495</v>
      </c>
      <c r="I976" s="2" t="s">
        <v>1496</v>
      </c>
      <c r="J976" s="2" t="str">
        <f>CONCATENATE(G976,F976,H976,C976,I976)</f>
        <v>https://permalinkbnd.bnportugal.gov.pt/viewer/278795/?offset=#page=405&amp;viewer=picture&amp;o=info&amp;n=0&amp;q=</v>
      </c>
      <c r="K976" s="1" t="s">
        <v>1287</v>
      </c>
      <c r="L976" s="1" t="str">
        <f>VLOOKUP(A976,Folha2!$A$2:$B$2019,2,FALSE)</f>
        <v>Os Lusíadas : poema épico / de Luís de Camões. - Nova ed. conforme à de 1817, in 4º / de Dom José Maria de Sousa Botelho ; correta e dada à luz por Paulino de Sousa. - Paris : Vª J. P. Aillaud, 1875, com índice de nomes no final. Paratextos vida e paratextos argumentos.</v>
      </c>
      <c r="M976" s="12" t="str">
        <f>HYPERLINK(J976)</f>
        <v>https://permalinkbnd.bnportugal.gov.pt/viewer/278795/?offset=#page=405&amp;viewer=picture&amp;o=info&amp;n=0&amp;q=</v>
      </c>
      <c r="N976" s="12" t="s">
        <v>1497</v>
      </c>
      <c r="O976" s="12" t="str">
        <f>CONCATENATE(N976,A976,"\",B976,"\",C976,".jpg")</f>
        <v>C:\Users\mbaptista\OneDrive - Biblioteca Nacional de Portugal\Documentos\python\camoniana\imagens\capas\784624\1\405.jpg</v>
      </c>
      <c r="P976" s="12" t="str">
        <f>HYPERLINK(O976)</f>
        <v>C:\Users\mbaptista\OneDrive - Biblioteca Nacional de Portugal\Documentos\python\camoniana\imagens\capas\784624\1\405.jpg</v>
      </c>
      <c r="Q976" s="12"/>
      <c r="R976" s="6" t="s">
        <v>1299</v>
      </c>
      <c r="S976" s="12"/>
      <c r="T976" s="1" t="s">
        <v>1288</v>
      </c>
      <c r="U976" s="13"/>
      <c r="V976" s="13"/>
      <c r="W976" s="5" t="s">
        <v>1491</v>
      </c>
    </row>
    <row r="977" spans="1:23" ht="225">
      <c r="A977" s="1">
        <v>789264</v>
      </c>
      <c r="B977" s="1">
        <v>1</v>
      </c>
      <c r="C977" s="1">
        <v>22</v>
      </c>
      <c r="D977" s="2" t="s">
        <v>1300</v>
      </c>
      <c r="E977" s="11" t="s">
        <v>1300</v>
      </c>
      <c r="F977" s="11">
        <v>279624</v>
      </c>
      <c r="G977" s="2" t="s">
        <v>1494</v>
      </c>
      <c r="H977" s="2" t="s">
        <v>1495</v>
      </c>
      <c r="I977" s="2" t="s">
        <v>1496</v>
      </c>
      <c r="J977" s="2" t="str">
        <f>CONCATENATE(G977,F977,H977,C977,I977)</f>
        <v>https://permalinkbnd.bnportugal.gov.pt/viewer/279624/?offset=#page=22&amp;viewer=picture&amp;o=info&amp;n=0&amp;q=</v>
      </c>
      <c r="K977" s="1" t="s">
        <v>1301</v>
      </c>
      <c r="L977" s="1" t="str">
        <f>VLOOKUP(A977,Folha2!$A$2:$B$2019,2,FALSE)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7" s="12" t="str">
        <f>HYPERLINK(J977)</f>
        <v>https://permalinkbnd.bnportugal.gov.pt/viewer/279624/?offset=#page=22&amp;viewer=picture&amp;o=info&amp;n=0&amp;q=</v>
      </c>
      <c r="N977" s="12" t="s">
        <v>1497</v>
      </c>
      <c r="O977" s="12" t="str">
        <f>CONCATENATE(N977,A977,"\",B977,"\",C977,".jpg")</f>
        <v>C:\Users\mbaptista\OneDrive - Biblioteca Nacional de Portugal\Documentos\python\camoniana\imagens\capas\789264\1\22.jpg</v>
      </c>
      <c r="P977" s="12" t="str">
        <f>HYPERLINK(O977)</f>
        <v>C:\Users\mbaptista\OneDrive - Biblioteca Nacional de Portugal\Documentos\python\camoniana\imagens\capas\789264\1\22.jpg</v>
      </c>
      <c r="Q977" s="12"/>
      <c r="R977" s="6" t="s">
        <v>1302</v>
      </c>
      <c r="S977" s="12"/>
      <c r="T977" s="1"/>
      <c r="U977" s="13"/>
      <c r="V977" s="13"/>
      <c r="W977" s="5" t="s">
        <v>1491</v>
      </c>
    </row>
    <row r="978" spans="1:23" ht="225">
      <c r="A978" s="1">
        <v>789264</v>
      </c>
      <c r="B978" s="1">
        <v>1</v>
      </c>
      <c r="C978" s="1">
        <v>24</v>
      </c>
      <c r="D978" s="2" t="s">
        <v>1300</v>
      </c>
      <c r="E978" s="5" t="s">
        <v>1300</v>
      </c>
      <c r="F978" s="5">
        <v>279624</v>
      </c>
      <c r="G978" s="2" t="s">
        <v>1494</v>
      </c>
      <c r="H978" s="2" t="s">
        <v>1495</v>
      </c>
      <c r="I978" s="2" t="s">
        <v>1496</v>
      </c>
      <c r="J978" s="2" t="str">
        <f>CONCATENATE(G978,F978,H978,C978,I978)</f>
        <v>https://permalinkbnd.bnportugal.gov.pt/viewer/279624/?offset=#page=24&amp;viewer=picture&amp;o=info&amp;n=0&amp;q=</v>
      </c>
      <c r="K978" s="1" t="s">
        <v>1301</v>
      </c>
      <c r="L978" s="1" t="str">
        <f>VLOOKUP(A978,Folha2!$A$2:$B$2019,2,FALSE)</f>
        <v>Apotheose camoneana / por Xavier de Carvalho. - Porto : Empr. Ferreira de Brito, 1885-1886, esta é a primeira data que aparece quando se abre o purl, talvez se possa aditar a data ou então deslocar a imagem de rosto para o final da digitalização. Celebrações (1880), recepção criativa, tematização.</v>
      </c>
      <c r="M978" s="12" t="str">
        <f>HYPERLINK(J978)</f>
        <v>https://permalinkbnd.bnportugal.gov.pt/viewer/279624/?offset=#page=24&amp;viewer=picture&amp;o=info&amp;n=0&amp;q=</v>
      </c>
      <c r="N978" s="12" t="s">
        <v>1497</v>
      </c>
      <c r="O978" s="12" t="str">
        <f>CONCATENATE(N978,A978,"\",B978,"\",C978,".jpg")</f>
        <v>C:\Users\mbaptista\OneDrive - Biblioteca Nacional de Portugal\Documentos\python\camoniana\imagens\capas\789264\1\24.jpg</v>
      </c>
      <c r="P978" s="12" t="str">
        <f>HYPERLINK(O978)</f>
        <v>C:\Users\mbaptista\OneDrive - Biblioteca Nacional de Portugal\Documentos\python\camoniana\imagens\capas\789264\1\24.jpg</v>
      </c>
      <c r="Q978" s="12"/>
      <c r="R978" s="6" t="s">
        <v>1303</v>
      </c>
      <c r="S978" s="12"/>
      <c r="T978" s="1"/>
      <c r="U978" s="13"/>
      <c r="V978" s="13"/>
      <c r="W978" s="5" t="s">
        <v>1491</v>
      </c>
    </row>
    <row r="979" spans="1:23" ht="225">
      <c r="A979" s="1">
        <v>798873</v>
      </c>
      <c r="B979" s="1">
        <v>1</v>
      </c>
      <c r="C979" s="1">
        <v>5</v>
      </c>
      <c r="D979" s="2" t="s">
        <v>1304</v>
      </c>
      <c r="E979" s="11" t="s">
        <v>1304</v>
      </c>
      <c r="F979" s="11">
        <v>279100</v>
      </c>
      <c r="G979" s="2" t="s">
        <v>1494</v>
      </c>
      <c r="H979" s="2" t="s">
        <v>1495</v>
      </c>
      <c r="I979" s="2" t="s">
        <v>1496</v>
      </c>
      <c r="J979" s="2" t="str">
        <f>CONCATENATE(G979,F979,H979,C979,I979)</f>
        <v>https://permalinkbnd.bnportugal.gov.pt/viewer/279100/?offset=#page=5&amp;viewer=picture&amp;o=info&amp;n=0&amp;q=</v>
      </c>
      <c r="K979" s="1" t="s">
        <v>1305</v>
      </c>
      <c r="L979" s="1" t="str">
        <f>VLOOKUP(A979,Folha2!$A$2:$B$2019,2,FALSE)</f>
        <v>Camões e os Lusíadas : estudo crítico publicado por ocasião do tricentenário / por Theophilo Braga. - Lisboa : Nova Livr. Internacional, 1880</v>
      </c>
      <c r="M979" s="12" t="str">
        <f>HYPERLINK(J979)</f>
        <v>https://permalinkbnd.bnportugal.gov.pt/viewer/279100/?offset=#page=5&amp;viewer=picture&amp;o=info&amp;n=0&amp;q=</v>
      </c>
      <c r="N979" s="12" t="s">
        <v>1497</v>
      </c>
      <c r="O979" s="12" t="str">
        <f>CONCATENATE(N979,A979,"\",B979,"\",C979,".jpg")</f>
        <v>C:\Users\mbaptista\OneDrive - Biblioteca Nacional de Portugal\Documentos\python\camoniana\imagens\capas\798873\1\5.jpg</v>
      </c>
      <c r="P979" s="12" t="str">
        <f>HYPERLINK(O979)</f>
        <v>C:\Users\mbaptista\OneDrive - Biblioteca Nacional de Portugal\Documentos\python\camoniana\imagens\capas\798873\1\5.jpg</v>
      </c>
      <c r="Q979" s="12"/>
      <c r="R979" s="6" t="s">
        <v>1306</v>
      </c>
      <c r="S979" s="12"/>
      <c r="T979" s="1" t="s">
        <v>1200</v>
      </c>
      <c r="U979" s="13"/>
      <c r="V979" s="13"/>
      <c r="W979" s="5" t="s">
        <v>1491</v>
      </c>
    </row>
    <row r="980" spans="1:23" ht="225">
      <c r="A980" s="1">
        <v>798873</v>
      </c>
      <c r="B980" s="1">
        <v>1</v>
      </c>
      <c r="C980" s="1">
        <v>7</v>
      </c>
      <c r="D980" s="2" t="s">
        <v>1304</v>
      </c>
      <c r="E980" s="5" t="s">
        <v>1304</v>
      </c>
      <c r="F980" s="5">
        <v>279100</v>
      </c>
      <c r="G980" s="2" t="s">
        <v>1494</v>
      </c>
      <c r="H980" s="2" t="s">
        <v>1495</v>
      </c>
      <c r="I980" s="2" t="s">
        <v>1496</v>
      </c>
      <c r="J980" s="2" t="str">
        <f>CONCATENATE(G980,F980,H980,C980,I980)</f>
        <v>https://permalinkbnd.bnportugal.gov.pt/viewer/279100/?offset=#page=7&amp;viewer=picture&amp;o=info&amp;n=0&amp;q=</v>
      </c>
      <c r="K980" s="1" t="s">
        <v>1305</v>
      </c>
      <c r="L980" s="1" t="str">
        <f>VLOOKUP(A980,Folha2!$A$2:$B$2019,2,FALSE)</f>
        <v>Camões e os Lusíadas : estudo crítico publicado por ocasião do tricentenário / por Theophilo Braga. - Lisboa : Nova Livr. Internacional, 1880</v>
      </c>
      <c r="M980" s="12" t="str">
        <f>HYPERLINK(J980)</f>
        <v>https://permalinkbnd.bnportugal.gov.pt/viewer/279100/?offset=#page=7&amp;viewer=picture&amp;o=info&amp;n=0&amp;q=</v>
      </c>
      <c r="N980" s="12" t="s">
        <v>1497</v>
      </c>
      <c r="O980" s="12" t="str">
        <f>CONCATENATE(N980,A980,"\",B980,"\",C980,".jpg")</f>
        <v>C:\Users\mbaptista\OneDrive - Biblioteca Nacional de Portugal\Documentos\python\camoniana\imagens\capas\798873\1\7.jpg</v>
      </c>
      <c r="P980" s="12" t="str">
        <f>HYPERLINK(O980)</f>
        <v>C:\Users\mbaptista\OneDrive - Biblioteca Nacional de Portugal\Documentos\python\camoniana\imagens\capas\798873\1\7.jpg</v>
      </c>
      <c r="Q980" s="12"/>
      <c r="R980" s="6" t="s">
        <v>1307</v>
      </c>
      <c r="S980" s="12"/>
      <c r="T980" s="1" t="s">
        <v>1200</v>
      </c>
      <c r="U980" s="13"/>
      <c r="V980" s="13"/>
      <c r="W980" s="5" t="s">
        <v>1491</v>
      </c>
    </row>
    <row r="981" spans="1:23" ht="225">
      <c r="A981" s="1">
        <v>874191</v>
      </c>
      <c r="B981" s="1">
        <v>1</v>
      </c>
      <c r="C981" s="1">
        <v>9</v>
      </c>
      <c r="D981" s="2" t="s">
        <v>1308</v>
      </c>
      <c r="E981" s="11" t="s">
        <v>1308</v>
      </c>
      <c r="F981" s="11">
        <v>278495</v>
      </c>
      <c r="G981" s="2" t="s">
        <v>1494</v>
      </c>
      <c r="H981" s="2" t="s">
        <v>1495</v>
      </c>
      <c r="I981" s="2" t="s">
        <v>1496</v>
      </c>
      <c r="J981" s="2" t="str">
        <f>CONCATENATE(G981,F981,H981,C981,I981)</f>
        <v>https://permalinkbnd.bnportugal.gov.pt/viewer/278495/?offset=#page=9&amp;viewer=picture&amp;o=info&amp;n=0&amp;q=</v>
      </c>
      <c r="K981" s="1" t="s">
        <v>1309</v>
      </c>
      <c r="L981" s="1" t="str">
        <f>VLOOKUP(A981,Folha2!$A$2:$B$2019,2,FALSE)</f>
        <v>Art camonien : lettre a Mr. Joaquim de Araujo / Platon Waxel. - Porto : Redacção do Circulo Camoniano, 1892. Texto truncado, cf. p. 11.</v>
      </c>
      <c r="M981" s="12" t="str">
        <f>HYPERLINK(J981)</f>
        <v>https://permalinkbnd.bnportugal.gov.pt/viewer/278495/?offset=#page=9&amp;viewer=picture&amp;o=info&amp;n=0&amp;q=</v>
      </c>
      <c r="N981" s="12" t="s">
        <v>1497</v>
      </c>
      <c r="O981" s="12" t="str">
        <f>CONCATENATE(N981,A981,"\",B981,"\",C981,".jpg")</f>
        <v>C:\Users\mbaptista\OneDrive - Biblioteca Nacional de Portugal\Documentos\python\camoniana\imagens\capas\874191\1\9.jpg</v>
      </c>
      <c r="P981" s="12" t="str">
        <f>HYPERLINK(O981)</f>
        <v>C:\Users\mbaptista\OneDrive - Biblioteca Nacional de Portugal\Documentos\python\camoniana\imagens\capas\874191\1\9.jpg</v>
      </c>
      <c r="Q981" s="12"/>
      <c r="R981" s="6" t="s">
        <v>1310</v>
      </c>
      <c r="S981" s="12"/>
      <c r="T981" s="1">
        <v>9</v>
      </c>
      <c r="U981" s="13"/>
      <c r="V981" s="13"/>
      <c r="W981" s="5" t="s">
        <v>1491</v>
      </c>
    </row>
    <row r="982" spans="1:23" ht="225">
      <c r="A982" s="1">
        <v>874191</v>
      </c>
      <c r="B982" s="1">
        <v>1</v>
      </c>
      <c r="C982" s="1">
        <v>11</v>
      </c>
      <c r="D982" s="2" t="s">
        <v>1308</v>
      </c>
      <c r="E982" s="5" t="s">
        <v>1308</v>
      </c>
      <c r="F982" s="5">
        <v>278495</v>
      </c>
      <c r="G982" s="2" t="s">
        <v>1494</v>
      </c>
      <c r="H982" s="2" t="s">
        <v>1495</v>
      </c>
      <c r="I982" s="2" t="s">
        <v>1496</v>
      </c>
      <c r="J982" s="2" t="str">
        <f>CONCATENATE(G982,F982,H982,C982,I982)</f>
        <v>https://permalinkbnd.bnportugal.gov.pt/viewer/278495/?offset=#page=11&amp;viewer=picture&amp;o=info&amp;n=0&amp;q=</v>
      </c>
      <c r="K982" s="1" t="s">
        <v>1309</v>
      </c>
      <c r="L982" s="1" t="str">
        <f>VLOOKUP(A982,Folha2!$A$2:$B$2019,2,FALSE)</f>
        <v>Art camonien : lettre a Mr. Joaquim de Araujo / Platon Waxel. - Porto : Redacção do Circulo Camoniano, 1892. Texto truncado, cf. p. 11.</v>
      </c>
      <c r="M982" s="12" t="str">
        <f>HYPERLINK(J982)</f>
        <v>https://permalinkbnd.bnportugal.gov.pt/viewer/278495/?offset=#page=11&amp;viewer=picture&amp;o=info&amp;n=0&amp;q=</v>
      </c>
      <c r="N982" s="12" t="s">
        <v>1497</v>
      </c>
      <c r="O982" s="12" t="str">
        <f>CONCATENATE(N982,A982,"\",B982,"\",C982,".jpg")</f>
        <v>C:\Users\mbaptista\OneDrive - Biblioteca Nacional de Portugal\Documentos\python\camoniana\imagens\capas\874191\1\11.jpg</v>
      </c>
      <c r="P982" s="12" t="str">
        <f>HYPERLINK(O982)</f>
        <v>C:\Users\mbaptista\OneDrive - Biblioteca Nacional de Portugal\Documentos\python\camoniana\imagens\capas\874191\1\11.jpg</v>
      </c>
      <c r="Q982" s="12"/>
      <c r="R982" s="6"/>
      <c r="S982" s="12"/>
      <c r="T982" s="1"/>
      <c r="U982" s="13"/>
      <c r="V982" s="13"/>
      <c r="W982" s="5"/>
    </row>
    <row r="983" spans="1:23" ht="225">
      <c r="A983" s="1">
        <v>224027</v>
      </c>
      <c r="B983" s="1">
        <v>1</v>
      </c>
      <c r="C983" s="1">
        <v>7</v>
      </c>
      <c r="D983" s="2" t="s">
        <v>937</v>
      </c>
      <c r="E983" s="11" t="s">
        <v>937</v>
      </c>
      <c r="F983" s="11">
        <v>14663</v>
      </c>
      <c r="G983" s="2" t="s">
        <v>1494</v>
      </c>
      <c r="H983" s="2" t="s">
        <v>1495</v>
      </c>
      <c r="I983" s="2" t="s">
        <v>1496</v>
      </c>
      <c r="J983" s="2" t="str">
        <f>CONCATENATE(G983,F983,H983,C983,I983)</f>
        <v>https://permalinkbnd.bnportugal.gov.pt/viewer/14663/?offset=#page=7&amp;viewer=picture&amp;o=info&amp;n=0&amp;q=</v>
      </c>
      <c r="K983" s="1">
        <v>7</v>
      </c>
      <c r="L983" s="1" t="str">
        <f>VLOOKUP(A983,Folha2!$A$2:$B$2019,2,FALSE)</f>
        <v>Los Lusiadas / de Luys de Camoes ; traduzidos en octaua rima Castellana por Benito Caldera, residente en Corte. - Impresso en Alcala de Henares : por Iua[n] Gracian, 1580. Cantos numerados manualmente e completos, sem paginação.</v>
      </c>
      <c r="M983" s="12" t="str">
        <f>HYPERLINK(J983)</f>
        <v>https://permalinkbnd.bnportugal.gov.pt/viewer/14663/?offset=#page=7&amp;viewer=picture&amp;o=info&amp;n=0&amp;q=</v>
      </c>
      <c r="N983" s="12" t="s">
        <v>1497</v>
      </c>
      <c r="O983" s="12" t="str">
        <f>CONCATENATE(N983,A983,"\",B983,"\",C983,".jpg")</f>
        <v>C:\Users\mbaptista\OneDrive - Biblioteca Nacional de Portugal\Documentos\python\camoniana\imagens\capas\224027\1\7.jpg</v>
      </c>
      <c r="P983" s="12" t="str">
        <f>HYPERLINK(O983)</f>
        <v>C:\Users\mbaptista\OneDrive - Biblioteca Nacional de Portugal\Documentos\python\camoniana\imagens\capas\224027\1\7.jpg</v>
      </c>
      <c r="Q983" s="12"/>
      <c r="R983" s="6" t="s">
        <v>938</v>
      </c>
      <c r="S983" s="12"/>
      <c r="T983" s="1"/>
      <c r="U983" s="13"/>
      <c r="V983" s="13"/>
      <c r="W983" s="5" t="s">
        <v>1491</v>
      </c>
    </row>
    <row r="984" spans="1:23" ht="225">
      <c r="A984" s="1">
        <v>9413</v>
      </c>
      <c r="B984" s="1">
        <v>1</v>
      </c>
      <c r="C984" s="1">
        <v>1</v>
      </c>
      <c r="D984" s="2" t="s">
        <v>1311</v>
      </c>
      <c r="E984" s="5" t="s">
        <v>1311</v>
      </c>
      <c r="F984" s="5">
        <v>256552</v>
      </c>
      <c r="G984" s="2" t="s">
        <v>1494</v>
      </c>
      <c r="H984" s="2" t="s">
        <v>1495</v>
      </c>
      <c r="I984" s="2" t="s">
        <v>1496</v>
      </c>
      <c r="J984" s="2" t="str">
        <f>CONCATENATE(G984,F984,H984,C984,I984)</f>
        <v>https://permalinkbnd.bnportugal.gov.pt/viewer/256552/?offset=#page=1&amp;viewer=picture&amp;o=info&amp;n=0&amp;q=</v>
      </c>
      <c r="K984" s="1" t="s">
        <v>1312</v>
      </c>
      <c r="L984" s="1" t="str">
        <f>VLOOKUP(A984,Folha2!$A$2:$B$2019,2,FALSE)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4" s="12" t="str">
        <f>HYPERLINK(J984)</f>
        <v>https://permalinkbnd.bnportugal.gov.pt/viewer/256552/?offset=#page=1&amp;viewer=picture&amp;o=info&amp;n=0&amp;q=</v>
      </c>
      <c r="N984" s="12" t="s">
        <v>1497</v>
      </c>
      <c r="O984" s="12" t="str">
        <f>CONCATENATE(N984,A984,"\",B984,"\",C984,".jpg")</f>
        <v>C:\Users\mbaptista\OneDrive - Biblioteca Nacional de Portugal\Documentos\python\camoniana\imagens\capas\9413\1\1.jpg</v>
      </c>
      <c r="P984" s="12" t="str">
        <f>HYPERLINK(O984)</f>
        <v>C:\Users\mbaptista\OneDrive - Biblioteca Nacional de Portugal\Documentos\python\camoniana\imagens\capas\9413\1\1.jpg</v>
      </c>
      <c r="Q984" s="12"/>
      <c r="R984" s="6" t="s">
        <v>1314</v>
      </c>
      <c r="S984" s="12"/>
      <c r="T984" s="1" t="s">
        <v>1313</v>
      </c>
      <c r="U984" s="13"/>
      <c r="V984" s="13"/>
      <c r="W984" s="5" t="s">
        <v>1491</v>
      </c>
    </row>
    <row r="985" spans="1:23" ht="225">
      <c r="A985" s="1">
        <v>9413</v>
      </c>
      <c r="B985" s="1">
        <v>1</v>
      </c>
      <c r="C985" s="1">
        <v>9</v>
      </c>
      <c r="D985" s="2" t="s">
        <v>1311</v>
      </c>
      <c r="E985" s="11" t="s">
        <v>1311</v>
      </c>
      <c r="F985" s="11">
        <v>256552</v>
      </c>
      <c r="G985" s="2" t="s">
        <v>1494</v>
      </c>
      <c r="H985" s="2" t="s">
        <v>1495</v>
      </c>
      <c r="I985" s="2" t="s">
        <v>1496</v>
      </c>
      <c r="J985" s="2" t="str">
        <f>CONCATENATE(G985,F985,H985,C985,I985)</f>
        <v>https://permalinkbnd.bnportugal.gov.pt/viewer/256552/?offset=#page=9&amp;viewer=picture&amp;o=info&amp;n=0&amp;q=</v>
      </c>
      <c r="K985" s="1" t="s">
        <v>1312</v>
      </c>
      <c r="L985" s="1" t="str">
        <f>VLOOKUP(A985,Folha2!$A$2:$B$2019,2,FALSE)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5" s="12" t="str">
        <f>HYPERLINK(J985)</f>
        <v>https://permalinkbnd.bnportugal.gov.pt/viewer/256552/?offset=#page=9&amp;viewer=picture&amp;o=info&amp;n=0&amp;q=</v>
      </c>
      <c r="N985" s="12" t="s">
        <v>1497</v>
      </c>
      <c r="O985" s="12" t="str">
        <f>CONCATENATE(N985,A985,"\",B985,"\",C985,".jpg")</f>
        <v>C:\Users\mbaptista\OneDrive - Biblioteca Nacional de Portugal\Documentos\python\camoniana\imagens\capas\9413\1\9.jpg</v>
      </c>
      <c r="P985" s="12" t="str">
        <f>HYPERLINK(O985)</f>
        <v>C:\Users\mbaptista\OneDrive - Biblioteca Nacional de Portugal\Documentos\python\camoniana\imagens\capas\9413\1\9.jpg</v>
      </c>
      <c r="Q985" s="12"/>
      <c r="R985" s="6" t="s">
        <v>1315</v>
      </c>
      <c r="S985" s="12"/>
      <c r="T985" s="1" t="s">
        <v>1313</v>
      </c>
      <c r="U985" s="13"/>
      <c r="V985" s="13"/>
      <c r="W985" s="5" t="s">
        <v>1491</v>
      </c>
    </row>
    <row r="986" spans="1:23" ht="225">
      <c r="A986" s="1">
        <v>9413</v>
      </c>
      <c r="B986" s="1">
        <v>1</v>
      </c>
      <c r="C986" s="1">
        <v>14</v>
      </c>
      <c r="D986" s="2" t="s">
        <v>1311</v>
      </c>
      <c r="E986" s="5" t="s">
        <v>1311</v>
      </c>
      <c r="F986" s="5">
        <v>256552</v>
      </c>
      <c r="G986" s="2" t="s">
        <v>1494</v>
      </c>
      <c r="H986" s="2" t="s">
        <v>1495</v>
      </c>
      <c r="I986" s="2" t="s">
        <v>1496</v>
      </c>
      <c r="J986" s="2" t="str">
        <f>CONCATENATE(G986,F986,H986,C986,I986)</f>
        <v>https://permalinkbnd.bnportugal.gov.pt/viewer/256552/?offset=#page=14&amp;viewer=picture&amp;o=info&amp;n=0&amp;q=</v>
      </c>
      <c r="K986" s="1" t="s">
        <v>1312</v>
      </c>
      <c r="L986" s="1" t="str">
        <f>VLOOKUP(A986,Folha2!$A$2:$B$2019,2,FALSE)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6" s="12" t="str">
        <f>HYPERLINK(J986)</f>
        <v>https://permalinkbnd.bnportugal.gov.pt/viewer/256552/?offset=#page=14&amp;viewer=picture&amp;o=info&amp;n=0&amp;q=</v>
      </c>
      <c r="N986" s="12" t="s">
        <v>1497</v>
      </c>
      <c r="O986" s="12" t="str">
        <f>CONCATENATE(N986,A986,"\",B986,"\",C986,".jpg")</f>
        <v>C:\Users\mbaptista\OneDrive - Biblioteca Nacional de Portugal\Documentos\python\camoniana\imagens\capas\9413\1\14.jpg</v>
      </c>
      <c r="P986" s="12" t="str">
        <f>HYPERLINK(O986)</f>
        <v>C:\Users\mbaptista\OneDrive - Biblioteca Nacional de Portugal\Documentos\python\camoniana\imagens\capas\9413\1\14.jpg</v>
      </c>
      <c r="Q986" s="12"/>
      <c r="R986" s="6" t="s">
        <v>1316</v>
      </c>
      <c r="S986" s="12"/>
      <c r="T986" s="1" t="s">
        <v>1313</v>
      </c>
      <c r="U986" s="13"/>
      <c r="V986" s="13"/>
      <c r="W986" s="5" t="s">
        <v>1491</v>
      </c>
    </row>
    <row r="987" spans="1:23" ht="225">
      <c r="A987" s="1">
        <v>9413</v>
      </c>
      <c r="B987" s="1">
        <v>1</v>
      </c>
      <c r="C987" s="1">
        <v>19</v>
      </c>
      <c r="D987" s="2" t="s">
        <v>1311</v>
      </c>
      <c r="E987" s="11" t="s">
        <v>1311</v>
      </c>
      <c r="F987" s="11">
        <v>256552</v>
      </c>
      <c r="G987" s="2" t="s">
        <v>1494</v>
      </c>
      <c r="H987" s="2" t="s">
        <v>1495</v>
      </c>
      <c r="I987" s="2" t="s">
        <v>1496</v>
      </c>
      <c r="J987" s="2" t="str">
        <f>CONCATENATE(G987,F987,H987,C987,I987)</f>
        <v>https://permalinkbnd.bnportugal.gov.pt/viewer/256552/?offset=#page=19&amp;viewer=picture&amp;o=info&amp;n=0&amp;q=</v>
      </c>
      <c r="K987" s="1" t="s">
        <v>1312</v>
      </c>
      <c r="L987" s="1" t="str">
        <f>VLOOKUP(A987,Folha2!$A$2:$B$2019,2,FALSE)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7" s="12" t="str">
        <f>HYPERLINK(J987)</f>
        <v>https://permalinkbnd.bnportugal.gov.pt/viewer/256552/?offset=#page=19&amp;viewer=picture&amp;o=info&amp;n=0&amp;q=</v>
      </c>
      <c r="N987" s="12" t="s">
        <v>1497</v>
      </c>
      <c r="O987" s="12" t="str">
        <f>CONCATENATE(N987,A987,"\",B987,"\",C987,".jpg")</f>
        <v>C:\Users\mbaptista\OneDrive - Biblioteca Nacional de Portugal\Documentos\python\camoniana\imagens\capas\9413\1\19.jpg</v>
      </c>
      <c r="P987" s="12" t="str">
        <f>HYPERLINK(O987)</f>
        <v>C:\Users\mbaptista\OneDrive - Biblioteca Nacional de Portugal\Documentos\python\camoniana\imagens\capas\9413\1\19.jpg</v>
      </c>
      <c r="Q987" s="12"/>
      <c r="R987" s="6" t="s">
        <v>1317</v>
      </c>
      <c r="S987" s="12"/>
      <c r="T987" s="1" t="s">
        <v>1313</v>
      </c>
      <c r="U987" s="13"/>
      <c r="V987" s="13"/>
      <c r="W987" s="5" t="s">
        <v>1491</v>
      </c>
    </row>
    <row r="988" spans="1:23" ht="225">
      <c r="A988" s="1">
        <v>9413</v>
      </c>
      <c r="B988" s="1">
        <v>1</v>
      </c>
      <c r="C988" s="1">
        <v>20</v>
      </c>
      <c r="D988" s="2" t="s">
        <v>1311</v>
      </c>
      <c r="E988" s="5" t="s">
        <v>1311</v>
      </c>
      <c r="F988" s="5">
        <v>256552</v>
      </c>
      <c r="G988" s="2" t="s">
        <v>1494</v>
      </c>
      <c r="H988" s="2" t="s">
        <v>1495</v>
      </c>
      <c r="I988" s="2" t="s">
        <v>1496</v>
      </c>
      <c r="J988" s="2" t="str">
        <f>CONCATENATE(G988,F988,H988,C988,I988)</f>
        <v>https://permalinkbnd.bnportugal.gov.pt/viewer/256552/?offset=#page=20&amp;viewer=picture&amp;o=info&amp;n=0&amp;q=</v>
      </c>
      <c r="K988" s="1" t="s">
        <v>1312</v>
      </c>
      <c r="L988" s="1" t="str">
        <f>VLOOKUP(A988,Folha2!$A$2:$B$2019,2,FALSE)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8" s="12" t="str">
        <f>HYPERLINK(J988)</f>
        <v>https://permalinkbnd.bnportugal.gov.pt/viewer/256552/?offset=#page=20&amp;viewer=picture&amp;o=info&amp;n=0&amp;q=</v>
      </c>
      <c r="N988" s="12" t="s">
        <v>1497</v>
      </c>
      <c r="O988" s="12" t="str">
        <f>CONCATENATE(N988,A988,"\",B988,"\",C988,".jpg")</f>
        <v>C:\Users\mbaptista\OneDrive - Biblioteca Nacional de Portugal\Documentos\python\camoniana\imagens\capas\9413\1\20.jpg</v>
      </c>
      <c r="P988" s="12" t="str">
        <f>HYPERLINK(O988)</f>
        <v>C:\Users\mbaptista\OneDrive - Biblioteca Nacional de Portugal\Documentos\python\camoniana\imagens\capas\9413\1\20.jpg</v>
      </c>
      <c r="Q988" s="12"/>
      <c r="R988" s="6" t="s">
        <v>1318</v>
      </c>
      <c r="S988" s="12"/>
      <c r="T988" s="1" t="s">
        <v>1313</v>
      </c>
      <c r="U988" s="13"/>
      <c r="V988" s="13"/>
      <c r="W988" s="5" t="s">
        <v>1491</v>
      </c>
    </row>
    <row r="989" spans="1:23" ht="225">
      <c r="A989" s="1">
        <v>9413</v>
      </c>
      <c r="B989" s="1">
        <v>1</v>
      </c>
      <c r="C989" s="1">
        <v>39</v>
      </c>
      <c r="D989" s="2" t="s">
        <v>1311</v>
      </c>
      <c r="E989" s="11" t="s">
        <v>1311</v>
      </c>
      <c r="F989" s="11">
        <v>256552</v>
      </c>
      <c r="G989" s="2" t="s">
        <v>1494</v>
      </c>
      <c r="H989" s="2" t="s">
        <v>1495</v>
      </c>
      <c r="I989" s="2" t="s">
        <v>1496</v>
      </c>
      <c r="J989" s="2" t="str">
        <f>CONCATENATE(G989,F989,H989,C989,I989)</f>
        <v>https://permalinkbnd.bnportugal.gov.pt/viewer/256552/?offset=#page=39&amp;viewer=picture&amp;o=info&amp;n=0&amp;q=</v>
      </c>
      <c r="K989" s="1" t="s">
        <v>1312</v>
      </c>
      <c r="L989" s="1" t="str">
        <f>VLOOKUP(A989,Folha2!$A$2:$B$2019,2,FALSE)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89" s="12" t="str">
        <f>HYPERLINK(J989)</f>
        <v>https://permalinkbnd.bnportugal.gov.pt/viewer/256552/?offset=#page=39&amp;viewer=picture&amp;o=info&amp;n=0&amp;q=</v>
      </c>
      <c r="N989" s="12" t="s">
        <v>1497</v>
      </c>
      <c r="O989" s="12" t="str">
        <f>CONCATENATE(N989,A989,"\",B989,"\",C989,".jpg")</f>
        <v>C:\Users\mbaptista\OneDrive - Biblioteca Nacional de Portugal\Documentos\python\camoniana\imagens\capas\9413\1\39.jpg</v>
      </c>
      <c r="P989" s="12" t="str">
        <f>HYPERLINK(O989)</f>
        <v>C:\Users\mbaptista\OneDrive - Biblioteca Nacional de Portugal\Documentos\python\camoniana\imagens\capas\9413\1\39.jpg</v>
      </c>
      <c r="Q989" s="12"/>
      <c r="R989" s="6" t="s">
        <v>1319</v>
      </c>
      <c r="S989" s="12"/>
      <c r="T989" s="1" t="s">
        <v>1313</v>
      </c>
      <c r="U989" s="13"/>
      <c r="V989" s="13"/>
      <c r="W989" s="5" t="s">
        <v>1491</v>
      </c>
    </row>
    <row r="990" spans="1:23" ht="225">
      <c r="A990" s="1">
        <v>9413</v>
      </c>
      <c r="B990" s="1">
        <v>1</v>
      </c>
      <c r="C990" s="1">
        <v>42</v>
      </c>
      <c r="D990" s="2" t="s">
        <v>1311</v>
      </c>
      <c r="E990" s="5" t="s">
        <v>1311</v>
      </c>
      <c r="F990" s="5">
        <v>256552</v>
      </c>
      <c r="G990" s="2" t="s">
        <v>1494</v>
      </c>
      <c r="H990" s="2" t="s">
        <v>1495</v>
      </c>
      <c r="I990" s="2" t="s">
        <v>1496</v>
      </c>
      <c r="J990" s="2" t="str">
        <f>CONCATENATE(G990,F990,H990,C990,I990)</f>
        <v>https://permalinkbnd.bnportugal.gov.pt/viewer/256552/?offset=#page=42&amp;viewer=picture&amp;o=info&amp;n=0&amp;q=</v>
      </c>
      <c r="K990" s="1" t="s">
        <v>1312</v>
      </c>
      <c r="L990" s="1" t="str">
        <f>VLOOKUP(A990,Folha2!$A$2:$B$2019,2,FALSE)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0" s="12" t="str">
        <f>HYPERLINK(J990)</f>
        <v>https://permalinkbnd.bnportugal.gov.pt/viewer/256552/?offset=#page=42&amp;viewer=picture&amp;o=info&amp;n=0&amp;q=</v>
      </c>
      <c r="N990" s="12" t="s">
        <v>1497</v>
      </c>
      <c r="O990" s="12" t="str">
        <f>CONCATENATE(N990,A990,"\",B990,"\",C990,".jpg")</f>
        <v>C:\Users\mbaptista\OneDrive - Biblioteca Nacional de Portugal\Documentos\python\camoniana\imagens\capas\9413\1\42.jpg</v>
      </c>
      <c r="P990" s="12" t="str">
        <f>HYPERLINK(O990)</f>
        <v>C:\Users\mbaptista\OneDrive - Biblioteca Nacional de Portugal\Documentos\python\camoniana\imagens\capas\9413\1\42.jpg</v>
      </c>
      <c r="Q990" s="12"/>
      <c r="R990" s="6" t="s">
        <v>1320</v>
      </c>
      <c r="S990" s="12"/>
      <c r="T990" s="1" t="s">
        <v>1313</v>
      </c>
      <c r="U990" s="13"/>
      <c r="V990" s="13"/>
      <c r="W990" s="5" t="s">
        <v>1491</v>
      </c>
    </row>
    <row r="991" spans="1:23" ht="225">
      <c r="A991" s="1">
        <v>9413</v>
      </c>
      <c r="B991" s="1">
        <v>1</v>
      </c>
      <c r="C991" s="1">
        <v>45</v>
      </c>
      <c r="D991" s="2" t="s">
        <v>1311</v>
      </c>
      <c r="E991" s="11" t="s">
        <v>1311</v>
      </c>
      <c r="F991" s="11">
        <v>256552</v>
      </c>
      <c r="G991" s="2" t="s">
        <v>1494</v>
      </c>
      <c r="H991" s="2" t="s">
        <v>1495</v>
      </c>
      <c r="I991" s="2" t="s">
        <v>1496</v>
      </c>
      <c r="J991" s="2" t="str">
        <f>CONCATENATE(G991,F991,H991,C991,I991)</f>
        <v>https://permalinkbnd.bnportugal.gov.pt/viewer/256552/?offset=#page=45&amp;viewer=picture&amp;o=info&amp;n=0&amp;q=</v>
      </c>
      <c r="K991" s="1" t="s">
        <v>1312</v>
      </c>
      <c r="L991" s="1" t="str">
        <f>VLOOKUP(A991,Folha2!$A$2:$B$2019,2,FALSE)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1" s="12" t="str">
        <f>HYPERLINK(J991)</f>
        <v>https://permalinkbnd.bnportugal.gov.pt/viewer/256552/?offset=#page=45&amp;viewer=picture&amp;o=info&amp;n=0&amp;q=</v>
      </c>
      <c r="N991" s="12" t="s">
        <v>1497</v>
      </c>
      <c r="O991" s="12" t="str">
        <f>CONCATENATE(N991,A991,"\",B991,"\",C991,".jpg")</f>
        <v>C:\Users\mbaptista\OneDrive - Biblioteca Nacional de Portugal\Documentos\python\camoniana\imagens\capas\9413\1\45.jpg</v>
      </c>
      <c r="P991" s="12" t="str">
        <f>HYPERLINK(O991)</f>
        <v>C:\Users\mbaptista\OneDrive - Biblioteca Nacional de Portugal\Documentos\python\camoniana\imagens\capas\9413\1\45.jpg</v>
      </c>
      <c r="Q991" s="12"/>
      <c r="R991" s="6" t="s">
        <v>1321</v>
      </c>
      <c r="S991" s="12"/>
      <c r="T991" s="1" t="s">
        <v>1313</v>
      </c>
      <c r="U991" s="13"/>
      <c r="V991" s="13"/>
      <c r="W991" s="5" t="s">
        <v>1491</v>
      </c>
    </row>
    <row r="992" spans="1:23" ht="225">
      <c r="A992" s="1">
        <v>9413</v>
      </c>
      <c r="B992" s="1">
        <v>1</v>
      </c>
      <c r="C992" s="1">
        <v>48</v>
      </c>
      <c r="D992" s="2" t="s">
        <v>1311</v>
      </c>
      <c r="E992" s="5" t="s">
        <v>1311</v>
      </c>
      <c r="F992" s="5">
        <v>256552</v>
      </c>
      <c r="G992" s="2" t="s">
        <v>1494</v>
      </c>
      <c r="H992" s="2" t="s">
        <v>1495</v>
      </c>
      <c r="I992" s="2" t="s">
        <v>1496</v>
      </c>
      <c r="J992" s="2" t="str">
        <f>CONCATENATE(G992,F992,H992,C992,I992)</f>
        <v>https://permalinkbnd.bnportugal.gov.pt/viewer/256552/?offset=#page=48&amp;viewer=picture&amp;o=info&amp;n=0&amp;q=</v>
      </c>
      <c r="K992" s="1" t="s">
        <v>1312</v>
      </c>
      <c r="L992" s="1" t="str">
        <f>VLOOKUP(A992,Folha2!$A$2:$B$2019,2,FALSE)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2" s="12" t="str">
        <f>HYPERLINK(J992)</f>
        <v>https://permalinkbnd.bnportugal.gov.pt/viewer/256552/?offset=#page=48&amp;viewer=picture&amp;o=info&amp;n=0&amp;q=</v>
      </c>
      <c r="N992" s="12" t="s">
        <v>1497</v>
      </c>
      <c r="O992" s="12" t="str">
        <f>CONCATENATE(N992,A992,"\",B992,"\",C992,".jpg")</f>
        <v>C:\Users\mbaptista\OneDrive - Biblioteca Nacional de Portugal\Documentos\python\camoniana\imagens\capas\9413\1\48.jpg</v>
      </c>
      <c r="P992" s="12" t="str">
        <f>HYPERLINK(O992)</f>
        <v>C:\Users\mbaptista\OneDrive - Biblioteca Nacional de Portugal\Documentos\python\camoniana\imagens\capas\9413\1\48.jpg</v>
      </c>
      <c r="Q992" s="12"/>
      <c r="R992" s="6" t="s">
        <v>1322</v>
      </c>
      <c r="S992" s="12"/>
      <c r="T992" s="1" t="s">
        <v>1313</v>
      </c>
      <c r="U992" s="13"/>
      <c r="V992" s="13"/>
      <c r="W992" s="5" t="s">
        <v>1491</v>
      </c>
    </row>
    <row r="993" spans="1:23" ht="225">
      <c r="A993" s="1">
        <v>9413</v>
      </c>
      <c r="B993" s="1">
        <v>1</v>
      </c>
      <c r="C993" s="1">
        <v>59</v>
      </c>
      <c r="D993" s="2" t="s">
        <v>1311</v>
      </c>
      <c r="E993" s="11" t="s">
        <v>1311</v>
      </c>
      <c r="F993" s="11">
        <v>256552</v>
      </c>
      <c r="G993" s="2" t="s">
        <v>1494</v>
      </c>
      <c r="H993" s="2" t="s">
        <v>1495</v>
      </c>
      <c r="I993" s="2" t="s">
        <v>1496</v>
      </c>
      <c r="J993" s="2" t="str">
        <f>CONCATENATE(G993,F993,H993,C993,I993)</f>
        <v>https://permalinkbnd.bnportugal.gov.pt/viewer/256552/?offset=#page=59&amp;viewer=picture&amp;o=info&amp;n=0&amp;q=</v>
      </c>
      <c r="K993" s="1" t="s">
        <v>1312</v>
      </c>
      <c r="L993" s="1" t="str">
        <f>VLOOKUP(A993,Folha2!$A$2:$B$2019,2,FALSE)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3" s="12" t="str">
        <f>HYPERLINK(J993)</f>
        <v>https://permalinkbnd.bnportugal.gov.pt/viewer/256552/?offset=#page=59&amp;viewer=picture&amp;o=info&amp;n=0&amp;q=</v>
      </c>
      <c r="N993" s="12" t="s">
        <v>1497</v>
      </c>
      <c r="O993" s="12" t="str">
        <f>CONCATENATE(N993,A993,"\",B993,"\",C993,".jpg")</f>
        <v>C:\Users\mbaptista\OneDrive - Biblioteca Nacional de Portugal\Documentos\python\camoniana\imagens\capas\9413\1\59.jpg</v>
      </c>
      <c r="P993" s="12" t="str">
        <f>HYPERLINK(O993)</f>
        <v>C:\Users\mbaptista\OneDrive - Biblioteca Nacional de Portugal\Documentos\python\camoniana\imagens\capas\9413\1\59.jpg</v>
      </c>
      <c r="Q993" s="12"/>
      <c r="R993" s="6" t="s">
        <v>1323</v>
      </c>
      <c r="S993" s="12"/>
      <c r="T993" s="1" t="s">
        <v>1313</v>
      </c>
      <c r="U993" s="13"/>
      <c r="V993" s="13"/>
      <c r="W993" s="5" t="s">
        <v>1491</v>
      </c>
    </row>
    <row r="994" spans="1:23" ht="225">
      <c r="A994" s="1">
        <v>9413</v>
      </c>
      <c r="B994" s="1">
        <v>1</v>
      </c>
      <c r="C994" s="1">
        <v>66</v>
      </c>
      <c r="D994" s="2" t="s">
        <v>1311</v>
      </c>
      <c r="E994" s="5" t="s">
        <v>1311</v>
      </c>
      <c r="F994" s="5">
        <v>256552</v>
      </c>
      <c r="G994" s="2" t="s">
        <v>1494</v>
      </c>
      <c r="H994" s="2" t="s">
        <v>1495</v>
      </c>
      <c r="I994" s="2" t="s">
        <v>1496</v>
      </c>
      <c r="J994" s="2" t="str">
        <f>CONCATENATE(G994,F994,H994,C994,I994)</f>
        <v>https://permalinkbnd.bnportugal.gov.pt/viewer/256552/?offset=#page=66&amp;viewer=picture&amp;o=info&amp;n=0&amp;q=</v>
      </c>
      <c r="K994" s="1" t="s">
        <v>1312</v>
      </c>
      <c r="L994" s="1" t="str">
        <f>VLOOKUP(A994,Folha2!$A$2:$B$2019,2,FALSE)</f>
        <v>Camões / dir. Oscar Lopes. - Nº 1 (Julho-Agosto 1980), este exemplar corresponde aos números 2/3 (Setembro/Outubro e Novembro/Dezembro, 1980)-. - Lisboa : Caminho, 1980. Consultada cópia interna. Tematização de Melo e Castro e entrevista-centão de Baptista-Bastos, entre outras pérolas.</v>
      </c>
      <c r="M994" s="12" t="str">
        <f>HYPERLINK(J994)</f>
        <v>https://permalinkbnd.bnportugal.gov.pt/viewer/256552/?offset=#page=66&amp;viewer=picture&amp;o=info&amp;n=0&amp;q=</v>
      </c>
      <c r="N994" s="12" t="s">
        <v>1497</v>
      </c>
      <c r="O994" s="12" t="str">
        <f>CONCATENATE(N994,A994,"\",B994,"\",C994,".jpg")</f>
        <v>C:\Users\mbaptista\OneDrive - Biblioteca Nacional de Portugal\Documentos\python\camoniana\imagens\capas\9413\1\66.jpg</v>
      </c>
      <c r="P994" s="12" t="str">
        <f>HYPERLINK(O994)</f>
        <v>C:\Users\mbaptista\OneDrive - Biblioteca Nacional de Portugal\Documentos\python\camoniana\imagens\capas\9413\1\66.jpg</v>
      </c>
      <c r="Q994" s="12"/>
      <c r="R994" s="6" t="s">
        <v>1324</v>
      </c>
      <c r="S994" s="12"/>
      <c r="T994" s="1" t="s">
        <v>1313</v>
      </c>
      <c r="U994" s="13"/>
      <c r="V994" s="13"/>
      <c r="W994" s="5" t="s">
        <v>1491</v>
      </c>
    </row>
    <row r="995" spans="1:23" ht="225">
      <c r="A995" s="1">
        <v>51530</v>
      </c>
      <c r="B995" s="1">
        <v>1</v>
      </c>
      <c r="C995" s="1">
        <v>9</v>
      </c>
      <c r="D995" s="2" t="s">
        <v>1325</v>
      </c>
      <c r="E995" s="11" t="s">
        <v>1325</v>
      </c>
      <c r="F995" s="11">
        <v>14657</v>
      </c>
      <c r="G995" s="2" t="s">
        <v>1494</v>
      </c>
      <c r="H995" s="2" t="s">
        <v>1495</v>
      </c>
      <c r="I995" s="2" t="s">
        <v>1496</v>
      </c>
      <c r="J995" s="2" t="str">
        <f>CONCATENATE(G995,F995,H995,C995,I995)</f>
        <v>https://permalinkbnd.bnportugal.gov.pt/viewer/14657/?offset=#page=9&amp;viewer=picture&amp;o=info&amp;n=0&amp;q=</v>
      </c>
      <c r="K995" s="1" t="s">
        <v>309</v>
      </c>
      <c r="L995" s="1" t="str">
        <f>VLOOKUP(A995,Folha2!$A$2:$B$2019,2,FALSE)</f>
        <v>Primeira parte dos Autos e comedias portuguesas / feitas por Antonio Prestes &amp; por Luis de Camões &amp; por outros autores portugueses cujos nomes vão no principio das obras. - Agora nouamente juntas &amp; emendadas nesta primeira impressão / por Afonso Lopez.... - [Lisboa] : por Andres Lobato, 1587. Anfitriões e Filodemo.</v>
      </c>
      <c r="M995" s="12" t="str">
        <f>HYPERLINK(J995)</f>
        <v>https://permalinkbnd.bnportugal.gov.pt/viewer/14657/?offset=#page=9&amp;viewer=picture&amp;o=info&amp;n=0&amp;q=</v>
      </c>
      <c r="N995" s="12" t="s">
        <v>1497</v>
      </c>
      <c r="O995" s="12" t="str">
        <f>CONCATENATE(N995,A995,"\",B995,"\",C995,".jpg")</f>
        <v>C:\Users\mbaptista\OneDrive - Biblioteca Nacional de Portugal\Documentos\python\camoniana\imagens\capas\51530\1\9.jpg</v>
      </c>
      <c r="P995" s="12" t="str">
        <f>HYPERLINK(O995)</f>
        <v>C:\Users\mbaptista\OneDrive - Biblioteca Nacional de Portugal\Documentos\python\camoniana\imagens\capas\51530\1\9.jpg</v>
      </c>
      <c r="Q995" s="12"/>
      <c r="R995" s="6" t="s">
        <v>1326</v>
      </c>
      <c r="S995" s="12"/>
      <c r="T995" s="1"/>
      <c r="U995" s="13"/>
      <c r="V995" s="13"/>
      <c r="W995" s="5" t="s">
        <v>1491</v>
      </c>
    </row>
    <row r="996" spans="1:23" ht="225">
      <c r="A996" s="1">
        <v>289933</v>
      </c>
      <c r="B996" s="1">
        <v>1</v>
      </c>
      <c r="C996" s="1">
        <v>2</v>
      </c>
      <c r="D996" s="2" t="s">
        <v>1327</v>
      </c>
      <c r="E996" s="5" t="s">
        <v>1327</v>
      </c>
      <c r="F996" s="5">
        <v>3</v>
      </c>
      <c r="G996" s="2" t="s">
        <v>1494</v>
      </c>
      <c r="H996" s="2" t="s">
        <v>1495</v>
      </c>
      <c r="I996" s="2" t="s">
        <v>1496</v>
      </c>
      <c r="J996" s="2" t="str">
        <f>CONCATENATE(G996,F996,H996,C996,I996)</f>
        <v>https://permalinkbnd.bnportugal.gov.pt/viewer/3/?offset=#page=2&amp;viewer=picture&amp;o=info&amp;n=0&amp;q=</v>
      </c>
      <c r="K996" s="1" t="s">
        <v>1328</v>
      </c>
      <c r="L996" s="1" t="str">
        <f>VLOOKUP(A996,Folha2!$A$2:$B$2019,2,FALSE)</f>
        <v>3 retratos de Camões. - [Lisboa] : Edições Panorama, 1972 (Porto : Lito Of. Artistas Reunidos), com poema de Afonso Lopes Vieira, intitulado "O retrato de Goa". Consultada cópia interna.</v>
      </c>
      <c r="M996" s="12" t="str">
        <f>HYPERLINK(J996)</f>
        <v>https://permalinkbnd.bnportugal.gov.pt/viewer/3/?offset=#page=2&amp;viewer=picture&amp;o=info&amp;n=0&amp;q=</v>
      </c>
      <c r="N996" s="12" t="s">
        <v>1497</v>
      </c>
      <c r="O996" s="12" t="str">
        <f>CONCATENATE(N996,A996,"\",B996,"\",C996,".jpg")</f>
        <v>C:\Users\mbaptista\OneDrive - Biblioteca Nacional de Portugal\Documentos\python\camoniana\imagens\capas\289933\1\2.jpg</v>
      </c>
      <c r="P996" s="12" t="str">
        <f>HYPERLINK(O996)</f>
        <v>C:\Users\mbaptista\OneDrive - Biblioteca Nacional de Portugal\Documentos\python\camoniana\imagens\capas\289933\1\2.jpg</v>
      </c>
      <c r="Q996" s="12"/>
      <c r="R996" s="6" t="s">
        <v>1330</v>
      </c>
      <c r="S996" s="12"/>
      <c r="T996" s="1" t="s">
        <v>1329</v>
      </c>
      <c r="U996" s="13"/>
      <c r="V996" s="13"/>
      <c r="W996" s="5" t="s">
        <v>1491</v>
      </c>
    </row>
    <row r="997" spans="1:23" ht="225">
      <c r="A997" s="1">
        <v>289933</v>
      </c>
      <c r="B997" s="1">
        <v>1</v>
      </c>
      <c r="C997" s="1">
        <v>3</v>
      </c>
      <c r="D997" s="2" t="s">
        <v>1327</v>
      </c>
      <c r="E997" s="11" t="s">
        <v>1327</v>
      </c>
      <c r="F997" s="11">
        <v>3</v>
      </c>
      <c r="G997" s="2" t="s">
        <v>1494</v>
      </c>
      <c r="H997" s="2" t="s">
        <v>1495</v>
      </c>
      <c r="I997" s="2" t="s">
        <v>1496</v>
      </c>
      <c r="J997" s="2" t="str">
        <f>CONCATENATE(G997,F997,H997,C997,I997)</f>
        <v>https://permalinkbnd.bnportugal.gov.pt/viewer/3/?offset=#page=3&amp;viewer=picture&amp;o=info&amp;n=0&amp;q=</v>
      </c>
      <c r="K997" s="1" t="s">
        <v>1328</v>
      </c>
      <c r="L997" s="1" t="str">
        <f>VLOOKUP(A997,Folha2!$A$2:$B$2019,2,FALSE)</f>
        <v>3 retratos de Camões. - [Lisboa] : Edições Panorama, 1972 (Porto : Lito Of. Artistas Reunidos), com poema de Afonso Lopes Vieira, intitulado "O retrato de Goa". Consultada cópia interna.</v>
      </c>
      <c r="M997" s="12" t="str">
        <f>HYPERLINK(J997)</f>
        <v>https://permalinkbnd.bnportugal.gov.pt/viewer/3/?offset=#page=3&amp;viewer=picture&amp;o=info&amp;n=0&amp;q=</v>
      </c>
      <c r="N997" s="12" t="s">
        <v>1497</v>
      </c>
      <c r="O997" s="12" t="str">
        <f>CONCATENATE(N997,A997,"\",B997,"\",C997,".jpg")</f>
        <v>C:\Users\mbaptista\OneDrive - Biblioteca Nacional de Portugal\Documentos\python\camoniana\imagens\capas\289933\1\3.jpg</v>
      </c>
      <c r="P997" s="12" t="str">
        <f>HYPERLINK(O997)</f>
        <v>C:\Users\mbaptista\OneDrive - Biblioteca Nacional de Portugal\Documentos\python\camoniana\imagens\capas\289933\1\3.jpg</v>
      </c>
      <c r="Q997" s="12"/>
      <c r="R997" s="6" t="s">
        <v>1331</v>
      </c>
      <c r="S997" s="12"/>
      <c r="T997" s="1" t="s">
        <v>1329</v>
      </c>
      <c r="U997" s="13"/>
      <c r="V997" s="13"/>
      <c r="W997" s="5" t="s">
        <v>1491</v>
      </c>
    </row>
    <row r="998" spans="1:23" ht="225">
      <c r="A998" s="1">
        <v>289933</v>
      </c>
      <c r="B998" s="1">
        <v>1</v>
      </c>
      <c r="C998" s="1">
        <v>4</v>
      </c>
      <c r="D998" s="2" t="s">
        <v>1327</v>
      </c>
      <c r="E998" s="5" t="s">
        <v>1327</v>
      </c>
      <c r="F998" s="5">
        <v>3</v>
      </c>
      <c r="G998" s="2" t="s">
        <v>1494</v>
      </c>
      <c r="H998" s="2" t="s">
        <v>1495</v>
      </c>
      <c r="I998" s="2" t="s">
        <v>1496</v>
      </c>
      <c r="J998" s="2" t="str">
        <f>CONCATENATE(G998,F998,H998,C998,I998)</f>
        <v>https://permalinkbnd.bnportugal.gov.pt/viewer/3/?offset=#page=4&amp;viewer=picture&amp;o=info&amp;n=0&amp;q=</v>
      </c>
      <c r="K998" s="1" t="s">
        <v>1328</v>
      </c>
      <c r="L998" s="1" t="str">
        <f>VLOOKUP(A998,Folha2!$A$2:$B$2019,2,FALSE)</f>
        <v>3 retratos de Camões. - [Lisboa] : Edições Panorama, 1972 (Porto : Lito Of. Artistas Reunidos), com poema de Afonso Lopes Vieira, intitulado "O retrato de Goa". Consultada cópia interna.</v>
      </c>
      <c r="M998" s="12" t="str">
        <f>HYPERLINK(J998)</f>
        <v>https://permalinkbnd.bnportugal.gov.pt/viewer/3/?offset=#page=4&amp;viewer=picture&amp;o=info&amp;n=0&amp;q=</v>
      </c>
      <c r="N998" s="12" t="s">
        <v>1497</v>
      </c>
      <c r="O998" s="12" t="str">
        <f>CONCATENATE(N998,A998,"\",B998,"\",C998,".jpg")</f>
        <v>C:\Users\mbaptista\OneDrive - Biblioteca Nacional de Portugal\Documentos\python\camoniana\imagens\capas\289933\1\4.jpg</v>
      </c>
      <c r="P998" s="12" t="str">
        <f>HYPERLINK(O998)</f>
        <v>C:\Users\mbaptista\OneDrive - Biblioteca Nacional de Portugal\Documentos\python\camoniana\imagens\capas\289933\1\4.jpg</v>
      </c>
      <c r="Q998" s="12"/>
      <c r="R998" s="6" t="s">
        <v>1332</v>
      </c>
      <c r="S998" s="12"/>
      <c r="T998" s="1" t="s">
        <v>1329</v>
      </c>
      <c r="U998" s="13"/>
      <c r="V998" s="13"/>
      <c r="W998" s="5" t="s">
        <v>1491</v>
      </c>
    </row>
    <row r="999" spans="1:23" ht="225">
      <c r="A999" s="1">
        <v>321765</v>
      </c>
      <c r="B999" s="1">
        <v>1</v>
      </c>
      <c r="C999" s="1">
        <v>1</v>
      </c>
      <c r="D999" s="2" t="s">
        <v>1333</v>
      </c>
      <c r="E999" s="11" t="s">
        <v>1333</v>
      </c>
      <c r="F999" s="11">
        <v>85826</v>
      </c>
      <c r="G999" s="2" t="s">
        <v>1494</v>
      </c>
      <c r="H999" s="2" t="s">
        <v>1495</v>
      </c>
      <c r="I999" s="2" t="s">
        <v>1496</v>
      </c>
      <c r="J999" s="2" t="str">
        <f>CONCATENATE(G999,F999,H999,C999,I999)</f>
        <v>https://permalinkbnd.bnportugal.gov.pt/viewer/85826/?offset=#page=1&amp;viewer=picture&amp;o=info&amp;n=0&amp;q=</v>
      </c>
      <c r="K999" s="1" t="s">
        <v>1041</v>
      </c>
      <c r="L999" s="1" t="str">
        <f>VLOOKUP(A999,Folha2!$A$2:$B$2019,2,FALSE)</f>
        <v>Conceitos e maximas do poema de Luiz de Camões "Os Lusíadas" / [compil. por B. Barreto]. - Lisboa : Henrique Zeferino, 1888. Recolha Epigráfica.</v>
      </c>
      <c r="M999" s="12" t="str">
        <f>HYPERLINK(J999)</f>
        <v>https://permalinkbnd.bnportugal.gov.pt/viewer/85826/?offset=#page=1&amp;viewer=picture&amp;o=info&amp;n=0&amp;q=</v>
      </c>
      <c r="N999" s="12" t="s">
        <v>1497</v>
      </c>
      <c r="O999" s="12" t="str">
        <f>CONCATENATE(N999,A999,"\",B999,"\",C999,".jpg")</f>
        <v>C:\Users\mbaptista\OneDrive - Biblioteca Nacional de Portugal\Documentos\python\camoniana\imagens\capas\321765\1\1.jpg</v>
      </c>
      <c r="P999" s="12" t="str">
        <f>HYPERLINK(O999)</f>
        <v>C:\Users\mbaptista\OneDrive - Biblioteca Nacional de Portugal\Documentos\python\camoniana\imagens\capas\321765\1\1.jpg</v>
      </c>
      <c r="Q999" s="12"/>
      <c r="R999" s="6" t="s">
        <v>1334</v>
      </c>
      <c r="S999" s="12"/>
      <c r="T999" s="1">
        <v>1</v>
      </c>
      <c r="U999" s="13"/>
      <c r="V999" s="13"/>
      <c r="W999" s="5" t="s">
        <v>1491</v>
      </c>
    </row>
    <row r="1000" spans="1:23" ht="225">
      <c r="A1000" s="1">
        <v>330274</v>
      </c>
      <c r="B1000" s="1">
        <v>1</v>
      </c>
      <c r="C1000" s="1">
        <v>10</v>
      </c>
      <c r="D1000" s="2" t="s">
        <v>1335</v>
      </c>
      <c r="E1000" s="5" t="s">
        <v>1335</v>
      </c>
      <c r="F1000" s="5">
        <v>14597</v>
      </c>
      <c r="G1000" s="2" t="s">
        <v>1494</v>
      </c>
      <c r="H1000" s="2" t="s">
        <v>1495</v>
      </c>
      <c r="I1000" s="2" t="s">
        <v>1496</v>
      </c>
      <c r="J1000" s="2" t="str">
        <f>CONCATENATE(G1000,F1000,H1000,C1000,I1000)</f>
        <v>https://permalinkbnd.bnportugal.gov.pt/viewer/14597/?offset=#page=10&amp;viewer=picture&amp;o=info&amp;n=0&amp;q=</v>
      </c>
      <c r="K1000" s="1" t="s">
        <v>333</v>
      </c>
      <c r="L1000" s="1" t="str">
        <f>VLOOKUP(A1000,Folha2!$A$2:$B$2019,2,FALSE)</f>
        <v>Le Portugal de Camões : suivi d'une traduction française des stances contenues dans l'ouvrage / par A. A. Daux.... - Paris : [s. n.], 1890</v>
      </c>
      <c r="M1000" s="12" t="str">
        <f>HYPERLINK(J1000)</f>
        <v>https://permalinkbnd.bnportugal.gov.pt/viewer/14597/?offset=#page=10&amp;viewer=picture&amp;o=info&amp;n=0&amp;q=</v>
      </c>
      <c r="N1000" s="12" t="s">
        <v>1497</v>
      </c>
      <c r="O1000" s="12" t="str">
        <f>CONCATENATE(N1000,A1000,"\",B1000,"\",C1000,".jpg")</f>
        <v>C:\Users\mbaptista\OneDrive - Biblioteca Nacional de Portugal\Documentos\python\camoniana\imagens\capas\330274\1\10.jpg</v>
      </c>
      <c r="P1000" s="12" t="str">
        <f>HYPERLINK(O1000)</f>
        <v>C:\Users\mbaptista\OneDrive - Biblioteca Nacional de Portugal\Documentos\python\camoniana\imagens\capas\330274\1\10.jpg</v>
      </c>
      <c r="Q1000" s="12"/>
      <c r="R1000" s="6" t="s">
        <v>1336</v>
      </c>
      <c r="S1000" s="12"/>
      <c r="T1000" s="1">
        <v>10</v>
      </c>
      <c r="U1000" s="13"/>
      <c r="V1000" s="13"/>
      <c r="W1000" s="5" t="s">
        <v>1491</v>
      </c>
    </row>
    <row r="1001" spans="1:23" ht="225">
      <c r="A1001" s="1">
        <v>347365</v>
      </c>
      <c r="B1001" s="1">
        <v>1</v>
      </c>
      <c r="C1001" s="1">
        <v>75</v>
      </c>
      <c r="D1001" s="2" t="s">
        <v>1337</v>
      </c>
      <c r="E1001" s="11" t="s">
        <v>1337</v>
      </c>
      <c r="F1001" s="11">
        <v>255741</v>
      </c>
      <c r="G1001" s="2" t="s">
        <v>1494</v>
      </c>
      <c r="H1001" s="2" t="s">
        <v>1495</v>
      </c>
      <c r="I1001" s="2" t="s">
        <v>1496</v>
      </c>
      <c r="J1001" s="2" t="str">
        <f>CONCATENATE(G1001,F1001,H1001,C1001,I1001)</f>
        <v>https://permalinkbnd.bnportugal.gov.pt/viewer/255741/?offset=#page=75&amp;viewer=picture&amp;o=info&amp;n=0&amp;q=</v>
      </c>
      <c r="K1001" s="1" t="s">
        <v>1338</v>
      </c>
      <c r="L1001" s="1" t="str">
        <f>VLOOKUP(A1001,Folha2!$A$2:$B$2019,2,FALSE)</f>
        <v>A família flaviense de Camões / José Guilherme Calväo Borges. - Lisboa : Real Assoc. dos Arquitectos Civis e Arqueol. Portugueses, 1974, com notas e anexos. Separata de Arqueologia e História, Vol. V. Consultada cópia interna.</v>
      </c>
      <c r="M1001" s="12" t="str">
        <f>HYPERLINK(J1001)</f>
        <v>https://permalinkbnd.bnportugal.gov.pt/viewer/255741/?offset=#page=75&amp;viewer=picture&amp;o=info&amp;n=0&amp;q=</v>
      </c>
      <c r="N1001" s="12" t="s">
        <v>1497</v>
      </c>
      <c r="O1001" s="12" t="str">
        <f>CONCATENATE(N1001,A1001,"\",B1001,"\",C1001,".jpg")</f>
        <v>C:\Users\mbaptista\OneDrive - Biblioteca Nacional de Portugal\Documentos\python\camoniana\imagens\capas\347365\1\75.jpg</v>
      </c>
      <c r="P1001" s="12" t="str">
        <f>HYPERLINK(O1001)</f>
        <v>C:\Users\mbaptista\OneDrive - Biblioteca Nacional de Portugal\Documentos\python\camoniana\imagens\capas\347365\1\75.jpg</v>
      </c>
      <c r="Q1001" s="12"/>
      <c r="R1001" s="6" t="s">
        <v>1340</v>
      </c>
      <c r="S1001" s="12"/>
      <c r="T1001" s="1" t="s">
        <v>1339</v>
      </c>
      <c r="U1001" s="13"/>
      <c r="V1001" s="13"/>
      <c r="W1001" s="5" t="s">
        <v>1491</v>
      </c>
    </row>
    <row r="1002" spans="1:23" ht="225">
      <c r="A1002" s="1">
        <v>347365</v>
      </c>
      <c r="B1002" s="1">
        <v>1</v>
      </c>
      <c r="C1002" s="1">
        <v>76</v>
      </c>
      <c r="D1002" s="2" t="s">
        <v>1337</v>
      </c>
      <c r="E1002" s="5" t="s">
        <v>1337</v>
      </c>
      <c r="F1002" s="5">
        <v>255741</v>
      </c>
      <c r="G1002" s="2" t="s">
        <v>1494</v>
      </c>
      <c r="H1002" s="2" t="s">
        <v>1495</v>
      </c>
      <c r="I1002" s="2" t="s">
        <v>1496</v>
      </c>
      <c r="J1002" s="2" t="str">
        <f>CONCATENATE(G1002,F1002,H1002,C1002,I1002)</f>
        <v>https://permalinkbnd.bnportugal.gov.pt/viewer/255741/?offset=#page=76&amp;viewer=picture&amp;o=info&amp;n=0&amp;q=</v>
      </c>
      <c r="K1002" s="1" t="s">
        <v>1338</v>
      </c>
      <c r="L1002" s="1" t="str">
        <f>VLOOKUP(A1002,Folha2!$A$2:$B$2019,2,FALSE)</f>
        <v>A família flaviense de Camões / José Guilherme Calväo Borges. - Lisboa : Real Assoc. dos Arquitectos Civis e Arqueol. Portugueses, 1974, com notas e anexos. Separata de Arqueologia e História, Vol. V. Consultada cópia interna.</v>
      </c>
      <c r="M1002" s="12" t="str">
        <f>HYPERLINK(J1002)</f>
        <v>https://permalinkbnd.bnportugal.gov.pt/viewer/255741/?offset=#page=76&amp;viewer=picture&amp;o=info&amp;n=0&amp;q=</v>
      </c>
      <c r="N1002" s="12" t="s">
        <v>1497</v>
      </c>
      <c r="O1002" s="12" t="str">
        <f>CONCATENATE(N1002,A1002,"\",B1002,"\",C1002,".jpg")</f>
        <v>C:\Users\mbaptista\OneDrive - Biblioteca Nacional de Portugal\Documentos\python\camoniana\imagens\capas\347365\1\76.jpg</v>
      </c>
      <c r="P1002" s="12" t="str">
        <f>HYPERLINK(O1002)</f>
        <v>C:\Users\mbaptista\OneDrive - Biblioteca Nacional de Portugal\Documentos\python\camoniana\imagens\capas\347365\1\76.jpg</v>
      </c>
      <c r="Q1002" s="12"/>
      <c r="R1002" s="6" t="s">
        <v>1341</v>
      </c>
      <c r="S1002" s="12"/>
      <c r="T1002" s="1" t="s">
        <v>1339</v>
      </c>
      <c r="U1002" s="13"/>
      <c r="V1002" s="13"/>
      <c r="W1002" s="5" t="s">
        <v>1491</v>
      </c>
    </row>
    <row r="1003" spans="1:23" ht="225">
      <c r="A1003" s="1">
        <v>347365</v>
      </c>
      <c r="B1003" s="1">
        <v>1</v>
      </c>
      <c r="C1003" s="1">
        <v>77</v>
      </c>
      <c r="D1003" s="2" t="s">
        <v>1337</v>
      </c>
      <c r="E1003" s="11" t="s">
        <v>1337</v>
      </c>
      <c r="F1003" s="11">
        <v>255741</v>
      </c>
      <c r="G1003" s="2" t="s">
        <v>1494</v>
      </c>
      <c r="H1003" s="2" t="s">
        <v>1495</v>
      </c>
      <c r="I1003" s="2" t="s">
        <v>1496</v>
      </c>
      <c r="J1003" s="2" t="str">
        <f>CONCATENATE(G1003,F1003,H1003,C1003,I1003)</f>
        <v>https://permalinkbnd.bnportugal.gov.pt/viewer/255741/?offset=#page=77&amp;viewer=picture&amp;o=info&amp;n=0&amp;q=</v>
      </c>
      <c r="K1003" s="1" t="s">
        <v>1338</v>
      </c>
      <c r="L1003" s="1" t="str">
        <f>VLOOKUP(A1003,Folha2!$A$2:$B$2019,2,FALSE)</f>
        <v>A família flaviense de Camões / José Guilherme Calväo Borges. - Lisboa : Real Assoc. dos Arquitectos Civis e Arqueol. Portugueses, 1974, com notas e anexos. Separata de Arqueologia e História, Vol. V. Consultada cópia interna.</v>
      </c>
      <c r="M1003" s="12" t="str">
        <f>HYPERLINK(J1003)</f>
        <v>https://permalinkbnd.bnportugal.gov.pt/viewer/255741/?offset=#page=77&amp;viewer=picture&amp;o=info&amp;n=0&amp;q=</v>
      </c>
      <c r="N1003" s="12" t="s">
        <v>1497</v>
      </c>
      <c r="O1003" s="12" t="str">
        <f>CONCATENATE(N1003,A1003,"\",B1003,"\",C1003,".jpg")</f>
        <v>C:\Users\mbaptista\OneDrive - Biblioteca Nacional de Portugal\Documentos\python\camoniana\imagens\capas\347365\1\77.jpg</v>
      </c>
      <c r="P1003" s="12" t="str">
        <f>HYPERLINK(O1003)</f>
        <v>C:\Users\mbaptista\OneDrive - Biblioteca Nacional de Portugal\Documentos\python\camoniana\imagens\capas\347365\1\77.jpg</v>
      </c>
      <c r="Q1003" s="12"/>
      <c r="R1003" s="6" t="s">
        <v>1342</v>
      </c>
      <c r="S1003" s="12"/>
      <c r="T1003" s="1" t="s">
        <v>1339</v>
      </c>
      <c r="U1003" s="13"/>
      <c r="V1003" s="13"/>
      <c r="W1003" s="5" t="s">
        <v>1491</v>
      </c>
    </row>
    <row r="1004" spans="1:23" ht="225">
      <c r="A1004" s="1">
        <v>347365</v>
      </c>
      <c r="B1004" s="1">
        <v>1</v>
      </c>
      <c r="C1004" s="1">
        <v>78</v>
      </c>
      <c r="D1004" s="2" t="s">
        <v>1337</v>
      </c>
      <c r="E1004" s="5" t="s">
        <v>1337</v>
      </c>
      <c r="F1004" s="5">
        <v>255741</v>
      </c>
      <c r="G1004" s="2" t="s">
        <v>1494</v>
      </c>
      <c r="H1004" s="2" t="s">
        <v>1495</v>
      </c>
      <c r="I1004" s="2" t="s">
        <v>1496</v>
      </c>
      <c r="J1004" s="2" t="str">
        <f>CONCATENATE(G1004,F1004,H1004,C1004,I1004)</f>
        <v>https://permalinkbnd.bnportugal.gov.pt/viewer/255741/?offset=#page=78&amp;viewer=picture&amp;o=info&amp;n=0&amp;q=</v>
      </c>
      <c r="K1004" s="1" t="s">
        <v>1338</v>
      </c>
      <c r="L1004" s="1" t="str">
        <f>VLOOKUP(A1004,Folha2!$A$2:$B$2019,2,FALSE)</f>
        <v>A família flaviense de Camões / José Guilherme Calväo Borges. - Lisboa : Real Assoc. dos Arquitectos Civis e Arqueol. Portugueses, 1974, com notas e anexos. Separata de Arqueologia e História, Vol. V. Consultada cópia interna.</v>
      </c>
      <c r="M1004" s="12" t="str">
        <f>HYPERLINK(J1004)</f>
        <v>https://permalinkbnd.bnportugal.gov.pt/viewer/255741/?offset=#page=78&amp;viewer=picture&amp;o=info&amp;n=0&amp;q=</v>
      </c>
      <c r="N1004" s="12" t="s">
        <v>1497</v>
      </c>
      <c r="O1004" s="12" t="str">
        <f>CONCATENATE(N1004,A1004,"\",B1004,"\",C1004,".jpg")</f>
        <v>C:\Users\mbaptista\OneDrive - Biblioteca Nacional de Portugal\Documentos\python\camoniana\imagens\capas\347365\1\78.jpg</v>
      </c>
      <c r="P1004" s="12" t="str">
        <f>HYPERLINK(O1004)</f>
        <v>C:\Users\mbaptista\OneDrive - Biblioteca Nacional de Portugal\Documentos\python\camoniana\imagens\capas\347365\1\78.jpg</v>
      </c>
      <c r="Q1004" s="12"/>
      <c r="R1004" s="6" t="s">
        <v>1343</v>
      </c>
      <c r="S1004" s="12"/>
      <c r="T1004" s="1" t="s">
        <v>1339</v>
      </c>
      <c r="U1004" s="13"/>
      <c r="V1004" s="13"/>
      <c r="W1004" s="5" t="s">
        <v>1491</v>
      </c>
    </row>
    <row r="1005" spans="1:23" ht="225">
      <c r="A1005" s="1">
        <v>354066</v>
      </c>
      <c r="B1005" s="1">
        <v>1</v>
      </c>
      <c r="C1005" s="1">
        <v>133</v>
      </c>
      <c r="D1005" s="2" t="s">
        <v>1344</v>
      </c>
      <c r="E1005" s="11" t="s">
        <v>1344</v>
      </c>
      <c r="F1005" s="11">
        <v>14651</v>
      </c>
      <c r="G1005" s="2" t="s">
        <v>1494</v>
      </c>
      <c r="H1005" s="2" t="s">
        <v>1495</v>
      </c>
      <c r="I1005" s="2" t="s">
        <v>1496</v>
      </c>
      <c r="J1005" s="2" t="str">
        <f>CONCATENATE(G1005,F1005,H1005,C1005,I1005)</f>
        <v>https://permalinkbnd.bnportugal.gov.pt/viewer/14651/?offset=#page=133&amp;viewer=picture&amp;o=info&amp;n=0&amp;q=</v>
      </c>
      <c r="K1005" s="1" t="s">
        <v>1345</v>
      </c>
      <c r="L1005" s="1" t="str">
        <f>VLOOKUP(A1005,Folha2!$A$2:$B$2019,2,FALSE)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5" s="12" t="str">
        <f>HYPERLINK(J1005)</f>
        <v>https://permalinkbnd.bnportugal.gov.pt/viewer/14651/?offset=#page=133&amp;viewer=picture&amp;o=info&amp;n=0&amp;q=</v>
      </c>
      <c r="N1005" s="12" t="s">
        <v>1497</v>
      </c>
      <c r="O1005" s="12" t="str">
        <f>CONCATENATE(N1005,A1005,"\",B1005,"\",C1005,".jpg")</f>
        <v>C:\Users\mbaptista\OneDrive - Biblioteca Nacional de Portugal\Documentos\python\camoniana\imagens\capas\354066\1\133.jpg</v>
      </c>
      <c r="P1005" s="12" t="str">
        <f>HYPERLINK(O1005)</f>
        <v>C:\Users\mbaptista\OneDrive - Biblioteca Nacional de Portugal\Documentos\python\camoniana\imagens\capas\354066\1\133.jpg</v>
      </c>
      <c r="Q1005" s="12"/>
      <c r="R1005" s="6" t="s">
        <v>1346</v>
      </c>
      <c r="S1005" s="12"/>
      <c r="T1005" s="1"/>
      <c r="U1005" s="13"/>
      <c r="V1005" s="13"/>
      <c r="W1005" s="5" t="s">
        <v>1491</v>
      </c>
    </row>
    <row r="1006" spans="1:23" ht="225">
      <c r="A1006" s="1">
        <v>354066</v>
      </c>
      <c r="B1006" s="1">
        <v>1</v>
      </c>
      <c r="C1006" s="1">
        <v>257</v>
      </c>
      <c r="D1006" s="2" t="s">
        <v>1344</v>
      </c>
      <c r="E1006" s="5" t="s">
        <v>1344</v>
      </c>
      <c r="F1006" s="5">
        <v>14651</v>
      </c>
      <c r="G1006" s="2" t="s">
        <v>1494</v>
      </c>
      <c r="H1006" s="2" t="s">
        <v>1495</v>
      </c>
      <c r="I1006" s="2" t="s">
        <v>1496</v>
      </c>
      <c r="J1006" s="2" t="str">
        <f>CONCATENATE(G1006,F1006,H1006,C1006,I1006)</f>
        <v>https://permalinkbnd.bnportugal.gov.pt/viewer/14651/?offset=#page=257&amp;viewer=picture&amp;o=info&amp;n=0&amp;q=</v>
      </c>
      <c r="K1006" s="1" t="s">
        <v>1345</v>
      </c>
      <c r="L1006" s="1" t="str">
        <f>VLOOKUP(A1006,Folha2!$A$2:$B$2019,2,FALSE)</f>
        <v>Os Lusiadas / de Luis de Camoens ; com os Argumentos do L.do. João Franco Barreto ; com hum Epitome de sua vida ; dedicadas ao illustrissimo senhor Andre Furtado de Mendoça Deão, &amp; Conego dignissimo da S. Sè de Lisboa, Doutor em a Sagrada Theologia, Deputado da Junta dos Tres Estados do Reyno, &amp;c.. - Impressas em Lisboa : a custa de Antonio Craesbeeck de Mello, impressor de Sua Alteza, 1663.  Paratextos argumentos e paratextos vida.</v>
      </c>
      <c r="M1006" s="12" t="str">
        <f>HYPERLINK(J1006)</f>
        <v>https://permalinkbnd.bnportugal.gov.pt/viewer/14651/?offset=#page=257&amp;viewer=picture&amp;o=info&amp;n=0&amp;q=</v>
      </c>
      <c r="N1006" s="12" t="s">
        <v>1497</v>
      </c>
      <c r="O1006" s="12" t="str">
        <f>CONCATENATE(N1006,A1006,"\",B1006,"\",C1006,".jpg")</f>
        <v>C:\Users\mbaptista\OneDrive - Biblioteca Nacional de Portugal\Documentos\python\camoniana\imagens\capas\354066\1\257.jpg</v>
      </c>
      <c r="P1006" s="12" t="str">
        <f>HYPERLINK(O1006)</f>
        <v>C:\Users\mbaptista\OneDrive - Biblioteca Nacional de Portugal\Documentos\python\camoniana\imagens\capas\354066\1\257.jpg</v>
      </c>
      <c r="Q1006" s="12"/>
      <c r="R1006" s="6" t="s">
        <v>1347</v>
      </c>
      <c r="S1006" s="12"/>
      <c r="T1006" s="1"/>
      <c r="U1006" s="13"/>
      <c r="V1006" s="13"/>
      <c r="W1006" s="5" t="s">
        <v>1491</v>
      </c>
    </row>
    <row r="1007" spans="1:23" ht="225">
      <c r="A1007" s="1">
        <v>354069</v>
      </c>
      <c r="B1007" s="1">
        <v>1</v>
      </c>
      <c r="C1007" s="1">
        <v>136</v>
      </c>
      <c r="D1007" s="2" t="s">
        <v>1348</v>
      </c>
      <c r="E1007" s="11" t="s">
        <v>1348</v>
      </c>
      <c r="F1007" s="11">
        <v>14666</v>
      </c>
      <c r="G1007" s="2" t="s">
        <v>1494</v>
      </c>
      <c r="H1007" s="2" t="s">
        <v>1495</v>
      </c>
      <c r="I1007" s="2" t="s">
        <v>1496</v>
      </c>
      <c r="J1007" s="2" t="str">
        <f>CONCATENATE(G1007,F1007,H1007,C1007,I1007)</f>
        <v>https://permalinkbnd.bnportugal.gov.pt/viewer/14666/?offset=#page=136&amp;viewer=picture&amp;o=info&amp;n=0&amp;q=</v>
      </c>
      <c r="K1007" s="1" t="s">
        <v>1349</v>
      </c>
      <c r="L1007" s="1" t="str">
        <f>VLOOKUP(A1007,Folha2!$A$2:$B$2019,2,FALSE)</f>
        <v>Obras de Lvis de Camoe[n]s principe dos poetas portugueses / com os argumentos do Lecenceado João Franco Barreto &amp; por elle eme[n]dadas em esta nova impressaõ, que comprehende todas as Obras, que deste insigne autor se achàraõ impressas, &amp; manuscritas, com o index dos nomes proprios ; offerecidas a D. Francisco de Sovsa capitão da guarda do Principe N.S.. - Lisboa : por Antonio Craesbeeck d´Mello Impressor da Casa Real, 1669, com index. Erros gráficos na paginação. Paratextos argumentos e Paratextos vida.</v>
      </c>
      <c r="M1007" s="12" t="str">
        <f>HYPERLINK(J1007)</f>
        <v>https://permalinkbnd.bnportugal.gov.pt/viewer/14666/?offset=#page=136&amp;viewer=picture&amp;o=info&amp;n=0&amp;q=</v>
      </c>
      <c r="N1007" s="12" t="s">
        <v>1497</v>
      </c>
      <c r="O1007" s="12" t="str">
        <f>CONCATENATE(N1007,A1007,"\",B1007,"\",C1007,".jpg")</f>
        <v>C:\Users\mbaptista\OneDrive - Biblioteca Nacional de Portugal\Documentos\python\camoniana\imagens\capas\354069\1\136.jpg</v>
      </c>
      <c r="P1007" s="12" t="str">
        <f>HYPERLINK(O1007)</f>
        <v>C:\Users\mbaptista\OneDrive - Biblioteca Nacional de Portugal\Documentos\python\camoniana\imagens\capas\354069\1\136.jpg</v>
      </c>
      <c r="Q1007" s="12"/>
      <c r="R1007" s="6" t="s">
        <v>1350</v>
      </c>
      <c r="S1007" s="12"/>
      <c r="T1007" s="1"/>
      <c r="U1007" s="13"/>
      <c r="V1007" s="13"/>
      <c r="W1007" s="5" t="s">
        <v>1491</v>
      </c>
    </row>
    <row r="1008" spans="1:23" ht="225">
      <c r="A1008" s="1">
        <v>371694</v>
      </c>
      <c r="B1008" s="1">
        <v>1</v>
      </c>
      <c r="C1008" s="1">
        <v>1</v>
      </c>
      <c r="D1008" s="2" t="s">
        <v>1351</v>
      </c>
      <c r="E1008" s="5" t="s">
        <v>1351</v>
      </c>
      <c r="F1008" s="5">
        <v>86824</v>
      </c>
      <c r="G1008" s="2" t="s">
        <v>1494</v>
      </c>
      <c r="H1008" s="2" t="s">
        <v>1495</v>
      </c>
      <c r="I1008" s="2" t="s">
        <v>1496</v>
      </c>
      <c r="J1008" s="2" t="str">
        <f>CONCATENATE(G1008,F1008,H1008,C1008,I1008)</f>
        <v>https://permalinkbnd.bnportugal.gov.pt/viewer/86824/?offset=#page=1&amp;viewer=picture&amp;o=info&amp;n=0&amp;q=</v>
      </c>
      <c r="K1008" s="1" t="s">
        <v>1352</v>
      </c>
      <c r="L1008" s="1" t="str">
        <f>VLOOKUP(A1008,Folha2!$A$2:$B$2019,2,FALSE)</f>
        <v>Sonetos / cordenados e acompanhados com um escorço biográfico ... por Teófilo Braga. I parte. - Lisboa : A Educadora- Empresa Editora, 1913, contém lista de sonetos apócrifos e duvidosos.  Im. 7: Teófilo. rectificação: II Parte. Falta consultar Parte I.</v>
      </c>
      <c r="M1008" s="12" t="str">
        <f>HYPERLINK(J1008)</f>
        <v>https://permalinkbnd.bnportugal.gov.pt/viewer/86824/?offset=#page=1&amp;viewer=picture&amp;o=info&amp;n=0&amp;q=</v>
      </c>
      <c r="N1008" s="12" t="s">
        <v>1497</v>
      </c>
      <c r="O1008" s="12" t="str">
        <f>CONCATENATE(N1008,A1008,"\",B1008,"\",C1008,".jpg")</f>
        <v>C:\Users\mbaptista\OneDrive - Biblioteca Nacional de Portugal\Documentos\python\camoniana\imagens\capas\371694\1\1.jpg</v>
      </c>
      <c r="P1008" s="12" t="str">
        <f>HYPERLINK(O1008)</f>
        <v>C:\Users\mbaptista\OneDrive - Biblioteca Nacional de Portugal\Documentos\python\camoniana\imagens\capas\371694\1\1.jpg</v>
      </c>
      <c r="Q1008" s="12"/>
      <c r="R1008" s="6" t="s">
        <v>1354</v>
      </c>
      <c r="S1008" s="12"/>
      <c r="T1008" s="1" t="s">
        <v>1353</v>
      </c>
      <c r="U1008" s="13"/>
      <c r="V1008" s="13"/>
      <c r="W1008" s="5" t="s">
        <v>1491</v>
      </c>
    </row>
    <row r="1009" spans="1:23" ht="225">
      <c r="A1009" s="1">
        <v>371694</v>
      </c>
      <c r="B1009" s="1">
        <v>1</v>
      </c>
      <c r="C1009" s="1">
        <v>21</v>
      </c>
      <c r="D1009" s="2" t="s">
        <v>1351</v>
      </c>
      <c r="E1009" s="11" t="s">
        <v>1351</v>
      </c>
      <c r="F1009" s="11">
        <v>86824</v>
      </c>
      <c r="G1009" s="2" t="s">
        <v>1494</v>
      </c>
      <c r="H1009" s="2" t="s">
        <v>1495</v>
      </c>
      <c r="I1009" s="2" t="s">
        <v>1496</v>
      </c>
      <c r="J1009" s="2" t="str">
        <f>CONCATENATE(G1009,F1009,H1009,C1009,I1009)</f>
        <v>https://permalinkbnd.bnportugal.gov.pt/viewer/86824/?offset=#page=21&amp;viewer=picture&amp;o=info&amp;n=0&amp;q=</v>
      </c>
      <c r="K1009" s="1" t="s">
        <v>1352</v>
      </c>
      <c r="L1009" s="1" t="str">
        <f>VLOOKUP(A1009,Folha2!$A$2:$B$2019,2,FALSE)</f>
        <v>Sonetos / cordenados e acompanhados com um escorço biográfico ... por Teófilo Braga. I parte. - Lisboa : A Educadora- Empresa Editora, 1913, contém lista de sonetos apócrifos e duvidosos.  Im. 7: Teófilo. rectificação: II Parte. Falta consultar Parte I.</v>
      </c>
      <c r="M1009" s="12" t="str">
        <f>HYPERLINK(J1009)</f>
        <v>https://permalinkbnd.bnportugal.gov.pt/viewer/86824/?offset=#page=21&amp;viewer=picture&amp;o=info&amp;n=0&amp;q=</v>
      </c>
      <c r="N1009" s="12" t="s">
        <v>1497</v>
      </c>
      <c r="O1009" s="12" t="str">
        <f>CONCATENATE(N1009,A1009,"\",B1009,"\",C1009,".jpg")</f>
        <v>C:\Users\mbaptista\OneDrive - Biblioteca Nacional de Portugal\Documentos\python\camoniana\imagens\capas\371694\1\21.jpg</v>
      </c>
      <c r="P1009" s="12" t="str">
        <f>HYPERLINK(O1009)</f>
        <v>C:\Users\mbaptista\OneDrive - Biblioteca Nacional de Portugal\Documentos\python\camoniana\imagens\capas\371694\1\21.jpg</v>
      </c>
      <c r="Q1009" s="12"/>
      <c r="R1009" s="6" t="s">
        <v>1355</v>
      </c>
      <c r="S1009" s="12"/>
      <c r="T1009" s="1" t="s">
        <v>1353</v>
      </c>
      <c r="U1009" s="13"/>
      <c r="V1009" s="13"/>
      <c r="W1009" s="5" t="s">
        <v>1491</v>
      </c>
    </row>
    <row r="1010" spans="1:23" ht="225">
      <c r="A1010" s="1">
        <v>371694</v>
      </c>
      <c r="B1010" s="1">
        <v>1</v>
      </c>
      <c r="C1010" s="1">
        <v>39</v>
      </c>
      <c r="D1010" s="2" t="s">
        <v>1351</v>
      </c>
      <c r="E1010" s="5" t="s">
        <v>1351</v>
      </c>
      <c r="F1010" s="5">
        <v>86824</v>
      </c>
      <c r="G1010" s="2" t="s">
        <v>1494</v>
      </c>
      <c r="H1010" s="2" t="s">
        <v>1495</v>
      </c>
      <c r="I1010" s="2" t="s">
        <v>1496</v>
      </c>
      <c r="J1010" s="2" t="str">
        <f>CONCATENATE(G1010,F1010,H1010,C1010,I1010)</f>
        <v>https://permalinkbnd.bnportugal.gov.pt/viewer/86824/?offset=#page=39&amp;viewer=picture&amp;o=info&amp;n=0&amp;q=</v>
      </c>
      <c r="K1010" s="1" t="s">
        <v>1352</v>
      </c>
      <c r="L1010" s="1" t="str">
        <f>VLOOKUP(A1010,Folha2!$A$2:$B$2019,2,FALSE)</f>
        <v>Sonetos / cordenados e acompanhados com um escorço biográfico ... por Teófilo Braga. I parte. - Lisboa : A Educadora- Empresa Editora, 1913, contém lista de sonetos apócrifos e duvidosos.  Im. 7: Teófilo. rectificação: II Parte. Falta consultar Parte I.</v>
      </c>
      <c r="M1010" s="12" t="str">
        <f>HYPERLINK(J1010)</f>
        <v>https://permalinkbnd.bnportugal.gov.pt/viewer/86824/?offset=#page=39&amp;viewer=picture&amp;o=info&amp;n=0&amp;q=</v>
      </c>
      <c r="N1010" s="12" t="s">
        <v>1497</v>
      </c>
      <c r="O1010" s="12" t="str">
        <f>CONCATENATE(N1010,A1010,"\",B1010,"\",C1010,".jpg")</f>
        <v>C:\Users\mbaptista\OneDrive - Biblioteca Nacional de Portugal\Documentos\python\camoniana\imagens\capas\371694\1\39.jpg</v>
      </c>
      <c r="P1010" s="12" t="str">
        <f>HYPERLINK(O1010)</f>
        <v>C:\Users\mbaptista\OneDrive - Biblioteca Nacional de Portugal\Documentos\python\camoniana\imagens\capas\371694\1\39.jpg</v>
      </c>
      <c r="Q1010" s="12"/>
      <c r="R1010" s="6" t="s">
        <v>1356</v>
      </c>
      <c r="S1010" s="12"/>
      <c r="T1010" s="1" t="s">
        <v>1353</v>
      </c>
      <c r="U1010" s="13"/>
      <c r="V1010" s="13"/>
      <c r="W1010" s="5" t="s">
        <v>1491</v>
      </c>
    </row>
    <row r="1011" spans="1:23" ht="225">
      <c r="A1011" s="1">
        <v>371694</v>
      </c>
      <c r="B1011" s="1">
        <v>1</v>
      </c>
      <c r="C1011" s="1">
        <v>57</v>
      </c>
      <c r="D1011" s="2" t="s">
        <v>1351</v>
      </c>
      <c r="E1011" s="11" t="s">
        <v>1351</v>
      </c>
      <c r="F1011" s="11">
        <v>86824</v>
      </c>
      <c r="G1011" s="2" t="s">
        <v>1494</v>
      </c>
      <c r="H1011" s="2" t="s">
        <v>1495</v>
      </c>
      <c r="I1011" s="2" t="s">
        <v>1496</v>
      </c>
      <c r="J1011" s="2" t="str">
        <f>CONCATENATE(G1011,F1011,H1011,C1011,I1011)</f>
        <v>https://permalinkbnd.bnportugal.gov.pt/viewer/86824/?offset=#page=57&amp;viewer=picture&amp;o=info&amp;n=0&amp;q=</v>
      </c>
      <c r="K1011" s="1" t="s">
        <v>1352</v>
      </c>
      <c r="L1011" s="1" t="str">
        <f>VLOOKUP(A1011,Folha2!$A$2:$B$2019,2,FALSE)</f>
        <v>Sonetos / cordenados e acompanhados com um escorço biográfico ... por Teófilo Braga. I parte. - Lisboa : A Educadora- Empresa Editora, 1913, contém lista de sonetos apócrifos e duvidosos.  Im. 7: Teófilo. rectificação: II Parte. Falta consultar Parte I.</v>
      </c>
      <c r="M1011" s="12" t="str">
        <f>HYPERLINK(J1011)</f>
        <v>https://permalinkbnd.bnportugal.gov.pt/viewer/86824/?offset=#page=57&amp;viewer=picture&amp;o=info&amp;n=0&amp;q=</v>
      </c>
      <c r="N1011" s="12" t="s">
        <v>1497</v>
      </c>
      <c r="O1011" s="12" t="str">
        <f>CONCATENATE(N1011,A1011,"\",B1011,"\",C1011,".jpg")</f>
        <v>C:\Users\mbaptista\OneDrive - Biblioteca Nacional de Portugal\Documentos\python\camoniana\imagens\capas\371694\1\57.jpg</v>
      </c>
      <c r="P1011" s="12" t="str">
        <f>HYPERLINK(O1011)</f>
        <v>C:\Users\mbaptista\OneDrive - Biblioteca Nacional de Portugal\Documentos\python\camoniana\imagens\capas\371694\1\57.jpg</v>
      </c>
      <c r="Q1011" s="12"/>
      <c r="R1011" s="6" t="s">
        <v>1357</v>
      </c>
      <c r="S1011" s="12"/>
      <c r="T1011" s="1" t="s">
        <v>1353</v>
      </c>
      <c r="U1011" s="13"/>
      <c r="V1011" s="13"/>
      <c r="W1011" s="5" t="s">
        <v>1491</v>
      </c>
    </row>
    <row r="1012" spans="1:23" ht="225">
      <c r="A1012" s="1">
        <v>381189</v>
      </c>
      <c r="B1012" s="1">
        <v>1</v>
      </c>
      <c r="C1012" s="1">
        <v>7</v>
      </c>
      <c r="D1012" s="2" t="s">
        <v>1358</v>
      </c>
      <c r="E1012" s="5" t="s">
        <v>1358</v>
      </c>
      <c r="F1012" s="5">
        <v>14628</v>
      </c>
      <c r="G1012" s="2" t="s">
        <v>1494</v>
      </c>
      <c r="H1012" s="2" t="s">
        <v>1495</v>
      </c>
      <c r="I1012" s="2" t="s">
        <v>1496</v>
      </c>
      <c r="J1012" s="2" t="str">
        <f>CONCATENATE(G1012,F1012,H1012,C1012,I1012)</f>
        <v>https://permalinkbnd.bnportugal.gov.pt/viewer/14628/?offset=#page=7&amp;viewer=picture&amp;o=info&amp;n=0&amp;q=</v>
      </c>
      <c r="K1012" s="1" t="s">
        <v>1359</v>
      </c>
      <c r="L1012" s="1" t="str">
        <f>VLOOKUP(A1012,Folha2!$A$2:$B$2019,2,FALSE)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2" s="12" t="str">
        <f>HYPERLINK(J1012)</f>
        <v>https://permalinkbnd.bnportugal.gov.pt/viewer/14628/?offset=#page=7&amp;viewer=picture&amp;o=info&amp;n=0&amp;q=</v>
      </c>
      <c r="N1012" s="12" t="s">
        <v>1497</v>
      </c>
      <c r="O1012" s="12" t="str">
        <f>CONCATENATE(N1012,A1012,"\",B1012,"\",C1012,".jpg")</f>
        <v>C:\Users\mbaptista\OneDrive - Biblioteca Nacional de Portugal\Documentos\python\camoniana\imagens\capas\381189\1\7.jpg</v>
      </c>
      <c r="P1012" s="12" t="str">
        <f>HYPERLINK(O1012)</f>
        <v>C:\Users\mbaptista\OneDrive - Biblioteca Nacional de Portugal\Documentos\python\camoniana\imagens\capas\381189\1\7.jpg</v>
      </c>
      <c r="Q1012" s="12"/>
      <c r="R1012" s="6" t="s">
        <v>1361</v>
      </c>
      <c r="S1012" s="12"/>
      <c r="T1012" s="1" t="s">
        <v>1360</v>
      </c>
      <c r="U1012" s="13"/>
      <c r="V1012" s="13"/>
      <c r="W1012" s="5" t="s">
        <v>1491</v>
      </c>
    </row>
    <row r="1013" spans="1:23" ht="225">
      <c r="A1013" s="1">
        <v>381189</v>
      </c>
      <c r="B1013" s="1">
        <v>1</v>
      </c>
      <c r="C1013" s="1">
        <v>10</v>
      </c>
      <c r="D1013" s="2" t="s">
        <v>1358</v>
      </c>
      <c r="E1013" s="11" t="s">
        <v>1358</v>
      </c>
      <c r="F1013" s="11">
        <v>14628</v>
      </c>
      <c r="G1013" s="2" t="s">
        <v>1494</v>
      </c>
      <c r="H1013" s="2" t="s">
        <v>1495</v>
      </c>
      <c r="I1013" s="2" t="s">
        <v>1496</v>
      </c>
      <c r="J1013" s="2" t="str">
        <f>CONCATENATE(G1013,F1013,H1013,C1013,I1013)</f>
        <v>https://permalinkbnd.bnportugal.gov.pt/viewer/14628/?offset=#page=10&amp;viewer=picture&amp;o=info&amp;n=0&amp;q=</v>
      </c>
      <c r="K1013" s="1" t="s">
        <v>1359</v>
      </c>
      <c r="L1013" s="1" t="str">
        <f>VLOOKUP(A1013,Folha2!$A$2:$B$2019,2,FALSE)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3" s="12" t="str">
        <f>HYPERLINK(J1013)</f>
        <v>https://permalinkbnd.bnportugal.gov.pt/viewer/14628/?offset=#page=10&amp;viewer=picture&amp;o=info&amp;n=0&amp;q=</v>
      </c>
      <c r="N1013" s="12" t="s">
        <v>1497</v>
      </c>
      <c r="O1013" s="12" t="str">
        <f>CONCATENATE(N1013,A1013,"\",B1013,"\",C1013,".jpg")</f>
        <v>C:\Users\mbaptista\OneDrive - Biblioteca Nacional de Portugal\Documentos\python\camoniana\imagens\capas\381189\1\10.jpg</v>
      </c>
      <c r="P1013" s="12" t="str">
        <f>HYPERLINK(O1013)</f>
        <v>C:\Users\mbaptista\OneDrive - Biblioteca Nacional de Portugal\Documentos\python\camoniana\imagens\capas\381189\1\10.jpg</v>
      </c>
      <c r="Q1013" s="12"/>
      <c r="R1013" s="6" t="s">
        <v>1362</v>
      </c>
      <c r="S1013" s="12"/>
      <c r="T1013" s="1" t="s">
        <v>1360</v>
      </c>
      <c r="U1013" s="13"/>
      <c r="V1013" s="13"/>
      <c r="W1013" s="5" t="s">
        <v>1491</v>
      </c>
    </row>
    <row r="1014" spans="1:23" ht="225">
      <c r="A1014" s="1">
        <v>381189</v>
      </c>
      <c r="B1014" s="1">
        <v>1</v>
      </c>
      <c r="C1014" s="1">
        <v>19</v>
      </c>
      <c r="D1014" s="2" t="s">
        <v>1358</v>
      </c>
      <c r="E1014" s="5" t="s">
        <v>1358</v>
      </c>
      <c r="F1014" s="5">
        <v>14628</v>
      </c>
      <c r="G1014" s="2" t="s">
        <v>1494</v>
      </c>
      <c r="H1014" s="2" t="s">
        <v>1495</v>
      </c>
      <c r="I1014" s="2" t="s">
        <v>1496</v>
      </c>
      <c r="J1014" s="2" t="str">
        <f>CONCATENATE(G1014,F1014,H1014,C1014,I1014)</f>
        <v>https://permalinkbnd.bnportugal.gov.pt/viewer/14628/?offset=#page=19&amp;viewer=picture&amp;o=info&amp;n=0&amp;q=</v>
      </c>
      <c r="K1014" s="1" t="s">
        <v>1359</v>
      </c>
      <c r="L1014" s="1" t="str">
        <f>VLOOKUP(A1014,Folha2!$A$2:$B$2019,2,FALSE)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4" s="12" t="str">
        <f>HYPERLINK(J1014)</f>
        <v>https://permalinkbnd.bnportugal.gov.pt/viewer/14628/?offset=#page=19&amp;viewer=picture&amp;o=info&amp;n=0&amp;q=</v>
      </c>
      <c r="N1014" s="12" t="s">
        <v>1497</v>
      </c>
      <c r="O1014" s="12" t="str">
        <f>CONCATENATE(N1014,A1014,"\",B1014,"\",C1014,".jpg")</f>
        <v>C:\Users\mbaptista\OneDrive - Biblioteca Nacional de Portugal\Documentos\python\camoniana\imagens\capas\381189\1\19.jpg</v>
      </c>
      <c r="P1014" s="12" t="str">
        <f>HYPERLINK(O1014)</f>
        <v>C:\Users\mbaptista\OneDrive - Biblioteca Nacional de Portugal\Documentos\python\camoniana\imagens\capas\381189\1\19.jpg</v>
      </c>
      <c r="Q1014" s="12"/>
      <c r="R1014" s="6" t="s">
        <v>1363</v>
      </c>
      <c r="S1014" s="12"/>
      <c r="T1014" s="1" t="s">
        <v>1360</v>
      </c>
      <c r="U1014" s="13"/>
      <c r="V1014" s="13"/>
      <c r="W1014" s="5" t="s">
        <v>1491</v>
      </c>
    </row>
    <row r="1015" spans="1:23" ht="225">
      <c r="A1015" s="1">
        <v>381189</v>
      </c>
      <c r="B1015" s="1">
        <v>1</v>
      </c>
      <c r="C1015" s="1">
        <v>72</v>
      </c>
      <c r="D1015" s="2" t="s">
        <v>1358</v>
      </c>
      <c r="E1015" s="11" t="s">
        <v>1358</v>
      </c>
      <c r="F1015" s="11">
        <v>14628</v>
      </c>
      <c r="G1015" s="2" t="s">
        <v>1494</v>
      </c>
      <c r="H1015" s="2" t="s">
        <v>1495</v>
      </c>
      <c r="I1015" s="2" t="s">
        <v>1496</v>
      </c>
      <c r="J1015" s="2" t="str">
        <f>CONCATENATE(G1015,F1015,H1015,C1015,I1015)</f>
        <v>https://permalinkbnd.bnportugal.gov.pt/viewer/14628/?offset=#page=72&amp;viewer=picture&amp;o=info&amp;n=0&amp;q=</v>
      </c>
      <c r="K1015" s="1" t="s">
        <v>1359</v>
      </c>
      <c r="L1015" s="1" t="str">
        <f>VLOOKUP(A1015,Folha2!$A$2:$B$2019,2,FALSE)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5" s="12" t="str">
        <f>HYPERLINK(J1015)</f>
        <v>https://permalinkbnd.bnportugal.gov.pt/viewer/14628/?offset=#page=72&amp;viewer=picture&amp;o=info&amp;n=0&amp;q=</v>
      </c>
      <c r="N1015" s="12" t="s">
        <v>1497</v>
      </c>
      <c r="O1015" s="12" t="str">
        <f>CONCATENATE(N1015,A1015,"\",B1015,"\",C1015,".jpg")</f>
        <v>C:\Users\mbaptista\OneDrive - Biblioteca Nacional de Portugal\Documentos\python\camoniana\imagens\capas\381189\1\72.jpg</v>
      </c>
      <c r="P1015" s="12" t="str">
        <f>HYPERLINK(O1015)</f>
        <v>C:\Users\mbaptista\OneDrive - Biblioteca Nacional de Portugal\Documentos\python\camoniana\imagens\capas\381189\1\72.jpg</v>
      </c>
      <c r="Q1015" s="12"/>
      <c r="R1015" s="6"/>
      <c r="S1015" s="12"/>
      <c r="T1015" s="1"/>
      <c r="U1015" s="13"/>
      <c r="V1015" s="13"/>
      <c r="W1015" s="5"/>
    </row>
    <row r="1016" spans="1:23" ht="225">
      <c r="A1016" s="1">
        <v>381189</v>
      </c>
      <c r="B1016" s="1">
        <v>1</v>
      </c>
      <c r="C1016" s="1">
        <v>73</v>
      </c>
      <c r="D1016" s="2" t="s">
        <v>1358</v>
      </c>
      <c r="E1016" s="5" t="s">
        <v>1358</v>
      </c>
      <c r="F1016" s="5">
        <v>14628</v>
      </c>
      <c r="G1016" s="2" t="s">
        <v>1494</v>
      </c>
      <c r="H1016" s="2" t="s">
        <v>1495</v>
      </c>
      <c r="I1016" s="2" t="s">
        <v>1496</v>
      </c>
      <c r="J1016" s="2" t="str">
        <f>CONCATENATE(G1016,F1016,H1016,C1016,I1016)</f>
        <v>https://permalinkbnd.bnportugal.gov.pt/viewer/14628/?offset=#page=73&amp;viewer=picture&amp;o=info&amp;n=0&amp;q=</v>
      </c>
      <c r="K1016" s="1" t="s">
        <v>1359</v>
      </c>
      <c r="L1016" s="1" t="str">
        <f>VLOOKUP(A1016,Folha2!$A$2:$B$2019,2,FALSE)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6" s="12" t="str">
        <f>HYPERLINK(J1016)</f>
        <v>https://permalinkbnd.bnportugal.gov.pt/viewer/14628/?offset=#page=73&amp;viewer=picture&amp;o=info&amp;n=0&amp;q=</v>
      </c>
      <c r="N1016" s="12" t="s">
        <v>1497</v>
      </c>
      <c r="O1016" s="12" t="str">
        <f>CONCATENATE(N1016,A1016,"\",B1016,"\",C1016,".jpg")</f>
        <v>C:\Users\mbaptista\OneDrive - Biblioteca Nacional de Portugal\Documentos\python\camoniana\imagens\capas\381189\1\73.jpg</v>
      </c>
      <c r="P1016" s="12" t="str">
        <f>HYPERLINK(O1016)</f>
        <v>C:\Users\mbaptista\OneDrive - Biblioteca Nacional de Portugal\Documentos\python\camoniana\imagens\capas\381189\1\73.jpg</v>
      </c>
      <c r="Q1016" s="12"/>
      <c r="R1016" s="6"/>
      <c r="S1016" s="12"/>
      <c r="T1016" s="1"/>
      <c r="U1016" s="13"/>
      <c r="V1016" s="13"/>
      <c r="W1016" s="5"/>
    </row>
    <row r="1017" spans="1:23" ht="225">
      <c r="A1017" s="1">
        <v>381189</v>
      </c>
      <c r="B1017" s="1">
        <v>1</v>
      </c>
      <c r="C1017" s="1">
        <v>75</v>
      </c>
      <c r="D1017" s="2" t="s">
        <v>1358</v>
      </c>
      <c r="E1017" s="11" t="s">
        <v>1358</v>
      </c>
      <c r="F1017" s="11">
        <v>14628</v>
      </c>
      <c r="G1017" s="2" t="s">
        <v>1494</v>
      </c>
      <c r="H1017" s="2" t="s">
        <v>1495</v>
      </c>
      <c r="I1017" s="2" t="s">
        <v>1496</v>
      </c>
      <c r="J1017" s="2" t="str">
        <f>CONCATENATE(G1017,F1017,H1017,C1017,I1017)</f>
        <v>https://permalinkbnd.bnportugal.gov.pt/viewer/14628/?offset=#page=75&amp;viewer=picture&amp;o=info&amp;n=0&amp;q=</v>
      </c>
      <c r="K1017" s="1" t="s">
        <v>1359</v>
      </c>
      <c r="L1017" s="1" t="str">
        <f>VLOOKUP(A1017,Folha2!$A$2:$B$2019,2,FALSE)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7" s="12" t="str">
        <f>HYPERLINK(J1017)</f>
        <v>https://permalinkbnd.bnportugal.gov.pt/viewer/14628/?offset=#page=75&amp;viewer=picture&amp;o=info&amp;n=0&amp;q=</v>
      </c>
      <c r="N1017" s="12" t="s">
        <v>1497</v>
      </c>
      <c r="O1017" s="12" t="str">
        <f>CONCATENATE(N1017,A1017,"\",B1017,"\",C1017,".jpg")</f>
        <v>C:\Users\mbaptista\OneDrive - Biblioteca Nacional de Portugal\Documentos\python\camoniana\imagens\capas\381189\1\75.jpg</v>
      </c>
      <c r="P1017" s="12" t="str">
        <f>HYPERLINK(O1017)</f>
        <v>C:\Users\mbaptista\OneDrive - Biblioteca Nacional de Portugal\Documentos\python\camoniana\imagens\capas\381189\1\75.jpg</v>
      </c>
      <c r="Q1017" s="12"/>
      <c r="R1017" s="6" t="s">
        <v>1364</v>
      </c>
      <c r="S1017" s="12"/>
      <c r="T1017" s="1" t="s">
        <v>1360</v>
      </c>
      <c r="U1017" s="13"/>
      <c r="V1017" s="13"/>
      <c r="W1017" s="5" t="s">
        <v>1491</v>
      </c>
    </row>
    <row r="1018" spans="1:23" ht="225">
      <c r="A1018" s="1">
        <v>381189</v>
      </c>
      <c r="B1018" s="1">
        <v>1</v>
      </c>
      <c r="C1018" s="1">
        <v>79</v>
      </c>
      <c r="D1018" s="2" t="s">
        <v>1358</v>
      </c>
      <c r="E1018" s="5" t="s">
        <v>1358</v>
      </c>
      <c r="F1018" s="5">
        <v>14628</v>
      </c>
      <c r="G1018" s="2" t="s">
        <v>1494</v>
      </c>
      <c r="H1018" s="2" t="s">
        <v>1495</v>
      </c>
      <c r="I1018" s="2" t="s">
        <v>1496</v>
      </c>
      <c r="J1018" s="2" t="str">
        <f>CONCATENATE(G1018,F1018,H1018,C1018,I1018)</f>
        <v>https://permalinkbnd.bnportugal.gov.pt/viewer/14628/?offset=#page=79&amp;viewer=picture&amp;o=info&amp;n=0&amp;q=</v>
      </c>
      <c r="K1018" s="1" t="s">
        <v>1359</v>
      </c>
      <c r="L1018" s="1" t="str">
        <f>VLOOKUP(A1018,Folha2!$A$2:$B$2019,2,FALSE)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8" s="12" t="str">
        <f>HYPERLINK(J1018)</f>
        <v>https://permalinkbnd.bnportugal.gov.pt/viewer/14628/?offset=#page=79&amp;viewer=picture&amp;o=info&amp;n=0&amp;q=</v>
      </c>
      <c r="N1018" s="12" t="s">
        <v>1497</v>
      </c>
      <c r="O1018" s="12" t="str">
        <f>CONCATENATE(N1018,A1018,"\",B1018,"\",C1018,".jpg")</f>
        <v>C:\Users\mbaptista\OneDrive - Biblioteca Nacional de Portugal\Documentos\python\camoniana\imagens\capas\381189\1\79.jpg</v>
      </c>
      <c r="P1018" s="12" t="str">
        <f>HYPERLINK(O1018)</f>
        <v>C:\Users\mbaptista\OneDrive - Biblioteca Nacional de Portugal\Documentos\python\camoniana\imagens\capas\381189\1\79.jpg</v>
      </c>
      <c r="Q1018" s="12"/>
      <c r="R1018" s="6" t="s">
        <v>1365</v>
      </c>
      <c r="S1018" s="12"/>
      <c r="T1018" s="1" t="s">
        <v>1360</v>
      </c>
      <c r="U1018" s="13"/>
      <c r="V1018" s="13"/>
      <c r="W1018" s="5" t="s">
        <v>1491</v>
      </c>
    </row>
    <row r="1019" spans="1:23" ht="225">
      <c r="A1019" s="1">
        <v>381189</v>
      </c>
      <c r="B1019" s="1">
        <v>1</v>
      </c>
      <c r="C1019" s="1">
        <v>90</v>
      </c>
      <c r="D1019" s="2" t="s">
        <v>1358</v>
      </c>
      <c r="E1019" s="11" t="s">
        <v>1358</v>
      </c>
      <c r="F1019" s="11">
        <v>14628</v>
      </c>
      <c r="G1019" s="2" t="s">
        <v>1494</v>
      </c>
      <c r="H1019" s="2" t="s">
        <v>1495</v>
      </c>
      <c r="I1019" s="2" t="s">
        <v>1496</v>
      </c>
      <c r="J1019" s="2" t="str">
        <f>CONCATENATE(G1019,F1019,H1019,C1019,I1019)</f>
        <v>https://permalinkbnd.bnportugal.gov.pt/viewer/14628/?offset=#page=90&amp;viewer=picture&amp;o=info&amp;n=0&amp;q=</v>
      </c>
      <c r="K1019" s="1" t="s">
        <v>1359</v>
      </c>
      <c r="L1019" s="1" t="str">
        <f>VLOOKUP(A1019,Folha2!$A$2:$B$2019,2,FALSE)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19" s="12" t="str">
        <f>HYPERLINK(J1019)</f>
        <v>https://permalinkbnd.bnportugal.gov.pt/viewer/14628/?offset=#page=90&amp;viewer=picture&amp;o=info&amp;n=0&amp;q=</v>
      </c>
      <c r="N1019" s="12" t="s">
        <v>1497</v>
      </c>
      <c r="O1019" s="12" t="str">
        <f>CONCATENATE(N1019,A1019,"\",B1019,"\",C1019,".jpg")</f>
        <v>C:\Users\mbaptista\OneDrive - Biblioteca Nacional de Portugal\Documentos\python\camoniana\imagens\capas\381189\1\90.jpg</v>
      </c>
      <c r="P1019" s="12" t="str">
        <f>HYPERLINK(O1019)</f>
        <v>C:\Users\mbaptista\OneDrive - Biblioteca Nacional de Portugal\Documentos\python\camoniana\imagens\capas\381189\1\90.jpg</v>
      </c>
      <c r="Q1019" s="12"/>
      <c r="R1019" s="6" t="s">
        <v>1366</v>
      </c>
      <c r="S1019" s="12"/>
      <c r="T1019" s="1" t="s">
        <v>1360</v>
      </c>
      <c r="U1019" s="13"/>
      <c r="V1019" s="13"/>
      <c r="W1019" s="5" t="s">
        <v>1491</v>
      </c>
    </row>
    <row r="1020" spans="1:23" ht="225">
      <c r="A1020" s="1">
        <v>381189</v>
      </c>
      <c r="B1020" s="1">
        <v>1</v>
      </c>
      <c r="C1020" s="1">
        <v>110</v>
      </c>
      <c r="D1020" s="2" t="s">
        <v>1358</v>
      </c>
      <c r="E1020" s="5" t="s">
        <v>1358</v>
      </c>
      <c r="F1020" s="5">
        <v>14628</v>
      </c>
      <c r="G1020" s="2" t="s">
        <v>1494</v>
      </c>
      <c r="H1020" s="2" t="s">
        <v>1495</v>
      </c>
      <c r="I1020" s="2" t="s">
        <v>1496</v>
      </c>
      <c r="J1020" s="2" t="str">
        <f>CONCATENATE(G1020,F1020,H1020,C1020,I1020)</f>
        <v>https://permalinkbnd.bnportugal.gov.pt/viewer/14628/?offset=#page=110&amp;viewer=picture&amp;o=info&amp;n=0&amp;q=</v>
      </c>
      <c r="K1020" s="1" t="s">
        <v>1359</v>
      </c>
      <c r="L1020" s="1" t="str">
        <f>VLOOKUP(A1020,Folha2!$A$2:$B$2019,2,FALSE)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0" s="12" t="str">
        <f>HYPERLINK(J1020)</f>
        <v>https://permalinkbnd.bnportugal.gov.pt/viewer/14628/?offset=#page=110&amp;viewer=picture&amp;o=info&amp;n=0&amp;q=</v>
      </c>
      <c r="N1020" s="12" t="s">
        <v>1497</v>
      </c>
      <c r="O1020" s="12" t="str">
        <f>CONCATENATE(N1020,A1020,"\",B1020,"\",C1020,".jpg")</f>
        <v>C:\Users\mbaptista\OneDrive - Biblioteca Nacional de Portugal\Documentos\python\camoniana\imagens\capas\381189\1\110.jpg</v>
      </c>
      <c r="P1020" s="12" t="str">
        <f>HYPERLINK(O1020)</f>
        <v>C:\Users\mbaptista\OneDrive - Biblioteca Nacional de Portugal\Documentos\python\camoniana\imagens\capas\381189\1\110.jpg</v>
      </c>
      <c r="Q1020" s="12"/>
      <c r="R1020" s="6" t="s">
        <v>1367</v>
      </c>
      <c r="S1020" s="12"/>
      <c r="T1020" s="1" t="s">
        <v>1360</v>
      </c>
      <c r="U1020" s="13"/>
      <c r="V1020" s="13"/>
      <c r="W1020" s="5" t="s">
        <v>1491</v>
      </c>
    </row>
    <row r="1021" spans="1:23" ht="225">
      <c r="A1021" s="1">
        <v>381189</v>
      </c>
      <c r="B1021" s="1">
        <v>1</v>
      </c>
      <c r="C1021" s="1">
        <v>117</v>
      </c>
      <c r="D1021" s="2" t="s">
        <v>1358</v>
      </c>
      <c r="E1021" s="11" t="s">
        <v>1358</v>
      </c>
      <c r="F1021" s="11">
        <v>14628</v>
      </c>
      <c r="G1021" s="2" t="s">
        <v>1494</v>
      </c>
      <c r="H1021" s="2" t="s">
        <v>1495</v>
      </c>
      <c r="I1021" s="2" t="s">
        <v>1496</v>
      </c>
      <c r="J1021" s="2" t="str">
        <f>CONCATENATE(G1021,F1021,H1021,C1021,I1021)</f>
        <v>https://permalinkbnd.bnportugal.gov.pt/viewer/14628/?offset=#page=117&amp;viewer=picture&amp;o=info&amp;n=0&amp;q=</v>
      </c>
      <c r="K1021" s="1" t="s">
        <v>1359</v>
      </c>
      <c r="L1021" s="1" t="str">
        <f>VLOOKUP(A1021,Folha2!$A$2:$B$2019,2,FALSE)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1" s="12" t="str">
        <f>HYPERLINK(J1021)</f>
        <v>https://permalinkbnd.bnportugal.gov.pt/viewer/14628/?offset=#page=117&amp;viewer=picture&amp;o=info&amp;n=0&amp;q=</v>
      </c>
      <c r="N1021" s="12" t="s">
        <v>1497</v>
      </c>
      <c r="O1021" s="12" t="str">
        <f>CONCATENATE(N1021,A1021,"\",B1021,"\",C1021,".jpg")</f>
        <v>C:\Users\mbaptista\OneDrive - Biblioteca Nacional de Portugal\Documentos\python\camoniana\imagens\capas\381189\1\117.jpg</v>
      </c>
      <c r="P1021" s="12" t="str">
        <f>HYPERLINK(O1021)</f>
        <v>C:\Users\mbaptista\OneDrive - Biblioteca Nacional de Portugal\Documentos\python\camoniana\imagens\capas\381189\1\117.jpg</v>
      </c>
      <c r="Q1021" s="12"/>
      <c r="R1021" s="6"/>
      <c r="S1021" s="12"/>
      <c r="T1021" s="1"/>
      <c r="U1021" s="13"/>
      <c r="V1021" s="13"/>
      <c r="W1021" s="5"/>
    </row>
    <row r="1022" spans="1:23" ht="225">
      <c r="A1022" s="1">
        <v>381189</v>
      </c>
      <c r="B1022" s="1">
        <v>1</v>
      </c>
      <c r="C1022" s="1">
        <v>118</v>
      </c>
      <c r="D1022" s="2" t="s">
        <v>1358</v>
      </c>
      <c r="E1022" s="5" t="s">
        <v>1358</v>
      </c>
      <c r="F1022" s="5">
        <v>14628</v>
      </c>
      <c r="G1022" s="2" t="s">
        <v>1494</v>
      </c>
      <c r="H1022" s="2" t="s">
        <v>1495</v>
      </c>
      <c r="I1022" s="2" t="s">
        <v>1496</v>
      </c>
      <c r="J1022" s="2" t="str">
        <f>CONCATENATE(G1022,F1022,H1022,C1022,I1022)</f>
        <v>https://permalinkbnd.bnportugal.gov.pt/viewer/14628/?offset=#page=118&amp;viewer=picture&amp;o=info&amp;n=0&amp;q=</v>
      </c>
      <c r="K1022" s="1" t="s">
        <v>1359</v>
      </c>
      <c r="L1022" s="1" t="str">
        <f>VLOOKUP(A1022,Folha2!$A$2:$B$2019,2,FALSE)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2" s="12" t="str">
        <f>HYPERLINK(J1022)</f>
        <v>https://permalinkbnd.bnportugal.gov.pt/viewer/14628/?offset=#page=118&amp;viewer=picture&amp;o=info&amp;n=0&amp;q=</v>
      </c>
      <c r="N1022" s="12" t="s">
        <v>1497</v>
      </c>
      <c r="O1022" s="12" t="str">
        <f>CONCATENATE(N1022,A1022,"\",B1022,"\",C1022,".jpg")</f>
        <v>C:\Users\mbaptista\OneDrive - Biblioteca Nacional de Portugal\Documentos\python\camoniana\imagens\capas\381189\1\118.jpg</v>
      </c>
      <c r="P1022" s="12" t="str">
        <f>HYPERLINK(O1022)</f>
        <v>C:\Users\mbaptista\OneDrive - Biblioteca Nacional de Portugal\Documentos\python\camoniana\imagens\capas\381189\1\118.jpg</v>
      </c>
      <c r="Q1022" s="12"/>
      <c r="R1022" s="6" t="s">
        <v>1368</v>
      </c>
      <c r="S1022" s="12"/>
      <c r="T1022" s="1" t="s">
        <v>1360</v>
      </c>
      <c r="U1022" s="13"/>
      <c r="V1022" s="13"/>
      <c r="W1022" s="5" t="s">
        <v>1491</v>
      </c>
    </row>
    <row r="1023" spans="1:23" ht="225">
      <c r="A1023" s="1">
        <v>381189</v>
      </c>
      <c r="B1023" s="1">
        <v>1</v>
      </c>
      <c r="C1023" s="1">
        <v>120</v>
      </c>
      <c r="D1023" s="2" t="s">
        <v>1358</v>
      </c>
      <c r="E1023" s="11" t="s">
        <v>1358</v>
      </c>
      <c r="F1023" s="11">
        <v>14628</v>
      </c>
      <c r="G1023" s="2" t="s">
        <v>1494</v>
      </c>
      <c r="H1023" s="2" t="s">
        <v>1495</v>
      </c>
      <c r="I1023" s="2" t="s">
        <v>1496</v>
      </c>
      <c r="J1023" s="2" t="str">
        <f>CONCATENATE(G1023,F1023,H1023,C1023,I1023)</f>
        <v>https://permalinkbnd.bnportugal.gov.pt/viewer/14628/?offset=#page=120&amp;viewer=picture&amp;o=info&amp;n=0&amp;q=</v>
      </c>
      <c r="K1023" s="1" t="s">
        <v>1359</v>
      </c>
      <c r="L1023" s="1" t="str">
        <f>VLOOKUP(A1023,Folha2!$A$2:$B$2019,2,FALSE)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3" s="12" t="str">
        <f>HYPERLINK(J1023)</f>
        <v>https://permalinkbnd.bnportugal.gov.pt/viewer/14628/?offset=#page=120&amp;viewer=picture&amp;o=info&amp;n=0&amp;q=</v>
      </c>
      <c r="N1023" s="12" t="s">
        <v>1497</v>
      </c>
      <c r="O1023" s="12" t="str">
        <f>CONCATENATE(N1023,A1023,"\",B1023,"\",C1023,".jpg")</f>
        <v>C:\Users\mbaptista\OneDrive - Biblioteca Nacional de Portugal\Documentos\python\camoniana\imagens\capas\381189\1\120.jpg</v>
      </c>
      <c r="P1023" s="12" t="str">
        <f>HYPERLINK(O1023)</f>
        <v>C:\Users\mbaptista\OneDrive - Biblioteca Nacional de Portugal\Documentos\python\camoniana\imagens\capas\381189\1\120.jpg</v>
      </c>
      <c r="Q1023" s="12"/>
      <c r="R1023" s="6" t="s">
        <v>1369</v>
      </c>
      <c r="S1023" s="12"/>
      <c r="T1023" s="1" t="s">
        <v>1360</v>
      </c>
      <c r="U1023" s="13"/>
      <c r="V1023" s="13"/>
      <c r="W1023" s="5" t="s">
        <v>1491</v>
      </c>
    </row>
    <row r="1024" spans="1:23" ht="225">
      <c r="A1024" s="1">
        <v>381189</v>
      </c>
      <c r="B1024" s="1">
        <v>1</v>
      </c>
      <c r="C1024" s="1">
        <v>134</v>
      </c>
      <c r="D1024" s="2" t="s">
        <v>1358</v>
      </c>
      <c r="E1024" s="5" t="s">
        <v>1358</v>
      </c>
      <c r="F1024" s="5">
        <v>14628</v>
      </c>
      <c r="G1024" s="2" t="s">
        <v>1494</v>
      </c>
      <c r="H1024" s="2" t="s">
        <v>1495</v>
      </c>
      <c r="I1024" s="2" t="s">
        <v>1496</v>
      </c>
      <c r="J1024" s="2" t="str">
        <f>CONCATENATE(G1024,F1024,H1024,C1024,I1024)</f>
        <v>https://permalinkbnd.bnportugal.gov.pt/viewer/14628/?offset=#page=134&amp;viewer=picture&amp;o=info&amp;n=0&amp;q=</v>
      </c>
      <c r="K1024" s="1" t="s">
        <v>1359</v>
      </c>
      <c r="L1024" s="1" t="str">
        <f>VLOOKUP(A1024,Folha2!$A$2:$B$2019,2,FALSE)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4" s="12" t="str">
        <f>HYPERLINK(J1024)</f>
        <v>https://permalinkbnd.bnportugal.gov.pt/viewer/14628/?offset=#page=134&amp;viewer=picture&amp;o=info&amp;n=0&amp;q=</v>
      </c>
      <c r="N1024" s="12" t="s">
        <v>1497</v>
      </c>
      <c r="O1024" s="12" t="str">
        <f>CONCATENATE(N1024,A1024,"\",B1024,"\",C1024,".jpg")</f>
        <v>C:\Users\mbaptista\OneDrive - Biblioteca Nacional de Portugal\Documentos\python\camoniana\imagens\capas\381189\1\134.jpg</v>
      </c>
      <c r="P1024" s="12" t="str">
        <f>HYPERLINK(O1024)</f>
        <v>C:\Users\mbaptista\OneDrive - Biblioteca Nacional de Portugal\Documentos\python\camoniana\imagens\capas\381189\1\134.jpg</v>
      </c>
      <c r="Q1024" s="12"/>
      <c r="R1024" s="6" t="s">
        <v>1370</v>
      </c>
      <c r="S1024" s="12"/>
      <c r="T1024" s="1" t="s">
        <v>1360</v>
      </c>
      <c r="U1024" s="13"/>
      <c r="V1024" s="13"/>
      <c r="W1024" s="5" t="s">
        <v>1491</v>
      </c>
    </row>
    <row r="1025" spans="1:23" ht="225">
      <c r="A1025" s="1">
        <v>381189</v>
      </c>
      <c r="B1025" s="1">
        <v>1</v>
      </c>
      <c r="C1025" s="1">
        <v>156</v>
      </c>
      <c r="D1025" s="2" t="s">
        <v>1358</v>
      </c>
      <c r="E1025" s="11" t="s">
        <v>1358</v>
      </c>
      <c r="F1025" s="11">
        <v>14628</v>
      </c>
      <c r="G1025" s="2" t="s">
        <v>1494</v>
      </c>
      <c r="H1025" s="2" t="s">
        <v>1495</v>
      </c>
      <c r="I1025" s="2" t="s">
        <v>1496</v>
      </c>
      <c r="J1025" s="2" t="str">
        <f>CONCATENATE(G1025,F1025,H1025,C1025,I1025)</f>
        <v>https://permalinkbnd.bnportugal.gov.pt/viewer/14628/?offset=#page=156&amp;viewer=picture&amp;o=info&amp;n=0&amp;q=</v>
      </c>
      <c r="K1025" s="1" t="s">
        <v>1359</v>
      </c>
      <c r="L1025" s="1" t="str">
        <f>VLOOKUP(A1025,Folha2!$A$2:$B$2019,2,FALSE)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5" s="12" t="str">
        <f>HYPERLINK(J1025)</f>
        <v>https://permalinkbnd.bnportugal.gov.pt/viewer/14628/?offset=#page=156&amp;viewer=picture&amp;o=info&amp;n=0&amp;q=</v>
      </c>
      <c r="N1025" s="12" t="s">
        <v>1497</v>
      </c>
      <c r="O1025" s="12" t="str">
        <f>CONCATENATE(N1025,A1025,"\",B1025,"\",C1025,".jpg")</f>
        <v>C:\Users\mbaptista\OneDrive - Biblioteca Nacional de Portugal\Documentos\python\camoniana\imagens\capas\381189\1\156.jpg</v>
      </c>
      <c r="P1025" s="12" t="str">
        <f>HYPERLINK(O1025)</f>
        <v>C:\Users\mbaptista\OneDrive - Biblioteca Nacional de Portugal\Documentos\python\camoniana\imagens\capas\381189\1\156.jpg</v>
      </c>
      <c r="Q1025" s="12"/>
      <c r="R1025" s="6" t="s">
        <v>1371</v>
      </c>
      <c r="S1025" s="12"/>
      <c r="T1025" s="1" t="s">
        <v>1360</v>
      </c>
      <c r="U1025" s="13"/>
      <c r="V1025" s="13"/>
      <c r="W1025" s="5" t="s">
        <v>1491</v>
      </c>
    </row>
    <row r="1026" spans="1:23" ht="225">
      <c r="A1026" s="1">
        <v>381189</v>
      </c>
      <c r="B1026" s="1">
        <v>1</v>
      </c>
      <c r="C1026" s="1">
        <v>162</v>
      </c>
      <c r="D1026" s="2" t="s">
        <v>1358</v>
      </c>
      <c r="E1026" s="5" t="s">
        <v>1358</v>
      </c>
      <c r="F1026" s="5">
        <v>14628</v>
      </c>
      <c r="G1026" s="2" t="s">
        <v>1494</v>
      </c>
      <c r="H1026" s="2" t="s">
        <v>1495</v>
      </c>
      <c r="I1026" s="2" t="s">
        <v>1496</v>
      </c>
      <c r="J1026" s="2" t="str">
        <f>CONCATENATE(G1026,F1026,H1026,C1026,I1026)</f>
        <v>https://permalinkbnd.bnportugal.gov.pt/viewer/14628/?offset=#page=162&amp;viewer=picture&amp;o=info&amp;n=0&amp;q=</v>
      </c>
      <c r="K1026" s="1" t="s">
        <v>1359</v>
      </c>
      <c r="L1026" s="1" t="str">
        <f>VLOOKUP(A1026,Folha2!$A$2:$B$2019,2,FALSE)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6" s="12" t="str">
        <f>HYPERLINK(J1026)</f>
        <v>https://permalinkbnd.bnportugal.gov.pt/viewer/14628/?offset=#page=162&amp;viewer=picture&amp;o=info&amp;n=0&amp;q=</v>
      </c>
      <c r="N1026" s="12" t="s">
        <v>1497</v>
      </c>
      <c r="O1026" s="12" t="str">
        <f>CONCATENATE(N1026,A1026,"\",B1026,"\",C1026,".jpg")</f>
        <v>C:\Users\mbaptista\OneDrive - Biblioteca Nacional de Portugal\Documentos\python\camoniana\imagens\capas\381189\1\162.jpg</v>
      </c>
      <c r="P1026" s="12" t="str">
        <f>HYPERLINK(O1026)</f>
        <v>C:\Users\mbaptista\OneDrive - Biblioteca Nacional de Portugal\Documentos\python\camoniana\imagens\capas\381189\1\162.jpg</v>
      </c>
      <c r="Q1026" s="12"/>
      <c r="R1026" s="6" t="s">
        <v>1372</v>
      </c>
      <c r="S1026" s="12"/>
      <c r="T1026" s="1" t="s">
        <v>1360</v>
      </c>
      <c r="U1026" s="13"/>
      <c r="V1026" s="13"/>
      <c r="W1026" s="5" t="s">
        <v>1491</v>
      </c>
    </row>
    <row r="1027" spans="1:23" ht="225">
      <c r="A1027" s="1">
        <v>381189</v>
      </c>
      <c r="B1027" s="1">
        <v>1</v>
      </c>
      <c r="C1027" s="1">
        <v>164</v>
      </c>
      <c r="D1027" s="2" t="s">
        <v>1358</v>
      </c>
      <c r="E1027" s="11" t="s">
        <v>1358</v>
      </c>
      <c r="F1027" s="11">
        <v>14628</v>
      </c>
      <c r="G1027" s="2" t="s">
        <v>1494</v>
      </c>
      <c r="H1027" s="2" t="s">
        <v>1495</v>
      </c>
      <c r="I1027" s="2" t="s">
        <v>1496</v>
      </c>
      <c r="J1027" s="2" t="str">
        <f>CONCATENATE(G1027,F1027,H1027,C1027,I1027)</f>
        <v>https://permalinkbnd.bnportugal.gov.pt/viewer/14628/?offset=#page=164&amp;viewer=picture&amp;o=info&amp;n=0&amp;q=</v>
      </c>
      <c r="K1027" s="1" t="s">
        <v>1359</v>
      </c>
      <c r="L1027" s="1" t="str">
        <f>VLOOKUP(A1027,Folha2!$A$2:$B$2019,2,FALSE)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7" s="12" t="str">
        <f>HYPERLINK(J1027)</f>
        <v>https://permalinkbnd.bnportugal.gov.pt/viewer/14628/?offset=#page=164&amp;viewer=picture&amp;o=info&amp;n=0&amp;q=</v>
      </c>
      <c r="N1027" s="12" t="s">
        <v>1497</v>
      </c>
      <c r="O1027" s="12" t="str">
        <f>CONCATENATE(N1027,A1027,"\",B1027,"\",C1027,".jpg")</f>
        <v>C:\Users\mbaptista\OneDrive - Biblioteca Nacional de Portugal\Documentos\python\camoniana\imagens\capas\381189\1\164.jpg</v>
      </c>
      <c r="P1027" s="12" t="str">
        <f>HYPERLINK(O1027)</f>
        <v>C:\Users\mbaptista\OneDrive - Biblioteca Nacional de Portugal\Documentos\python\camoniana\imagens\capas\381189\1\164.jpg</v>
      </c>
      <c r="Q1027" s="12"/>
      <c r="R1027" s="6" t="s">
        <v>1373</v>
      </c>
      <c r="S1027" s="12"/>
      <c r="T1027" s="1" t="s">
        <v>1360</v>
      </c>
      <c r="U1027" s="13"/>
      <c r="V1027" s="13"/>
      <c r="W1027" s="5" t="s">
        <v>1491</v>
      </c>
    </row>
    <row r="1028" spans="1:23" ht="225">
      <c r="A1028" s="1">
        <v>381189</v>
      </c>
      <c r="B1028" s="1">
        <v>1</v>
      </c>
      <c r="C1028" s="1">
        <v>205</v>
      </c>
      <c r="D1028" s="2" t="s">
        <v>1358</v>
      </c>
      <c r="E1028" s="5" t="s">
        <v>1358</v>
      </c>
      <c r="F1028" s="5">
        <v>14628</v>
      </c>
      <c r="G1028" s="2" t="s">
        <v>1494</v>
      </c>
      <c r="H1028" s="2" t="s">
        <v>1495</v>
      </c>
      <c r="I1028" s="2" t="s">
        <v>1496</v>
      </c>
      <c r="J1028" s="2" t="str">
        <f>CONCATENATE(G1028,F1028,H1028,C1028,I1028)</f>
        <v>https://permalinkbnd.bnportugal.gov.pt/viewer/14628/?offset=#page=205&amp;viewer=picture&amp;o=info&amp;n=0&amp;q=</v>
      </c>
      <c r="K1028" s="1" t="s">
        <v>1359</v>
      </c>
      <c r="L1028" s="1" t="str">
        <f>VLOOKUP(A1028,Folha2!$A$2:$B$2019,2,FALSE)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8" s="12" t="str">
        <f>HYPERLINK(J1028)</f>
        <v>https://permalinkbnd.bnportugal.gov.pt/viewer/14628/?offset=#page=205&amp;viewer=picture&amp;o=info&amp;n=0&amp;q=</v>
      </c>
      <c r="N1028" s="12" t="s">
        <v>1497</v>
      </c>
      <c r="O1028" s="12" t="str">
        <f>CONCATENATE(N1028,A1028,"\",B1028,"\",C1028,".jpg")</f>
        <v>C:\Users\mbaptista\OneDrive - Biblioteca Nacional de Portugal\Documentos\python\camoniana\imagens\capas\381189\1\205.jpg</v>
      </c>
      <c r="P1028" s="12" t="str">
        <f>HYPERLINK(O1028)</f>
        <v>C:\Users\mbaptista\OneDrive - Biblioteca Nacional de Portugal\Documentos\python\camoniana\imagens\capas\381189\1\205.jpg</v>
      </c>
      <c r="Q1028" s="12"/>
      <c r="R1028" s="6" t="s">
        <v>1374</v>
      </c>
      <c r="S1028" s="12"/>
      <c r="T1028" s="1" t="s">
        <v>1360</v>
      </c>
      <c r="U1028" s="13"/>
      <c r="V1028" s="13"/>
      <c r="W1028" s="5" t="s">
        <v>1491</v>
      </c>
    </row>
    <row r="1029" spans="1:23" ht="225">
      <c r="A1029" s="1">
        <v>381189</v>
      </c>
      <c r="B1029" s="1">
        <v>1</v>
      </c>
      <c r="C1029" s="1">
        <v>215</v>
      </c>
      <c r="D1029" s="2" t="s">
        <v>1358</v>
      </c>
      <c r="E1029" s="11" t="s">
        <v>1358</v>
      </c>
      <c r="F1029" s="11">
        <v>14628</v>
      </c>
      <c r="G1029" s="2" t="s">
        <v>1494</v>
      </c>
      <c r="H1029" s="2" t="s">
        <v>1495</v>
      </c>
      <c r="I1029" s="2" t="s">
        <v>1496</v>
      </c>
      <c r="J1029" s="2" t="str">
        <f>CONCATENATE(G1029,F1029,H1029,C1029,I1029)</f>
        <v>https://permalinkbnd.bnportugal.gov.pt/viewer/14628/?offset=#page=215&amp;viewer=picture&amp;o=info&amp;n=0&amp;q=</v>
      </c>
      <c r="K1029" s="1" t="s">
        <v>1359</v>
      </c>
      <c r="L1029" s="1" t="str">
        <f>VLOOKUP(A1029,Folha2!$A$2:$B$2019,2,FALSE)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29" s="12" t="str">
        <f>HYPERLINK(J1029)</f>
        <v>https://permalinkbnd.bnportugal.gov.pt/viewer/14628/?offset=#page=215&amp;viewer=picture&amp;o=info&amp;n=0&amp;q=</v>
      </c>
      <c r="N1029" s="12" t="s">
        <v>1497</v>
      </c>
      <c r="O1029" s="12" t="str">
        <f>CONCATENATE(N1029,A1029,"\",B1029,"\",C1029,".jpg")</f>
        <v>C:\Users\mbaptista\OneDrive - Biblioteca Nacional de Portugal\Documentos\python\camoniana\imagens\capas\381189\1\215.jpg</v>
      </c>
      <c r="P1029" s="12" t="str">
        <f>HYPERLINK(O1029)</f>
        <v>C:\Users\mbaptista\OneDrive - Biblioteca Nacional de Portugal\Documentos\python\camoniana\imagens\capas\381189\1\215.jpg</v>
      </c>
      <c r="Q1029" s="12"/>
      <c r="R1029" s="6" t="s">
        <v>1375</v>
      </c>
      <c r="S1029" s="12"/>
      <c r="T1029" s="1" t="s">
        <v>1360</v>
      </c>
      <c r="U1029" s="13"/>
      <c r="V1029" s="13"/>
      <c r="W1029" s="5" t="s">
        <v>1491</v>
      </c>
    </row>
    <row r="1030" spans="1:23" ht="225">
      <c r="A1030" s="1">
        <v>381189</v>
      </c>
      <c r="B1030" s="1">
        <v>1</v>
      </c>
      <c r="C1030" s="1">
        <v>217</v>
      </c>
      <c r="D1030" s="2" t="s">
        <v>1358</v>
      </c>
      <c r="E1030" s="5" t="s">
        <v>1358</v>
      </c>
      <c r="F1030" s="5">
        <v>14628</v>
      </c>
      <c r="G1030" s="2" t="s">
        <v>1494</v>
      </c>
      <c r="H1030" s="2" t="s">
        <v>1495</v>
      </c>
      <c r="I1030" s="2" t="s">
        <v>1496</v>
      </c>
      <c r="J1030" s="2" t="str">
        <f>CONCATENATE(G1030,F1030,H1030,C1030,I1030)</f>
        <v>https://permalinkbnd.bnportugal.gov.pt/viewer/14628/?offset=#page=217&amp;viewer=picture&amp;o=info&amp;n=0&amp;q=</v>
      </c>
      <c r="K1030" s="1" t="s">
        <v>1359</v>
      </c>
      <c r="L1030" s="1" t="str">
        <f>VLOOKUP(A1030,Folha2!$A$2:$B$2019,2,FALSE)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0" s="12" t="str">
        <f>HYPERLINK(J1030)</f>
        <v>https://permalinkbnd.bnportugal.gov.pt/viewer/14628/?offset=#page=217&amp;viewer=picture&amp;o=info&amp;n=0&amp;q=</v>
      </c>
      <c r="N1030" s="12" t="s">
        <v>1497</v>
      </c>
      <c r="O1030" s="12" t="str">
        <f>CONCATENATE(N1030,A1030,"\",B1030,"\",C1030,".jpg")</f>
        <v>C:\Users\mbaptista\OneDrive - Biblioteca Nacional de Portugal\Documentos\python\camoniana\imagens\capas\381189\1\217.jpg</v>
      </c>
      <c r="P1030" s="12" t="str">
        <f>HYPERLINK(O1030)</f>
        <v>C:\Users\mbaptista\OneDrive - Biblioteca Nacional de Portugal\Documentos\python\camoniana\imagens\capas\381189\1\217.jpg</v>
      </c>
      <c r="Q1030" s="12"/>
      <c r="R1030" s="6" t="s">
        <v>1376</v>
      </c>
      <c r="S1030" s="12"/>
      <c r="T1030" s="1" t="s">
        <v>1360</v>
      </c>
      <c r="U1030" s="13"/>
      <c r="V1030" s="13"/>
      <c r="W1030" s="5" t="s">
        <v>1491</v>
      </c>
    </row>
    <row r="1031" spans="1:23" ht="225">
      <c r="A1031" s="1">
        <v>381189</v>
      </c>
      <c r="B1031" s="1">
        <v>1</v>
      </c>
      <c r="C1031" s="1">
        <v>242</v>
      </c>
      <c r="D1031" s="2" t="s">
        <v>1358</v>
      </c>
      <c r="E1031" s="11" t="s">
        <v>1358</v>
      </c>
      <c r="F1031" s="11">
        <v>14628</v>
      </c>
      <c r="G1031" s="2" t="s">
        <v>1494</v>
      </c>
      <c r="H1031" s="2" t="s">
        <v>1495</v>
      </c>
      <c r="I1031" s="2" t="s">
        <v>1496</v>
      </c>
      <c r="J1031" s="2" t="str">
        <f>CONCATENATE(G1031,F1031,H1031,C1031,I1031)</f>
        <v>https://permalinkbnd.bnportugal.gov.pt/viewer/14628/?offset=#page=242&amp;viewer=picture&amp;o=info&amp;n=0&amp;q=</v>
      </c>
      <c r="K1031" s="1" t="s">
        <v>1359</v>
      </c>
      <c r="L1031" s="1" t="str">
        <f>VLOOKUP(A1031,Folha2!$A$2:$B$2019,2,FALSE)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1" s="12" t="str">
        <f>HYPERLINK(J1031)</f>
        <v>https://permalinkbnd.bnportugal.gov.pt/viewer/14628/?offset=#page=242&amp;viewer=picture&amp;o=info&amp;n=0&amp;q=</v>
      </c>
      <c r="N1031" s="12" t="s">
        <v>1497</v>
      </c>
      <c r="O1031" s="12" t="str">
        <f>CONCATENATE(N1031,A1031,"\",B1031,"\",C1031,".jpg")</f>
        <v>C:\Users\mbaptista\OneDrive - Biblioteca Nacional de Portugal\Documentos\python\camoniana\imagens\capas\381189\1\242.jpg</v>
      </c>
      <c r="P1031" s="12" t="str">
        <f>HYPERLINK(O1031)</f>
        <v>C:\Users\mbaptista\OneDrive - Biblioteca Nacional de Portugal\Documentos\python\camoniana\imagens\capas\381189\1\242.jpg</v>
      </c>
      <c r="Q1031" s="12"/>
      <c r="R1031" s="6" t="s">
        <v>1377</v>
      </c>
      <c r="S1031" s="12"/>
      <c r="T1031" s="1" t="s">
        <v>1360</v>
      </c>
      <c r="U1031" s="13"/>
      <c r="V1031" s="13"/>
      <c r="W1031" s="5" t="s">
        <v>1491</v>
      </c>
    </row>
    <row r="1032" spans="1:23" ht="225">
      <c r="A1032" s="1">
        <v>381189</v>
      </c>
      <c r="B1032" s="1">
        <v>1</v>
      </c>
      <c r="C1032" s="1">
        <v>252</v>
      </c>
      <c r="D1032" s="2" t="s">
        <v>1358</v>
      </c>
      <c r="E1032" s="5" t="s">
        <v>1358</v>
      </c>
      <c r="F1032" s="5">
        <v>14628</v>
      </c>
      <c r="G1032" s="2" t="s">
        <v>1494</v>
      </c>
      <c r="H1032" s="2" t="s">
        <v>1495</v>
      </c>
      <c r="I1032" s="2" t="s">
        <v>1496</v>
      </c>
      <c r="J1032" s="2" t="str">
        <f>CONCATENATE(G1032,F1032,H1032,C1032,I1032)</f>
        <v>https://permalinkbnd.bnportugal.gov.pt/viewer/14628/?offset=#page=252&amp;viewer=picture&amp;o=info&amp;n=0&amp;q=</v>
      </c>
      <c r="K1032" s="1" t="s">
        <v>1359</v>
      </c>
      <c r="L1032" s="1" t="str">
        <f>VLOOKUP(A1032,Folha2!$A$2:$B$2019,2,FALSE)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2" s="12" t="str">
        <f>HYPERLINK(J1032)</f>
        <v>https://permalinkbnd.bnportugal.gov.pt/viewer/14628/?offset=#page=252&amp;viewer=picture&amp;o=info&amp;n=0&amp;q=</v>
      </c>
      <c r="N1032" s="12" t="s">
        <v>1497</v>
      </c>
      <c r="O1032" s="12" t="str">
        <f>CONCATENATE(N1032,A1032,"\",B1032,"\",C1032,".jpg")</f>
        <v>C:\Users\mbaptista\OneDrive - Biblioteca Nacional de Portugal\Documentos\python\camoniana\imagens\capas\381189\1\252.jpg</v>
      </c>
      <c r="P1032" s="12" t="str">
        <f>HYPERLINK(O1032)</f>
        <v>C:\Users\mbaptista\OneDrive - Biblioteca Nacional de Portugal\Documentos\python\camoniana\imagens\capas\381189\1\252.jpg</v>
      </c>
      <c r="Q1032" s="12"/>
      <c r="R1032" s="6" t="s">
        <v>1378</v>
      </c>
      <c r="S1032" s="12"/>
      <c r="T1032" s="1" t="s">
        <v>1360</v>
      </c>
      <c r="U1032" s="13"/>
      <c r="V1032" s="13"/>
      <c r="W1032" s="5" t="s">
        <v>1491</v>
      </c>
    </row>
    <row r="1033" spans="1:23" ht="225">
      <c r="A1033" s="1">
        <v>381189</v>
      </c>
      <c r="B1033" s="1">
        <v>1</v>
      </c>
      <c r="C1033" s="1">
        <v>257</v>
      </c>
      <c r="D1033" s="2" t="s">
        <v>1358</v>
      </c>
      <c r="E1033" s="11" t="s">
        <v>1358</v>
      </c>
      <c r="F1033" s="11">
        <v>14628</v>
      </c>
      <c r="G1033" s="2" t="s">
        <v>1494</v>
      </c>
      <c r="H1033" s="2" t="s">
        <v>1495</v>
      </c>
      <c r="I1033" s="2" t="s">
        <v>1496</v>
      </c>
      <c r="J1033" s="2" t="str">
        <f>CONCATENATE(G1033,F1033,H1033,C1033,I1033)</f>
        <v>https://permalinkbnd.bnportugal.gov.pt/viewer/14628/?offset=#page=257&amp;viewer=picture&amp;o=info&amp;n=0&amp;q=</v>
      </c>
      <c r="K1033" s="1" t="s">
        <v>1359</v>
      </c>
      <c r="L1033" s="1" t="str">
        <f>VLOOKUP(A1033,Folha2!$A$2:$B$2019,2,FALSE)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3" s="12" t="str">
        <f>HYPERLINK(J1033)</f>
        <v>https://permalinkbnd.bnportugal.gov.pt/viewer/14628/?offset=#page=257&amp;viewer=picture&amp;o=info&amp;n=0&amp;q=</v>
      </c>
      <c r="N1033" s="12" t="s">
        <v>1497</v>
      </c>
      <c r="O1033" s="12" t="str">
        <f>CONCATENATE(N1033,A1033,"\",B1033,"\",C1033,".jpg")</f>
        <v>C:\Users\mbaptista\OneDrive - Biblioteca Nacional de Portugal\Documentos\python\camoniana\imagens\capas\381189\1\257.jpg</v>
      </c>
      <c r="P1033" s="12" t="str">
        <f>HYPERLINK(O1033)</f>
        <v>C:\Users\mbaptista\OneDrive - Biblioteca Nacional de Portugal\Documentos\python\camoniana\imagens\capas\381189\1\257.jpg</v>
      </c>
      <c r="Q1033" s="12"/>
      <c r="R1033" s="6"/>
      <c r="S1033" s="12"/>
      <c r="T1033" s="1"/>
      <c r="U1033" s="13"/>
      <c r="V1033" s="13"/>
      <c r="W1033" s="5"/>
    </row>
    <row r="1034" spans="1:23" ht="225">
      <c r="A1034" s="1">
        <v>381189</v>
      </c>
      <c r="B1034" s="1">
        <v>1</v>
      </c>
      <c r="C1034" s="1">
        <v>258</v>
      </c>
      <c r="D1034" s="2" t="s">
        <v>1358</v>
      </c>
      <c r="E1034" s="5" t="s">
        <v>1358</v>
      </c>
      <c r="F1034" s="5">
        <v>14628</v>
      </c>
      <c r="G1034" s="2" t="s">
        <v>1494</v>
      </c>
      <c r="H1034" s="2" t="s">
        <v>1495</v>
      </c>
      <c r="I1034" s="2" t="s">
        <v>1496</v>
      </c>
      <c r="J1034" s="2" t="str">
        <f>CONCATENATE(G1034,F1034,H1034,C1034,I1034)</f>
        <v>https://permalinkbnd.bnportugal.gov.pt/viewer/14628/?offset=#page=258&amp;viewer=picture&amp;o=info&amp;n=0&amp;q=</v>
      </c>
      <c r="K1034" s="1" t="s">
        <v>1359</v>
      </c>
      <c r="L1034" s="1" t="str">
        <f>VLOOKUP(A1034,Folha2!$A$2:$B$2019,2,FALSE)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4" s="12" t="str">
        <f>HYPERLINK(J1034)</f>
        <v>https://permalinkbnd.bnportugal.gov.pt/viewer/14628/?offset=#page=258&amp;viewer=picture&amp;o=info&amp;n=0&amp;q=</v>
      </c>
      <c r="N1034" s="12" t="s">
        <v>1497</v>
      </c>
      <c r="O1034" s="12" t="str">
        <f>CONCATENATE(N1034,A1034,"\",B1034,"\",C1034,".jpg")</f>
        <v>C:\Users\mbaptista\OneDrive - Biblioteca Nacional de Portugal\Documentos\python\camoniana\imagens\capas\381189\1\258.jpg</v>
      </c>
      <c r="P1034" s="12" t="str">
        <f>HYPERLINK(O1034)</f>
        <v>C:\Users\mbaptista\OneDrive - Biblioteca Nacional de Portugal\Documentos\python\camoniana\imagens\capas\381189\1\258.jpg</v>
      </c>
      <c r="Q1034" s="12"/>
      <c r="R1034" s="6" t="s">
        <v>1379</v>
      </c>
      <c r="S1034" s="12"/>
      <c r="T1034" s="1" t="s">
        <v>1360</v>
      </c>
      <c r="U1034" s="13"/>
      <c r="V1034" s="13"/>
      <c r="W1034" s="5" t="s">
        <v>1491</v>
      </c>
    </row>
    <row r="1035" spans="1:23" ht="225">
      <c r="A1035" s="1">
        <v>381189</v>
      </c>
      <c r="B1035" s="1">
        <v>1</v>
      </c>
      <c r="C1035" s="1">
        <v>260</v>
      </c>
      <c r="D1035" s="2" t="s">
        <v>1358</v>
      </c>
      <c r="E1035" s="11" t="s">
        <v>1358</v>
      </c>
      <c r="F1035" s="11">
        <v>14628</v>
      </c>
      <c r="G1035" s="2" t="s">
        <v>1494</v>
      </c>
      <c r="H1035" s="2" t="s">
        <v>1495</v>
      </c>
      <c r="I1035" s="2" t="s">
        <v>1496</v>
      </c>
      <c r="J1035" s="2" t="str">
        <f>CONCATENATE(G1035,F1035,H1035,C1035,I1035)</f>
        <v>https://permalinkbnd.bnportugal.gov.pt/viewer/14628/?offset=#page=260&amp;viewer=picture&amp;o=info&amp;n=0&amp;q=</v>
      </c>
      <c r="K1035" s="1" t="s">
        <v>1359</v>
      </c>
      <c r="L1035" s="1" t="str">
        <f>VLOOKUP(A1035,Folha2!$A$2:$B$2019,2,FALSE)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5" s="12" t="str">
        <f>HYPERLINK(J1035)</f>
        <v>https://permalinkbnd.bnportugal.gov.pt/viewer/14628/?offset=#page=260&amp;viewer=picture&amp;o=info&amp;n=0&amp;q=</v>
      </c>
      <c r="N1035" s="12" t="s">
        <v>1497</v>
      </c>
      <c r="O1035" s="12" t="str">
        <f>CONCATENATE(N1035,A1035,"\",B1035,"\",C1035,".jpg")</f>
        <v>C:\Users\mbaptista\OneDrive - Biblioteca Nacional de Portugal\Documentos\python\camoniana\imagens\capas\381189\1\260.jpg</v>
      </c>
      <c r="P1035" s="12" t="str">
        <f>HYPERLINK(O1035)</f>
        <v>C:\Users\mbaptista\OneDrive - Biblioteca Nacional de Portugal\Documentos\python\camoniana\imagens\capas\381189\1\260.jpg</v>
      </c>
      <c r="Q1035" s="12"/>
      <c r="R1035" s="6" t="s">
        <v>1380</v>
      </c>
      <c r="S1035" s="12"/>
      <c r="T1035" s="1" t="s">
        <v>1360</v>
      </c>
      <c r="U1035" s="13"/>
      <c r="V1035" s="13"/>
      <c r="W1035" s="5" t="s">
        <v>1491</v>
      </c>
    </row>
    <row r="1036" spans="1:23" ht="225">
      <c r="A1036" s="1">
        <v>381189</v>
      </c>
      <c r="B1036" s="1">
        <v>1</v>
      </c>
      <c r="C1036" s="1">
        <v>277</v>
      </c>
      <c r="D1036" s="2" t="s">
        <v>1358</v>
      </c>
      <c r="E1036" s="5" t="s">
        <v>1358</v>
      </c>
      <c r="F1036" s="5">
        <v>14628</v>
      </c>
      <c r="G1036" s="2" t="s">
        <v>1494</v>
      </c>
      <c r="H1036" s="2" t="s">
        <v>1495</v>
      </c>
      <c r="I1036" s="2" t="s">
        <v>1496</v>
      </c>
      <c r="J1036" s="2" t="str">
        <f>CONCATENATE(G1036,F1036,H1036,C1036,I1036)</f>
        <v>https://permalinkbnd.bnportugal.gov.pt/viewer/14628/?offset=#page=277&amp;viewer=picture&amp;o=info&amp;n=0&amp;q=</v>
      </c>
      <c r="K1036" s="1" t="s">
        <v>1359</v>
      </c>
      <c r="L1036" s="1" t="str">
        <f>VLOOKUP(A1036,Folha2!$A$2:$B$2019,2,FALSE)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6" s="12" t="str">
        <f>HYPERLINK(J1036)</f>
        <v>https://permalinkbnd.bnportugal.gov.pt/viewer/14628/?offset=#page=277&amp;viewer=picture&amp;o=info&amp;n=0&amp;q=</v>
      </c>
      <c r="N1036" s="12" t="s">
        <v>1497</v>
      </c>
      <c r="O1036" s="12" t="str">
        <f>CONCATENATE(N1036,A1036,"\",B1036,"\",C1036,".jpg")</f>
        <v>C:\Users\mbaptista\OneDrive - Biblioteca Nacional de Portugal\Documentos\python\camoniana\imagens\capas\381189\1\277.jpg</v>
      </c>
      <c r="P1036" s="12" t="str">
        <f>HYPERLINK(O1036)</f>
        <v>C:\Users\mbaptista\OneDrive - Biblioteca Nacional de Portugal\Documentos\python\camoniana\imagens\capas\381189\1\277.jpg</v>
      </c>
      <c r="Q1036" s="12"/>
      <c r="R1036" s="6" t="s">
        <v>1381</v>
      </c>
      <c r="S1036" s="12"/>
      <c r="T1036" s="1" t="s">
        <v>1360</v>
      </c>
      <c r="U1036" s="13"/>
      <c r="V1036" s="13"/>
      <c r="W1036" s="5" t="s">
        <v>1491</v>
      </c>
    </row>
    <row r="1037" spans="1:23" ht="225">
      <c r="A1037" s="1">
        <v>381189</v>
      </c>
      <c r="B1037" s="1">
        <v>1</v>
      </c>
      <c r="C1037" s="1">
        <v>291</v>
      </c>
      <c r="D1037" s="2" t="s">
        <v>1358</v>
      </c>
      <c r="E1037" s="11" t="s">
        <v>1358</v>
      </c>
      <c r="F1037" s="11">
        <v>14628</v>
      </c>
      <c r="G1037" s="2" t="s">
        <v>1494</v>
      </c>
      <c r="H1037" s="2" t="s">
        <v>1495</v>
      </c>
      <c r="I1037" s="2" t="s">
        <v>1496</v>
      </c>
      <c r="J1037" s="2" t="str">
        <f>CONCATENATE(G1037,F1037,H1037,C1037,I1037)</f>
        <v>https://permalinkbnd.bnportugal.gov.pt/viewer/14628/?offset=#page=291&amp;viewer=picture&amp;o=info&amp;n=0&amp;q=</v>
      </c>
      <c r="K1037" s="1" t="s">
        <v>1359</v>
      </c>
      <c r="L1037" s="1" t="str">
        <f>VLOOKUP(A1037,Folha2!$A$2:$B$2019,2,FALSE)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7" s="12" t="str">
        <f>HYPERLINK(J1037)</f>
        <v>https://permalinkbnd.bnportugal.gov.pt/viewer/14628/?offset=#page=291&amp;viewer=picture&amp;o=info&amp;n=0&amp;q=</v>
      </c>
      <c r="N1037" s="12" t="s">
        <v>1497</v>
      </c>
      <c r="O1037" s="12" t="str">
        <f>CONCATENATE(N1037,A1037,"\",B1037,"\",C1037,".jpg")</f>
        <v>C:\Users\mbaptista\OneDrive - Biblioteca Nacional de Portugal\Documentos\python\camoniana\imagens\capas\381189\1\291.jpg</v>
      </c>
      <c r="P1037" s="12" t="str">
        <f>HYPERLINK(O1037)</f>
        <v>C:\Users\mbaptista\OneDrive - Biblioteca Nacional de Portugal\Documentos\python\camoniana\imagens\capas\381189\1\291.jpg</v>
      </c>
      <c r="Q1037" s="12"/>
      <c r="R1037" s="6" t="s">
        <v>1382</v>
      </c>
      <c r="S1037" s="12"/>
      <c r="T1037" s="1" t="s">
        <v>1360</v>
      </c>
      <c r="U1037" s="13"/>
      <c r="V1037" s="13"/>
      <c r="W1037" s="5" t="s">
        <v>1491</v>
      </c>
    </row>
    <row r="1038" spans="1:23" ht="225">
      <c r="A1038" s="1">
        <v>381189</v>
      </c>
      <c r="B1038" s="1">
        <v>1</v>
      </c>
      <c r="C1038" s="1">
        <v>299</v>
      </c>
      <c r="D1038" s="2" t="s">
        <v>1358</v>
      </c>
      <c r="E1038" s="5" t="s">
        <v>1358</v>
      </c>
      <c r="F1038" s="5">
        <v>14628</v>
      </c>
      <c r="G1038" s="2" t="s">
        <v>1494</v>
      </c>
      <c r="H1038" s="2" t="s">
        <v>1495</v>
      </c>
      <c r="I1038" s="2" t="s">
        <v>1496</v>
      </c>
      <c r="J1038" s="2" t="str">
        <f>CONCATENATE(G1038,F1038,H1038,C1038,I1038)</f>
        <v>https://permalinkbnd.bnportugal.gov.pt/viewer/14628/?offset=#page=299&amp;viewer=picture&amp;o=info&amp;n=0&amp;q=</v>
      </c>
      <c r="K1038" s="1" t="s">
        <v>1359</v>
      </c>
      <c r="L1038" s="1" t="str">
        <f>VLOOKUP(A1038,Folha2!$A$2:$B$2019,2,FALSE)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8" s="12" t="str">
        <f>HYPERLINK(J1038)</f>
        <v>https://permalinkbnd.bnportugal.gov.pt/viewer/14628/?offset=#page=299&amp;viewer=picture&amp;o=info&amp;n=0&amp;q=</v>
      </c>
      <c r="N1038" s="12" t="s">
        <v>1497</v>
      </c>
      <c r="O1038" s="12" t="str">
        <f>CONCATENATE(N1038,A1038,"\",B1038,"\",C1038,".jpg")</f>
        <v>C:\Users\mbaptista\OneDrive - Biblioteca Nacional de Portugal\Documentos\python\camoniana\imagens\capas\381189\1\299.jpg</v>
      </c>
      <c r="P1038" s="12" t="str">
        <f>HYPERLINK(O1038)</f>
        <v>C:\Users\mbaptista\OneDrive - Biblioteca Nacional de Portugal\Documentos\python\camoniana\imagens\capas\381189\1\299.jpg</v>
      </c>
      <c r="Q1038" s="12"/>
      <c r="R1038" s="6" t="s">
        <v>1383</v>
      </c>
      <c r="S1038" s="12"/>
      <c r="T1038" s="1" t="s">
        <v>1360</v>
      </c>
      <c r="U1038" s="13"/>
      <c r="V1038" s="13"/>
      <c r="W1038" s="5" t="s">
        <v>1491</v>
      </c>
    </row>
    <row r="1039" spans="1:23" ht="225">
      <c r="A1039" s="1">
        <v>381189</v>
      </c>
      <c r="B1039" s="1">
        <v>1</v>
      </c>
      <c r="C1039" s="1">
        <v>301</v>
      </c>
      <c r="D1039" s="2" t="s">
        <v>1358</v>
      </c>
      <c r="E1039" s="11" t="s">
        <v>1358</v>
      </c>
      <c r="F1039" s="11">
        <v>14628</v>
      </c>
      <c r="G1039" s="2" t="s">
        <v>1494</v>
      </c>
      <c r="H1039" s="2" t="s">
        <v>1495</v>
      </c>
      <c r="I1039" s="2" t="s">
        <v>1496</v>
      </c>
      <c r="J1039" s="2" t="str">
        <f>CONCATENATE(G1039,F1039,H1039,C1039,I1039)</f>
        <v>https://permalinkbnd.bnportugal.gov.pt/viewer/14628/?offset=#page=301&amp;viewer=picture&amp;o=info&amp;n=0&amp;q=</v>
      </c>
      <c r="K1039" s="1" t="s">
        <v>1359</v>
      </c>
      <c r="L1039" s="1" t="str">
        <f>VLOOKUP(A1039,Folha2!$A$2:$B$2019,2,FALSE)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39" s="12" t="str">
        <f>HYPERLINK(J1039)</f>
        <v>https://permalinkbnd.bnportugal.gov.pt/viewer/14628/?offset=#page=301&amp;viewer=picture&amp;o=info&amp;n=0&amp;q=</v>
      </c>
      <c r="N1039" s="12" t="s">
        <v>1497</v>
      </c>
      <c r="O1039" s="12" t="str">
        <f>CONCATENATE(N1039,A1039,"\",B1039,"\",C1039,".jpg")</f>
        <v>C:\Users\mbaptista\OneDrive - Biblioteca Nacional de Portugal\Documentos\python\camoniana\imagens\capas\381189\1\301.jpg</v>
      </c>
      <c r="P1039" s="12" t="str">
        <f>HYPERLINK(O1039)</f>
        <v>C:\Users\mbaptista\OneDrive - Biblioteca Nacional de Portugal\Documentos\python\camoniana\imagens\capas\381189\1\301.jpg</v>
      </c>
      <c r="Q1039" s="12"/>
      <c r="R1039" s="6" t="s">
        <v>1384</v>
      </c>
      <c r="S1039" s="12"/>
      <c r="T1039" s="1" t="s">
        <v>1360</v>
      </c>
      <c r="U1039" s="13"/>
      <c r="V1039" s="13"/>
      <c r="W1039" s="5" t="s">
        <v>1491</v>
      </c>
    </row>
    <row r="1040" spans="1:23" ht="225">
      <c r="A1040" s="1">
        <v>381189</v>
      </c>
      <c r="B1040" s="1">
        <v>1</v>
      </c>
      <c r="C1040" s="1">
        <v>311</v>
      </c>
      <c r="D1040" s="2" t="s">
        <v>1358</v>
      </c>
      <c r="E1040" s="5" t="s">
        <v>1358</v>
      </c>
      <c r="F1040" s="5">
        <v>14628</v>
      </c>
      <c r="G1040" s="2" t="s">
        <v>1494</v>
      </c>
      <c r="H1040" s="2" t="s">
        <v>1495</v>
      </c>
      <c r="I1040" s="2" t="s">
        <v>1496</v>
      </c>
      <c r="J1040" s="2" t="str">
        <f>CONCATENATE(G1040,F1040,H1040,C1040,I1040)</f>
        <v>https://permalinkbnd.bnportugal.gov.pt/viewer/14628/?offset=#page=311&amp;viewer=picture&amp;o=info&amp;n=0&amp;q=</v>
      </c>
      <c r="K1040" s="1" t="s">
        <v>1359</v>
      </c>
      <c r="L1040" s="1" t="str">
        <f>VLOOKUP(A1040,Folha2!$A$2:$B$2019,2,FALSE)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0" s="12" t="str">
        <f>HYPERLINK(J1040)</f>
        <v>https://permalinkbnd.bnportugal.gov.pt/viewer/14628/?offset=#page=311&amp;viewer=picture&amp;o=info&amp;n=0&amp;q=</v>
      </c>
      <c r="N1040" s="12" t="s">
        <v>1497</v>
      </c>
      <c r="O1040" s="12" t="str">
        <f>CONCATENATE(N1040,A1040,"\",B1040,"\",C1040,".jpg")</f>
        <v>C:\Users\mbaptista\OneDrive - Biblioteca Nacional de Portugal\Documentos\python\camoniana\imagens\capas\381189\1\311.jpg</v>
      </c>
      <c r="P1040" s="12" t="str">
        <f>HYPERLINK(O1040)</f>
        <v>C:\Users\mbaptista\OneDrive - Biblioteca Nacional de Portugal\Documentos\python\camoniana\imagens\capas\381189\1\311.jpg</v>
      </c>
      <c r="Q1040" s="12"/>
      <c r="R1040" s="6" t="s">
        <v>1385</v>
      </c>
      <c r="S1040" s="12"/>
      <c r="T1040" s="1" t="s">
        <v>1360</v>
      </c>
      <c r="U1040" s="13"/>
      <c r="V1040" s="13"/>
      <c r="W1040" s="5" t="s">
        <v>1491</v>
      </c>
    </row>
    <row r="1041" spans="1:23" ht="225">
      <c r="A1041" s="1">
        <v>381189</v>
      </c>
      <c r="B1041" s="1">
        <v>1</v>
      </c>
      <c r="C1041" s="1">
        <v>334</v>
      </c>
      <c r="D1041" s="2" t="s">
        <v>1358</v>
      </c>
      <c r="E1041" s="11" t="s">
        <v>1358</v>
      </c>
      <c r="F1041" s="11">
        <v>14628</v>
      </c>
      <c r="G1041" s="2" t="s">
        <v>1494</v>
      </c>
      <c r="H1041" s="2" t="s">
        <v>1495</v>
      </c>
      <c r="I1041" s="2" t="s">
        <v>1496</v>
      </c>
      <c r="J1041" s="2" t="str">
        <f>CONCATENATE(G1041,F1041,H1041,C1041,I1041)</f>
        <v>https://permalinkbnd.bnportugal.gov.pt/viewer/14628/?offset=#page=334&amp;viewer=picture&amp;o=info&amp;n=0&amp;q=</v>
      </c>
      <c r="K1041" s="1" t="s">
        <v>1359</v>
      </c>
      <c r="L1041" s="1" t="str">
        <f>VLOOKUP(A1041,Folha2!$A$2:$B$2019,2,FALSE)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1" s="12" t="str">
        <f>HYPERLINK(J1041)</f>
        <v>https://permalinkbnd.bnportugal.gov.pt/viewer/14628/?offset=#page=334&amp;viewer=picture&amp;o=info&amp;n=0&amp;q=</v>
      </c>
      <c r="N1041" s="12" t="s">
        <v>1497</v>
      </c>
      <c r="O1041" s="12" t="str">
        <f>CONCATENATE(N1041,A1041,"\",B1041,"\",C1041,".jpg")</f>
        <v>C:\Users\mbaptista\OneDrive - Biblioteca Nacional de Portugal\Documentos\python\camoniana\imagens\capas\381189\1\334.jpg</v>
      </c>
      <c r="P1041" s="12" t="str">
        <f>HYPERLINK(O1041)</f>
        <v>C:\Users\mbaptista\OneDrive - Biblioteca Nacional de Portugal\Documentos\python\camoniana\imagens\capas\381189\1\334.jpg</v>
      </c>
      <c r="Q1041" s="12"/>
      <c r="R1041" s="6" t="s">
        <v>1386</v>
      </c>
      <c r="S1041" s="12"/>
      <c r="T1041" s="1" t="s">
        <v>1360</v>
      </c>
      <c r="U1041" s="13"/>
      <c r="V1041" s="13"/>
      <c r="W1041" s="5" t="s">
        <v>1491</v>
      </c>
    </row>
    <row r="1042" spans="1:23" ht="225">
      <c r="A1042" s="1">
        <v>381189</v>
      </c>
      <c r="B1042" s="1">
        <v>1</v>
      </c>
      <c r="C1042" s="1">
        <v>339</v>
      </c>
      <c r="D1042" s="2" t="s">
        <v>1358</v>
      </c>
      <c r="E1042" s="5" t="s">
        <v>1358</v>
      </c>
      <c r="F1042" s="5">
        <v>14628</v>
      </c>
      <c r="G1042" s="2" t="s">
        <v>1494</v>
      </c>
      <c r="H1042" s="2" t="s">
        <v>1495</v>
      </c>
      <c r="I1042" s="2" t="s">
        <v>1496</v>
      </c>
      <c r="J1042" s="2" t="str">
        <f>CONCATENATE(G1042,F1042,H1042,C1042,I1042)</f>
        <v>https://permalinkbnd.bnportugal.gov.pt/viewer/14628/?offset=#page=339&amp;viewer=picture&amp;o=info&amp;n=0&amp;q=</v>
      </c>
      <c r="K1042" s="1" t="s">
        <v>1359</v>
      </c>
      <c r="L1042" s="1" t="str">
        <f>VLOOKUP(A1042,Folha2!$A$2:$B$2019,2,FALSE)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2" s="12" t="str">
        <f>HYPERLINK(J1042)</f>
        <v>https://permalinkbnd.bnportugal.gov.pt/viewer/14628/?offset=#page=339&amp;viewer=picture&amp;o=info&amp;n=0&amp;q=</v>
      </c>
      <c r="N1042" s="12" t="s">
        <v>1497</v>
      </c>
      <c r="O1042" s="12" t="str">
        <f>CONCATENATE(N1042,A1042,"\",B1042,"\",C1042,".jpg")</f>
        <v>C:\Users\mbaptista\OneDrive - Biblioteca Nacional de Portugal\Documentos\python\camoniana\imagens\capas\381189\1\339.jpg</v>
      </c>
      <c r="P1042" s="12" t="str">
        <f>HYPERLINK(O1042)</f>
        <v>C:\Users\mbaptista\OneDrive - Biblioteca Nacional de Portugal\Documentos\python\camoniana\imagens\capas\381189\1\339.jpg</v>
      </c>
      <c r="Q1042" s="12"/>
      <c r="R1042" s="6"/>
      <c r="S1042" s="12"/>
      <c r="T1042" s="1"/>
      <c r="U1042" s="13"/>
      <c r="V1042" s="13"/>
      <c r="W1042" s="5"/>
    </row>
    <row r="1043" spans="1:23" ht="225">
      <c r="A1043" s="1">
        <v>381189</v>
      </c>
      <c r="B1043" s="1">
        <v>1</v>
      </c>
      <c r="C1043" s="1">
        <v>340</v>
      </c>
      <c r="D1043" s="2" t="s">
        <v>1358</v>
      </c>
      <c r="E1043" s="11" t="s">
        <v>1358</v>
      </c>
      <c r="F1043" s="11">
        <v>14628</v>
      </c>
      <c r="G1043" s="2" t="s">
        <v>1494</v>
      </c>
      <c r="H1043" s="2" t="s">
        <v>1495</v>
      </c>
      <c r="I1043" s="2" t="s">
        <v>1496</v>
      </c>
      <c r="J1043" s="2" t="str">
        <f>CONCATENATE(G1043,F1043,H1043,C1043,I1043)</f>
        <v>https://permalinkbnd.bnportugal.gov.pt/viewer/14628/?offset=#page=340&amp;viewer=picture&amp;o=info&amp;n=0&amp;q=</v>
      </c>
      <c r="K1043" s="1" t="s">
        <v>1359</v>
      </c>
      <c r="L1043" s="1" t="str">
        <f>VLOOKUP(A1043,Folha2!$A$2:$B$2019,2,FALSE)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3" s="12" t="str">
        <f>HYPERLINK(J1043)</f>
        <v>https://permalinkbnd.bnportugal.gov.pt/viewer/14628/?offset=#page=340&amp;viewer=picture&amp;o=info&amp;n=0&amp;q=</v>
      </c>
      <c r="N1043" s="12" t="s">
        <v>1497</v>
      </c>
      <c r="O1043" s="12" t="str">
        <f>CONCATENATE(N1043,A1043,"\",B1043,"\",C1043,".jpg")</f>
        <v>C:\Users\mbaptista\OneDrive - Biblioteca Nacional de Portugal\Documentos\python\camoniana\imagens\capas\381189\1\340.jpg</v>
      </c>
      <c r="P1043" s="12" t="str">
        <f>HYPERLINK(O1043)</f>
        <v>C:\Users\mbaptista\OneDrive - Biblioteca Nacional de Portugal\Documentos\python\camoniana\imagens\capas\381189\1\340.jpg</v>
      </c>
      <c r="Q1043" s="12"/>
      <c r="R1043" s="6" t="s">
        <v>1387</v>
      </c>
      <c r="S1043" s="12"/>
      <c r="T1043" s="1" t="s">
        <v>1360</v>
      </c>
      <c r="U1043" s="13"/>
      <c r="V1043" s="13"/>
      <c r="W1043" s="5" t="s">
        <v>1491</v>
      </c>
    </row>
    <row r="1044" spans="1:23" ht="225">
      <c r="A1044" s="1">
        <v>381189</v>
      </c>
      <c r="B1044" s="1">
        <v>1</v>
      </c>
      <c r="C1044" s="1">
        <v>342</v>
      </c>
      <c r="D1044" s="2" t="s">
        <v>1358</v>
      </c>
      <c r="E1044" s="5" t="s">
        <v>1358</v>
      </c>
      <c r="F1044" s="5">
        <v>14628</v>
      </c>
      <c r="G1044" s="2" t="s">
        <v>1494</v>
      </c>
      <c r="H1044" s="2" t="s">
        <v>1495</v>
      </c>
      <c r="I1044" s="2" t="s">
        <v>1496</v>
      </c>
      <c r="J1044" s="2" t="str">
        <f>CONCATENATE(G1044,F1044,H1044,C1044,I1044)</f>
        <v>https://permalinkbnd.bnportugal.gov.pt/viewer/14628/?offset=#page=342&amp;viewer=picture&amp;o=info&amp;n=0&amp;q=</v>
      </c>
      <c r="K1044" s="1" t="s">
        <v>1359</v>
      </c>
      <c r="L1044" s="1" t="str">
        <f>VLOOKUP(A1044,Folha2!$A$2:$B$2019,2,FALSE)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4" s="12" t="str">
        <f>HYPERLINK(J1044)</f>
        <v>https://permalinkbnd.bnportugal.gov.pt/viewer/14628/?offset=#page=342&amp;viewer=picture&amp;o=info&amp;n=0&amp;q=</v>
      </c>
      <c r="N1044" s="12" t="s">
        <v>1497</v>
      </c>
      <c r="O1044" s="12" t="str">
        <f>CONCATENATE(N1044,A1044,"\",B1044,"\",C1044,".jpg")</f>
        <v>C:\Users\mbaptista\OneDrive - Biblioteca Nacional de Portugal\Documentos\python\camoniana\imagens\capas\381189\1\342.jpg</v>
      </c>
      <c r="P1044" s="12" t="str">
        <f>HYPERLINK(O1044)</f>
        <v>C:\Users\mbaptista\OneDrive - Biblioteca Nacional de Portugal\Documentos\python\camoniana\imagens\capas\381189\1\342.jpg</v>
      </c>
      <c r="Q1044" s="12"/>
      <c r="R1044" s="6" t="s">
        <v>1388</v>
      </c>
      <c r="S1044" s="12"/>
      <c r="T1044" s="1" t="s">
        <v>1360</v>
      </c>
      <c r="U1044" s="13"/>
      <c r="V1044" s="13"/>
      <c r="W1044" s="5" t="s">
        <v>1491</v>
      </c>
    </row>
    <row r="1045" spans="1:23" ht="225">
      <c r="A1045" s="1">
        <v>381189</v>
      </c>
      <c r="B1045" s="1">
        <v>1</v>
      </c>
      <c r="C1045" s="1">
        <v>357</v>
      </c>
      <c r="D1045" s="2" t="s">
        <v>1358</v>
      </c>
      <c r="E1045" s="11" t="s">
        <v>1358</v>
      </c>
      <c r="F1045" s="11">
        <v>14628</v>
      </c>
      <c r="G1045" s="2" t="s">
        <v>1494</v>
      </c>
      <c r="H1045" s="2" t="s">
        <v>1495</v>
      </c>
      <c r="I1045" s="2" t="s">
        <v>1496</v>
      </c>
      <c r="J1045" s="2" t="str">
        <f>CONCATENATE(G1045,F1045,H1045,C1045,I1045)</f>
        <v>https://permalinkbnd.bnportugal.gov.pt/viewer/14628/?offset=#page=357&amp;viewer=picture&amp;o=info&amp;n=0&amp;q=</v>
      </c>
      <c r="K1045" s="1" t="s">
        <v>1359</v>
      </c>
      <c r="L1045" s="1" t="str">
        <f>VLOOKUP(A1045,Folha2!$A$2:$B$2019,2,FALSE)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5" s="12" t="str">
        <f>HYPERLINK(J1045)</f>
        <v>https://permalinkbnd.bnportugal.gov.pt/viewer/14628/?offset=#page=357&amp;viewer=picture&amp;o=info&amp;n=0&amp;q=</v>
      </c>
      <c r="N1045" s="12" t="s">
        <v>1497</v>
      </c>
      <c r="O1045" s="12" t="str">
        <f>CONCATENATE(N1045,A1045,"\",B1045,"\",C1045,".jpg")</f>
        <v>C:\Users\mbaptista\OneDrive - Biblioteca Nacional de Portugal\Documentos\python\camoniana\imagens\capas\381189\1\357.jpg</v>
      </c>
      <c r="P1045" s="12" t="str">
        <f>HYPERLINK(O1045)</f>
        <v>C:\Users\mbaptista\OneDrive - Biblioteca Nacional de Portugal\Documentos\python\camoniana\imagens\capas\381189\1\357.jpg</v>
      </c>
      <c r="Q1045" s="12"/>
      <c r="R1045" s="6" t="s">
        <v>1389</v>
      </c>
      <c r="S1045" s="12"/>
      <c r="T1045" s="1" t="s">
        <v>1360</v>
      </c>
      <c r="U1045" s="13"/>
      <c r="V1045" s="13"/>
      <c r="W1045" s="5" t="s">
        <v>1491</v>
      </c>
    </row>
    <row r="1046" spans="1:23" ht="225">
      <c r="A1046" s="1">
        <v>381189</v>
      </c>
      <c r="B1046" s="1">
        <v>1</v>
      </c>
      <c r="C1046" s="1">
        <v>371</v>
      </c>
      <c r="D1046" s="2" t="s">
        <v>1358</v>
      </c>
      <c r="E1046" s="5" t="s">
        <v>1358</v>
      </c>
      <c r="F1046" s="5">
        <v>14628</v>
      </c>
      <c r="G1046" s="2" t="s">
        <v>1494</v>
      </c>
      <c r="H1046" s="2" t="s">
        <v>1495</v>
      </c>
      <c r="I1046" s="2" t="s">
        <v>1496</v>
      </c>
      <c r="J1046" s="2" t="str">
        <f>CONCATENATE(G1046,F1046,H1046,C1046,I1046)</f>
        <v>https://permalinkbnd.bnportugal.gov.pt/viewer/14628/?offset=#page=371&amp;viewer=picture&amp;o=info&amp;n=0&amp;q=</v>
      </c>
      <c r="K1046" s="1" t="s">
        <v>1359</v>
      </c>
      <c r="L1046" s="1" t="str">
        <f>VLOOKUP(A1046,Folha2!$A$2:$B$2019,2,FALSE)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6" s="12" t="str">
        <f>HYPERLINK(J1046)</f>
        <v>https://permalinkbnd.bnportugal.gov.pt/viewer/14628/?offset=#page=371&amp;viewer=picture&amp;o=info&amp;n=0&amp;q=</v>
      </c>
      <c r="N1046" s="12" t="s">
        <v>1497</v>
      </c>
      <c r="O1046" s="12" t="str">
        <f>CONCATENATE(N1046,A1046,"\",B1046,"\",C1046,".jpg")</f>
        <v>C:\Users\mbaptista\OneDrive - Biblioteca Nacional de Portugal\Documentos\python\camoniana\imagens\capas\381189\1\371.jpg</v>
      </c>
      <c r="P1046" s="12" t="str">
        <f>HYPERLINK(O1046)</f>
        <v>C:\Users\mbaptista\OneDrive - Biblioteca Nacional de Portugal\Documentos\python\camoniana\imagens\capas\381189\1\371.jpg</v>
      </c>
      <c r="Q1046" s="12"/>
      <c r="R1046" s="6" t="s">
        <v>1390</v>
      </c>
      <c r="S1046" s="12"/>
      <c r="T1046" s="1" t="s">
        <v>1360</v>
      </c>
      <c r="U1046" s="13"/>
      <c r="V1046" s="13"/>
      <c r="W1046" s="5" t="s">
        <v>1491</v>
      </c>
    </row>
    <row r="1047" spans="1:23" ht="225">
      <c r="A1047" s="1">
        <v>381189</v>
      </c>
      <c r="B1047" s="1">
        <v>1</v>
      </c>
      <c r="C1047" s="1">
        <v>376</v>
      </c>
      <c r="D1047" s="2" t="s">
        <v>1358</v>
      </c>
      <c r="E1047" s="11" t="s">
        <v>1358</v>
      </c>
      <c r="F1047" s="11">
        <v>14628</v>
      </c>
      <c r="G1047" s="2" t="s">
        <v>1494</v>
      </c>
      <c r="H1047" s="2" t="s">
        <v>1495</v>
      </c>
      <c r="I1047" s="2" t="s">
        <v>1496</v>
      </c>
      <c r="J1047" s="2" t="str">
        <f>CONCATENATE(G1047,F1047,H1047,C1047,I1047)</f>
        <v>https://permalinkbnd.bnportugal.gov.pt/viewer/14628/?offset=#page=376&amp;viewer=picture&amp;o=info&amp;n=0&amp;q=</v>
      </c>
      <c r="K1047" s="1" t="s">
        <v>1359</v>
      </c>
      <c r="L1047" s="1" t="str">
        <f>VLOOKUP(A1047,Folha2!$A$2:$B$2019,2,FALSE)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7" s="12" t="str">
        <f>HYPERLINK(J1047)</f>
        <v>https://permalinkbnd.bnportugal.gov.pt/viewer/14628/?offset=#page=376&amp;viewer=picture&amp;o=info&amp;n=0&amp;q=</v>
      </c>
      <c r="N1047" s="12" t="s">
        <v>1497</v>
      </c>
      <c r="O1047" s="12" t="str">
        <f>CONCATENATE(N1047,A1047,"\",B1047,"\",C1047,".jpg")</f>
        <v>C:\Users\mbaptista\OneDrive - Biblioteca Nacional de Portugal\Documentos\python\camoniana\imagens\capas\381189\1\376.jpg</v>
      </c>
      <c r="P1047" s="12" t="str">
        <f>HYPERLINK(O1047)</f>
        <v>C:\Users\mbaptista\OneDrive - Biblioteca Nacional de Portugal\Documentos\python\camoniana\imagens\capas\381189\1\376.jpg</v>
      </c>
      <c r="Q1047" s="12"/>
      <c r="R1047" s="6"/>
      <c r="S1047" s="12"/>
      <c r="T1047" s="1"/>
      <c r="U1047" s="13"/>
      <c r="V1047" s="13"/>
      <c r="W1047" s="5"/>
    </row>
    <row r="1048" spans="1:23" ht="225">
      <c r="A1048" s="1">
        <v>381189</v>
      </c>
      <c r="B1048" s="1">
        <v>1</v>
      </c>
      <c r="C1048" s="1">
        <v>377</v>
      </c>
      <c r="D1048" s="2" t="s">
        <v>1358</v>
      </c>
      <c r="E1048" s="5" t="s">
        <v>1358</v>
      </c>
      <c r="F1048" s="5">
        <v>14628</v>
      </c>
      <c r="G1048" s="2" t="s">
        <v>1494</v>
      </c>
      <c r="H1048" s="2" t="s">
        <v>1495</v>
      </c>
      <c r="I1048" s="2" t="s">
        <v>1496</v>
      </c>
      <c r="J1048" s="2" t="str">
        <f>CONCATENATE(G1048,F1048,H1048,C1048,I1048)</f>
        <v>https://permalinkbnd.bnportugal.gov.pt/viewer/14628/?offset=#page=377&amp;viewer=picture&amp;o=info&amp;n=0&amp;q=</v>
      </c>
      <c r="K1048" s="1" t="s">
        <v>1359</v>
      </c>
      <c r="L1048" s="1" t="str">
        <f>VLOOKUP(A1048,Folha2!$A$2:$B$2019,2,FALSE)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8" s="12" t="str">
        <f>HYPERLINK(J1048)</f>
        <v>https://permalinkbnd.bnportugal.gov.pt/viewer/14628/?offset=#page=377&amp;viewer=picture&amp;o=info&amp;n=0&amp;q=</v>
      </c>
      <c r="N1048" s="12" t="s">
        <v>1497</v>
      </c>
      <c r="O1048" s="12" t="str">
        <f>CONCATENATE(N1048,A1048,"\",B1048,"\",C1048,".jpg")</f>
        <v>C:\Users\mbaptista\OneDrive - Biblioteca Nacional de Portugal\Documentos\python\camoniana\imagens\capas\381189\1\377.jpg</v>
      </c>
      <c r="P1048" s="12" t="str">
        <f>HYPERLINK(O1048)</f>
        <v>C:\Users\mbaptista\OneDrive - Biblioteca Nacional de Portugal\Documentos\python\camoniana\imagens\capas\381189\1\377.jpg</v>
      </c>
      <c r="Q1048" s="12"/>
      <c r="R1048" s="6" t="s">
        <v>1391</v>
      </c>
      <c r="S1048" s="12"/>
      <c r="T1048" s="1" t="s">
        <v>1360</v>
      </c>
      <c r="U1048" s="13"/>
      <c r="V1048" s="13"/>
      <c r="W1048" s="5" t="s">
        <v>1491</v>
      </c>
    </row>
    <row r="1049" spans="1:23" ht="225">
      <c r="A1049" s="1">
        <v>381189</v>
      </c>
      <c r="B1049" s="1">
        <v>1</v>
      </c>
      <c r="C1049" s="1">
        <v>379</v>
      </c>
      <c r="D1049" s="2" t="s">
        <v>1358</v>
      </c>
      <c r="E1049" s="11" t="s">
        <v>1358</v>
      </c>
      <c r="F1049" s="11">
        <v>14628</v>
      </c>
      <c r="G1049" s="2" t="s">
        <v>1494</v>
      </c>
      <c r="H1049" s="2" t="s">
        <v>1495</v>
      </c>
      <c r="I1049" s="2" t="s">
        <v>1496</v>
      </c>
      <c r="J1049" s="2" t="str">
        <f>CONCATENATE(G1049,F1049,H1049,C1049,I1049)</f>
        <v>https://permalinkbnd.bnportugal.gov.pt/viewer/14628/?offset=#page=379&amp;viewer=picture&amp;o=info&amp;n=0&amp;q=</v>
      </c>
      <c r="K1049" s="1" t="s">
        <v>1359</v>
      </c>
      <c r="L1049" s="1" t="str">
        <f>VLOOKUP(A1049,Folha2!$A$2:$B$2019,2,FALSE)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49" s="12" t="str">
        <f>HYPERLINK(J1049)</f>
        <v>https://permalinkbnd.bnportugal.gov.pt/viewer/14628/?offset=#page=379&amp;viewer=picture&amp;o=info&amp;n=0&amp;q=</v>
      </c>
      <c r="N1049" s="12" t="s">
        <v>1497</v>
      </c>
      <c r="O1049" s="12" t="str">
        <f>CONCATENATE(N1049,A1049,"\",B1049,"\",C1049,".jpg")</f>
        <v>C:\Users\mbaptista\OneDrive - Biblioteca Nacional de Portugal\Documentos\python\camoniana\imagens\capas\381189\1\379.jpg</v>
      </c>
      <c r="P1049" s="12" t="str">
        <f>HYPERLINK(O1049)</f>
        <v>C:\Users\mbaptista\OneDrive - Biblioteca Nacional de Portugal\Documentos\python\camoniana\imagens\capas\381189\1\379.jpg</v>
      </c>
      <c r="Q1049" s="12"/>
      <c r="R1049" s="6" t="s">
        <v>1392</v>
      </c>
      <c r="S1049" s="12"/>
      <c r="T1049" s="1" t="s">
        <v>1360</v>
      </c>
      <c r="U1049" s="13"/>
      <c r="V1049" s="13"/>
      <c r="W1049" s="5" t="s">
        <v>1491</v>
      </c>
    </row>
    <row r="1050" spans="1:23" ht="225">
      <c r="A1050" s="1">
        <v>381189</v>
      </c>
      <c r="B1050" s="1">
        <v>1</v>
      </c>
      <c r="C1050" s="1">
        <v>381</v>
      </c>
      <c r="D1050" s="2" t="s">
        <v>1358</v>
      </c>
      <c r="E1050" s="5" t="s">
        <v>1358</v>
      </c>
      <c r="F1050" s="5">
        <v>14628</v>
      </c>
      <c r="G1050" s="2" t="s">
        <v>1494</v>
      </c>
      <c r="H1050" s="2" t="s">
        <v>1495</v>
      </c>
      <c r="I1050" s="2" t="s">
        <v>1496</v>
      </c>
      <c r="J1050" s="2" t="str">
        <f>CONCATENATE(G1050,F1050,H1050,C1050,I1050)</f>
        <v>https://permalinkbnd.bnportugal.gov.pt/viewer/14628/?offset=#page=381&amp;viewer=picture&amp;o=info&amp;n=0&amp;q=</v>
      </c>
      <c r="K1050" s="1" t="s">
        <v>1359</v>
      </c>
      <c r="L1050" s="1" t="str">
        <f>VLOOKUP(A1050,Folha2!$A$2:$B$2019,2,FALSE)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0" s="12" t="str">
        <f>HYPERLINK(J1050)</f>
        <v>https://permalinkbnd.bnportugal.gov.pt/viewer/14628/?offset=#page=381&amp;viewer=picture&amp;o=info&amp;n=0&amp;q=</v>
      </c>
      <c r="N1050" s="12" t="s">
        <v>1497</v>
      </c>
      <c r="O1050" s="12" t="str">
        <f>CONCATENATE(N1050,A1050,"\",B1050,"\",C1050,".jpg")</f>
        <v>C:\Users\mbaptista\OneDrive - Biblioteca Nacional de Portugal\Documentos\python\camoniana\imagens\capas\381189\1\381.jpg</v>
      </c>
      <c r="P1050" s="12" t="str">
        <f>HYPERLINK(O1050)</f>
        <v>C:\Users\mbaptista\OneDrive - Biblioteca Nacional de Portugal\Documentos\python\camoniana\imagens\capas\381189\1\381.jpg</v>
      </c>
      <c r="Q1050" s="12"/>
      <c r="R1050" s="6" t="s">
        <v>1393</v>
      </c>
      <c r="S1050" s="12"/>
      <c r="T1050" s="1" t="s">
        <v>1360</v>
      </c>
      <c r="U1050" s="13"/>
      <c r="V1050" s="13"/>
      <c r="W1050" s="5" t="s">
        <v>1491</v>
      </c>
    </row>
    <row r="1051" spans="1:23" ht="225">
      <c r="A1051" s="1">
        <v>381189</v>
      </c>
      <c r="B1051" s="1">
        <v>1</v>
      </c>
      <c r="C1051" s="1">
        <v>402</v>
      </c>
      <c r="D1051" s="2" t="s">
        <v>1358</v>
      </c>
      <c r="E1051" s="11" t="s">
        <v>1358</v>
      </c>
      <c r="F1051" s="11">
        <v>14628</v>
      </c>
      <c r="G1051" s="2" t="s">
        <v>1494</v>
      </c>
      <c r="H1051" s="2" t="s">
        <v>1495</v>
      </c>
      <c r="I1051" s="2" t="s">
        <v>1496</v>
      </c>
      <c r="J1051" s="2" t="str">
        <f>CONCATENATE(G1051,F1051,H1051,C1051,I1051)</f>
        <v>https://permalinkbnd.bnportugal.gov.pt/viewer/14628/?offset=#page=402&amp;viewer=picture&amp;o=info&amp;n=0&amp;q=</v>
      </c>
      <c r="K1051" s="1" t="s">
        <v>1359</v>
      </c>
      <c r="L1051" s="1" t="str">
        <f>VLOOKUP(A1051,Folha2!$A$2:$B$2019,2,FALSE)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1" s="12" t="str">
        <f>HYPERLINK(J1051)</f>
        <v>https://permalinkbnd.bnportugal.gov.pt/viewer/14628/?offset=#page=402&amp;viewer=picture&amp;o=info&amp;n=0&amp;q=</v>
      </c>
      <c r="N1051" s="12" t="s">
        <v>1497</v>
      </c>
      <c r="O1051" s="12" t="str">
        <f>CONCATENATE(N1051,A1051,"\",B1051,"\",C1051,".jpg")</f>
        <v>C:\Users\mbaptista\OneDrive - Biblioteca Nacional de Portugal\Documentos\python\camoniana\imagens\capas\381189\1\402.jpg</v>
      </c>
      <c r="P1051" s="12" t="str">
        <f>HYPERLINK(O1051)</f>
        <v>C:\Users\mbaptista\OneDrive - Biblioteca Nacional de Portugal\Documentos\python\camoniana\imagens\capas\381189\1\402.jpg</v>
      </c>
      <c r="Q1051" s="12"/>
      <c r="R1051" s="6" t="s">
        <v>1394</v>
      </c>
      <c r="S1051" s="12"/>
      <c r="T1051" s="1" t="s">
        <v>1360</v>
      </c>
      <c r="U1051" s="13"/>
      <c r="V1051" s="13"/>
      <c r="W1051" s="5" t="s">
        <v>1491</v>
      </c>
    </row>
    <row r="1052" spans="1:23" ht="225">
      <c r="A1052" s="1">
        <v>381189</v>
      </c>
      <c r="B1052" s="1">
        <v>1</v>
      </c>
      <c r="C1052" s="1">
        <v>417</v>
      </c>
      <c r="D1052" s="2" t="s">
        <v>1358</v>
      </c>
      <c r="E1052" s="5" t="s">
        <v>1358</v>
      </c>
      <c r="F1052" s="5">
        <v>14628</v>
      </c>
      <c r="G1052" s="2" t="s">
        <v>1494</v>
      </c>
      <c r="H1052" s="2" t="s">
        <v>1495</v>
      </c>
      <c r="I1052" s="2" t="s">
        <v>1496</v>
      </c>
      <c r="J1052" s="2" t="str">
        <f>CONCATENATE(G1052,F1052,H1052,C1052,I1052)</f>
        <v>https://permalinkbnd.bnportugal.gov.pt/viewer/14628/?offset=#page=417&amp;viewer=picture&amp;o=info&amp;n=0&amp;q=</v>
      </c>
      <c r="K1052" s="1" t="s">
        <v>1359</v>
      </c>
      <c r="L1052" s="1" t="str">
        <f>VLOOKUP(A1052,Folha2!$A$2:$B$2019,2,FALSE)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2" s="12" t="str">
        <f>HYPERLINK(J1052)</f>
        <v>https://permalinkbnd.bnportugal.gov.pt/viewer/14628/?offset=#page=417&amp;viewer=picture&amp;o=info&amp;n=0&amp;q=</v>
      </c>
      <c r="N1052" s="12" t="s">
        <v>1497</v>
      </c>
      <c r="O1052" s="12" t="str">
        <f>CONCATENATE(N1052,A1052,"\",B1052,"\",C1052,".jpg")</f>
        <v>C:\Users\mbaptista\OneDrive - Biblioteca Nacional de Portugal\Documentos\python\camoniana\imagens\capas\381189\1\417.jpg</v>
      </c>
      <c r="P1052" s="12" t="str">
        <f>HYPERLINK(O1052)</f>
        <v>C:\Users\mbaptista\OneDrive - Biblioteca Nacional de Portugal\Documentos\python\camoniana\imagens\capas\381189\1\417.jpg</v>
      </c>
      <c r="Q1052" s="12"/>
      <c r="R1052" s="6"/>
      <c r="S1052" s="12"/>
      <c r="T1052" s="1"/>
      <c r="U1052" s="13"/>
      <c r="V1052" s="13"/>
      <c r="W1052" s="5"/>
    </row>
    <row r="1053" spans="1:23" ht="225">
      <c r="A1053" s="1">
        <v>381189</v>
      </c>
      <c r="B1053" s="1">
        <v>1</v>
      </c>
      <c r="C1053" s="1">
        <v>418</v>
      </c>
      <c r="D1053" s="2" t="s">
        <v>1358</v>
      </c>
      <c r="E1053" s="11" t="s">
        <v>1358</v>
      </c>
      <c r="F1053" s="11">
        <v>14628</v>
      </c>
      <c r="G1053" s="2" t="s">
        <v>1494</v>
      </c>
      <c r="H1053" s="2" t="s">
        <v>1495</v>
      </c>
      <c r="I1053" s="2" t="s">
        <v>1496</v>
      </c>
      <c r="J1053" s="2" t="str">
        <f>CONCATENATE(G1053,F1053,H1053,C1053,I1053)</f>
        <v>https://permalinkbnd.bnportugal.gov.pt/viewer/14628/?offset=#page=418&amp;viewer=picture&amp;o=info&amp;n=0&amp;q=</v>
      </c>
      <c r="K1053" s="1" t="s">
        <v>1359</v>
      </c>
      <c r="L1053" s="1" t="str">
        <f>VLOOKUP(A1053,Folha2!$A$2:$B$2019,2,FALSE)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3" s="12" t="str">
        <f>HYPERLINK(J1053)</f>
        <v>https://permalinkbnd.bnportugal.gov.pt/viewer/14628/?offset=#page=418&amp;viewer=picture&amp;o=info&amp;n=0&amp;q=</v>
      </c>
      <c r="N1053" s="12" t="s">
        <v>1497</v>
      </c>
      <c r="O1053" s="12" t="str">
        <f>CONCATENATE(N1053,A1053,"\",B1053,"\",C1053,".jpg")</f>
        <v>C:\Users\mbaptista\OneDrive - Biblioteca Nacional de Portugal\Documentos\python\camoniana\imagens\capas\381189\1\418.jpg</v>
      </c>
      <c r="P1053" s="12" t="str">
        <f>HYPERLINK(O1053)</f>
        <v>C:\Users\mbaptista\OneDrive - Biblioteca Nacional de Portugal\Documentos\python\camoniana\imagens\capas\381189\1\418.jpg</v>
      </c>
      <c r="Q1053" s="12"/>
      <c r="R1053" s="6" t="s">
        <v>1395</v>
      </c>
      <c r="S1053" s="12"/>
      <c r="T1053" s="1" t="s">
        <v>1360</v>
      </c>
      <c r="U1053" s="13"/>
      <c r="V1053" s="13"/>
      <c r="W1053" s="5" t="s">
        <v>1491</v>
      </c>
    </row>
    <row r="1054" spans="1:23" ht="225">
      <c r="A1054" s="1">
        <v>381189</v>
      </c>
      <c r="B1054" s="1">
        <v>1</v>
      </c>
      <c r="C1054" s="1">
        <v>420</v>
      </c>
      <c r="D1054" s="2" t="s">
        <v>1358</v>
      </c>
      <c r="E1054" s="5" t="s">
        <v>1358</v>
      </c>
      <c r="F1054" s="5">
        <v>14628</v>
      </c>
      <c r="G1054" s="2" t="s">
        <v>1494</v>
      </c>
      <c r="H1054" s="2" t="s">
        <v>1495</v>
      </c>
      <c r="I1054" s="2" t="s">
        <v>1496</v>
      </c>
      <c r="J1054" s="2" t="str">
        <f>CONCATENATE(G1054,F1054,H1054,C1054,I1054)</f>
        <v>https://permalinkbnd.bnportugal.gov.pt/viewer/14628/?offset=#page=420&amp;viewer=picture&amp;o=info&amp;n=0&amp;q=</v>
      </c>
      <c r="K1054" s="1" t="s">
        <v>1359</v>
      </c>
      <c r="L1054" s="1" t="str">
        <f>VLOOKUP(A1054,Folha2!$A$2:$B$2019,2,FALSE)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4" s="12" t="str">
        <f>HYPERLINK(J1054)</f>
        <v>https://permalinkbnd.bnportugal.gov.pt/viewer/14628/?offset=#page=420&amp;viewer=picture&amp;o=info&amp;n=0&amp;q=</v>
      </c>
      <c r="N1054" s="12" t="s">
        <v>1497</v>
      </c>
      <c r="O1054" s="12" t="str">
        <f>CONCATENATE(N1054,A1054,"\",B1054,"\",C1054,".jpg")</f>
        <v>C:\Users\mbaptista\OneDrive - Biblioteca Nacional de Portugal\Documentos\python\camoniana\imagens\capas\381189\1\420.jpg</v>
      </c>
      <c r="P1054" s="12" t="str">
        <f>HYPERLINK(O1054)</f>
        <v>C:\Users\mbaptista\OneDrive - Biblioteca Nacional de Portugal\Documentos\python\camoniana\imagens\capas\381189\1\420.jpg</v>
      </c>
      <c r="Q1054" s="12"/>
      <c r="R1054" s="6" t="s">
        <v>1396</v>
      </c>
      <c r="S1054" s="12"/>
      <c r="T1054" s="1" t="s">
        <v>1360</v>
      </c>
      <c r="U1054" s="13"/>
      <c r="V1054" s="13"/>
      <c r="W1054" s="5" t="s">
        <v>1491</v>
      </c>
    </row>
    <row r="1055" spans="1:23" ht="225">
      <c r="A1055" s="1">
        <v>381189</v>
      </c>
      <c r="B1055" s="1">
        <v>1</v>
      </c>
      <c r="C1055" s="1">
        <v>436</v>
      </c>
      <c r="D1055" s="2" t="s">
        <v>1358</v>
      </c>
      <c r="E1055" s="11" t="s">
        <v>1358</v>
      </c>
      <c r="F1055" s="11">
        <v>14628</v>
      </c>
      <c r="G1055" s="2" t="s">
        <v>1494</v>
      </c>
      <c r="H1055" s="2" t="s">
        <v>1495</v>
      </c>
      <c r="I1055" s="2" t="s">
        <v>1496</v>
      </c>
      <c r="J1055" s="2" t="str">
        <f>CONCATENATE(G1055,F1055,H1055,C1055,I1055)</f>
        <v>https://permalinkbnd.bnportugal.gov.pt/viewer/14628/?offset=#page=436&amp;viewer=picture&amp;o=info&amp;n=0&amp;q=</v>
      </c>
      <c r="K1055" s="1" t="s">
        <v>1359</v>
      </c>
      <c r="L1055" s="1" t="str">
        <f>VLOOKUP(A1055,Folha2!$A$2:$B$2019,2,FALSE)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5" s="12" t="str">
        <f>HYPERLINK(J1055)</f>
        <v>https://permalinkbnd.bnportugal.gov.pt/viewer/14628/?offset=#page=436&amp;viewer=picture&amp;o=info&amp;n=0&amp;q=</v>
      </c>
      <c r="N1055" s="12" t="s">
        <v>1497</v>
      </c>
      <c r="O1055" s="12" t="str">
        <f>CONCATENATE(N1055,A1055,"\",B1055,"\",C1055,".jpg")</f>
        <v>C:\Users\mbaptista\OneDrive - Biblioteca Nacional de Portugal\Documentos\python\camoniana\imagens\capas\381189\1\436.jpg</v>
      </c>
      <c r="P1055" s="12" t="str">
        <f>HYPERLINK(O1055)</f>
        <v>C:\Users\mbaptista\OneDrive - Biblioteca Nacional de Portugal\Documentos\python\camoniana\imagens\capas\381189\1\436.jpg</v>
      </c>
      <c r="Q1055" s="12"/>
      <c r="R1055" s="6" t="s">
        <v>1397</v>
      </c>
      <c r="S1055" s="12"/>
      <c r="T1055" s="1" t="s">
        <v>1360</v>
      </c>
      <c r="U1055" s="13"/>
      <c r="V1055" s="13"/>
      <c r="W1055" s="5" t="s">
        <v>1491</v>
      </c>
    </row>
    <row r="1056" spans="1:23" ht="225">
      <c r="A1056" s="1">
        <v>381189</v>
      </c>
      <c r="B1056" s="1">
        <v>1</v>
      </c>
      <c r="C1056" s="1">
        <v>444</v>
      </c>
      <c r="D1056" s="2" t="s">
        <v>1358</v>
      </c>
      <c r="E1056" s="5" t="s">
        <v>1358</v>
      </c>
      <c r="F1056" s="5">
        <v>14628</v>
      </c>
      <c r="G1056" s="2" t="s">
        <v>1494</v>
      </c>
      <c r="H1056" s="2" t="s">
        <v>1495</v>
      </c>
      <c r="I1056" s="2" t="s">
        <v>1496</v>
      </c>
      <c r="J1056" s="2" t="str">
        <f>CONCATENATE(G1056,F1056,H1056,C1056,I1056)</f>
        <v>https://permalinkbnd.bnportugal.gov.pt/viewer/14628/?offset=#page=444&amp;viewer=picture&amp;o=info&amp;n=0&amp;q=</v>
      </c>
      <c r="K1056" s="1" t="s">
        <v>1359</v>
      </c>
      <c r="L1056" s="1" t="str">
        <f>VLOOKUP(A1056,Folha2!$A$2:$B$2019,2,FALSE)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6" s="12" t="str">
        <f>HYPERLINK(J1056)</f>
        <v>https://permalinkbnd.bnportugal.gov.pt/viewer/14628/?offset=#page=444&amp;viewer=picture&amp;o=info&amp;n=0&amp;q=</v>
      </c>
      <c r="N1056" s="12" t="s">
        <v>1497</v>
      </c>
      <c r="O1056" s="12" t="str">
        <f>CONCATENATE(N1056,A1056,"\",B1056,"\",C1056,".jpg")</f>
        <v>C:\Users\mbaptista\OneDrive - Biblioteca Nacional de Portugal\Documentos\python\camoniana\imagens\capas\381189\1\444.jpg</v>
      </c>
      <c r="P1056" s="12" t="str">
        <f>HYPERLINK(O1056)</f>
        <v>C:\Users\mbaptista\OneDrive - Biblioteca Nacional de Portugal\Documentos\python\camoniana\imagens\capas\381189\1\444.jpg</v>
      </c>
      <c r="Q1056" s="12"/>
      <c r="R1056" s="6" t="s">
        <v>1398</v>
      </c>
      <c r="S1056" s="12"/>
      <c r="T1056" s="1" t="s">
        <v>1360</v>
      </c>
      <c r="U1056" s="13"/>
      <c r="V1056" s="13"/>
      <c r="W1056" s="5" t="s">
        <v>1491</v>
      </c>
    </row>
    <row r="1057" spans="1:23" ht="225">
      <c r="A1057" s="1">
        <v>381189</v>
      </c>
      <c r="B1057" s="1">
        <v>1</v>
      </c>
      <c r="C1057" s="1">
        <v>453</v>
      </c>
      <c r="D1057" s="2" t="s">
        <v>1358</v>
      </c>
      <c r="E1057" s="11" t="s">
        <v>1358</v>
      </c>
      <c r="F1057" s="11">
        <v>14628</v>
      </c>
      <c r="G1057" s="2" t="s">
        <v>1494</v>
      </c>
      <c r="H1057" s="2" t="s">
        <v>1495</v>
      </c>
      <c r="I1057" s="2" t="s">
        <v>1496</v>
      </c>
      <c r="J1057" s="2" t="str">
        <f>CONCATENATE(G1057,F1057,H1057,C1057,I1057)</f>
        <v>https://permalinkbnd.bnportugal.gov.pt/viewer/14628/?offset=#page=453&amp;viewer=picture&amp;o=info&amp;n=0&amp;q=</v>
      </c>
      <c r="K1057" s="1" t="s">
        <v>1359</v>
      </c>
      <c r="L1057" s="1" t="str">
        <f>VLOOKUP(A1057,Folha2!$A$2:$B$2019,2,FALSE)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7" s="12" t="str">
        <f>HYPERLINK(J1057)</f>
        <v>https://permalinkbnd.bnportugal.gov.pt/viewer/14628/?offset=#page=453&amp;viewer=picture&amp;o=info&amp;n=0&amp;q=</v>
      </c>
      <c r="N1057" s="12" t="s">
        <v>1497</v>
      </c>
      <c r="O1057" s="12" t="str">
        <f>CONCATENATE(N1057,A1057,"\",B1057,"\",C1057,".jpg")</f>
        <v>C:\Users\mbaptista\OneDrive - Biblioteca Nacional de Portugal\Documentos\python\camoniana\imagens\capas\381189\1\453.jpg</v>
      </c>
      <c r="P1057" s="12" t="str">
        <f>HYPERLINK(O1057)</f>
        <v>C:\Users\mbaptista\OneDrive - Biblioteca Nacional de Portugal\Documentos\python\camoniana\imagens\capas\381189\1\453.jpg</v>
      </c>
      <c r="Q1057" s="12"/>
      <c r="R1057" s="6" t="s">
        <v>1399</v>
      </c>
      <c r="S1057" s="12"/>
      <c r="T1057" s="1" t="s">
        <v>1360</v>
      </c>
      <c r="U1057" s="13"/>
      <c r="V1057" s="13"/>
      <c r="W1057" s="5" t="s">
        <v>1491</v>
      </c>
    </row>
    <row r="1058" spans="1:23" ht="225">
      <c r="A1058" s="1">
        <v>381189</v>
      </c>
      <c r="B1058" s="1">
        <v>1</v>
      </c>
      <c r="C1058" s="1">
        <v>459</v>
      </c>
      <c r="D1058" s="2" t="s">
        <v>1358</v>
      </c>
      <c r="E1058" s="5" t="s">
        <v>1358</v>
      </c>
      <c r="F1058" s="5">
        <v>14628</v>
      </c>
      <c r="G1058" s="2" t="s">
        <v>1494</v>
      </c>
      <c r="H1058" s="2" t="s">
        <v>1495</v>
      </c>
      <c r="I1058" s="2" t="s">
        <v>1496</v>
      </c>
      <c r="J1058" s="2" t="str">
        <f>CONCATENATE(G1058,F1058,H1058,C1058,I1058)</f>
        <v>https://permalinkbnd.bnportugal.gov.pt/viewer/14628/?offset=#page=459&amp;viewer=picture&amp;o=info&amp;n=0&amp;q=</v>
      </c>
      <c r="K1058" s="1" t="s">
        <v>1359</v>
      </c>
      <c r="L1058" s="1" t="str">
        <f>VLOOKUP(A1058,Folha2!$A$2:$B$2019,2,FALSE)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8" s="12" t="str">
        <f>HYPERLINK(J1058)</f>
        <v>https://permalinkbnd.bnportugal.gov.pt/viewer/14628/?offset=#page=459&amp;viewer=picture&amp;o=info&amp;n=0&amp;q=</v>
      </c>
      <c r="N1058" s="12" t="s">
        <v>1497</v>
      </c>
      <c r="O1058" s="12" t="str">
        <f>CONCATENATE(N1058,A1058,"\",B1058,"\",C1058,".jpg")</f>
        <v>C:\Users\mbaptista\OneDrive - Biblioteca Nacional de Portugal\Documentos\python\camoniana\imagens\capas\381189\1\459.jpg</v>
      </c>
      <c r="P1058" s="12" t="str">
        <f>HYPERLINK(O1058)</f>
        <v>C:\Users\mbaptista\OneDrive - Biblioteca Nacional de Portugal\Documentos\python\camoniana\imagens\capas\381189\1\459.jpg</v>
      </c>
      <c r="Q1058" s="12"/>
      <c r="R1058" s="6" t="s">
        <v>1400</v>
      </c>
      <c r="S1058" s="12"/>
      <c r="T1058" s="1" t="s">
        <v>1360</v>
      </c>
      <c r="U1058" s="13"/>
      <c r="V1058" s="13"/>
      <c r="W1058" s="5" t="s">
        <v>1491</v>
      </c>
    </row>
    <row r="1059" spans="1:23" ht="225">
      <c r="A1059" s="1">
        <v>381189</v>
      </c>
      <c r="B1059" s="1">
        <v>1</v>
      </c>
      <c r="C1059" s="1">
        <v>461</v>
      </c>
      <c r="D1059" s="2" t="s">
        <v>1358</v>
      </c>
      <c r="E1059" s="11" t="s">
        <v>1358</v>
      </c>
      <c r="F1059" s="11">
        <v>14628</v>
      </c>
      <c r="G1059" s="2" t="s">
        <v>1494</v>
      </c>
      <c r="H1059" s="2" t="s">
        <v>1495</v>
      </c>
      <c r="I1059" s="2" t="s">
        <v>1496</v>
      </c>
      <c r="J1059" s="2" t="str">
        <f>CONCATENATE(G1059,F1059,H1059,C1059,I1059)</f>
        <v>https://permalinkbnd.bnportugal.gov.pt/viewer/14628/?offset=#page=461&amp;viewer=picture&amp;o=info&amp;n=0&amp;q=</v>
      </c>
      <c r="K1059" s="1" t="s">
        <v>1359</v>
      </c>
      <c r="L1059" s="1" t="str">
        <f>VLOOKUP(A1059,Folha2!$A$2:$B$2019,2,FALSE)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59" s="12" t="str">
        <f>HYPERLINK(J1059)</f>
        <v>https://permalinkbnd.bnportugal.gov.pt/viewer/14628/?offset=#page=461&amp;viewer=picture&amp;o=info&amp;n=0&amp;q=</v>
      </c>
      <c r="N1059" s="12" t="s">
        <v>1497</v>
      </c>
      <c r="O1059" s="12" t="str">
        <f>CONCATENATE(N1059,A1059,"\",B1059,"\",C1059,".jpg")</f>
        <v>C:\Users\mbaptista\OneDrive - Biblioteca Nacional de Portugal\Documentos\python\camoniana\imagens\capas\381189\1\461.jpg</v>
      </c>
      <c r="P1059" s="12" t="str">
        <f>HYPERLINK(O1059)</f>
        <v>C:\Users\mbaptista\OneDrive - Biblioteca Nacional de Portugal\Documentos\python\camoniana\imagens\capas\381189\1\461.jpg</v>
      </c>
      <c r="Q1059" s="12"/>
      <c r="R1059" s="6" t="s">
        <v>1401</v>
      </c>
      <c r="S1059" s="12"/>
      <c r="T1059" s="1" t="s">
        <v>1360</v>
      </c>
      <c r="U1059" s="13"/>
      <c r="V1059" s="13"/>
      <c r="W1059" s="5" t="s">
        <v>1491</v>
      </c>
    </row>
    <row r="1060" spans="1:23" ht="225">
      <c r="A1060" s="1">
        <v>381189</v>
      </c>
      <c r="B1060" s="1">
        <v>1</v>
      </c>
      <c r="C1060" s="1">
        <v>463</v>
      </c>
      <c r="D1060" s="2" t="s">
        <v>1358</v>
      </c>
      <c r="E1060" s="5" t="s">
        <v>1358</v>
      </c>
      <c r="F1060" s="5">
        <v>14628</v>
      </c>
      <c r="G1060" s="2" t="s">
        <v>1494</v>
      </c>
      <c r="H1060" s="2" t="s">
        <v>1495</v>
      </c>
      <c r="I1060" s="2" t="s">
        <v>1496</v>
      </c>
      <c r="J1060" s="2" t="str">
        <f>CONCATENATE(G1060,F1060,H1060,C1060,I1060)</f>
        <v>https://permalinkbnd.bnportugal.gov.pt/viewer/14628/?offset=#page=463&amp;viewer=picture&amp;o=info&amp;n=0&amp;q=</v>
      </c>
      <c r="K1060" s="1" t="s">
        <v>1359</v>
      </c>
      <c r="L1060" s="1" t="str">
        <f>VLOOKUP(A1060,Folha2!$A$2:$B$2019,2,FALSE)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0" s="12" t="str">
        <f>HYPERLINK(J1060)</f>
        <v>https://permalinkbnd.bnportugal.gov.pt/viewer/14628/?offset=#page=463&amp;viewer=picture&amp;o=info&amp;n=0&amp;q=</v>
      </c>
      <c r="N1060" s="12" t="s">
        <v>1497</v>
      </c>
      <c r="O1060" s="12" t="str">
        <f>CONCATENATE(N1060,A1060,"\",B1060,"\",C1060,".jpg")</f>
        <v>C:\Users\mbaptista\OneDrive - Biblioteca Nacional de Portugal\Documentos\python\camoniana\imagens\capas\381189\1\463.jpg</v>
      </c>
      <c r="P1060" s="12" t="str">
        <f>HYPERLINK(O1060)</f>
        <v>C:\Users\mbaptista\OneDrive - Biblioteca Nacional de Portugal\Documentos\python\camoniana\imagens\capas\381189\1\463.jpg</v>
      </c>
      <c r="Q1060" s="12"/>
      <c r="R1060" s="6" t="s">
        <v>1402</v>
      </c>
      <c r="S1060" s="12"/>
      <c r="T1060" s="1" t="s">
        <v>1360</v>
      </c>
      <c r="U1060" s="13"/>
      <c r="V1060" s="13"/>
      <c r="W1060" s="5" t="s">
        <v>1491</v>
      </c>
    </row>
    <row r="1061" spans="1:23" ht="225">
      <c r="A1061" s="1">
        <v>381189</v>
      </c>
      <c r="B1061" s="1">
        <v>1</v>
      </c>
      <c r="C1061" s="1">
        <v>512</v>
      </c>
      <c r="D1061" s="2" t="s">
        <v>1358</v>
      </c>
      <c r="E1061" s="11" t="s">
        <v>1358</v>
      </c>
      <c r="F1061" s="11">
        <v>14628</v>
      </c>
      <c r="G1061" s="2" t="s">
        <v>1494</v>
      </c>
      <c r="H1061" s="2" t="s">
        <v>1495</v>
      </c>
      <c r="I1061" s="2" t="s">
        <v>1496</v>
      </c>
      <c r="J1061" s="2" t="str">
        <f>CONCATENATE(G1061,F1061,H1061,C1061,I1061)</f>
        <v>https://permalinkbnd.bnportugal.gov.pt/viewer/14628/?offset=#page=512&amp;viewer=picture&amp;o=info&amp;n=0&amp;q=</v>
      </c>
      <c r="K1061" s="1" t="s">
        <v>1359</v>
      </c>
      <c r="L1061" s="1" t="str">
        <f>VLOOKUP(A1061,Folha2!$A$2:$B$2019,2,FALSE)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1" s="12" t="str">
        <f>HYPERLINK(J1061)</f>
        <v>https://permalinkbnd.bnportugal.gov.pt/viewer/14628/?offset=#page=512&amp;viewer=picture&amp;o=info&amp;n=0&amp;q=</v>
      </c>
      <c r="N1061" s="12" t="s">
        <v>1497</v>
      </c>
      <c r="O1061" s="12" t="str">
        <f>CONCATENATE(N1061,A1061,"\",B1061,"\",C1061,".jpg")</f>
        <v>C:\Users\mbaptista\OneDrive - Biblioteca Nacional de Portugal\Documentos\python\camoniana\imagens\capas\381189\1\512.jpg</v>
      </c>
      <c r="P1061" s="12" t="str">
        <f>HYPERLINK(O1061)</f>
        <v>C:\Users\mbaptista\OneDrive - Biblioteca Nacional de Portugal\Documentos\python\camoniana\imagens\capas\381189\1\512.jpg</v>
      </c>
      <c r="Q1061" s="12"/>
      <c r="R1061" s="6" t="s">
        <v>1403</v>
      </c>
      <c r="S1061" s="12"/>
      <c r="T1061" s="1" t="s">
        <v>1360</v>
      </c>
      <c r="U1061" s="13"/>
      <c r="V1061" s="13"/>
      <c r="W1061" s="5" t="s">
        <v>1491</v>
      </c>
    </row>
    <row r="1062" spans="1:23" ht="225">
      <c r="A1062" s="1">
        <v>381189</v>
      </c>
      <c r="B1062" s="1">
        <v>1</v>
      </c>
      <c r="C1062" s="1">
        <v>641</v>
      </c>
      <c r="D1062" s="2" t="s">
        <v>1358</v>
      </c>
      <c r="E1062" s="5" t="s">
        <v>1358</v>
      </c>
      <c r="F1062" s="5">
        <v>14628</v>
      </c>
      <c r="G1062" s="2" t="s">
        <v>1494</v>
      </c>
      <c r="H1062" s="2" t="s">
        <v>1495</v>
      </c>
      <c r="I1062" s="2" t="s">
        <v>1496</v>
      </c>
      <c r="J1062" s="2" t="str">
        <f>CONCATENATE(G1062,F1062,H1062,C1062,I1062)</f>
        <v>https://permalinkbnd.bnportugal.gov.pt/viewer/14628/?offset=#page=641&amp;viewer=picture&amp;o=info&amp;n=0&amp;q=</v>
      </c>
      <c r="K1062" s="1" t="s">
        <v>1359</v>
      </c>
      <c r="L1062" s="1" t="str">
        <f>VLOOKUP(A1062,Folha2!$A$2:$B$2019,2,FALSE)</f>
        <v>Os Lusíadas de Luiz de Camões : edição critica-commemorativa do Terceiro Centenario da Morte do Grande Poeta / publicada por Emílio Biel. - Leipzig : Giesecke &amp; Devrient, 1880, com poemeto celebrativo, sem argumentos. Im. 15: D. Pedro II. Estudo "Camões e os Lusíadas", por Mendes Leal.Paratextos vida e Paratextos notas. Mulheres (leitoras?) que receberam as edições numeradas: Júlia Gomes Monteiro, Maria Margarida Felicidade Peixoto Guimarães e Silva, Elvira de Matos Ferreira Carmo, Maria Augusta Ferreira Pinto Basto Martins, Edith Biel.</v>
      </c>
      <c r="M1062" s="12" t="str">
        <f>HYPERLINK(J1062)</f>
        <v>https://permalinkbnd.bnportugal.gov.pt/viewer/14628/?offset=#page=641&amp;viewer=picture&amp;o=info&amp;n=0&amp;q=</v>
      </c>
      <c r="N1062" s="12" t="s">
        <v>1497</v>
      </c>
      <c r="O1062" s="12" t="str">
        <f>CONCATENATE(N1062,A1062,"\",B1062,"\",C1062,".jpg")</f>
        <v>C:\Users\mbaptista\OneDrive - Biblioteca Nacional de Portugal\Documentos\python\camoniana\imagens\capas\381189\1\641.jpg</v>
      </c>
      <c r="P1062" s="12" t="str">
        <f>HYPERLINK(O1062)</f>
        <v>C:\Users\mbaptista\OneDrive - Biblioteca Nacional de Portugal\Documentos\python\camoniana\imagens\capas\381189\1\641.jpg</v>
      </c>
      <c r="Q1062" s="12"/>
      <c r="R1062" s="6"/>
      <c r="S1062" s="12"/>
      <c r="T1062" s="1"/>
      <c r="U1062" s="13"/>
      <c r="V1062" s="13"/>
      <c r="W1062" s="5"/>
    </row>
    <row r="1063" spans="1:23" ht="225">
      <c r="A1063" s="1">
        <v>381297</v>
      </c>
      <c r="B1063" s="1">
        <v>1</v>
      </c>
      <c r="C1063" s="1">
        <v>10</v>
      </c>
      <c r="D1063" s="2" t="s">
        <v>1404</v>
      </c>
      <c r="E1063" s="11" t="s">
        <v>1404</v>
      </c>
      <c r="F1063" s="11">
        <v>14598</v>
      </c>
      <c r="G1063" s="2" t="s">
        <v>1494</v>
      </c>
      <c r="H1063" s="2" t="s">
        <v>1495</v>
      </c>
      <c r="I1063" s="2" t="s">
        <v>1496</v>
      </c>
      <c r="J1063" s="2" t="str">
        <f>CONCATENATE(G1063,F1063,H1063,C1063,I1063)</f>
        <v>https://permalinkbnd.bnportugal.gov.pt/viewer/14598/?offset=#page=10&amp;viewer=picture&amp;o=info&amp;n=0&amp;q=</v>
      </c>
      <c r="K1063" s="1" t="s">
        <v>1405</v>
      </c>
      <c r="L1063" s="1" t="str">
        <f>VLOOKUP(A1063,Folha2!$A$2:$B$2019,2,FALSE)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3" s="12" t="str">
        <f>HYPERLINK(J1063)</f>
        <v>https://permalinkbnd.bnportugal.gov.pt/viewer/14598/?offset=#page=10&amp;viewer=picture&amp;o=info&amp;n=0&amp;q=</v>
      </c>
      <c r="N1063" s="12" t="s">
        <v>1497</v>
      </c>
      <c r="O1063" s="12" t="str">
        <f>CONCATENATE(N1063,A1063,"\",B1063,"\",C1063,".jpg")</f>
        <v>C:\Users\mbaptista\OneDrive - Biblioteca Nacional de Portugal\Documentos\python\camoniana\imagens\capas\381297\1\10.jpg</v>
      </c>
      <c r="P1063" s="12" t="str">
        <f>HYPERLINK(O1063)</f>
        <v>C:\Users\mbaptista\OneDrive - Biblioteca Nacional de Portugal\Documentos\python\camoniana\imagens\capas\381297\1\10.jpg</v>
      </c>
      <c r="Q1063" s="12"/>
      <c r="R1063" s="6" t="s">
        <v>1407</v>
      </c>
      <c r="S1063" s="12"/>
      <c r="T1063" s="1" t="s">
        <v>1406</v>
      </c>
      <c r="U1063" s="13"/>
      <c r="V1063" s="13"/>
      <c r="W1063" s="5" t="s">
        <v>1491</v>
      </c>
    </row>
    <row r="1064" spans="1:23" ht="225">
      <c r="A1064" s="1">
        <v>381297</v>
      </c>
      <c r="B1064" s="1">
        <v>1</v>
      </c>
      <c r="C1064" s="1">
        <v>69</v>
      </c>
      <c r="D1064" s="2" t="s">
        <v>1404</v>
      </c>
      <c r="E1064" s="5" t="s">
        <v>1404</v>
      </c>
      <c r="F1064" s="5">
        <v>14598</v>
      </c>
      <c r="G1064" s="2" t="s">
        <v>1494</v>
      </c>
      <c r="H1064" s="2" t="s">
        <v>1495</v>
      </c>
      <c r="I1064" s="2" t="s">
        <v>1496</v>
      </c>
      <c r="J1064" s="2" t="str">
        <f>CONCATENATE(G1064,F1064,H1064,C1064,I1064)</f>
        <v>https://permalinkbnd.bnportugal.gov.pt/viewer/14598/?offset=#page=69&amp;viewer=picture&amp;o=info&amp;n=0&amp;q=</v>
      </c>
      <c r="K1064" s="1" t="s">
        <v>1405</v>
      </c>
      <c r="L1064" s="1" t="str">
        <f>VLOOKUP(A1064,Folha2!$A$2:$B$2019,2,FALSE)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4" s="12" t="str">
        <f>HYPERLINK(J1064)</f>
        <v>https://permalinkbnd.bnportugal.gov.pt/viewer/14598/?offset=#page=69&amp;viewer=picture&amp;o=info&amp;n=0&amp;q=</v>
      </c>
      <c r="N1064" s="12" t="s">
        <v>1497</v>
      </c>
      <c r="O1064" s="12" t="str">
        <f>CONCATENATE(N1064,A1064,"\",B1064,"\",C1064,".jpg")</f>
        <v>C:\Users\mbaptista\OneDrive - Biblioteca Nacional de Portugal\Documentos\python\camoniana\imagens\capas\381297\1\69.jpg</v>
      </c>
      <c r="P1064" s="12" t="str">
        <f>HYPERLINK(O1064)</f>
        <v>C:\Users\mbaptista\OneDrive - Biblioteca Nacional de Portugal\Documentos\python\camoniana\imagens\capas\381297\1\69.jpg</v>
      </c>
      <c r="Q1064" s="12"/>
      <c r="R1064" s="6" t="s">
        <v>1408</v>
      </c>
      <c r="S1064" s="12"/>
      <c r="T1064" s="1" t="s">
        <v>1406</v>
      </c>
      <c r="U1064" s="13"/>
      <c r="V1064" s="13"/>
      <c r="W1064" s="5" t="s">
        <v>1491</v>
      </c>
    </row>
    <row r="1065" spans="1:23" ht="225">
      <c r="A1065" s="1">
        <v>381297</v>
      </c>
      <c r="B1065" s="1">
        <v>1</v>
      </c>
      <c r="C1065" s="1">
        <v>156</v>
      </c>
      <c r="D1065" s="2" t="s">
        <v>1404</v>
      </c>
      <c r="E1065" s="11" t="s">
        <v>1404</v>
      </c>
      <c r="F1065" s="11">
        <v>14598</v>
      </c>
      <c r="G1065" s="2" t="s">
        <v>1494</v>
      </c>
      <c r="H1065" s="2" t="s">
        <v>1495</v>
      </c>
      <c r="I1065" s="2" t="s">
        <v>1496</v>
      </c>
      <c r="J1065" s="2" t="str">
        <f>CONCATENATE(G1065,F1065,H1065,C1065,I1065)</f>
        <v>https://permalinkbnd.bnportugal.gov.pt/viewer/14598/?offset=#page=156&amp;viewer=picture&amp;o=info&amp;n=0&amp;q=</v>
      </c>
      <c r="K1065" s="1" t="s">
        <v>1405</v>
      </c>
      <c r="L1065" s="1" t="str">
        <f>VLOOKUP(A1065,Folha2!$A$2:$B$2019,2,FALSE)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5" s="12" t="str">
        <f>HYPERLINK(J1065)</f>
        <v>https://permalinkbnd.bnportugal.gov.pt/viewer/14598/?offset=#page=156&amp;viewer=picture&amp;o=info&amp;n=0&amp;q=</v>
      </c>
      <c r="N1065" s="12" t="s">
        <v>1497</v>
      </c>
      <c r="O1065" s="12" t="str">
        <f>CONCATENATE(N1065,A1065,"\",B1065,"\",C1065,".jpg")</f>
        <v>C:\Users\mbaptista\OneDrive - Biblioteca Nacional de Portugal\Documentos\python\camoniana\imagens\capas\381297\1\156.jpg</v>
      </c>
      <c r="P1065" s="12" t="str">
        <f>HYPERLINK(O1065)</f>
        <v>C:\Users\mbaptista\OneDrive - Biblioteca Nacional de Portugal\Documentos\python\camoniana\imagens\capas\381297\1\156.jpg</v>
      </c>
      <c r="Q1065" s="12"/>
      <c r="R1065" s="6" t="s">
        <v>1409</v>
      </c>
      <c r="S1065" s="12"/>
      <c r="T1065" s="1" t="s">
        <v>1406</v>
      </c>
      <c r="U1065" s="13"/>
      <c r="V1065" s="13"/>
      <c r="W1065" s="5" t="s">
        <v>1491</v>
      </c>
    </row>
    <row r="1066" spans="1:23" ht="225">
      <c r="A1066" s="1">
        <v>381297</v>
      </c>
      <c r="B1066" s="1">
        <v>1</v>
      </c>
      <c r="C1066" s="1">
        <v>196</v>
      </c>
      <c r="D1066" s="2" t="s">
        <v>1404</v>
      </c>
      <c r="E1066" s="5" t="s">
        <v>1404</v>
      </c>
      <c r="F1066" s="5">
        <v>14598</v>
      </c>
      <c r="G1066" s="2" t="s">
        <v>1494</v>
      </c>
      <c r="H1066" s="2" t="s">
        <v>1495</v>
      </c>
      <c r="I1066" s="2" t="s">
        <v>1496</v>
      </c>
      <c r="J1066" s="2" t="str">
        <f>CONCATENATE(G1066,F1066,H1066,C1066,I1066)</f>
        <v>https://permalinkbnd.bnportugal.gov.pt/viewer/14598/?offset=#page=196&amp;viewer=picture&amp;o=info&amp;n=0&amp;q=</v>
      </c>
      <c r="K1066" s="1" t="s">
        <v>1405</v>
      </c>
      <c r="L1066" s="1" t="str">
        <f>VLOOKUP(A1066,Folha2!$A$2:$B$2019,2,FALSE)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6" s="12" t="str">
        <f>HYPERLINK(J1066)</f>
        <v>https://permalinkbnd.bnportugal.gov.pt/viewer/14598/?offset=#page=196&amp;viewer=picture&amp;o=info&amp;n=0&amp;q=</v>
      </c>
      <c r="N1066" s="12" t="s">
        <v>1497</v>
      </c>
      <c r="O1066" s="12" t="str">
        <f>CONCATENATE(N1066,A1066,"\",B1066,"\",C1066,".jpg")</f>
        <v>C:\Users\mbaptista\OneDrive - Biblioteca Nacional de Portugal\Documentos\python\camoniana\imagens\capas\381297\1\196.jpg</v>
      </c>
      <c r="P1066" s="12" t="str">
        <f>HYPERLINK(O1066)</f>
        <v>C:\Users\mbaptista\OneDrive - Biblioteca Nacional de Portugal\Documentos\python\camoniana\imagens\capas\381297\1\196.jpg</v>
      </c>
      <c r="Q1066" s="12"/>
      <c r="R1066" s="6" t="s">
        <v>1410</v>
      </c>
      <c r="S1066" s="12"/>
      <c r="T1066" s="1" t="s">
        <v>1406</v>
      </c>
      <c r="U1066" s="13"/>
      <c r="V1066" s="13"/>
      <c r="W1066" s="5" t="s">
        <v>1491</v>
      </c>
    </row>
    <row r="1067" spans="1:23" ht="225">
      <c r="A1067" s="1">
        <v>381297</v>
      </c>
      <c r="B1067" s="1">
        <v>1</v>
      </c>
      <c r="C1067" s="1">
        <v>238</v>
      </c>
      <c r="D1067" s="2" t="s">
        <v>1404</v>
      </c>
      <c r="E1067" s="11" t="s">
        <v>1404</v>
      </c>
      <c r="F1067" s="11">
        <v>14598</v>
      </c>
      <c r="G1067" s="2" t="s">
        <v>1494</v>
      </c>
      <c r="H1067" s="2" t="s">
        <v>1495</v>
      </c>
      <c r="I1067" s="2" t="s">
        <v>1496</v>
      </c>
      <c r="J1067" s="2" t="str">
        <f>CONCATENATE(G1067,F1067,H1067,C1067,I1067)</f>
        <v>https://permalinkbnd.bnportugal.gov.pt/viewer/14598/?offset=#page=238&amp;viewer=picture&amp;o=info&amp;n=0&amp;q=</v>
      </c>
      <c r="K1067" s="1" t="s">
        <v>1405</v>
      </c>
      <c r="L1067" s="1" t="str">
        <f>VLOOKUP(A1067,Folha2!$A$2:$B$2019,2,FALSE)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7" s="12" t="str">
        <f>HYPERLINK(J1067)</f>
        <v>https://permalinkbnd.bnportugal.gov.pt/viewer/14598/?offset=#page=238&amp;viewer=picture&amp;o=info&amp;n=0&amp;q=</v>
      </c>
      <c r="N1067" s="12" t="s">
        <v>1497</v>
      </c>
      <c r="O1067" s="12" t="str">
        <f>CONCATENATE(N1067,A1067,"\",B1067,"\",C1067,".jpg")</f>
        <v>C:\Users\mbaptista\OneDrive - Biblioteca Nacional de Portugal\Documentos\python\camoniana\imagens\capas\381297\1\238.jpg</v>
      </c>
      <c r="P1067" s="12" t="str">
        <f>HYPERLINK(O1067)</f>
        <v>C:\Users\mbaptista\OneDrive - Biblioteca Nacional de Portugal\Documentos\python\camoniana\imagens\capas\381297\1\238.jpg</v>
      </c>
      <c r="Q1067" s="12"/>
      <c r="R1067" s="6" t="s">
        <v>1411</v>
      </c>
      <c r="S1067" s="12"/>
      <c r="T1067" s="1" t="s">
        <v>1406</v>
      </c>
      <c r="U1067" s="13"/>
      <c r="V1067" s="13"/>
      <c r="W1067" s="5" t="s">
        <v>1491</v>
      </c>
    </row>
    <row r="1068" spans="1:23" ht="225">
      <c r="A1068" s="1">
        <v>381297</v>
      </c>
      <c r="B1068" s="1">
        <v>1</v>
      </c>
      <c r="C1068" s="1">
        <v>290</v>
      </c>
      <c r="D1068" s="2" t="s">
        <v>1404</v>
      </c>
      <c r="E1068" s="5" t="s">
        <v>1404</v>
      </c>
      <c r="F1068" s="5">
        <v>14598</v>
      </c>
      <c r="G1068" s="2" t="s">
        <v>1494</v>
      </c>
      <c r="H1068" s="2" t="s">
        <v>1495</v>
      </c>
      <c r="I1068" s="2" t="s">
        <v>1496</v>
      </c>
      <c r="J1068" s="2" t="str">
        <f>CONCATENATE(G1068,F1068,H1068,C1068,I1068)</f>
        <v>https://permalinkbnd.bnportugal.gov.pt/viewer/14598/?offset=#page=290&amp;viewer=picture&amp;o=info&amp;n=0&amp;q=</v>
      </c>
      <c r="K1068" s="1" t="s">
        <v>1405</v>
      </c>
      <c r="L1068" s="1" t="str">
        <f>VLOOKUP(A1068,Folha2!$A$2:$B$2019,2,FALSE)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8" s="12" t="str">
        <f>HYPERLINK(J1068)</f>
        <v>https://permalinkbnd.bnportugal.gov.pt/viewer/14598/?offset=#page=290&amp;viewer=picture&amp;o=info&amp;n=0&amp;q=</v>
      </c>
      <c r="N1068" s="12" t="s">
        <v>1497</v>
      </c>
      <c r="O1068" s="12" t="str">
        <f>CONCATENATE(N1068,A1068,"\",B1068,"\",C1068,".jpg")</f>
        <v>C:\Users\mbaptista\OneDrive - Biblioteca Nacional de Portugal\Documentos\python\camoniana\imagens\capas\381297\1\290.jpg</v>
      </c>
      <c r="P1068" s="12" t="str">
        <f>HYPERLINK(O1068)</f>
        <v>C:\Users\mbaptista\OneDrive - Biblioteca Nacional de Portugal\Documentos\python\camoniana\imagens\capas\381297\1\290.jpg</v>
      </c>
      <c r="Q1068" s="12"/>
      <c r="R1068" s="6" t="s">
        <v>1412</v>
      </c>
      <c r="S1068" s="12"/>
      <c r="T1068" s="1" t="s">
        <v>1406</v>
      </c>
      <c r="U1068" s="13"/>
      <c r="V1068" s="13"/>
      <c r="W1068" s="5" t="s">
        <v>1491</v>
      </c>
    </row>
    <row r="1069" spans="1:23" ht="225">
      <c r="A1069" s="1">
        <v>381297</v>
      </c>
      <c r="B1069" s="1">
        <v>1</v>
      </c>
      <c r="C1069" s="1">
        <v>330</v>
      </c>
      <c r="D1069" s="2" t="s">
        <v>1404</v>
      </c>
      <c r="E1069" s="11" t="s">
        <v>1404</v>
      </c>
      <c r="F1069" s="11">
        <v>14598</v>
      </c>
      <c r="G1069" s="2" t="s">
        <v>1494</v>
      </c>
      <c r="H1069" s="2" t="s">
        <v>1495</v>
      </c>
      <c r="I1069" s="2" t="s">
        <v>1496</v>
      </c>
      <c r="J1069" s="2" t="str">
        <f>CONCATENATE(G1069,F1069,H1069,C1069,I1069)</f>
        <v>https://permalinkbnd.bnportugal.gov.pt/viewer/14598/?offset=#page=330&amp;viewer=picture&amp;o=info&amp;n=0&amp;q=</v>
      </c>
      <c r="K1069" s="1" t="s">
        <v>1405</v>
      </c>
      <c r="L1069" s="1" t="str">
        <f>VLOOKUP(A1069,Folha2!$A$2:$B$2019,2,FALSE)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69" s="12" t="str">
        <f>HYPERLINK(J1069)</f>
        <v>https://permalinkbnd.bnportugal.gov.pt/viewer/14598/?offset=#page=330&amp;viewer=picture&amp;o=info&amp;n=0&amp;q=</v>
      </c>
      <c r="N1069" s="12" t="s">
        <v>1497</v>
      </c>
      <c r="O1069" s="12" t="str">
        <f>CONCATENATE(N1069,A1069,"\",B1069,"\",C1069,".jpg")</f>
        <v>C:\Users\mbaptista\OneDrive - Biblioteca Nacional de Portugal\Documentos\python\camoniana\imagens\capas\381297\1\330.jpg</v>
      </c>
      <c r="P1069" s="12" t="str">
        <f>HYPERLINK(O1069)</f>
        <v>C:\Users\mbaptista\OneDrive - Biblioteca Nacional de Portugal\Documentos\python\camoniana\imagens\capas\381297\1\330.jpg</v>
      </c>
      <c r="Q1069" s="12"/>
      <c r="R1069" s="6" t="s">
        <v>1413</v>
      </c>
      <c r="S1069" s="12"/>
      <c r="T1069" s="1" t="s">
        <v>1406</v>
      </c>
      <c r="U1069" s="13"/>
      <c r="V1069" s="13"/>
      <c r="W1069" s="5" t="s">
        <v>1491</v>
      </c>
    </row>
    <row r="1070" spans="1:23" ht="225">
      <c r="A1070" s="1">
        <v>381297</v>
      </c>
      <c r="B1070" s="1">
        <v>1</v>
      </c>
      <c r="C1070" s="1">
        <v>368</v>
      </c>
      <c r="D1070" s="2" t="s">
        <v>1404</v>
      </c>
      <c r="E1070" s="5" t="s">
        <v>1404</v>
      </c>
      <c r="F1070" s="5">
        <v>14598</v>
      </c>
      <c r="G1070" s="2" t="s">
        <v>1494</v>
      </c>
      <c r="H1070" s="2" t="s">
        <v>1495</v>
      </c>
      <c r="I1070" s="2" t="s">
        <v>1496</v>
      </c>
      <c r="J1070" s="2" t="str">
        <f>CONCATENATE(G1070,F1070,H1070,C1070,I1070)</f>
        <v>https://permalinkbnd.bnportugal.gov.pt/viewer/14598/?offset=#page=368&amp;viewer=picture&amp;o=info&amp;n=0&amp;q=</v>
      </c>
      <c r="K1070" s="1" t="s">
        <v>1405</v>
      </c>
      <c r="L1070" s="1" t="str">
        <f>VLOOKUP(A1070,Folha2!$A$2:$B$2019,2,FALSE)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0" s="12" t="str">
        <f>HYPERLINK(J1070)</f>
        <v>https://permalinkbnd.bnportugal.gov.pt/viewer/14598/?offset=#page=368&amp;viewer=picture&amp;o=info&amp;n=0&amp;q=</v>
      </c>
      <c r="N1070" s="12" t="s">
        <v>1497</v>
      </c>
      <c r="O1070" s="12" t="str">
        <f>CONCATENATE(N1070,A1070,"\",B1070,"\",C1070,".jpg")</f>
        <v>C:\Users\mbaptista\OneDrive - Biblioteca Nacional de Portugal\Documentos\python\camoniana\imagens\capas\381297\1\368.jpg</v>
      </c>
      <c r="P1070" s="12" t="str">
        <f>HYPERLINK(O1070)</f>
        <v>C:\Users\mbaptista\OneDrive - Biblioteca Nacional de Portugal\Documentos\python\camoniana\imagens\capas\381297\1\368.jpg</v>
      </c>
      <c r="Q1070" s="12"/>
      <c r="R1070" s="6" t="s">
        <v>1414</v>
      </c>
      <c r="S1070" s="12"/>
      <c r="T1070" s="1" t="s">
        <v>1406</v>
      </c>
      <c r="U1070" s="13"/>
      <c r="V1070" s="13"/>
      <c r="W1070" s="5" t="s">
        <v>1491</v>
      </c>
    </row>
    <row r="1071" spans="1:23" ht="225">
      <c r="A1071" s="1">
        <v>381297</v>
      </c>
      <c r="B1071" s="1">
        <v>1</v>
      </c>
      <c r="C1071" s="1">
        <v>406</v>
      </c>
      <c r="D1071" s="2" t="s">
        <v>1404</v>
      </c>
      <c r="E1071" s="11" t="s">
        <v>1404</v>
      </c>
      <c r="F1071" s="11">
        <v>14598</v>
      </c>
      <c r="G1071" s="2" t="s">
        <v>1494</v>
      </c>
      <c r="H1071" s="2" t="s">
        <v>1495</v>
      </c>
      <c r="I1071" s="2" t="s">
        <v>1496</v>
      </c>
      <c r="J1071" s="2" t="str">
        <f>CONCATENATE(G1071,F1071,H1071,C1071,I1071)</f>
        <v>https://permalinkbnd.bnportugal.gov.pt/viewer/14598/?offset=#page=406&amp;viewer=picture&amp;o=info&amp;n=0&amp;q=</v>
      </c>
      <c r="K1071" s="1" t="s">
        <v>1405</v>
      </c>
      <c r="L1071" s="1" t="str">
        <f>VLOOKUP(A1071,Folha2!$A$2:$B$2019,2,FALSE)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1" s="12" t="str">
        <f>HYPERLINK(J1071)</f>
        <v>https://permalinkbnd.bnportugal.gov.pt/viewer/14598/?offset=#page=406&amp;viewer=picture&amp;o=info&amp;n=0&amp;q=</v>
      </c>
      <c r="N1071" s="12" t="s">
        <v>1497</v>
      </c>
      <c r="O1071" s="12" t="str">
        <f>CONCATENATE(N1071,A1071,"\",B1071,"\",C1071,".jpg")</f>
        <v>C:\Users\mbaptista\OneDrive - Biblioteca Nacional de Portugal\Documentos\python\camoniana\imagens\capas\381297\1\406.jpg</v>
      </c>
      <c r="P1071" s="12" t="str">
        <f>HYPERLINK(O1071)</f>
        <v>C:\Users\mbaptista\OneDrive - Biblioteca Nacional de Portugal\Documentos\python\camoniana\imagens\capas\381297\1\406.jpg</v>
      </c>
      <c r="Q1071" s="12"/>
      <c r="R1071" s="6" t="s">
        <v>1415</v>
      </c>
      <c r="S1071" s="12"/>
      <c r="T1071" s="1" t="s">
        <v>1406</v>
      </c>
      <c r="U1071" s="13"/>
      <c r="V1071" s="13"/>
      <c r="W1071" s="5" t="s">
        <v>1491</v>
      </c>
    </row>
    <row r="1072" spans="1:23" ht="225">
      <c r="A1072" s="1">
        <v>381297</v>
      </c>
      <c r="B1072" s="1">
        <v>1</v>
      </c>
      <c r="C1072" s="1">
        <v>440</v>
      </c>
      <c r="D1072" s="2" t="s">
        <v>1404</v>
      </c>
      <c r="E1072" s="5" t="s">
        <v>1404</v>
      </c>
      <c r="F1072" s="5">
        <v>14598</v>
      </c>
      <c r="G1072" s="2" t="s">
        <v>1494</v>
      </c>
      <c r="H1072" s="2" t="s">
        <v>1495</v>
      </c>
      <c r="I1072" s="2" t="s">
        <v>1496</v>
      </c>
      <c r="J1072" s="2" t="str">
        <f>CONCATENATE(G1072,F1072,H1072,C1072,I1072)</f>
        <v>https://permalinkbnd.bnportugal.gov.pt/viewer/14598/?offset=#page=440&amp;viewer=picture&amp;o=info&amp;n=0&amp;q=</v>
      </c>
      <c r="K1072" s="1" t="s">
        <v>1405</v>
      </c>
      <c r="L1072" s="1" t="str">
        <f>VLOOKUP(A1072,Folha2!$A$2:$B$2019,2,FALSE)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2" s="12" t="str">
        <f>HYPERLINK(J1072)</f>
        <v>https://permalinkbnd.bnportugal.gov.pt/viewer/14598/?offset=#page=440&amp;viewer=picture&amp;o=info&amp;n=0&amp;q=</v>
      </c>
      <c r="N1072" s="12" t="s">
        <v>1497</v>
      </c>
      <c r="O1072" s="12" t="str">
        <f>CONCATENATE(N1072,A1072,"\",B1072,"\",C1072,".jpg")</f>
        <v>C:\Users\mbaptista\OneDrive - Biblioteca Nacional de Portugal\Documentos\python\camoniana\imagens\capas\381297\1\440.jpg</v>
      </c>
      <c r="P1072" s="12" t="str">
        <f>HYPERLINK(O1072)</f>
        <v>C:\Users\mbaptista\OneDrive - Biblioteca Nacional de Portugal\Documentos\python\camoniana\imagens\capas\381297\1\440.jpg</v>
      </c>
      <c r="Q1072" s="12"/>
      <c r="R1072" s="6" t="s">
        <v>1416</v>
      </c>
      <c r="S1072" s="12"/>
      <c r="T1072" s="1" t="s">
        <v>1406</v>
      </c>
      <c r="U1072" s="13"/>
      <c r="V1072" s="13"/>
      <c r="W1072" s="5" t="s">
        <v>1491</v>
      </c>
    </row>
    <row r="1073" spans="1:23" ht="225">
      <c r="A1073" s="1">
        <v>381297</v>
      </c>
      <c r="B1073" s="1">
        <v>1</v>
      </c>
      <c r="C1073" s="1">
        <v>478</v>
      </c>
      <c r="D1073" s="2" t="s">
        <v>1404</v>
      </c>
      <c r="E1073" s="11" t="s">
        <v>1404</v>
      </c>
      <c r="F1073" s="11">
        <v>14598</v>
      </c>
      <c r="G1073" s="2" t="s">
        <v>1494</v>
      </c>
      <c r="H1073" s="2" t="s">
        <v>1495</v>
      </c>
      <c r="I1073" s="2" t="s">
        <v>1496</v>
      </c>
      <c r="J1073" s="2" t="str">
        <f>CONCATENATE(G1073,F1073,H1073,C1073,I1073)</f>
        <v>https://permalinkbnd.bnportugal.gov.pt/viewer/14598/?offset=#page=478&amp;viewer=picture&amp;o=info&amp;n=0&amp;q=</v>
      </c>
      <c r="K1073" s="1" t="s">
        <v>1405</v>
      </c>
      <c r="L1073" s="1" t="str">
        <f>VLOOKUP(A1073,Folha2!$A$2:$B$2019,2,FALSE)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3" s="12" t="str">
        <f>HYPERLINK(J1073)</f>
        <v>https://permalinkbnd.bnportugal.gov.pt/viewer/14598/?offset=#page=478&amp;viewer=picture&amp;o=info&amp;n=0&amp;q=</v>
      </c>
      <c r="N1073" s="12" t="s">
        <v>1497</v>
      </c>
      <c r="O1073" s="12" t="str">
        <f>CONCATENATE(N1073,A1073,"\",B1073,"\",C1073,".jpg")</f>
        <v>C:\Users\mbaptista\OneDrive - Biblioteca Nacional de Portugal\Documentos\python\camoniana\imagens\capas\381297\1\478.jpg</v>
      </c>
      <c r="P1073" s="12" t="str">
        <f>HYPERLINK(O1073)</f>
        <v>C:\Users\mbaptista\OneDrive - Biblioteca Nacional de Portugal\Documentos\python\camoniana\imagens\capas\381297\1\478.jpg</v>
      </c>
      <c r="Q1073" s="12"/>
      <c r="R1073" s="6" t="s">
        <v>1417</v>
      </c>
      <c r="S1073" s="12"/>
      <c r="T1073" s="1" t="s">
        <v>1406</v>
      </c>
      <c r="U1073" s="13"/>
      <c r="V1073" s="13"/>
      <c r="W1073" s="5" t="s">
        <v>1491</v>
      </c>
    </row>
    <row r="1074" spans="1:23" ht="225">
      <c r="A1074" s="1">
        <v>381297</v>
      </c>
      <c r="B1074" s="1">
        <v>1</v>
      </c>
      <c r="C1074" s="1">
        <v>514</v>
      </c>
      <c r="D1074" s="2" t="s">
        <v>1404</v>
      </c>
      <c r="E1074" s="5" t="s">
        <v>1404</v>
      </c>
      <c r="F1074" s="5">
        <v>14598</v>
      </c>
      <c r="G1074" s="2" t="s">
        <v>1494</v>
      </c>
      <c r="H1074" s="2" t="s">
        <v>1495</v>
      </c>
      <c r="I1074" s="2" t="s">
        <v>1496</v>
      </c>
      <c r="J1074" s="2" t="str">
        <f>CONCATENATE(G1074,F1074,H1074,C1074,I1074)</f>
        <v>https://permalinkbnd.bnportugal.gov.pt/viewer/14598/?offset=#page=514&amp;viewer=picture&amp;o=info&amp;n=0&amp;q=</v>
      </c>
      <c r="K1074" s="1" t="s">
        <v>1405</v>
      </c>
      <c r="L1074" s="1" t="str">
        <f>VLOOKUP(A1074,Folha2!$A$2:$B$2019,2,FALSE)</f>
        <v>Os Lusíadas : poema épico de Luis de Camões. - Nova edição correcta e dada á luz por D. Iosé Maria de Souza-Botelho, Morgado de Mattheus, Socio da Academia Real das Sciencias de Lisboa. - Paris : na Officina Typographica de Firmin Didot, impressor do Rei, e do Instituto, 1817, sem argumentos. Advertência contém dados sobre as diferentes edições. Paratextos vida, Paratextos notas.</v>
      </c>
      <c r="M1074" s="12" t="str">
        <f>HYPERLINK(J1074)</f>
        <v>https://permalinkbnd.bnportugal.gov.pt/viewer/14598/?offset=#page=514&amp;viewer=picture&amp;o=info&amp;n=0&amp;q=</v>
      </c>
      <c r="N1074" s="12" t="s">
        <v>1497</v>
      </c>
      <c r="O1074" s="12" t="str">
        <f>CONCATENATE(N1074,A1074,"\",B1074,"\",C1074,".jpg")</f>
        <v>C:\Users\mbaptista\OneDrive - Biblioteca Nacional de Portugal\Documentos\python\camoniana\imagens\capas\381297\1\514.jpg</v>
      </c>
      <c r="P1074" s="12" t="str">
        <f>HYPERLINK(O1074)</f>
        <v>C:\Users\mbaptista\OneDrive - Biblioteca Nacional de Portugal\Documentos\python\camoniana\imagens\capas\381297\1\514.jpg</v>
      </c>
      <c r="Q1074" s="12"/>
      <c r="R1074" s="6" t="s">
        <v>1418</v>
      </c>
      <c r="S1074" s="12"/>
      <c r="T1074" s="1" t="s">
        <v>1406</v>
      </c>
      <c r="U1074" s="13"/>
      <c r="V1074" s="13"/>
      <c r="W1074" s="5" t="s">
        <v>1491</v>
      </c>
    </row>
    <row r="1075" spans="1:23" ht="225">
      <c r="A1075" s="1">
        <v>381496</v>
      </c>
      <c r="B1075" s="1">
        <v>1</v>
      </c>
      <c r="C1075" s="1">
        <v>10</v>
      </c>
      <c r="D1075" s="2" t="s">
        <v>1419</v>
      </c>
      <c r="E1075" s="11" t="s">
        <v>1419</v>
      </c>
      <c r="F1075" s="11">
        <v>14581</v>
      </c>
      <c r="G1075" s="2" t="s">
        <v>1494</v>
      </c>
      <c r="H1075" s="2" t="s">
        <v>1495</v>
      </c>
      <c r="I1075" s="2" t="s">
        <v>1496</v>
      </c>
      <c r="J1075" s="2" t="str">
        <f>CONCATENATE(G1075,F1075,H1075,C1075,I1075)</f>
        <v>https://permalinkbnd.bnportugal.gov.pt/viewer/14581/?offset=#page=10&amp;viewer=picture&amp;o=info&amp;n=0&amp;q=</v>
      </c>
      <c r="K1075" s="1" t="s">
        <v>1420</v>
      </c>
      <c r="L1075" s="1" t="str">
        <f>VLOOKUP(A1075,Folha2!$A$2:$B$2019,2,FALSE)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5" s="12" t="str">
        <f>HYPERLINK(J1075)</f>
        <v>https://permalinkbnd.bnportugal.gov.pt/viewer/14581/?offset=#page=10&amp;viewer=picture&amp;o=info&amp;n=0&amp;q=</v>
      </c>
      <c r="N1075" s="12" t="s">
        <v>1497</v>
      </c>
      <c r="O1075" s="12" t="str">
        <f>CONCATENATE(N1075,A1075,"\",B1075,"\",C1075,".jpg")</f>
        <v>C:\Users\mbaptista\OneDrive - Biblioteca Nacional de Portugal\Documentos\python\camoniana\imagens\capas\381496\1\10.jpg</v>
      </c>
      <c r="P1075" s="12" t="str">
        <f>HYPERLINK(O1075)</f>
        <v>C:\Users\mbaptista\OneDrive - Biblioteca Nacional de Portugal\Documentos\python\camoniana\imagens\capas\381496\1\10.jpg</v>
      </c>
      <c r="Q1075" s="12"/>
      <c r="R1075" s="6" t="s">
        <v>1422</v>
      </c>
      <c r="S1075" s="12"/>
      <c r="T1075" s="1" t="s">
        <v>1421</v>
      </c>
      <c r="U1075" s="13"/>
      <c r="V1075" s="13"/>
      <c r="W1075" s="5" t="s">
        <v>1491</v>
      </c>
    </row>
    <row r="1076" spans="1:23" ht="225">
      <c r="A1076" s="1">
        <v>381496</v>
      </c>
      <c r="B1076" s="1">
        <v>1</v>
      </c>
      <c r="C1076" s="1">
        <v>49</v>
      </c>
      <c r="D1076" s="2" t="s">
        <v>1419</v>
      </c>
      <c r="E1076" s="5" t="s">
        <v>1419</v>
      </c>
      <c r="F1076" s="5">
        <v>14581</v>
      </c>
      <c r="G1076" s="2" t="s">
        <v>1494</v>
      </c>
      <c r="H1076" s="2" t="s">
        <v>1495</v>
      </c>
      <c r="I1076" s="2" t="s">
        <v>1496</v>
      </c>
      <c r="J1076" s="2" t="str">
        <f>CONCATENATE(G1076,F1076,H1076,C1076,I1076)</f>
        <v>https://permalinkbnd.bnportugal.gov.pt/viewer/14581/?offset=#page=49&amp;viewer=picture&amp;o=info&amp;n=0&amp;q=</v>
      </c>
      <c r="K1076" s="1" t="s">
        <v>1420</v>
      </c>
      <c r="L1076" s="1" t="str">
        <f>VLOOKUP(A1076,Folha2!$A$2:$B$2019,2,FALSE)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6" s="12" t="str">
        <f>HYPERLINK(J1076)</f>
        <v>https://permalinkbnd.bnportugal.gov.pt/viewer/14581/?offset=#page=49&amp;viewer=picture&amp;o=info&amp;n=0&amp;q=</v>
      </c>
      <c r="N1076" s="12" t="s">
        <v>1497</v>
      </c>
      <c r="O1076" s="12" t="str">
        <f>CONCATENATE(N1076,A1076,"\",B1076,"\",C1076,".jpg")</f>
        <v>C:\Users\mbaptista\OneDrive - Biblioteca Nacional de Portugal\Documentos\python\camoniana\imagens\capas\381496\1\49.jpg</v>
      </c>
      <c r="P1076" s="12" t="str">
        <f>HYPERLINK(O1076)</f>
        <v>C:\Users\mbaptista\OneDrive - Biblioteca Nacional de Portugal\Documentos\python\camoniana\imagens\capas\381496\1\49.jpg</v>
      </c>
      <c r="Q1076" s="12"/>
      <c r="R1076" s="6" t="s">
        <v>1423</v>
      </c>
      <c r="S1076" s="12"/>
      <c r="T1076" s="1" t="s">
        <v>1421</v>
      </c>
      <c r="U1076" s="13"/>
      <c r="V1076" s="13"/>
      <c r="W1076" s="5" t="s">
        <v>1491</v>
      </c>
    </row>
    <row r="1077" spans="1:23" ht="225">
      <c r="A1077" s="1">
        <v>381496</v>
      </c>
      <c r="B1077" s="1">
        <v>1</v>
      </c>
      <c r="C1077" s="1">
        <v>83</v>
      </c>
      <c r="D1077" s="2" t="s">
        <v>1419</v>
      </c>
      <c r="E1077" s="11" t="s">
        <v>1419</v>
      </c>
      <c r="F1077" s="11">
        <v>14581</v>
      </c>
      <c r="G1077" s="2" t="s">
        <v>1494</v>
      </c>
      <c r="H1077" s="2" t="s">
        <v>1495</v>
      </c>
      <c r="I1077" s="2" t="s">
        <v>1496</v>
      </c>
      <c r="J1077" s="2" t="str">
        <f>CONCATENATE(G1077,F1077,H1077,C1077,I1077)</f>
        <v>https://permalinkbnd.bnportugal.gov.pt/viewer/14581/?offset=#page=83&amp;viewer=picture&amp;o=info&amp;n=0&amp;q=</v>
      </c>
      <c r="K1077" s="1" t="s">
        <v>1420</v>
      </c>
      <c r="L1077" s="1" t="str">
        <f>VLOOKUP(A1077,Folha2!$A$2:$B$2019,2,FALSE)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7" s="12" t="str">
        <f>HYPERLINK(J1077)</f>
        <v>https://permalinkbnd.bnportugal.gov.pt/viewer/14581/?offset=#page=83&amp;viewer=picture&amp;o=info&amp;n=0&amp;q=</v>
      </c>
      <c r="N1077" s="12" t="s">
        <v>1497</v>
      </c>
      <c r="O1077" s="12" t="str">
        <f>CONCATENATE(N1077,A1077,"\",B1077,"\",C1077,".jpg")</f>
        <v>C:\Users\mbaptista\OneDrive - Biblioteca Nacional de Portugal\Documentos\python\camoniana\imagens\capas\381496\1\83.jpg</v>
      </c>
      <c r="P1077" s="12" t="str">
        <f>HYPERLINK(O1077)</f>
        <v>C:\Users\mbaptista\OneDrive - Biblioteca Nacional de Portugal\Documentos\python\camoniana\imagens\capas\381496\1\83.jpg</v>
      </c>
      <c r="Q1077" s="12"/>
      <c r="R1077" s="6" t="s">
        <v>1424</v>
      </c>
      <c r="S1077" s="12"/>
      <c r="T1077" s="1" t="s">
        <v>1421</v>
      </c>
      <c r="U1077" s="13"/>
      <c r="V1077" s="13"/>
      <c r="W1077" s="5" t="s">
        <v>1491</v>
      </c>
    </row>
    <row r="1078" spans="1:23" ht="225">
      <c r="A1078" s="1">
        <v>381496</v>
      </c>
      <c r="B1078" s="1">
        <v>1</v>
      </c>
      <c r="C1078" s="1">
        <v>119</v>
      </c>
      <c r="D1078" s="2" t="s">
        <v>1419</v>
      </c>
      <c r="E1078" s="5" t="s">
        <v>1419</v>
      </c>
      <c r="F1078" s="5">
        <v>14581</v>
      </c>
      <c r="G1078" s="2" t="s">
        <v>1494</v>
      </c>
      <c r="H1078" s="2" t="s">
        <v>1495</v>
      </c>
      <c r="I1078" s="2" t="s">
        <v>1496</v>
      </c>
      <c r="J1078" s="2" t="str">
        <f>CONCATENATE(G1078,F1078,H1078,C1078,I1078)</f>
        <v>https://permalinkbnd.bnportugal.gov.pt/viewer/14581/?offset=#page=119&amp;viewer=picture&amp;o=info&amp;n=0&amp;q=</v>
      </c>
      <c r="K1078" s="1" t="s">
        <v>1420</v>
      </c>
      <c r="L1078" s="1" t="str">
        <f>VLOOKUP(A1078,Folha2!$A$2:$B$2019,2,FALSE)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8" s="12" t="str">
        <f>HYPERLINK(J1078)</f>
        <v>https://permalinkbnd.bnportugal.gov.pt/viewer/14581/?offset=#page=119&amp;viewer=picture&amp;o=info&amp;n=0&amp;q=</v>
      </c>
      <c r="N1078" s="12" t="s">
        <v>1497</v>
      </c>
      <c r="O1078" s="12" t="str">
        <f>CONCATENATE(N1078,A1078,"\",B1078,"\",C1078,".jpg")</f>
        <v>C:\Users\mbaptista\OneDrive - Biblioteca Nacional de Portugal\Documentos\python\camoniana\imagens\capas\381496\1\119.jpg</v>
      </c>
      <c r="P1078" s="12" t="str">
        <f>HYPERLINK(O1078)</f>
        <v>C:\Users\mbaptista\OneDrive - Biblioteca Nacional de Portugal\Documentos\python\camoniana\imagens\capas\381496\1\119.jpg</v>
      </c>
      <c r="Q1078" s="12"/>
      <c r="R1078" s="6" t="s">
        <v>1425</v>
      </c>
      <c r="S1078" s="12"/>
      <c r="T1078" s="1" t="s">
        <v>1421</v>
      </c>
      <c r="U1078" s="13"/>
      <c r="V1078" s="13"/>
      <c r="W1078" s="5" t="s">
        <v>1491</v>
      </c>
    </row>
    <row r="1079" spans="1:23" ht="225">
      <c r="A1079" s="1">
        <v>381496</v>
      </c>
      <c r="B1079" s="1">
        <v>1</v>
      </c>
      <c r="C1079" s="1">
        <v>161</v>
      </c>
      <c r="D1079" s="2" t="s">
        <v>1419</v>
      </c>
      <c r="E1079" s="11" t="s">
        <v>1419</v>
      </c>
      <c r="F1079" s="11">
        <v>14581</v>
      </c>
      <c r="G1079" s="2" t="s">
        <v>1494</v>
      </c>
      <c r="H1079" s="2" t="s">
        <v>1495</v>
      </c>
      <c r="I1079" s="2" t="s">
        <v>1496</v>
      </c>
      <c r="J1079" s="2" t="str">
        <f>CONCATENATE(G1079,F1079,H1079,C1079,I1079)</f>
        <v>https://permalinkbnd.bnportugal.gov.pt/viewer/14581/?offset=#page=161&amp;viewer=picture&amp;o=info&amp;n=0&amp;q=</v>
      </c>
      <c r="K1079" s="1" t="s">
        <v>1420</v>
      </c>
      <c r="L1079" s="1" t="str">
        <f>VLOOKUP(A1079,Folha2!$A$2:$B$2019,2,FALSE)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79" s="12" t="str">
        <f>HYPERLINK(J1079)</f>
        <v>https://permalinkbnd.bnportugal.gov.pt/viewer/14581/?offset=#page=161&amp;viewer=picture&amp;o=info&amp;n=0&amp;q=</v>
      </c>
      <c r="N1079" s="12" t="s">
        <v>1497</v>
      </c>
      <c r="O1079" s="12" t="str">
        <f>CONCATENATE(N1079,A1079,"\",B1079,"\",C1079,".jpg")</f>
        <v>C:\Users\mbaptista\OneDrive - Biblioteca Nacional de Portugal\Documentos\python\camoniana\imagens\capas\381496\1\161.jpg</v>
      </c>
      <c r="P1079" s="12" t="str">
        <f>HYPERLINK(O1079)</f>
        <v>C:\Users\mbaptista\OneDrive - Biblioteca Nacional de Portugal\Documentos\python\camoniana\imagens\capas\381496\1\161.jpg</v>
      </c>
      <c r="Q1079" s="12"/>
      <c r="R1079" s="6" t="s">
        <v>1426</v>
      </c>
      <c r="S1079" s="12"/>
      <c r="T1079" s="1" t="s">
        <v>1421</v>
      </c>
      <c r="U1079" s="13"/>
      <c r="V1079" s="13"/>
      <c r="W1079" s="5" t="s">
        <v>1491</v>
      </c>
    </row>
    <row r="1080" spans="1:23" ht="225">
      <c r="A1080" s="1">
        <v>381496</v>
      </c>
      <c r="B1080" s="1">
        <v>1</v>
      </c>
      <c r="C1080" s="1">
        <v>195</v>
      </c>
      <c r="D1080" s="2" t="s">
        <v>1419</v>
      </c>
      <c r="E1080" s="5" t="s">
        <v>1419</v>
      </c>
      <c r="F1080" s="5">
        <v>14581</v>
      </c>
      <c r="G1080" s="2" t="s">
        <v>1494</v>
      </c>
      <c r="H1080" s="2" t="s">
        <v>1495</v>
      </c>
      <c r="I1080" s="2" t="s">
        <v>1496</v>
      </c>
      <c r="J1080" s="2" t="str">
        <f>CONCATENATE(G1080,F1080,H1080,C1080,I1080)</f>
        <v>https://permalinkbnd.bnportugal.gov.pt/viewer/14581/?offset=#page=195&amp;viewer=picture&amp;o=info&amp;n=0&amp;q=</v>
      </c>
      <c r="K1080" s="1" t="s">
        <v>1420</v>
      </c>
      <c r="L1080" s="1" t="str">
        <f>VLOOKUP(A1080,Folha2!$A$2:$B$2019,2,FALSE)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0" s="12" t="str">
        <f>HYPERLINK(J1080)</f>
        <v>https://permalinkbnd.bnportugal.gov.pt/viewer/14581/?offset=#page=195&amp;viewer=picture&amp;o=info&amp;n=0&amp;q=</v>
      </c>
      <c r="N1080" s="12" t="s">
        <v>1497</v>
      </c>
      <c r="O1080" s="12" t="str">
        <f>CONCATENATE(N1080,A1080,"\",B1080,"\",C1080,".jpg")</f>
        <v>C:\Users\mbaptista\OneDrive - Biblioteca Nacional de Portugal\Documentos\python\camoniana\imagens\capas\381496\1\195.jpg</v>
      </c>
      <c r="P1080" s="12" t="str">
        <f>HYPERLINK(O1080)</f>
        <v>C:\Users\mbaptista\OneDrive - Biblioteca Nacional de Portugal\Documentos\python\camoniana\imagens\capas\381496\1\195.jpg</v>
      </c>
      <c r="Q1080" s="12"/>
      <c r="R1080" s="6" t="s">
        <v>1427</v>
      </c>
      <c r="S1080" s="12"/>
      <c r="T1080" s="1" t="s">
        <v>1421</v>
      </c>
      <c r="U1080" s="13"/>
      <c r="V1080" s="13"/>
      <c r="W1080" s="5" t="s">
        <v>1491</v>
      </c>
    </row>
    <row r="1081" spans="1:23" ht="225">
      <c r="A1081" s="1">
        <v>381496</v>
      </c>
      <c r="B1081" s="1">
        <v>1</v>
      </c>
      <c r="C1081" s="1">
        <v>227</v>
      </c>
      <c r="D1081" s="2" t="s">
        <v>1419</v>
      </c>
      <c r="E1081" s="11" t="s">
        <v>1419</v>
      </c>
      <c r="F1081" s="11">
        <v>14581</v>
      </c>
      <c r="G1081" s="2" t="s">
        <v>1494</v>
      </c>
      <c r="H1081" s="2" t="s">
        <v>1495</v>
      </c>
      <c r="I1081" s="2" t="s">
        <v>1496</v>
      </c>
      <c r="J1081" s="2" t="str">
        <f>CONCATENATE(G1081,F1081,H1081,C1081,I1081)</f>
        <v>https://permalinkbnd.bnportugal.gov.pt/viewer/14581/?offset=#page=227&amp;viewer=picture&amp;o=info&amp;n=0&amp;q=</v>
      </c>
      <c r="K1081" s="1" t="s">
        <v>1420</v>
      </c>
      <c r="L1081" s="1" t="str">
        <f>VLOOKUP(A1081,Folha2!$A$2:$B$2019,2,FALSE)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1" s="12" t="str">
        <f>HYPERLINK(J1081)</f>
        <v>https://permalinkbnd.bnportugal.gov.pt/viewer/14581/?offset=#page=227&amp;viewer=picture&amp;o=info&amp;n=0&amp;q=</v>
      </c>
      <c r="N1081" s="12" t="s">
        <v>1497</v>
      </c>
      <c r="O1081" s="12" t="str">
        <f>CONCATENATE(N1081,A1081,"\",B1081,"\",C1081,".jpg")</f>
        <v>C:\Users\mbaptista\OneDrive - Biblioteca Nacional de Portugal\Documentos\python\camoniana\imagens\capas\381496\1\227.jpg</v>
      </c>
      <c r="P1081" s="12" t="str">
        <f>HYPERLINK(O1081)</f>
        <v>C:\Users\mbaptista\OneDrive - Biblioteca Nacional de Portugal\Documentos\python\camoniana\imagens\capas\381496\1\227.jpg</v>
      </c>
      <c r="Q1081" s="12"/>
      <c r="R1081" s="6" t="s">
        <v>1428</v>
      </c>
      <c r="S1081" s="12"/>
      <c r="T1081" s="1" t="s">
        <v>1421</v>
      </c>
      <c r="U1081" s="13"/>
      <c r="V1081" s="13"/>
      <c r="W1081" s="5" t="s">
        <v>1491</v>
      </c>
    </row>
    <row r="1082" spans="1:23" ht="225">
      <c r="A1082" s="1">
        <v>381496</v>
      </c>
      <c r="B1082" s="1">
        <v>1</v>
      </c>
      <c r="C1082" s="1">
        <v>259</v>
      </c>
      <c r="D1082" s="2" t="s">
        <v>1419</v>
      </c>
      <c r="E1082" s="5" t="s">
        <v>1419</v>
      </c>
      <c r="F1082" s="5">
        <v>14581</v>
      </c>
      <c r="G1082" s="2" t="s">
        <v>1494</v>
      </c>
      <c r="H1082" s="2" t="s">
        <v>1495</v>
      </c>
      <c r="I1082" s="2" t="s">
        <v>1496</v>
      </c>
      <c r="J1082" s="2" t="str">
        <f>CONCATENATE(G1082,F1082,H1082,C1082,I1082)</f>
        <v>https://permalinkbnd.bnportugal.gov.pt/viewer/14581/?offset=#page=259&amp;viewer=picture&amp;o=info&amp;n=0&amp;q=</v>
      </c>
      <c r="K1082" s="1" t="s">
        <v>1420</v>
      </c>
      <c r="L1082" s="1" t="str">
        <f>VLOOKUP(A1082,Folha2!$A$2:$B$2019,2,FALSE)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2" s="12" t="str">
        <f>HYPERLINK(J1082)</f>
        <v>https://permalinkbnd.bnportugal.gov.pt/viewer/14581/?offset=#page=259&amp;viewer=picture&amp;o=info&amp;n=0&amp;q=</v>
      </c>
      <c r="N1082" s="12" t="s">
        <v>1497</v>
      </c>
      <c r="O1082" s="12" t="str">
        <f>CONCATENATE(N1082,A1082,"\",B1082,"\",C1082,".jpg")</f>
        <v>C:\Users\mbaptista\OneDrive - Biblioteca Nacional de Portugal\Documentos\python\camoniana\imagens\capas\381496\1\259.jpg</v>
      </c>
      <c r="P1082" s="12" t="str">
        <f>HYPERLINK(O1082)</f>
        <v>C:\Users\mbaptista\OneDrive - Biblioteca Nacional de Portugal\Documentos\python\camoniana\imagens\capas\381496\1\259.jpg</v>
      </c>
      <c r="Q1082" s="12"/>
      <c r="R1082" s="6" t="s">
        <v>1429</v>
      </c>
      <c r="S1082" s="12"/>
      <c r="T1082" s="1" t="s">
        <v>1421</v>
      </c>
      <c r="U1082" s="13"/>
      <c r="V1082" s="13"/>
      <c r="W1082" s="5" t="s">
        <v>1491</v>
      </c>
    </row>
    <row r="1083" spans="1:23" ht="225">
      <c r="A1083" s="1">
        <v>381496</v>
      </c>
      <c r="B1083" s="1">
        <v>1</v>
      </c>
      <c r="C1083" s="1">
        <v>287</v>
      </c>
      <c r="D1083" s="2" t="s">
        <v>1419</v>
      </c>
      <c r="E1083" s="11" t="s">
        <v>1419</v>
      </c>
      <c r="F1083" s="11">
        <v>14581</v>
      </c>
      <c r="G1083" s="2" t="s">
        <v>1494</v>
      </c>
      <c r="H1083" s="2" t="s">
        <v>1495</v>
      </c>
      <c r="I1083" s="2" t="s">
        <v>1496</v>
      </c>
      <c r="J1083" s="2" t="str">
        <f>CONCATENATE(G1083,F1083,H1083,C1083,I1083)</f>
        <v>https://permalinkbnd.bnportugal.gov.pt/viewer/14581/?offset=#page=287&amp;viewer=picture&amp;o=info&amp;n=0&amp;q=</v>
      </c>
      <c r="K1083" s="1" t="s">
        <v>1420</v>
      </c>
      <c r="L1083" s="1" t="str">
        <f>VLOOKUP(A1083,Folha2!$A$2:$B$2019,2,FALSE)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3" s="12" t="str">
        <f>HYPERLINK(J1083)</f>
        <v>https://permalinkbnd.bnportugal.gov.pt/viewer/14581/?offset=#page=287&amp;viewer=picture&amp;o=info&amp;n=0&amp;q=</v>
      </c>
      <c r="N1083" s="12" t="s">
        <v>1497</v>
      </c>
      <c r="O1083" s="12" t="str">
        <f>CONCATENATE(N1083,A1083,"\",B1083,"\",C1083,".jpg")</f>
        <v>C:\Users\mbaptista\OneDrive - Biblioteca Nacional de Portugal\Documentos\python\camoniana\imagens\capas\381496\1\287.jpg</v>
      </c>
      <c r="P1083" s="12" t="str">
        <f>HYPERLINK(O1083)</f>
        <v>C:\Users\mbaptista\OneDrive - Biblioteca Nacional de Portugal\Documentos\python\camoniana\imagens\capas\381496\1\287.jpg</v>
      </c>
      <c r="Q1083" s="12"/>
      <c r="R1083" s="6" t="s">
        <v>1430</v>
      </c>
      <c r="S1083" s="12"/>
      <c r="T1083" s="1" t="s">
        <v>1421</v>
      </c>
      <c r="U1083" s="13"/>
      <c r="V1083" s="13"/>
      <c r="W1083" s="5" t="s">
        <v>1491</v>
      </c>
    </row>
    <row r="1084" spans="1:23" ht="225">
      <c r="A1084" s="1">
        <v>381496</v>
      </c>
      <c r="B1084" s="1">
        <v>1</v>
      </c>
      <c r="C1084" s="1">
        <v>319</v>
      </c>
      <c r="D1084" s="2" t="s">
        <v>1419</v>
      </c>
      <c r="E1084" s="5" t="s">
        <v>1419</v>
      </c>
      <c r="F1084" s="5">
        <v>14581</v>
      </c>
      <c r="G1084" s="2" t="s">
        <v>1494</v>
      </c>
      <c r="H1084" s="2" t="s">
        <v>1495</v>
      </c>
      <c r="I1084" s="2" t="s">
        <v>1496</v>
      </c>
      <c r="J1084" s="2" t="str">
        <f>CONCATENATE(G1084,F1084,H1084,C1084,I1084)</f>
        <v>https://permalinkbnd.bnportugal.gov.pt/viewer/14581/?offset=#page=319&amp;viewer=picture&amp;o=info&amp;n=0&amp;q=</v>
      </c>
      <c r="K1084" s="1" t="s">
        <v>1420</v>
      </c>
      <c r="L1084" s="1" t="str">
        <f>VLOOKUP(A1084,Folha2!$A$2:$B$2019,2,FALSE)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4" s="12" t="str">
        <f>HYPERLINK(J1084)</f>
        <v>https://permalinkbnd.bnportugal.gov.pt/viewer/14581/?offset=#page=319&amp;viewer=picture&amp;o=info&amp;n=0&amp;q=</v>
      </c>
      <c r="N1084" s="12" t="s">
        <v>1497</v>
      </c>
      <c r="O1084" s="12" t="str">
        <f>CONCATENATE(N1084,A1084,"\",B1084,"\",C1084,".jpg")</f>
        <v>C:\Users\mbaptista\OneDrive - Biblioteca Nacional de Portugal\Documentos\python\camoniana\imagens\capas\381496\1\319.jpg</v>
      </c>
      <c r="P1084" s="12" t="str">
        <f>HYPERLINK(O1084)</f>
        <v>C:\Users\mbaptista\OneDrive - Biblioteca Nacional de Portugal\Documentos\python\camoniana\imagens\capas\381496\1\319.jpg</v>
      </c>
      <c r="Q1084" s="12"/>
      <c r="R1084" s="6" t="s">
        <v>1431</v>
      </c>
      <c r="S1084" s="12"/>
      <c r="T1084" s="1" t="s">
        <v>1421</v>
      </c>
      <c r="U1084" s="13"/>
      <c r="V1084" s="13"/>
      <c r="W1084" s="5" t="s">
        <v>1491</v>
      </c>
    </row>
    <row r="1085" spans="1:23" ht="225">
      <c r="A1085" s="1">
        <v>381496</v>
      </c>
      <c r="B1085" s="1">
        <v>1</v>
      </c>
      <c r="C1085" s="1">
        <v>349</v>
      </c>
      <c r="D1085" s="2" t="s">
        <v>1419</v>
      </c>
      <c r="E1085" s="11" t="s">
        <v>1419</v>
      </c>
      <c r="F1085" s="11">
        <v>14581</v>
      </c>
      <c r="G1085" s="2" t="s">
        <v>1494</v>
      </c>
      <c r="H1085" s="2" t="s">
        <v>1495</v>
      </c>
      <c r="I1085" s="2" t="s">
        <v>1496</v>
      </c>
      <c r="J1085" s="2" t="str">
        <f>CONCATENATE(G1085,F1085,H1085,C1085,I1085)</f>
        <v>https://permalinkbnd.bnportugal.gov.pt/viewer/14581/?offset=#page=349&amp;viewer=picture&amp;o=info&amp;n=0&amp;q=</v>
      </c>
      <c r="K1085" s="1" t="s">
        <v>1420</v>
      </c>
      <c r="L1085" s="1" t="str">
        <f>VLOOKUP(A1085,Folha2!$A$2:$B$2019,2,FALSE)</f>
        <v>Os Lusíadas : poema épico em dez cantos acompanhado... / versão francesa por Fernando de Azevedo ; prólogo por M. Pinheiro Chagas ; desenhos de Soares dos Reis ; gravuras de J. Pedroso ; direcção de Duarte Joaquim dos Santos, Aristides Abranches. - Lisboa : Imprensa Nacional, 1878. Bilingue, sem argumentos. Paratextos vida (tópico IV) e Paratextos notas épica em português e francês.</v>
      </c>
      <c r="M1085" s="12" t="str">
        <f>HYPERLINK(J1085)</f>
        <v>https://permalinkbnd.bnportugal.gov.pt/viewer/14581/?offset=#page=349&amp;viewer=picture&amp;o=info&amp;n=0&amp;q=</v>
      </c>
      <c r="N1085" s="12" t="s">
        <v>1497</v>
      </c>
      <c r="O1085" s="12" t="str">
        <f>CONCATENATE(N1085,A1085,"\",B1085,"\",C1085,".jpg")</f>
        <v>C:\Users\mbaptista\OneDrive - Biblioteca Nacional de Portugal\Documentos\python\camoniana\imagens\capas\381496\1\349.jpg</v>
      </c>
      <c r="P1085" s="12" t="str">
        <f>HYPERLINK(O1085)</f>
        <v>C:\Users\mbaptista\OneDrive - Biblioteca Nacional de Portugal\Documentos\python\camoniana\imagens\capas\381496\1\349.jpg</v>
      </c>
      <c r="Q1085" s="12"/>
      <c r="R1085" s="6" t="s">
        <v>1432</v>
      </c>
      <c r="S1085" s="12"/>
      <c r="T1085" s="1" t="s">
        <v>1421</v>
      </c>
      <c r="U1085" s="13"/>
      <c r="V1085" s="13"/>
      <c r="W1085" s="5" t="s">
        <v>1491</v>
      </c>
    </row>
    <row r="1086" spans="1:23" ht="225">
      <c r="A1086" s="1">
        <v>384309</v>
      </c>
      <c r="B1086" s="1">
        <v>1</v>
      </c>
      <c r="C1086" s="1">
        <v>1</v>
      </c>
      <c r="D1086" s="2" t="s">
        <v>1433</v>
      </c>
      <c r="E1086" s="5" t="s">
        <v>1433</v>
      </c>
      <c r="F1086" s="5">
        <v>86181</v>
      </c>
      <c r="G1086" s="2" t="s">
        <v>1494</v>
      </c>
      <c r="H1086" s="2" t="s">
        <v>1495</v>
      </c>
      <c r="I1086" s="2" t="s">
        <v>1496</v>
      </c>
      <c r="J1086" s="2" t="str">
        <f>CONCATENATE(G1086,F1086,H1086,C1086,I1086)</f>
        <v>https://permalinkbnd.bnportugal.gov.pt/viewer/86181/?offset=#page=1&amp;viewer=picture&amp;o=info&amp;n=0&amp;q=</v>
      </c>
      <c r="K1086" s="1" t="s">
        <v>1434</v>
      </c>
      <c r="L1086" s="1" t="str">
        <f>VLOOKUP(A1086,Folha2!$A$2:$B$2019,2,FALSE)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6" s="12" t="str">
        <f>HYPERLINK(J1086)</f>
        <v>https://permalinkbnd.bnportugal.gov.pt/viewer/86181/?offset=#page=1&amp;viewer=picture&amp;o=info&amp;n=0&amp;q=</v>
      </c>
      <c r="N1086" s="12" t="s">
        <v>1497</v>
      </c>
      <c r="O1086" s="12" t="str">
        <f>CONCATENATE(N1086,A1086,"\",B1086,"\",C1086,".jpg")</f>
        <v>C:\Users\mbaptista\OneDrive - Biblioteca Nacional de Portugal\Documentos\python\camoniana\imagens\capas\384309\1\1.jpg</v>
      </c>
      <c r="P1086" s="12" t="str">
        <f>HYPERLINK(O1086)</f>
        <v>C:\Users\mbaptista\OneDrive - Biblioteca Nacional de Portugal\Documentos\python\camoniana\imagens\capas\384309\1\1.jpg</v>
      </c>
      <c r="Q1086" s="12"/>
      <c r="R1086" s="6" t="s">
        <v>1436</v>
      </c>
      <c r="S1086" s="12"/>
      <c r="T1086" s="1" t="s">
        <v>1435</v>
      </c>
      <c r="U1086" s="13"/>
      <c r="V1086" s="13"/>
      <c r="W1086" s="5" t="s">
        <v>1491</v>
      </c>
    </row>
    <row r="1087" spans="1:23" ht="225">
      <c r="A1087" s="1">
        <v>384309</v>
      </c>
      <c r="B1087" s="1">
        <v>1</v>
      </c>
      <c r="C1087" s="1">
        <v>3</v>
      </c>
      <c r="D1087" s="2" t="s">
        <v>1433</v>
      </c>
      <c r="E1087" s="11" t="s">
        <v>1433</v>
      </c>
      <c r="F1087" s="11">
        <v>86181</v>
      </c>
      <c r="G1087" s="2" t="s">
        <v>1494</v>
      </c>
      <c r="H1087" s="2" t="s">
        <v>1495</v>
      </c>
      <c r="I1087" s="2" t="s">
        <v>1496</v>
      </c>
      <c r="J1087" s="2" t="str">
        <f>CONCATENATE(G1087,F1087,H1087,C1087,I1087)</f>
        <v>https://permalinkbnd.bnportugal.gov.pt/viewer/86181/?offset=#page=3&amp;viewer=picture&amp;o=info&amp;n=0&amp;q=</v>
      </c>
      <c r="K1087" s="1" t="s">
        <v>1434</v>
      </c>
      <c r="L1087" s="1" t="str">
        <f>VLOOKUP(A1087,Folha2!$A$2:$B$2019,2,FALSE)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7" s="12" t="str">
        <f>HYPERLINK(J1087)</f>
        <v>https://permalinkbnd.bnportugal.gov.pt/viewer/86181/?offset=#page=3&amp;viewer=picture&amp;o=info&amp;n=0&amp;q=</v>
      </c>
      <c r="N1087" s="12" t="s">
        <v>1497</v>
      </c>
      <c r="O1087" s="12" t="str">
        <f>CONCATENATE(N1087,A1087,"\",B1087,"\",C1087,".jpg")</f>
        <v>C:\Users\mbaptista\OneDrive - Biblioteca Nacional de Portugal\Documentos\python\camoniana\imagens\capas\384309\1\3.jpg</v>
      </c>
      <c r="P1087" s="12" t="str">
        <f>HYPERLINK(O1087)</f>
        <v>C:\Users\mbaptista\OneDrive - Biblioteca Nacional de Portugal\Documentos\python\camoniana\imagens\capas\384309\1\3.jpg</v>
      </c>
      <c r="Q1087" s="12"/>
      <c r="R1087" s="6" t="s">
        <v>1437</v>
      </c>
      <c r="S1087" s="12"/>
      <c r="T1087" s="1" t="s">
        <v>1435</v>
      </c>
      <c r="U1087" s="13"/>
      <c r="V1087" s="13"/>
      <c r="W1087" s="5" t="s">
        <v>1491</v>
      </c>
    </row>
    <row r="1088" spans="1:23" ht="225">
      <c r="A1088" s="1">
        <v>384309</v>
      </c>
      <c r="B1088" s="1">
        <v>1</v>
      </c>
      <c r="C1088" s="1">
        <v>7</v>
      </c>
      <c r="D1088" s="2" t="s">
        <v>1433</v>
      </c>
      <c r="E1088" s="5" t="s">
        <v>1433</v>
      </c>
      <c r="F1088" s="5">
        <v>86181</v>
      </c>
      <c r="G1088" s="2" t="s">
        <v>1494</v>
      </c>
      <c r="H1088" s="2" t="s">
        <v>1495</v>
      </c>
      <c r="I1088" s="2" t="s">
        <v>1496</v>
      </c>
      <c r="J1088" s="2" t="str">
        <f>CONCATENATE(G1088,F1088,H1088,C1088,I1088)</f>
        <v>https://permalinkbnd.bnportugal.gov.pt/viewer/86181/?offset=#page=7&amp;viewer=picture&amp;o=info&amp;n=0&amp;q=</v>
      </c>
      <c r="K1088" s="1" t="s">
        <v>1434</v>
      </c>
      <c r="L1088" s="1" t="str">
        <f>VLOOKUP(A1088,Folha2!$A$2:$B$2019,2,FALSE)</f>
        <v>Corona poetica y literaria dedicada a Luiz de Camões en la conmemoracion del tricentenario de su muerte por la literatura y artes de España. - Lisboa : Tip. Luso-Hespanhola de D. Gumersindo de la Rosa, : 1880. Celebrações (1880), recepção criativa, tematização; Recolha epigráfica épica, cf. Im. 15; "al publico": Inserir Celebrações (1880), actos públicos?</v>
      </c>
      <c r="M1088" s="12" t="str">
        <f>HYPERLINK(J1088)</f>
        <v>https://permalinkbnd.bnportugal.gov.pt/viewer/86181/?offset=#page=7&amp;viewer=picture&amp;o=info&amp;n=0&amp;q=</v>
      </c>
      <c r="N1088" s="12" t="s">
        <v>1497</v>
      </c>
      <c r="O1088" s="12" t="str">
        <f>CONCATENATE(N1088,A1088,"\",B1088,"\",C1088,".jpg")</f>
        <v>C:\Users\mbaptista\OneDrive - Biblioteca Nacional de Portugal\Documentos\python\camoniana\imagens\capas\384309\1\7.jpg</v>
      </c>
      <c r="P1088" s="12" t="str">
        <f>HYPERLINK(O1088)</f>
        <v>C:\Users\mbaptista\OneDrive - Biblioteca Nacional de Portugal\Documentos\python\camoniana\imagens\capas\384309\1\7.jpg</v>
      </c>
      <c r="Q1088" s="12"/>
      <c r="R1088" s="6" t="s">
        <v>1438</v>
      </c>
      <c r="S1088" s="12"/>
      <c r="T1088" s="1" t="s">
        <v>1435</v>
      </c>
      <c r="U1088" s="13"/>
      <c r="V1088" s="13"/>
      <c r="W1088" s="5" t="s">
        <v>1491</v>
      </c>
    </row>
    <row r="1089" spans="1:23" ht="225">
      <c r="A1089" s="1">
        <v>410603</v>
      </c>
      <c r="B1089" s="1">
        <v>1</v>
      </c>
      <c r="C1089" s="1">
        <v>13</v>
      </c>
      <c r="D1089" s="2" t="s">
        <v>1439</v>
      </c>
      <c r="E1089" s="11" t="s">
        <v>1439</v>
      </c>
      <c r="F1089" s="11">
        <v>14678</v>
      </c>
      <c r="G1089" s="2" t="s">
        <v>1494</v>
      </c>
      <c r="H1089" s="2" t="s">
        <v>1495</v>
      </c>
      <c r="I1089" s="2" t="s">
        <v>1496</v>
      </c>
      <c r="J1089" s="2" t="str">
        <f>CONCATENATE(G1089,F1089,H1089,C1089,I1089)</f>
        <v>https://permalinkbnd.bnportugal.gov.pt/viewer/14678/?offset=#page=13&amp;viewer=picture&amp;o=info&amp;n=0&amp;q=</v>
      </c>
      <c r="K1089" s="1">
        <v>13</v>
      </c>
      <c r="L1089" s="1" t="str">
        <f>VLOOKUP(A1089,Folha2!$A$2:$B$2019,2,FALSE)</f>
        <v xml:space="preserve">Programa da celebração em Lisboa do Tricentenário de Luís de Camões. - Lisboa : Tip. Universal, 1880. Celebrações (1880), discussão, programas e relatórios </v>
      </c>
      <c r="M1089" s="12" t="str">
        <f>HYPERLINK(J1089)</f>
        <v>https://permalinkbnd.bnportugal.gov.pt/viewer/14678/?offset=#page=13&amp;viewer=picture&amp;o=info&amp;n=0&amp;q=</v>
      </c>
      <c r="N1089" s="12" t="s">
        <v>1497</v>
      </c>
      <c r="O1089" s="12" t="str">
        <f>CONCATENATE(N1089,A1089,"\",B1089,"\",C1089,".jpg")</f>
        <v>C:\Users\mbaptista\OneDrive - Biblioteca Nacional de Portugal\Documentos\python\camoniana\imagens\capas\410603\1\13.jpg</v>
      </c>
      <c r="P1089" s="12" t="str">
        <f>HYPERLINK(O1089)</f>
        <v>C:\Users\mbaptista\OneDrive - Biblioteca Nacional de Portugal\Documentos\python\camoniana\imagens\capas\410603\1\13.jpg</v>
      </c>
      <c r="Q1089" s="12"/>
      <c r="R1089" s="6" t="s">
        <v>1440</v>
      </c>
      <c r="S1089" s="12"/>
      <c r="T1089" s="1">
        <v>13</v>
      </c>
      <c r="U1089" s="13"/>
      <c r="V1089" s="13"/>
      <c r="W1089" s="5" t="s">
        <v>1491</v>
      </c>
    </row>
    <row r="1090" spans="1:23" ht="225">
      <c r="A1090" s="1">
        <v>475467</v>
      </c>
      <c r="B1090" s="1">
        <v>1</v>
      </c>
      <c r="C1090" s="1">
        <v>1</v>
      </c>
      <c r="D1090" s="2" t="s">
        <v>1441</v>
      </c>
      <c r="E1090" s="5" t="s">
        <v>1441</v>
      </c>
      <c r="F1090" s="5">
        <v>86483</v>
      </c>
      <c r="G1090" s="2" t="s">
        <v>1494</v>
      </c>
      <c r="H1090" s="2" t="s">
        <v>1495</v>
      </c>
      <c r="I1090" s="2" t="s">
        <v>1496</v>
      </c>
      <c r="J1090" s="2" t="str">
        <f>CONCATENATE(G1090,F1090,H1090,C1090,I1090)</f>
        <v>https://permalinkbnd.bnportugal.gov.pt/viewer/86483/?offset=#page=1&amp;viewer=picture&amp;o=info&amp;n=0&amp;q=</v>
      </c>
      <c r="K1090" s="1">
        <v>1</v>
      </c>
      <c r="L1090" s="1" t="str">
        <f>VLOOKUP(A1090,Folha2!$A$2:$B$2019,2,FALSE)</f>
        <v>Alma minha! : melodia para piano e canto / poesia de Luiz de Camões ; musica de Amelia Augusta d' Azevedo. - [Lisboa?] : Imp. Nacional, [1880-1881].</v>
      </c>
      <c r="M1090" s="12" t="str">
        <f>HYPERLINK(J1090)</f>
        <v>https://permalinkbnd.bnportugal.gov.pt/viewer/86483/?offset=#page=1&amp;viewer=picture&amp;o=info&amp;n=0&amp;q=</v>
      </c>
      <c r="N1090" s="12" t="s">
        <v>1497</v>
      </c>
      <c r="O1090" s="12" t="str">
        <f>CONCATENATE(N1090,A1090,"\",B1090,"\",C1090,".jpg")</f>
        <v>C:\Users\mbaptista\OneDrive - Biblioteca Nacional de Portugal\Documentos\python\camoniana\imagens\capas\475467\1\1.jpg</v>
      </c>
      <c r="P1090" s="12" t="str">
        <f>HYPERLINK(O1090)</f>
        <v>C:\Users\mbaptista\OneDrive - Biblioteca Nacional de Portugal\Documentos\python\camoniana\imagens\capas\475467\1\1.jpg</v>
      </c>
      <c r="Q1090" s="12"/>
      <c r="R1090" s="6" t="s">
        <v>1442</v>
      </c>
      <c r="S1090" s="12"/>
      <c r="T1090" s="1">
        <v>1</v>
      </c>
      <c r="U1090" s="13"/>
      <c r="V1090" s="13"/>
      <c r="W1090" s="5" t="s">
        <v>1491</v>
      </c>
    </row>
    <row r="1091" spans="1:23" ht="225">
      <c r="A1091" s="1">
        <v>640093</v>
      </c>
      <c r="B1091" s="1">
        <v>1</v>
      </c>
      <c r="C1091" s="1">
        <v>1</v>
      </c>
      <c r="D1091" s="2" t="s">
        <v>1443</v>
      </c>
      <c r="E1091" s="11" t="s">
        <v>1443</v>
      </c>
      <c r="F1091" s="11">
        <v>35163</v>
      </c>
      <c r="G1091" s="2" t="s">
        <v>1494</v>
      </c>
      <c r="H1091" s="2" t="s">
        <v>1495</v>
      </c>
      <c r="I1091" s="2" t="s">
        <v>1496</v>
      </c>
      <c r="J1091" s="2" t="str">
        <f>CONCATENATE(G1091,F1091,H1091,C1091,I1091)</f>
        <v>https://permalinkbnd.bnportugal.gov.pt/viewer/35163/?offset=#page=1&amp;viewer=picture&amp;o=info&amp;n=0&amp;q=</v>
      </c>
      <c r="K1091" s="1">
        <v>1</v>
      </c>
      <c r="L1091" s="1" t="str">
        <f>VLOOKUP(A1091,Folha2!$A$2:$B$2019,2,FALSE)</f>
        <v>[Mosteiro dos Jerónimos] / P J Pinto. - [S.l. : s.n.], 1937. - 1 gravura : ponta-seca, p&amp;b. Consultada cópia interna: Lugares de Memória.</v>
      </c>
      <c r="M1091" s="12" t="str">
        <f>HYPERLINK(J1091)</f>
        <v>https://permalinkbnd.bnportugal.gov.pt/viewer/35163/?offset=#page=1&amp;viewer=picture&amp;o=info&amp;n=0&amp;q=</v>
      </c>
      <c r="N1091" s="12" t="s">
        <v>1497</v>
      </c>
      <c r="O1091" s="12" t="str">
        <f>CONCATENATE(N1091,A1091,"\",B1091,"\",C1091,".jpg")</f>
        <v>C:\Users\mbaptista\OneDrive - Biblioteca Nacional de Portugal\Documentos\python\camoniana\imagens\capas\640093\1\1.jpg</v>
      </c>
      <c r="P1091" s="12" t="str">
        <f>HYPERLINK(O1091)</f>
        <v>C:\Users\mbaptista\OneDrive - Biblioteca Nacional de Portugal\Documentos\python\camoniana\imagens\capas\640093\1\1.jpg</v>
      </c>
      <c r="Q1091" s="12"/>
      <c r="R1091" s="6" t="s">
        <v>1444</v>
      </c>
      <c r="S1091" s="12"/>
      <c r="T1091" s="1">
        <v>1</v>
      </c>
      <c r="U1091" s="13"/>
      <c r="V1091" s="13"/>
      <c r="W1091" s="5" t="s">
        <v>1491</v>
      </c>
    </row>
    <row r="1092" spans="1:23" ht="225">
      <c r="A1092" s="1">
        <v>765484</v>
      </c>
      <c r="B1092" s="1">
        <v>1</v>
      </c>
      <c r="C1092" s="1">
        <v>5</v>
      </c>
      <c r="D1092" s="2" t="s">
        <v>1445</v>
      </c>
      <c r="E1092" s="5" t="s">
        <v>1445</v>
      </c>
      <c r="F1092" s="5">
        <v>14644</v>
      </c>
      <c r="G1092" s="2" t="s">
        <v>1494</v>
      </c>
      <c r="H1092" s="2" t="s">
        <v>1495</v>
      </c>
      <c r="I1092" s="2" t="s">
        <v>1496</v>
      </c>
      <c r="J1092" s="2" t="str">
        <f>CONCATENATE(G1092,F1092,H1092,C1092,I1092)</f>
        <v>https://permalinkbnd.bnportugal.gov.pt/viewer/14644/?offset=#page=5&amp;viewer=picture&amp;o=info&amp;n=0&amp;q=</v>
      </c>
      <c r="K1092" s="1" t="s">
        <v>1446</v>
      </c>
      <c r="L1092" s="1" t="str">
        <f>VLOOKUP(A1092,Folha2!$A$2:$B$2019,2,FALSE)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2" s="12" t="str">
        <f>HYPERLINK(J1092)</f>
        <v>https://permalinkbnd.bnportugal.gov.pt/viewer/14644/?offset=#page=5&amp;viewer=picture&amp;o=info&amp;n=0&amp;q=</v>
      </c>
      <c r="N1092" s="12" t="s">
        <v>1497</v>
      </c>
      <c r="O1092" s="12" t="str">
        <f>CONCATENATE(N1092,A1092,"\",B1092,"\",C1092,".jpg")</f>
        <v>C:\Users\mbaptista\OneDrive - Biblioteca Nacional de Portugal\Documentos\python\camoniana\imagens\capas\765484\1\5.jpg</v>
      </c>
      <c r="P1092" s="12" t="str">
        <f>HYPERLINK(O1092)</f>
        <v>C:\Users\mbaptista\OneDrive - Biblioteca Nacional de Portugal\Documentos\python\camoniana\imagens\capas\765484\1\5.jpg</v>
      </c>
      <c r="Q1092" s="12"/>
      <c r="R1092" s="6" t="s">
        <v>1447</v>
      </c>
      <c r="S1092" s="12"/>
      <c r="T1092" s="1"/>
      <c r="U1092" s="13"/>
      <c r="V1092" s="13"/>
      <c r="W1092" s="5" t="s">
        <v>1491</v>
      </c>
    </row>
    <row r="1093" spans="1:23" ht="225">
      <c r="A1093" s="1">
        <v>765484</v>
      </c>
      <c r="B1093" s="1">
        <v>2</v>
      </c>
      <c r="C1093" s="1">
        <v>2</v>
      </c>
      <c r="D1093" s="2" t="s">
        <v>1445</v>
      </c>
      <c r="E1093" s="11" t="s">
        <v>1445</v>
      </c>
      <c r="F1093" s="11">
        <v>14644</v>
      </c>
      <c r="G1093" s="2" t="s">
        <v>1494</v>
      </c>
      <c r="H1093" s="2" t="s">
        <v>1495</v>
      </c>
      <c r="I1093" s="2" t="s">
        <v>1496</v>
      </c>
      <c r="J1093" s="2" t="str">
        <f>CONCATENATE(G1093,F1093,H1093,C1093,I1093)</f>
        <v>https://permalinkbnd.bnportugal.gov.pt/viewer/14644/?offset=#page=2&amp;viewer=picture&amp;o=info&amp;n=0&amp;q=</v>
      </c>
      <c r="K1093" s="1" t="s">
        <v>1446</v>
      </c>
      <c r="L1093" s="1" t="str">
        <f>VLOOKUP(A1093,Folha2!$A$2:$B$2019,2,FALSE)</f>
        <v>Rimas / de Lvis de Camões ; primeira [e segvnda] parte. - Agora nouamente emendadas nesta vltima impressaõ. - Em Lisboa : por Lourenço Craesbeck, 1623 . Tercetos entram em elegias, capítulos. Obra 1.ª parte parece apresentar saltos na paginação, cf. por exemplo écloga II, entre outras passagens, a partir da p. 82 ou Im. 175 para 89. Paratextos gerais lírica, redondilhas, sôbolos rios, carta a uma dama, a umas suspeitas, labirinto, convites, iguarias, mote, voltas, a uma dama, a uma senhora rezando, entre outras, disparates, carta com glosa, glosas, cantiga velha, ao desconcerto, endechas, tenção, Carta I; Carta II;  Ficam de umas festas em Goa; 2.ª parte: sonetos; elegias [a paixão de Cristo, entre outras]; ode; canções; sextinas; petição; cantigas, trovas entram em motes e voltas, esparsas, volta, vilancete pastoril, epístola, canto da Criação do Homem; epitáfio. Obra 2.ª parte apresenta salto na paginação, cf. Canto II da Criação do Homem (perto do final da obra), salta da estrofe 14 para a 31, cf. p. 44.</v>
      </c>
      <c r="M1093" s="12" t="str">
        <f>HYPERLINK(J1093)</f>
        <v>https://permalinkbnd.bnportugal.gov.pt/viewer/14644/?offset=#page=2&amp;viewer=picture&amp;o=info&amp;n=0&amp;q=</v>
      </c>
      <c r="N1093" s="12" t="s">
        <v>1497</v>
      </c>
      <c r="O1093" s="12" t="str">
        <f>CONCATENATE(N1093,A1093,"\",B1093,"\",C1093,".jpg")</f>
        <v>C:\Users\mbaptista\OneDrive - Biblioteca Nacional de Portugal\Documentos\python\camoniana\imagens\capas\765484\2\2.jpg</v>
      </c>
      <c r="P1093" s="12" t="str">
        <f>HYPERLINK(O1093)</f>
        <v>C:\Users\mbaptista\OneDrive - Biblioteca Nacional de Portugal\Documentos\python\camoniana\imagens\capas\765484\2\2.jpg</v>
      </c>
      <c r="Q1093" s="12"/>
      <c r="R1093" s="6" t="s">
        <v>1448</v>
      </c>
      <c r="S1093" s="12"/>
      <c r="T1093" s="1"/>
      <c r="U1093" s="13"/>
      <c r="V1093" s="13"/>
      <c r="W1093" s="5" t="s">
        <v>1491</v>
      </c>
    </row>
    <row r="1094" spans="1:23" ht="225">
      <c r="A1094" s="1">
        <v>808818</v>
      </c>
      <c r="B1094" s="1">
        <v>1</v>
      </c>
      <c r="C1094" s="1">
        <v>1</v>
      </c>
      <c r="D1094" s="2" t="s">
        <v>1449</v>
      </c>
      <c r="E1094" s="5" t="s">
        <v>1449</v>
      </c>
      <c r="F1094" s="5">
        <v>14613</v>
      </c>
      <c r="G1094" s="2" t="s">
        <v>1494</v>
      </c>
      <c r="H1094" s="2" t="s">
        <v>1495</v>
      </c>
      <c r="I1094" s="2" t="s">
        <v>1496</v>
      </c>
      <c r="J1094" s="2" t="str">
        <f>CONCATENATE(G1094,F1094,H1094,C1094,I1094)</f>
        <v>https://permalinkbnd.bnportugal.gov.pt/viewer/14613/?offset=#page=1&amp;viewer=picture&amp;o=info&amp;n=0&amp;q=</v>
      </c>
      <c r="K1094" s="1" t="s">
        <v>1450</v>
      </c>
      <c r="L1094" s="1" t="str">
        <f>VLOOKUP(A1094,Folha2!$A$2:$B$2019,2,FALSE)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4" s="12" t="str">
        <f>HYPERLINK(J1094)</f>
        <v>https://permalinkbnd.bnportugal.gov.pt/viewer/14613/?offset=#page=1&amp;viewer=picture&amp;o=info&amp;n=0&amp;q=</v>
      </c>
      <c r="N1094" s="12" t="s">
        <v>1497</v>
      </c>
      <c r="O1094" s="12" t="str">
        <f>CONCATENATE(N1094,A1094,"\",B1094,"\",C1094,".jpg")</f>
        <v>C:\Users\mbaptista\OneDrive - Biblioteca Nacional de Portugal\Documentos\python\camoniana\imagens\capas\808818\1\1.jpg</v>
      </c>
      <c r="P1094" s="12" t="str">
        <f>HYPERLINK(O1094)</f>
        <v>C:\Users\mbaptista\OneDrive - Biblioteca Nacional de Portugal\Documentos\python\camoniana\imagens\capas\808818\1\1.jpg</v>
      </c>
      <c r="Q1094" s="12"/>
      <c r="R1094" s="6"/>
      <c r="S1094" s="12"/>
      <c r="T1094" s="1"/>
      <c r="U1094" s="13"/>
      <c r="V1094" s="13"/>
      <c r="W1094" s="5"/>
    </row>
    <row r="1095" spans="1:23" ht="225">
      <c r="A1095" s="1">
        <v>808818</v>
      </c>
      <c r="B1095" s="1">
        <v>1</v>
      </c>
      <c r="C1095" s="1">
        <v>8</v>
      </c>
      <c r="D1095" s="2" t="s">
        <v>1449</v>
      </c>
      <c r="E1095" s="11" t="s">
        <v>1449</v>
      </c>
      <c r="F1095" s="11">
        <v>14613</v>
      </c>
      <c r="G1095" s="2" t="s">
        <v>1494</v>
      </c>
      <c r="H1095" s="2" t="s">
        <v>1495</v>
      </c>
      <c r="I1095" s="2" t="s">
        <v>1496</v>
      </c>
      <c r="J1095" s="2" t="str">
        <f>CONCATENATE(G1095,F1095,H1095,C1095,I1095)</f>
        <v>https://permalinkbnd.bnportugal.gov.pt/viewer/14613/?offset=#page=8&amp;viewer=picture&amp;o=info&amp;n=0&amp;q=</v>
      </c>
      <c r="K1095" s="1" t="s">
        <v>1450</v>
      </c>
      <c r="L1095" s="1" t="str">
        <f>VLOOKUP(A1095,Folha2!$A$2:$B$2019,2,FALSE)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5" s="12" t="str">
        <f>HYPERLINK(J1095)</f>
        <v>https://permalinkbnd.bnportugal.gov.pt/viewer/14613/?offset=#page=8&amp;viewer=picture&amp;o=info&amp;n=0&amp;q=</v>
      </c>
      <c r="N1095" s="12" t="s">
        <v>1497</v>
      </c>
      <c r="O1095" s="12" t="str">
        <f>CONCATENATE(N1095,A1095,"\",B1095,"\",C1095,".jpg")</f>
        <v>C:\Users\mbaptista\OneDrive - Biblioteca Nacional de Portugal\Documentos\python\camoniana\imagens\capas\808818\1\8.jpg</v>
      </c>
      <c r="P1095" s="12" t="str">
        <f>HYPERLINK(O1095)</f>
        <v>C:\Users\mbaptista\OneDrive - Biblioteca Nacional de Portugal\Documentos\python\camoniana\imagens\capas\808818\1\8.jpg</v>
      </c>
      <c r="Q1095" s="12"/>
      <c r="R1095" s="6" t="s">
        <v>1452</v>
      </c>
      <c r="S1095" s="12"/>
      <c r="T1095" s="1" t="s">
        <v>1451</v>
      </c>
      <c r="U1095" s="13" t="s">
        <v>142</v>
      </c>
      <c r="V1095" s="13"/>
      <c r="W1095" s="5" t="s">
        <v>1491</v>
      </c>
    </row>
    <row r="1096" spans="1:23" ht="225">
      <c r="A1096" s="1">
        <v>808818</v>
      </c>
      <c r="B1096" s="1">
        <v>1</v>
      </c>
      <c r="C1096" s="1">
        <v>9</v>
      </c>
      <c r="D1096" s="2" t="s">
        <v>1449</v>
      </c>
      <c r="E1096" s="5" t="s">
        <v>1449</v>
      </c>
      <c r="F1096" s="5">
        <v>14613</v>
      </c>
      <c r="G1096" s="2" t="s">
        <v>1494</v>
      </c>
      <c r="H1096" s="2" t="s">
        <v>1495</v>
      </c>
      <c r="I1096" s="2" t="s">
        <v>1496</v>
      </c>
      <c r="J1096" s="2" t="str">
        <f>CONCATENATE(G1096,F1096,H1096,C1096,I1096)</f>
        <v>https://permalinkbnd.bnportugal.gov.pt/viewer/14613/?offset=#page=9&amp;viewer=picture&amp;o=info&amp;n=0&amp;q=</v>
      </c>
      <c r="K1096" s="1" t="s">
        <v>1450</v>
      </c>
      <c r="L1096" s="1" t="str">
        <f>VLOOKUP(A1096,Folha2!$A$2:$B$2019,2,FALSE)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6" s="12" t="str">
        <f>HYPERLINK(J1096)</f>
        <v>https://permalinkbnd.bnportugal.gov.pt/viewer/14613/?offset=#page=9&amp;viewer=picture&amp;o=info&amp;n=0&amp;q=</v>
      </c>
      <c r="N1096" s="12" t="s">
        <v>1497</v>
      </c>
      <c r="O1096" s="12" t="str">
        <f>CONCATENATE(N1096,A1096,"\",B1096,"\",C1096,".jpg")</f>
        <v>C:\Users\mbaptista\OneDrive - Biblioteca Nacional de Portugal\Documentos\python\camoniana\imagens\capas\808818\1\9.jpg</v>
      </c>
      <c r="P1096" s="12" t="str">
        <f>HYPERLINK(O1096)</f>
        <v>C:\Users\mbaptista\OneDrive - Biblioteca Nacional de Portugal\Documentos\python\camoniana\imagens\capas\808818\1\9.jpg</v>
      </c>
      <c r="Q1096" s="12"/>
      <c r="R1096" s="6" t="s">
        <v>1453</v>
      </c>
      <c r="S1096" s="12"/>
      <c r="T1096" s="1" t="s">
        <v>1451</v>
      </c>
      <c r="U1096" s="13" t="s">
        <v>142</v>
      </c>
      <c r="V1096" s="13"/>
      <c r="W1096" s="5" t="s">
        <v>1491</v>
      </c>
    </row>
    <row r="1097" spans="1:23" ht="225">
      <c r="A1097" s="1">
        <v>808818</v>
      </c>
      <c r="B1097" s="1">
        <v>1</v>
      </c>
      <c r="C1097" s="1">
        <v>39</v>
      </c>
      <c r="D1097" s="2" t="s">
        <v>1449</v>
      </c>
      <c r="E1097" s="11" t="s">
        <v>1449</v>
      </c>
      <c r="F1097" s="11">
        <v>14613</v>
      </c>
      <c r="G1097" s="2" t="s">
        <v>1494</v>
      </c>
      <c r="H1097" s="2" t="s">
        <v>1495</v>
      </c>
      <c r="I1097" s="2" t="s">
        <v>1496</v>
      </c>
      <c r="J1097" s="2" t="str">
        <f>CONCATENATE(G1097,F1097,H1097,C1097,I1097)</f>
        <v>https://permalinkbnd.bnportugal.gov.pt/viewer/14613/?offset=#page=39&amp;viewer=picture&amp;o=info&amp;n=0&amp;q=</v>
      </c>
      <c r="K1097" s="1" t="s">
        <v>1450</v>
      </c>
      <c r="L1097" s="1" t="str">
        <f>VLOOKUP(A1097,Folha2!$A$2:$B$2019,2,FALSE)</f>
        <v>Inês de Castro : iconografia : história : literatura : tricentenário de Camões / [Anibal Fernandes Tomás]. - Lisboa : Tip. Castro &amp; Irmão, 1880. Celebrações (1880), Recepção criativa, Tematização [projecto do drama Inês de Castro por Garrett, com acto I e poemas de homenagem no final]</v>
      </c>
      <c r="M1097" s="12" t="str">
        <f>HYPERLINK(J1097)</f>
        <v>https://permalinkbnd.bnportugal.gov.pt/viewer/14613/?offset=#page=39&amp;viewer=picture&amp;o=info&amp;n=0&amp;q=</v>
      </c>
      <c r="N1097" s="12" t="s">
        <v>1497</v>
      </c>
      <c r="O1097" s="12" t="str">
        <f>CONCATENATE(N1097,A1097,"\",B1097,"\",C1097,".jpg")</f>
        <v>C:\Users\mbaptista\OneDrive - Biblioteca Nacional de Portugal\Documentos\python\camoniana\imagens\capas\808818\1\39.jpg</v>
      </c>
      <c r="P1097" s="12" t="str">
        <f>HYPERLINK(O1097)</f>
        <v>C:\Users\mbaptista\OneDrive - Biblioteca Nacional de Portugal\Documentos\python\camoniana\imagens\capas\808818\1\39.jpg</v>
      </c>
      <c r="Q1097" s="12"/>
      <c r="R1097" s="6" t="s">
        <v>1454</v>
      </c>
      <c r="S1097" s="12"/>
      <c r="T1097" s="1" t="s">
        <v>1451</v>
      </c>
      <c r="U1097" s="13" t="s">
        <v>142</v>
      </c>
      <c r="V1097" s="13"/>
      <c r="W1097" s="5" t="s">
        <v>1491</v>
      </c>
    </row>
    <row r="1098" spans="1:23" ht="225">
      <c r="A1098" s="1">
        <v>865343</v>
      </c>
      <c r="B1098" s="1">
        <v>1</v>
      </c>
      <c r="C1098" s="1">
        <v>120</v>
      </c>
      <c r="D1098" s="2" t="s">
        <v>1455</v>
      </c>
      <c r="E1098" s="5" t="s">
        <v>1455</v>
      </c>
      <c r="F1098" s="5">
        <v>7634</v>
      </c>
      <c r="G1098" s="2" t="s">
        <v>1494</v>
      </c>
      <c r="H1098" s="2" t="s">
        <v>1495</v>
      </c>
      <c r="I1098" s="2" t="s">
        <v>1496</v>
      </c>
      <c r="J1098" s="2" t="str">
        <f>CONCATENATE(G1098,F1098,H1098,C1098,I1098)</f>
        <v>https://permalinkbnd.bnportugal.gov.pt/viewer/7634/?offset=#page=120&amp;viewer=picture&amp;o=info&amp;n=0&amp;q=</v>
      </c>
      <c r="K1098" s="1" t="s">
        <v>1456</v>
      </c>
      <c r="L1098" s="1" t="str">
        <f>VLOOKUP(A1098,Folha2!$A$2:$B$2019,2,FALSE)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8" s="12" t="str">
        <f>HYPERLINK(J1098)</f>
        <v>https://permalinkbnd.bnportugal.gov.pt/viewer/7634/?offset=#page=120&amp;viewer=picture&amp;o=info&amp;n=0&amp;q=</v>
      </c>
      <c r="N1098" s="12" t="s">
        <v>1497</v>
      </c>
      <c r="O1098" s="12" t="str">
        <f>CONCATENATE(N1098,A1098,"\",B1098,"\",C1098,".jpg")</f>
        <v>C:\Users\mbaptista\OneDrive - Biblioteca Nacional de Portugal\Documentos\python\camoniana\imagens\capas\865343\1\120.jpg</v>
      </c>
      <c r="P1098" s="12" t="str">
        <f>HYPERLINK(O1098)</f>
        <v>C:\Users\mbaptista\OneDrive - Biblioteca Nacional de Portugal\Documentos\python\camoniana\imagens\capas\865343\1\120.jpg</v>
      </c>
      <c r="Q1098" s="12"/>
      <c r="R1098" s="6" t="s">
        <v>1458</v>
      </c>
      <c r="S1098" s="12"/>
      <c r="T1098" s="1"/>
      <c r="U1098" s="13" t="s">
        <v>1457</v>
      </c>
      <c r="V1098" s="13"/>
      <c r="W1098" s="5" t="s">
        <v>1491</v>
      </c>
    </row>
    <row r="1099" spans="1:23" ht="225">
      <c r="A1099" s="1">
        <v>865343</v>
      </c>
      <c r="B1099" s="1">
        <v>1</v>
      </c>
      <c r="C1099" s="1">
        <v>121</v>
      </c>
      <c r="D1099" s="2" t="s">
        <v>1455</v>
      </c>
      <c r="E1099" s="11" t="s">
        <v>1455</v>
      </c>
      <c r="F1099" s="11">
        <v>7634</v>
      </c>
      <c r="G1099" s="2" t="s">
        <v>1494</v>
      </c>
      <c r="H1099" s="2" t="s">
        <v>1495</v>
      </c>
      <c r="I1099" s="2" t="s">
        <v>1496</v>
      </c>
      <c r="J1099" s="2" t="str">
        <f>CONCATENATE(G1099,F1099,H1099,C1099,I1099)</f>
        <v>https://permalinkbnd.bnportugal.gov.pt/viewer/7634/?offset=#page=121&amp;viewer=picture&amp;o=info&amp;n=0&amp;q=</v>
      </c>
      <c r="K1099" s="1" t="s">
        <v>1456</v>
      </c>
      <c r="L1099" s="1" t="str">
        <f>VLOOKUP(A1099,Folha2!$A$2:$B$2019,2,FALSE)</f>
        <v>O Biographo : jornal da historia abreviada dos homens celebres. - T. 1, nº 1 (jul. 1838) - t. 1, nº 12 (jun. 1839). - Lisboa : Typ. de A. J. da Costa, 1838-1839. O número 6, T. I,  Inclui notícia biográfica de Camões, pp. 120-126, Dezembro de 1838, com imagem do Poeta, intitulada "Naufrágio de Camões", sem paginação, mas p. antecede antecede a biografia, que começa em p. 121.</v>
      </c>
      <c r="M1099" s="12" t="str">
        <f>HYPERLINK(J1099)</f>
        <v>https://permalinkbnd.bnportugal.gov.pt/viewer/7634/?offset=#page=121&amp;viewer=picture&amp;o=info&amp;n=0&amp;q=</v>
      </c>
      <c r="N1099" s="12" t="s">
        <v>1497</v>
      </c>
      <c r="O1099" s="12" t="str">
        <f>CONCATENATE(N1099,A1099,"\",B1099,"\",C1099,".jpg")</f>
        <v>C:\Users\mbaptista\OneDrive - Biblioteca Nacional de Portugal\Documentos\python\camoniana\imagens\capas\865343\1\121.jpg</v>
      </c>
      <c r="P1099" s="12" t="str">
        <f>HYPERLINK(O1099)</f>
        <v>C:\Users\mbaptista\OneDrive - Biblioteca Nacional de Portugal\Documentos\python\camoniana\imagens\capas\865343\1\121.jpg</v>
      </c>
      <c r="Q1099" s="12"/>
      <c r="R1099" s="6"/>
      <c r="S1099" s="12"/>
      <c r="T1099" s="1"/>
      <c r="U1099" s="13"/>
      <c r="V1099" s="13"/>
      <c r="W1099" s="5"/>
    </row>
    <row r="1100" spans="1:23" ht="225">
      <c r="A1100" s="1">
        <v>2194758</v>
      </c>
      <c r="B1100" s="1">
        <v>1</v>
      </c>
      <c r="C1100" s="1">
        <v>1</v>
      </c>
      <c r="D1100" s="2" t="s">
        <v>1459</v>
      </c>
      <c r="E1100" s="5" t="s">
        <v>1459</v>
      </c>
      <c r="F1100" s="5">
        <v>1880</v>
      </c>
      <c r="G1100" s="2" t="s">
        <v>1494</v>
      </c>
      <c r="H1100" s="2" t="s">
        <v>1495</v>
      </c>
      <c r="I1100" s="2" t="s">
        <v>1496</v>
      </c>
      <c r="J1100" s="2" t="str">
        <f>CONCATENATE(G1100,F1100,H1100,C1100,I1100)</f>
        <v>https://permalinkbnd.bnportugal.gov.pt/viewer/1880/?offset=#page=1&amp;viewer=picture&amp;o=info&amp;n=0&amp;q=</v>
      </c>
      <c r="K1100" s="1" t="s">
        <v>1460</v>
      </c>
      <c r="L1100" s="1" t="str">
        <f>VLOOKUP(A1100,Folha2!$A$2:$B$2019,2,FALSE)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0" s="12" t="str">
        <f>HYPERLINK(J1100)</f>
        <v>https://permalinkbnd.bnportugal.gov.pt/viewer/1880/?offset=#page=1&amp;viewer=picture&amp;o=info&amp;n=0&amp;q=</v>
      </c>
      <c r="N1100" s="12" t="s">
        <v>1497</v>
      </c>
      <c r="O1100" s="12" t="str">
        <f>CONCATENATE(N1100,A1100,"\",B1100,"\",C1100,".jpg")</f>
        <v>C:\Users\mbaptista\OneDrive - Biblioteca Nacional de Portugal\Documentos\python\camoniana\imagens\capas\2194758\1\1.jpg</v>
      </c>
      <c r="P1100" s="12" t="str">
        <f>HYPERLINK(O1100)</f>
        <v>C:\Users\mbaptista\OneDrive - Biblioteca Nacional de Portugal\Documentos\python\camoniana\imagens\capas\2194758\1\1.jpg</v>
      </c>
      <c r="Q1100" s="12"/>
      <c r="R1100" s="6" t="s">
        <v>188</v>
      </c>
      <c r="S1100" s="12"/>
      <c r="T1100" s="1" t="s">
        <v>1461</v>
      </c>
      <c r="U1100" s="13"/>
      <c r="V1100" s="13"/>
      <c r="W1100" s="5" t="s">
        <v>1491</v>
      </c>
    </row>
    <row r="1101" spans="1:23" ht="225">
      <c r="A1101" s="1">
        <v>2194758</v>
      </c>
      <c r="B1101" s="1">
        <v>1</v>
      </c>
      <c r="C1101" s="1">
        <v>2</v>
      </c>
      <c r="D1101" s="2" t="s">
        <v>1459</v>
      </c>
      <c r="E1101" s="11" t="s">
        <v>1459</v>
      </c>
      <c r="F1101" s="11">
        <v>1880</v>
      </c>
      <c r="G1101" s="2" t="s">
        <v>1494</v>
      </c>
      <c r="H1101" s="2" t="s">
        <v>1495</v>
      </c>
      <c r="I1101" s="2" t="s">
        <v>1496</v>
      </c>
      <c r="J1101" s="2" t="str">
        <f>CONCATENATE(G1101,F1101,H1101,C1101,I1101)</f>
        <v>https://permalinkbnd.bnportugal.gov.pt/viewer/1880/?offset=#page=2&amp;viewer=picture&amp;o=info&amp;n=0&amp;q=</v>
      </c>
      <c r="K1101" s="1" t="s">
        <v>1460</v>
      </c>
      <c r="L1101" s="1" t="str">
        <f>VLOOKUP(A1101,Folha2!$A$2:$B$2019,2,FALSE)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1" s="12" t="str">
        <f>HYPERLINK(J1101)</f>
        <v>https://permalinkbnd.bnportugal.gov.pt/viewer/1880/?offset=#page=2&amp;viewer=picture&amp;o=info&amp;n=0&amp;q=</v>
      </c>
      <c r="N1101" s="12" t="s">
        <v>1497</v>
      </c>
      <c r="O1101" s="12" t="str">
        <f>CONCATENATE(N1101,A1101,"\",B1101,"\",C1101,".jpg")</f>
        <v>C:\Users\mbaptista\OneDrive - Biblioteca Nacional de Portugal\Documentos\python\camoniana\imagens\capas\2194758\1\2.jpg</v>
      </c>
      <c r="P1101" s="12" t="str">
        <f>HYPERLINK(O1101)</f>
        <v>C:\Users\mbaptista\OneDrive - Biblioteca Nacional de Portugal\Documentos\python\camoniana\imagens\capas\2194758\1\2.jpg</v>
      </c>
      <c r="Q1101" s="12"/>
      <c r="R1101" s="6" t="s">
        <v>1462</v>
      </c>
      <c r="S1101" s="12"/>
      <c r="T1101" s="1" t="s">
        <v>1461</v>
      </c>
      <c r="U1101" s="13"/>
      <c r="V1101" s="13"/>
      <c r="W1101" s="5" t="s">
        <v>1491</v>
      </c>
    </row>
    <row r="1102" spans="1:23" ht="225">
      <c r="A1102" s="1">
        <v>2194758</v>
      </c>
      <c r="B1102" s="1">
        <v>1</v>
      </c>
      <c r="C1102" s="1">
        <v>3</v>
      </c>
      <c r="D1102" s="2" t="s">
        <v>1459</v>
      </c>
      <c r="E1102" s="5" t="s">
        <v>1459</v>
      </c>
      <c r="F1102" s="5">
        <v>1880</v>
      </c>
      <c r="G1102" s="2" t="s">
        <v>1494</v>
      </c>
      <c r="H1102" s="2" t="s">
        <v>1495</v>
      </c>
      <c r="I1102" s="2" t="s">
        <v>1496</v>
      </c>
      <c r="J1102" s="2" t="str">
        <f>CONCATENATE(G1102,F1102,H1102,C1102,I1102)</f>
        <v>https://permalinkbnd.bnportugal.gov.pt/viewer/1880/?offset=#page=3&amp;viewer=picture&amp;o=info&amp;n=0&amp;q=</v>
      </c>
      <c r="K1102" s="1" t="s">
        <v>1460</v>
      </c>
      <c r="L1102" s="1" t="str">
        <f>VLOOKUP(A1102,Folha2!$A$2:$B$2019,2,FALSE)</f>
        <v>[A Camões, 10 de Junho de 1580-10 de Junho de 1880 : número de homenagem de "O Atlântico",  N.º 10, 1.º Anno, 13 de Junho de 1880, no tricentenário de Camões]. Textos homenagem, festejos, também sobre a vida do Poeta, e recepção criativa. Iconografia, Lugares de Memória [casa onde morou e faleceu Camões]</v>
      </c>
      <c r="M1102" s="12" t="str">
        <f>HYPERLINK(J1102)</f>
        <v>https://permalinkbnd.bnportugal.gov.pt/viewer/1880/?offset=#page=3&amp;viewer=picture&amp;o=info&amp;n=0&amp;q=</v>
      </c>
      <c r="N1102" s="12" t="s">
        <v>1497</v>
      </c>
      <c r="O1102" s="12" t="str">
        <f>CONCATENATE(N1102,A1102,"\",B1102,"\",C1102,".jpg")</f>
        <v>C:\Users\mbaptista\OneDrive - Biblioteca Nacional de Portugal\Documentos\python\camoniana\imagens\capas\2194758\1\3.jpg</v>
      </c>
      <c r="P1102" s="12" t="str">
        <f>HYPERLINK(O1102)</f>
        <v>C:\Users\mbaptista\OneDrive - Biblioteca Nacional de Portugal\Documentos\python\camoniana\imagens\capas\2194758\1\3.jpg</v>
      </c>
      <c r="Q1102" s="12"/>
      <c r="R1102" s="6" t="s">
        <v>1463</v>
      </c>
      <c r="S1102" s="12"/>
      <c r="T1102" s="1" t="s">
        <v>1461</v>
      </c>
      <c r="U1102" s="13"/>
      <c r="V1102" s="13"/>
      <c r="W1102" s="5" t="s">
        <v>1491</v>
      </c>
    </row>
    <row r="1103" spans="1:23" ht="225">
      <c r="A1103" s="1">
        <v>2194827</v>
      </c>
      <c r="B1103" s="1">
        <v>1</v>
      </c>
      <c r="C1103" s="1">
        <v>1</v>
      </c>
      <c r="D1103" s="2" t="s">
        <v>1464</v>
      </c>
      <c r="E1103" s="11" t="s">
        <v>1464</v>
      </c>
      <c r="F1103" s="11">
        <v>275033</v>
      </c>
      <c r="G1103" s="2" t="s">
        <v>1494</v>
      </c>
      <c r="H1103" s="2" t="s">
        <v>1495</v>
      </c>
      <c r="I1103" s="2" t="s">
        <v>1496</v>
      </c>
      <c r="J1103" s="2" t="str">
        <f>CONCATENATE(G1103,F1103,H1103,C1103,I1103)</f>
        <v>https://permalinkbnd.bnportugal.gov.pt/viewer/275033/?offset=#page=1&amp;viewer=picture&amp;o=info&amp;n=0&amp;q=</v>
      </c>
      <c r="K1103" s="1" t="s">
        <v>1465</v>
      </c>
      <c r="L1103" s="1" t="str">
        <f>VLOOKUP(A1103,Folha2!$A$2:$B$2019,2,FALSE)</f>
        <v>[Homenagem a Camões : número inaugural do "Diario Civilisador", N.º 1, 1.º Anno, 10 de Junho de 1880,  José Fortunato Barreto (Admn.)]. - Lisboa : João Wager Russell Junior, 1880. Sobre os festejos.</v>
      </c>
      <c r="M1103" s="12" t="str">
        <f>HYPERLINK(J1103)</f>
        <v>https://permalinkbnd.bnportugal.gov.pt/viewer/275033/?offset=#page=1&amp;viewer=picture&amp;o=info&amp;n=0&amp;q=</v>
      </c>
      <c r="N1103" s="12" t="s">
        <v>1497</v>
      </c>
      <c r="O1103" s="12" t="str">
        <f>CONCATENATE(N1103,A1103,"\",B1103,"\",C1103,".jpg")</f>
        <v>C:\Users\mbaptista\OneDrive - Biblioteca Nacional de Portugal\Documentos\python\camoniana\imagens\capas\2194827\1\1.jpg</v>
      </c>
      <c r="P1103" s="12" t="str">
        <f>HYPERLINK(O1103)</f>
        <v>C:\Users\mbaptista\OneDrive - Biblioteca Nacional de Portugal\Documentos\python\camoniana\imagens\capas\2194827\1\1.jpg</v>
      </c>
      <c r="Q1103" s="12"/>
      <c r="R1103" s="6" t="s">
        <v>1466</v>
      </c>
      <c r="S1103" s="12"/>
      <c r="T1103" s="1">
        <v>1</v>
      </c>
      <c r="U1103" s="13"/>
      <c r="V1103" s="13"/>
      <c r="W1103" s="5" t="s">
        <v>1491</v>
      </c>
    </row>
    <row r="1104" spans="1:23" ht="225">
      <c r="A1104" s="1">
        <v>2194848</v>
      </c>
      <c r="B1104" s="1">
        <v>1</v>
      </c>
      <c r="C1104" s="1">
        <v>1</v>
      </c>
      <c r="D1104" s="2" t="s">
        <v>1467</v>
      </c>
      <c r="E1104" s="5" t="s">
        <v>1467</v>
      </c>
      <c r="F1104" s="5">
        <v>275038</v>
      </c>
      <c r="G1104" s="2" t="s">
        <v>1494</v>
      </c>
      <c r="H1104" s="2" t="s">
        <v>1495</v>
      </c>
      <c r="I1104" s="2" t="s">
        <v>1496</v>
      </c>
      <c r="J1104" s="2" t="str">
        <f>CONCATENATE(G1104,F1104,H1104,C1104,I1104)</f>
        <v>https://permalinkbnd.bnportugal.gov.pt/viewer/275038/?offset=#page=1&amp;viewer=picture&amp;o=info&amp;n=0&amp;q=</v>
      </c>
      <c r="K1104" s="1" t="s">
        <v>1468</v>
      </c>
      <c r="L1104" s="1" t="str">
        <f>VLOOKUP(A1104,Folha2!$A$2:$B$2019,2,FALSE)</f>
        <v>[Tricentenário de Camões : número dedicado do "Diario de Portugal", Anno IV, N.º 769, quinta-feira, 10 de Junho de 1880]. - Lisboa : Typ. de Cristovão A. Rodrigues, 1880. Prosa.</v>
      </c>
      <c r="M1104" s="12" t="str">
        <f>HYPERLINK(J1104)</f>
        <v>https://permalinkbnd.bnportugal.gov.pt/viewer/275038/?offset=#page=1&amp;viewer=picture&amp;o=info&amp;n=0&amp;q=</v>
      </c>
      <c r="N1104" s="12" t="s">
        <v>1497</v>
      </c>
      <c r="O1104" s="12" t="str">
        <f>CONCATENATE(N1104,A1104,"\",B1104,"\",C1104,".jpg")</f>
        <v>C:\Users\mbaptista\OneDrive - Biblioteca Nacional de Portugal\Documentos\python\camoniana\imagens\capas\2194848\1\1.jpg</v>
      </c>
      <c r="P1104" s="12" t="str">
        <f>HYPERLINK(O1104)</f>
        <v>C:\Users\mbaptista\OneDrive - Biblioteca Nacional de Portugal\Documentos\python\camoniana\imagens\capas\2194848\1\1.jpg</v>
      </c>
      <c r="Q1104" s="12"/>
      <c r="R1104" s="6" t="s">
        <v>1469</v>
      </c>
      <c r="S1104" s="12"/>
      <c r="T1104" s="1">
        <v>1</v>
      </c>
      <c r="U1104" s="13"/>
      <c r="V1104" s="13"/>
      <c r="W1104" s="5" t="s">
        <v>1491</v>
      </c>
    </row>
    <row r="1105" spans="1:23" ht="225">
      <c r="A1105" s="1">
        <v>2194859</v>
      </c>
      <c r="B1105" s="1">
        <v>1</v>
      </c>
      <c r="C1105" s="1">
        <v>1</v>
      </c>
      <c r="D1105" s="2" t="s">
        <v>1470</v>
      </c>
      <c r="E1105" s="11" t="s">
        <v>1470</v>
      </c>
      <c r="F1105" s="11">
        <v>273677</v>
      </c>
      <c r="G1105" s="2" t="s">
        <v>1494</v>
      </c>
      <c r="H1105" s="2" t="s">
        <v>1495</v>
      </c>
      <c r="I1105" s="2" t="s">
        <v>1496</v>
      </c>
      <c r="J1105" s="2" t="str">
        <f>CONCATENATE(G1105,F1105,H1105,C1105,I1105)</f>
        <v>https://permalinkbnd.bnportugal.gov.pt/viewer/273677/?offset=#page=1&amp;viewer=picture&amp;o=info&amp;n=0&amp;q=</v>
      </c>
      <c r="K1105" s="1" t="s">
        <v>1041</v>
      </c>
      <c r="L1105" s="1" t="str">
        <f>VLOOKUP(A1105,Folha2!$A$2:$B$2019,2,FALSE)</f>
        <v xml:space="preserve">[Homenagem a Luís de Camões : número dedicado do jornal "O Partido do Povo", folha republicana, Anno III-1880, N.º 223]. - Lisboa : Typ. do "Partido do Povo", 1880. Vários textos sobre os festejos, excerto biográfico de Ilustres Varões, recepção criativa. Poema de Angelina Vidal, "Hostes devicti sunt!", jornalista, talvez tenha artigos sobre o Poeta; "Ao tri-centenário de Camões" por Beatriz Neves. </v>
      </c>
      <c r="M1105" s="12" t="str">
        <f>HYPERLINK(J1105)</f>
        <v>https://permalinkbnd.bnportugal.gov.pt/viewer/273677/?offset=#page=1&amp;viewer=picture&amp;o=info&amp;n=0&amp;q=</v>
      </c>
      <c r="N1105" s="12" t="s">
        <v>1497</v>
      </c>
      <c r="O1105" s="12" t="str">
        <f>CONCATENATE(N1105,A1105,"\",B1105,"\",C1105,".jpg")</f>
        <v>C:\Users\mbaptista\OneDrive - Biblioteca Nacional de Portugal\Documentos\python\camoniana\imagens\capas\2194859\1\1.jpg</v>
      </c>
      <c r="P1105" s="12" t="str">
        <f>HYPERLINK(O1105)</f>
        <v>C:\Users\mbaptista\OneDrive - Biblioteca Nacional de Portugal\Documentos\python\camoniana\imagens\capas\2194859\1\1.jpg</v>
      </c>
      <c r="Q1105" s="12"/>
      <c r="R1105" s="6" t="s">
        <v>1471</v>
      </c>
      <c r="S1105" s="12"/>
      <c r="T1105" s="1">
        <v>1</v>
      </c>
      <c r="U1105" s="13"/>
      <c r="V1105" s="13"/>
      <c r="W1105" s="5" t="s">
        <v>1491</v>
      </c>
    </row>
    <row r="1106" spans="1:23" ht="225">
      <c r="A1106" s="1">
        <v>2195077</v>
      </c>
      <c r="B1106" s="1">
        <v>1</v>
      </c>
      <c r="C1106" s="1">
        <v>9</v>
      </c>
      <c r="D1106" s="2" t="s">
        <v>1472</v>
      </c>
      <c r="E1106" s="5" t="s">
        <v>1472</v>
      </c>
      <c r="F1106" s="5">
        <v>1880</v>
      </c>
      <c r="G1106" s="2" t="s">
        <v>1494</v>
      </c>
      <c r="H1106" s="2" t="s">
        <v>1495</v>
      </c>
      <c r="I1106" s="2" t="s">
        <v>1496</v>
      </c>
      <c r="J1106" s="2" t="str">
        <f>CONCATENATE(G1106,F1106,H1106,C1106,I1106)</f>
        <v>https://permalinkbnd.bnportugal.gov.pt/viewer/1880/?offset=#page=9&amp;viewer=picture&amp;o=info&amp;n=0&amp;q=</v>
      </c>
      <c r="K1106" s="1">
        <v>9</v>
      </c>
      <c r="L1106" s="1" t="str">
        <f>VLOOKUP(A1106,Folha2!$A$2:$B$2019,2,FALSE)</f>
        <v>À memoria de Luiz de Camões no seu tricentenario em 10 de Junho de 1880 : A Sentinella, semanario bracarense. - Braga : Typographia de Gonçalves Gouvea, 1880. Episódio: Excerto Canto VI, episódio Os doze de Inglaterra e versão livre espanhola do episódio de Inês de Castro.</v>
      </c>
      <c r="M1106" s="12" t="str">
        <f>HYPERLINK(J1106)</f>
        <v>https://permalinkbnd.bnportugal.gov.pt/viewer/1880/?offset=#page=9&amp;viewer=picture&amp;o=info&amp;n=0&amp;q=</v>
      </c>
      <c r="N1106" s="12" t="s">
        <v>1497</v>
      </c>
      <c r="O1106" s="12" t="str">
        <f>CONCATENATE(N1106,A1106,"\",B1106,"\",C1106,".jpg")</f>
        <v>C:\Users\mbaptista\OneDrive - Biblioteca Nacional de Portugal\Documentos\python\camoniana\imagens\capas\2195077\1\9.jpg</v>
      </c>
      <c r="P1106" s="12" t="str">
        <f>HYPERLINK(O1106)</f>
        <v>C:\Users\mbaptista\OneDrive - Biblioteca Nacional de Portugal\Documentos\python\camoniana\imagens\capas\2195077\1\9.jpg</v>
      </c>
      <c r="Q1106" s="12"/>
      <c r="R1106" s="6" t="s">
        <v>52</v>
      </c>
      <c r="S1106" s="12"/>
      <c r="T1106" s="1">
        <v>9</v>
      </c>
      <c r="U1106" s="13"/>
      <c r="V1106" s="13"/>
      <c r="W1106" s="5" t="s">
        <v>1491</v>
      </c>
    </row>
    <row r="1107" spans="1:23" ht="225">
      <c r="A1107" s="1">
        <v>2195085</v>
      </c>
      <c r="B1107" s="1">
        <v>1</v>
      </c>
      <c r="C1107" s="1">
        <v>1</v>
      </c>
      <c r="D1107" s="2" t="s">
        <v>1473</v>
      </c>
      <c r="E1107" s="11" t="s">
        <v>1473</v>
      </c>
      <c r="F1107" s="11">
        <v>273687</v>
      </c>
      <c r="G1107" s="2" t="s">
        <v>1494</v>
      </c>
      <c r="H1107" s="2" t="s">
        <v>1495</v>
      </c>
      <c r="I1107" s="2" t="s">
        <v>1496</v>
      </c>
      <c r="J1107" s="2" t="str">
        <f>CONCATENATE(G1107,F1107,H1107,C1107,I1107)</f>
        <v>https://permalinkbnd.bnportugal.gov.pt/viewer/273687/?offset=#page=1&amp;viewer=picture&amp;o=info&amp;n=0&amp;q=</v>
      </c>
      <c r="K1107" s="1" t="s">
        <v>1041</v>
      </c>
      <c r="L1107" s="1" t="str">
        <f>VLOOKUP(A1107,Folha2!$A$2:$B$2019,2,FALSE)</f>
        <v>[Tricentenário de Camões]. - [Campinas] : Typ. do Diario de Campinas, 1880.</v>
      </c>
      <c r="M1107" s="12" t="str">
        <f>HYPERLINK(J1107)</f>
        <v>https://permalinkbnd.bnportugal.gov.pt/viewer/273687/?offset=#page=1&amp;viewer=picture&amp;o=info&amp;n=0&amp;q=</v>
      </c>
      <c r="N1107" s="12" t="s">
        <v>1497</v>
      </c>
      <c r="O1107" s="12" t="str">
        <f>CONCATENATE(N1107,A1107,"\",B1107,"\",C1107,".jpg")</f>
        <v>C:\Users\mbaptista\OneDrive - Biblioteca Nacional de Portugal\Documentos\python\camoniana\imagens\capas\2195085\1\1.jpg</v>
      </c>
      <c r="P1107" s="12" t="str">
        <f>HYPERLINK(O1107)</f>
        <v>C:\Users\mbaptista\OneDrive - Biblioteca Nacional de Portugal\Documentos\python\camoniana\imagens\capas\2195085\1\1.jpg</v>
      </c>
      <c r="Q1107" s="12"/>
      <c r="R1107" s="6" t="s">
        <v>1474</v>
      </c>
      <c r="S1107" s="12"/>
      <c r="T1107" s="1">
        <v>1</v>
      </c>
      <c r="U1107" s="13"/>
      <c r="V1107" s="13"/>
      <c r="W1107" s="5" t="s">
        <v>1491</v>
      </c>
    </row>
    <row r="1108" spans="1:23" ht="225">
      <c r="A1108" s="1">
        <v>2195086</v>
      </c>
      <c r="B1108" s="1">
        <v>1</v>
      </c>
      <c r="C1108" s="1">
        <v>1</v>
      </c>
      <c r="D1108" s="2" t="s">
        <v>1475</v>
      </c>
      <c r="E1108" s="5" t="s">
        <v>1475</v>
      </c>
      <c r="F1108" s="5">
        <v>273688</v>
      </c>
      <c r="G1108" s="2" t="s">
        <v>1494</v>
      </c>
      <c r="H1108" s="2" t="s">
        <v>1495</v>
      </c>
      <c r="I1108" s="2" t="s">
        <v>1496</v>
      </c>
      <c r="J1108" s="2" t="str">
        <f>CONCATENATE(G1108,F1108,H1108,C1108,I1108)</f>
        <v>https://permalinkbnd.bnportugal.gov.pt/viewer/273688/?offset=#page=1&amp;viewer=picture&amp;o=info&amp;n=0&amp;q=</v>
      </c>
      <c r="K1108" s="1" t="s">
        <v>1041</v>
      </c>
      <c r="L1108" s="1" t="str">
        <f>VLOOKUP(A1108,Folha2!$A$2:$B$2019,2,FALSE)</f>
        <v>Luiz de Camões : homenagem da Gazeta de Noticias. - Rio de Janeiro : Typographia da Gazeta de Noticias, 1880. Textos sobre a vida, entre outros, recepção criativa.</v>
      </c>
      <c r="M1108" s="12" t="str">
        <f>HYPERLINK(J1108)</f>
        <v>https://permalinkbnd.bnportugal.gov.pt/viewer/273688/?offset=#page=1&amp;viewer=picture&amp;o=info&amp;n=0&amp;q=</v>
      </c>
      <c r="N1108" s="12" t="s">
        <v>1497</v>
      </c>
      <c r="O1108" s="12" t="str">
        <f>CONCATENATE(N1108,A1108,"\",B1108,"\",C1108,".jpg")</f>
        <v>C:\Users\mbaptista\OneDrive - Biblioteca Nacional de Portugal\Documentos\python\camoniana\imagens\capas\2195086\1\1.jpg</v>
      </c>
      <c r="P1108" s="12" t="str">
        <f>HYPERLINK(O1108)</f>
        <v>C:\Users\mbaptista\OneDrive - Biblioteca Nacional de Portugal\Documentos\python\camoniana\imagens\capas\2195086\1\1.jpg</v>
      </c>
      <c r="Q1108" s="12"/>
      <c r="R1108" s="6" t="s">
        <v>1476</v>
      </c>
      <c r="S1108" s="12"/>
      <c r="T1108" s="1">
        <v>1</v>
      </c>
      <c r="U1108" s="13"/>
      <c r="V1108" s="13"/>
      <c r="W1108" s="5" t="s">
        <v>1491</v>
      </c>
    </row>
    <row r="1109" spans="1:23" ht="225">
      <c r="A1109" s="1">
        <v>2195089</v>
      </c>
      <c r="B1109" s="1">
        <v>1</v>
      </c>
      <c r="C1109" s="1">
        <v>5</v>
      </c>
      <c r="D1109" s="2" t="s">
        <v>1477</v>
      </c>
      <c r="E1109" s="11" t="s">
        <v>1477</v>
      </c>
      <c r="F1109" s="11">
        <v>277330</v>
      </c>
      <c r="G1109" s="2" t="s">
        <v>1494</v>
      </c>
      <c r="H1109" s="2" t="s">
        <v>1495</v>
      </c>
      <c r="I1109" s="2" t="s">
        <v>1496</v>
      </c>
      <c r="J1109" s="2" t="str">
        <f>CONCATENATE(G1109,F1109,H1109,C1109,I1109)</f>
        <v>https://permalinkbnd.bnportugal.gov.pt/viewer/277330/?offset=#page=5&amp;viewer=picture&amp;o=info&amp;n=0&amp;q=</v>
      </c>
      <c r="K1109" s="1" t="s">
        <v>1478</v>
      </c>
      <c r="L1109" s="1" t="str">
        <f>VLOOKUP(A1109,Folha2!$A$2:$B$2019,2,FALSE)</f>
        <v>O Sorvete á Camões. - [Porto : Imprensa Litterario-Commercial], 1880. Se possível, completar o registo no purl: N.º 107, 3.º Anno, 10 de Junho de 1880. Lugares da memória [Praça de Camões]</v>
      </c>
      <c r="M1109" s="12" t="str">
        <f>HYPERLINK(J1109)</f>
        <v>https://permalinkbnd.bnportugal.gov.pt/viewer/277330/?offset=#page=5&amp;viewer=picture&amp;o=info&amp;n=0&amp;q=</v>
      </c>
      <c r="N1109" s="12" t="s">
        <v>1497</v>
      </c>
      <c r="O1109" s="12" t="str">
        <f>CONCATENATE(N1109,A1109,"\",B1109,"\",C1109,".jpg")</f>
        <v>C:\Users\mbaptista\OneDrive - Biblioteca Nacional de Portugal\Documentos\python\camoniana\imagens\capas\2195089\1\5.jpg</v>
      </c>
      <c r="P1109" s="12" t="str">
        <f>HYPERLINK(O1109)</f>
        <v>C:\Users\mbaptista\OneDrive - Biblioteca Nacional de Portugal\Documentos\python\camoniana\imagens\capas\2195089\1\5.jpg</v>
      </c>
      <c r="Q1109" s="12"/>
      <c r="R1109" s="6" t="s">
        <v>1480</v>
      </c>
      <c r="S1109" s="12"/>
      <c r="T1109" s="1" t="s">
        <v>1479</v>
      </c>
      <c r="U1109" s="13"/>
      <c r="V1109" s="13"/>
      <c r="W1109" s="5" t="s">
        <v>1491</v>
      </c>
    </row>
    <row r="1110" spans="1:23" ht="225">
      <c r="A1110" s="1">
        <v>2195089</v>
      </c>
      <c r="B1110" s="1">
        <v>1</v>
      </c>
      <c r="C1110" s="1">
        <v>7</v>
      </c>
      <c r="D1110" s="2" t="s">
        <v>1477</v>
      </c>
      <c r="E1110" s="5" t="s">
        <v>1477</v>
      </c>
      <c r="F1110" s="5">
        <v>277330</v>
      </c>
      <c r="G1110" s="2" t="s">
        <v>1494</v>
      </c>
      <c r="H1110" s="2" t="s">
        <v>1495</v>
      </c>
      <c r="I1110" s="2" t="s">
        <v>1496</v>
      </c>
      <c r="J1110" s="2" t="str">
        <f>CONCATENATE(G1110,F1110,H1110,C1110,I1110)</f>
        <v>https://permalinkbnd.bnportugal.gov.pt/viewer/277330/?offset=#page=7&amp;viewer=picture&amp;o=info&amp;n=0&amp;q=</v>
      </c>
      <c r="K1110" s="1" t="s">
        <v>1478</v>
      </c>
      <c r="L1110" s="1" t="str">
        <f>VLOOKUP(A1110,Folha2!$A$2:$B$2019,2,FALSE)</f>
        <v>O Sorvete á Camões. - [Porto : Imprensa Litterario-Commercial], 1880. Se possível, completar o registo no purl: N.º 107, 3.º Anno, 10 de Junho de 1880. Lugares da memória [Praça de Camões]</v>
      </c>
      <c r="M1110" s="12" t="str">
        <f>HYPERLINK(J1110)</f>
        <v>https://permalinkbnd.bnportugal.gov.pt/viewer/277330/?offset=#page=7&amp;viewer=picture&amp;o=info&amp;n=0&amp;q=</v>
      </c>
      <c r="N1110" s="12" t="s">
        <v>1497</v>
      </c>
      <c r="O1110" s="12" t="str">
        <f>CONCATENATE(N1110,A1110,"\",B1110,"\",C1110,".jpg")</f>
        <v>C:\Users\mbaptista\OneDrive - Biblioteca Nacional de Portugal\Documentos\python\camoniana\imagens\capas\2195089\1\7.jpg</v>
      </c>
      <c r="P1110" s="12" t="str">
        <f>HYPERLINK(O1110)</f>
        <v>C:\Users\mbaptista\OneDrive - Biblioteca Nacional de Portugal\Documentos\python\camoniana\imagens\capas\2195089\1\7.jpg</v>
      </c>
      <c r="Q1110" s="12"/>
      <c r="R1110" s="6" t="s">
        <v>1481</v>
      </c>
      <c r="S1110" s="12"/>
      <c r="T1110" s="1" t="s">
        <v>1479</v>
      </c>
      <c r="U1110" s="13"/>
      <c r="V1110" s="13"/>
      <c r="W1110" s="5" t="s">
        <v>1491</v>
      </c>
    </row>
    <row r="1111" spans="1:23" ht="225">
      <c r="A1111" s="1">
        <v>2195089</v>
      </c>
      <c r="B1111" s="1">
        <v>1</v>
      </c>
      <c r="C1111" s="1">
        <v>8</v>
      </c>
      <c r="D1111" s="2" t="s">
        <v>1477</v>
      </c>
      <c r="E1111" s="11" t="s">
        <v>1477</v>
      </c>
      <c r="F1111" s="11">
        <v>277330</v>
      </c>
      <c r="G1111" s="2" t="s">
        <v>1494</v>
      </c>
      <c r="H1111" s="2" t="s">
        <v>1495</v>
      </c>
      <c r="I1111" s="2" t="s">
        <v>1496</v>
      </c>
      <c r="J1111" s="2" t="str">
        <f>CONCATENATE(G1111,F1111,H1111,C1111,I1111)</f>
        <v>https://permalinkbnd.bnportugal.gov.pt/viewer/277330/?offset=#page=8&amp;viewer=picture&amp;o=info&amp;n=0&amp;q=</v>
      </c>
      <c r="K1111" s="1" t="s">
        <v>1478</v>
      </c>
      <c r="L1111" s="1" t="str">
        <f>VLOOKUP(A1111,Folha2!$A$2:$B$2019,2,FALSE)</f>
        <v>O Sorvete á Camões. - [Porto : Imprensa Litterario-Commercial], 1880. Se possível, completar o registo no purl: N.º 107, 3.º Anno, 10 de Junho de 1880. Lugares da memória [Praça de Camões]</v>
      </c>
      <c r="M1111" s="12" t="str">
        <f>HYPERLINK(J1111)</f>
        <v>https://permalinkbnd.bnportugal.gov.pt/viewer/277330/?offset=#page=8&amp;viewer=picture&amp;o=info&amp;n=0&amp;q=</v>
      </c>
      <c r="N1111" s="12" t="s">
        <v>1497</v>
      </c>
      <c r="O1111" s="12" t="str">
        <f>CONCATENATE(N1111,A1111,"\",B1111,"\",C1111,".jpg")</f>
        <v>C:\Users\mbaptista\OneDrive - Biblioteca Nacional de Portugal\Documentos\python\camoniana\imagens\capas\2195089\1\8.jpg</v>
      </c>
      <c r="P1111" s="12" t="str">
        <f>HYPERLINK(O1111)</f>
        <v>C:\Users\mbaptista\OneDrive - Biblioteca Nacional de Portugal\Documentos\python\camoniana\imagens\capas\2195089\1\8.jpg</v>
      </c>
      <c r="Q1111" s="12"/>
      <c r="R1111" s="6" t="s">
        <v>1482</v>
      </c>
      <c r="S1111" s="12"/>
      <c r="T1111" s="1" t="s">
        <v>1479</v>
      </c>
      <c r="U1111" s="13"/>
      <c r="V1111" s="13"/>
      <c r="W1111" s="5" t="s">
        <v>1491</v>
      </c>
    </row>
    <row r="1112" spans="1:23" ht="225">
      <c r="A1112" s="1">
        <v>2195089</v>
      </c>
      <c r="B1112" s="1">
        <v>1</v>
      </c>
      <c r="C1112" s="1">
        <v>9</v>
      </c>
      <c r="D1112" s="2" t="s">
        <v>1477</v>
      </c>
      <c r="E1112" s="5" t="s">
        <v>1477</v>
      </c>
      <c r="F1112" s="5">
        <v>277330</v>
      </c>
      <c r="G1112" s="2" t="s">
        <v>1494</v>
      </c>
      <c r="H1112" s="2" t="s">
        <v>1495</v>
      </c>
      <c r="I1112" s="2" t="s">
        <v>1496</v>
      </c>
      <c r="J1112" s="2" t="str">
        <f>CONCATENATE(G1112,F1112,H1112,C1112,I1112)</f>
        <v>https://permalinkbnd.bnportugal.gov.pt/viewer/277330/?offset=#page=9&amp;viewer=picture&amp;o=info&amp;n=0&amp;q=</v>
      </c>
      <c r="K1112" s="1" t="s">
        <v>1478</v>
      </c>
      <c r="L1112" s="1" t="str">
        <f>VLOOKUP(A1112,Folha2!$A$2:$B$2019,2,FALSE)</f>
        <v>O Sorvete á Camões. - [Porto : Imprensa Litterario-Commercial], 1880. Se possível, completar o registo no purl: N.º 107, 3.º Anno, 10 de Junho de 1880. Lugares da memória [Praça de Camões]</v>
      </c>
      <c r="M1112" s="12" t="str">
        <f>HYPERLINK(J1112)</f>
        <v>https://permalinkbnd.bnportugal.gov.pt/viewer/277330/?offset=#page=9&amp;viewer=picture&amp;o=info&amp;n=0&amp;q=</v>
      </c>
      <c r="N1112" s="12" t="s">
        <v>1497</v>
      </c>
      <c r="O1112" s="12" t="str">
        <f>CONCATENATE(N1112,A1112,"\",B1112,"\",C1112,".jpg")</f>
        <v>C:\Users\mbaptista\OneDrive - Biblioteca Nacional de Portugal\Documentos\python\camoniana\imagens\capas\2195089\1\9.jpg</v>
      </c>
      <c r="P1112" s="12" t="str">
        <f>HYPERLINK(O1112)</f>
        <v>C:\Users\mbaptista\OneDrive - Biblioteca Nacional de Portugal\Documentos\python\camoniana\imagens\capas\2195089\1\9.jpg</v>
      </c>
      <c r="Q1112" s="12"/>
      <c r="R1112" s="6" t="s">
        <v>1483</v>
      </c>
      <c r="S1112" s="12"/>
      <c r="T1112" s="1" t="s">
        <v>1479</v>
      </c>
      <c r="U1112" s="13"/>
      <c r="V1112" s="13"/>
      <c r="W1112" s="5" t="s">
        <v>1491</v>
      </c>
    </row>
    <row r="1113" spans="1:23" ht="225">
      <c r="A1113" s="1">
        <v>2195089</v>
      </c>
      <c r="B1113" s="1">
        <v>1</v>
      </c>
      <c r="C1113" s="1">
        <v>10</v>
      </c>
      <c r="D1113" s="2" t="s">
        <v>1477</v>
      </c>
      <c r="E1113" s="11" t="s">
        <v>1477</v>
      </c>
      <c r="F1113" s="11">
        <v>277330</v>
      </c>
      <c r="G1113" s="2" t="s">
        <v>1494</v>
      </c>
      <c r="H1113" s="2" t="s">
        <v>1495</v>
      </c>
      <c r="I1113" s="2" t="s">
        <v>1496</v>
      </c>
      <c r="J1113" s="2" t="str">
        <f>CONCATENATE(G1113,F1113,H1113,C1113,I1113)</f>
        <v>https://permalinkbnd.bnportugal.gov.pt/viewer/277330/?offset=#page=10&amp;viewer=picture&amp;o=info&amp;n=0&amp;q=</v>
      </c>
      <c r="K1113" s="1" t="s">
        <v>1478</v>
      </c>
      <c r="L1113" s="1" t="str">
        <f>VLOOKUP(A1113,Folha2!$A$2:$B$2019,2,FALSE)</f>
        <v>O Sorvete á Camões. - [Porto : Imprensa Litterario-Commercial], 1880. Se possível, completar o registo no purl: N.º 107, 3.º Anno, 10 de Junho de 1880. Lugares da memória [Praça de Camões]</v>
      </c>
      <c r="M1113" s="12" t="str">
        <f>HYPERLINK(J1113)</f>
        <v>https://permalinkbnd.bnportugal.gov.pt/viewer/277330/?offset=#page=10&amp;viewer=picture&amp;o=info&amp;n=0&amp;q=</v>
      </c>
      <c r="N1113" s="12" t="s">
        <v>1497</v>
      </c>
      <c r="O1113" s="12" t="str">
        <f>CONCATENATE(N1113,A1113,"\",B1113,"\",C1113,".jpg")</f>
        <v>C:\Users\mbaptista\OneDrive - Biblioteca Nacional de Portugal\Documentos\python\camoniana\imagens\capas\2195089\1\10.jpg</v>
      </c>
      <c r="P1113" s="12" t="str">
        <f>HYPERLINK(O1113)</f>
        <v>C:\Users\mbaptista\OneDrive - Biblioteca Nacional de Portugal\Documentos\python\camoniana\imagens\capas\2195089\1\10.jpg</v>
      </c>
      <c r="Q1113" s="12"/>
      <c r="R1113" s="6" t="s">
        <v>1484</v>
      </c>
      <c r="S1113" s="12"/>
      <c r="T1113" s="1" t="s">
        <v>1479</v>
      </c>
      <c r="U1113" s="13"/>
      <c r="V1113" s="13"/>
      <c r="W1113" s="5" t="s">
        <v>1491</v>
      </c>
    </row>
    <row r="1114" spans="1:23" ht="225">
      <c r="A1114" s="1">
        <v>2195089</v>
      </c>
      <c r="B1114" s="1">
        <v>1</v>
      </c>
      <c r="C1114" s="1">
        <v>11</v>
      </c>
      <c r="D1114" s="2" t="s">
        <v>1477</v>
      </c>
      <c r="E1114" s="5" t="s">
        <v>1477</v>
      </c>
      <c r="F1114" s="5">
        <v>277330</v>
      </c>
      <c r="G1114" s="2" t="s">
        <v>1494</v>
      </c>
      <c r="H1114" s="2" t="s">
        <v>1495</v>
      </c>
      <c r="I1114" s="2" t="s">
        <v>1496</v>
      </c>
      <c r="J1114" s="2" t="str">
        <f>CONCATENATE(G1114,F1114,H1114,C1114,I1114)</f>
        <v>https://permalinkbnd.bnportugal.gov.pt/viewer/277330/?offset=#page=11&amp;viewer=picture&amp;o=info&amp;n=0&amp;q=</v>
      </c>
      <c r="K1114" s="1" t="s">
        <v>1478</v>
      </c>
      <c r="L1114" s="1" t="str">
        <f>VLOOKUP(A1114,Folha2!$A$2:$B$2019,2,FALSE)</f>
        <v>O Sorvete á Camões. - [Porto : Imprensa Litterario-Commercial], 1880. Se possível, completar o registo no purl: N.º 107, 3.º Anno, 10 de Junho de 1880. Lugares da memória [Praça de Camões]</v>
      </c>
      <c r="M1114" s="12" t="str">
        <f>HYPERLINK(J1114)</f>
        <v>https://permalinkbnd.bnportugal.gov.pt/viewer/277330/?offset=#page=11&amp;viewer=picture&amp;o=info&amp;n=0&amp;q=</v>
      </c>
      <c r="N1114" s="12" t="s">
        <v>1497</v>
      </c>
      <c r="O1114" s="12" t="str">
        <f>CONCATENATE(N1114,A1114,"\",B1114,"\",C1114,".jpg")</f>
        <v>C:\Users\mbaptista\OneDrive - Biblioteca Nacional de Portugal\Documentos\python\camoniana\imagens\capas\2195089\1\11.jpg</v>
      </c>
      <c r="P1114" s="12" t="str">
        <f>HYPERLINK(O1114)</f>
        <v>C:\Users\mbaptista\OneDrive - Biblioteca Nacional de Portugal\Documentos\python\camoniana\imagens\capas\2195089\1\11.jpg</v>
      </c>
      <c r="Q1114" s="12"/>
      <c r="R1114" s="6" t="s">
        <v>1485</v>
      </c>
      <c r="S1114" s="12"/>
      <c r="T1114" s="1" t="s">
        <v>1479</v>
      </c>
      <c r="U1114" s="13"/>
      <c r="V1114" s="13"/>
      <c r="W1114" s="5" t="s">
        <v>1491</v>
      </c>
    </row>
    <row r="1115" spans="1:23" ht="225">
      <c r="A1115" s="1">
        <v>2195091</v>
      </c>
      <c r="B1115" s="1">
        <v>1</v>
      </c>
      <c r="C1115" s="1">
        <v>5</v>
      </c>
      <c r="D1115" s="2" t="s">
        <v>1486</v>
      </c>
      <c r="E1115" s="11" t="s">
        <v>1486</v>
      </c>
      <c r="F1115" s="11">
        <v>277332</v>
      </c>
      <c r="G1115" s="2" t="s">
        <v>1494</v>
      </c>
      <c r="H1115" s="2" t="s">
        <v>1495</v>
      </c>
      <c r="I1115" s="2" t="s">
        <v>1496</v>
      </c>
      <c r="J1115" s="2" t="str">
        <f>CONCATENATE(G1115,F1115,H1115,C1115,I1115)</f>
        <v>https://permalinkbnd.bnportugal.gov.pt/viewer/277332/?offset=#page=5&amp;viewer=picture&amp;o=info&amp;n=0&amp;q=</v>
      </c>
      <c r="K1115" s="1" t="s">
        <v>1284</v>
      </c>
      <c r="L1115" s="1" t="str">
        <f>VLOOKUP(A1115,Folha2!$A$2:$B$2019,2,FALSE)</f>
        <v>[Tricentenário de Luís de Camões : número dedicado de "O Dez de Março"]. - Porto : Typ. Fraga Lamares, 1880. Textos e recepção criativa: "Lo que quisera, trova" por Luisa Durán León, (Madrid? 1845 - ¿?) Pianista, escritora, mas não sei se tem produção sobre Camões. Se possível, completar o registo no purl: I Anno, N.º 206, sábado, 12 de Junho de 1880.</v>
      </c>
      <c r="M1115" s="12" t="str">
        <f>HYPERLINK(J1115)</f>
        <v>https://permalinkbnd.bnportugal.gov.pt/viewer/277332/?offset=#page=5&amp;viewer=picture&amp;o=info&amp;n=0&amp;q=</v>
      </c>
      <c r="N1115" s="12" t="s">
        <v>1497</v>
      </c>
      <c r="O1115" s="12" t="str">
        <f>CONCATENATE(N1115,A1115,"\",B1115,"\",C1115,".jpg")</f>
        <v>C:\Users\mbaptista\OneDrive - Biblioteca Nacional de Portugal\Documentos\python\camoniana\imagens\capas\2195091\1\5.jpg</v>
      </c>
      <c r="P1115" s="12" t="str">
        <f>HYPERLINK(O1115)</f>
        <v>C:\Users\mbaptista\OneDrive - Biblioteca Nacional de Portugal\Documentos\python\camoniana\imagens\capas\2195091\1\5.jpg</v>
      </c>
      <c r="Q1115" s="12"/>
      <c r="R1115" s="6" t="s">
        <v>1487</v>
      </c>
      <c r="S1115" s="12"/>
      <c r="T1115" s="1">
        <v>5</v>
      </c>
      <c r="U1115" s="13"/>
      <c r="V1115" s="13"/>
      <c r="W1115" s="5" t="s">
        <v>1491</v>
      </c>
    </row>
    <row r="1116" spans="1:23" ht="225">
      <c r="A1116" s="1">
        <v>2195211</v>
      </c>
      <c r="B1116" s="1">
        <v>1</v>
      </c>
      <c r="C1116" s="1">
        <v>11</v>
      </c>
      <c r="D1116" s="2" t="s">
        <v>1488</v>
      </c>
      <c r="E1116" s="5" t="s">
        <v>1488</v>
      </c>
      <c r="F1116" s="5">
        <v>277834</v>
      </c>
      <c r="G1116" s="2" t="s">
        <v>1494</v>
      </c>
      <c r="H1116" s="2" t="s">
        <v>1495</v>
      </c>
      <c r="I1116" s="2" t="s">
        <v>1496</v>
      </c>
      <c r="J1116" s="2" t="str">
        <f>CONCATENATE(G1116,F1116,H1116,C1116,I1116)</f>
        <v>https://permalinkbnd.bnportugal.gov.pt/viewer/277834/?offset=#page=11&amp;viewer=picture&amp;o=info&amp;n=0&amp;q=</v>
      </c>
      <c r="K1116" s="1" t="s">
        <v>1489</v>
      </c>
      <c r="L1116" s="1" t="str">
        <f>VLOOKUP(A1116,Folha2!$A$2:$B$2019,2,FALSE)</f>
        <v>[O Tricentenário de Luís de Camões nos "Annaes do Club Militar Naval"]. - Lisboa : Typ. Universal, 1880. Referência às festas do centenário em "Os navios de Vasco da Gama", com breves menções a Camões e a Os Lusíadas nos discursos. Imagens de Navio do século XVI e Nau S. Gabriel, cf. Im. 11, incluir Iconografia, outros? Se possível, completar o registo no purl: N.º 9.</v>
      </c>
      <c r="M1116" s="12" t="str">
        <f>HYPERLINK(J1116)</f>
        <v>https://permalinkbnd.bnportugal.gov.pt/viewer/277834/?offset=#page=11&amp;viewer=picture&amp;o=info&amp;n=0&amp;q=</v>
      </c>
      <c r="N1116" s="12" t="s">
        <v>1497</v>
      </c>
      <c r="O1116" s="12" t="str">
        <f>CONCATENATE(N1116,A1116,"\",B1116,"\",C1116,".jpg")</f>
        <v>C:\Users\mbaptista\OneDrive - Biblioteca Nacional de Portugal\Documentos\python\camoniana\imagens\capas\2195211\1\11.jpg</v>
      </c>
      <c r="P1116" s="12" t="str">
        <f>HYPERLINK(O1116)</f>
        <v>C:\Users\mbaptista\OneDrive - Biblioteca Nacional de Portugal\Documentos\python\camoniana\imagens\capas\2195211\1\11.jpg</v>
      </c>
      <c r="Q1116" s="12"/>
      <c r="R1116" s="6" t="s">
        <v>1490</v>
      </c>
      <c r="S1116" s="12"/>
      <c r="T1116" s="1"/>
      <c r="U1116" s="13"/>
      <c r="V1116" s="13"/>
      <c r="W1116" s="5" t="s">
        <v>1491</v>
      </c>
    </row>
  </sheetData>
  <hyperlinks>
    <hyperlink ref="R2" r:id="rId1" location="page=1&amp;viewer=picture&amp;o=info&amp;n=0&amp;q=" xr:uid="{7A5EE0AE-155F-42CC-A4C8-4F0FDC82F56F}"/>
    <hyperlink ref="R24" r:id="rId2" location="page=499&amp;viewer=picture&amp;o=info&amp;n=0&amp;q=" display="https://permalinkbnd.bnportugal.gov.pt/viewer/274089/?offset= - page=499&amp;viewer=picture&amp;o=info&amp;n=0&amp;q=" xr:uid="{2B0E0F89-7A4C-4C7F-8635-8DCBC7EF115A}"/>
    <hyperlink ref="R52" r:id="rId3" location="page=644&amp;viewer=picture&amp;o=info&amp;n=0&amp;q=" display="https://permalinkbnd.bnportugal.gov.pt/viewer/271573/?offset= - page=644&amp;viewer=picture&amp;o=info&amp;n=0&amp;q=" xr:uid="{10414EA6-8ED3-4DEC-AF1C-B0A388013301}"/>
    <hyperlink ref="R53" r:id="rId4" location="page=8&amp;viewer=picture&amp;o=info&amp;n=0&amp;q=" display="https://permalinkbnd.bnportugal.gov.pt/viewer/274087/?offset= - page=8&amp;viewer=picture&amp;o=info&amp;n=0&amp;q=" xr:uid="{628B4B42-FEB1-458D-BE6A-F2E4631EC9CB}"/>
    <hyperlink ref="R54" r:id="rId5" location="page=11&amp;viewer=picture&amp;o=info&amp;n=0&amp;q=" display="https://permalinkbnd.bnportugal.gov.pt/viewer/281141/?offset= - page=11&amp;viewer=picture&amp;o=info&amp;n=0&amp;q=" xr:uid="{1404C563-9BFB-4F3E-937F-6D521B0E5ACB}"/>
    <hyperlink ref="R55" r:id="rId6" location="page=1&amp;viewer=picture&amp;o=info&amp;n=0&amp;q=" display="https://permalinkbnd.bnportugal.gov.pt/viewer/273118/?offset= - page=1&amp;viewer=picture&amp;o=info&amp;n=0&amp;q=" xr:uid="{4084D5E4-B1F5-42CF-AC5C-4A94D999140B}"/>
    <hyperlink ref="R56" r:id="rId7" location="page=5&amp;viewer=picture&amp;o=info&amp;n=0&amp;q=" display="https://permalinkbnd.bnportugal.gov.pt/viewer/270037/?offset= - page=5&amp;viewer=picture&amp;o=info&amp;n=0&amp;q=" xr:uid="{28646F80-73AE-41B3-BBEF-02D61CD70182}"/>
    <hyperlink ref="R57" r:id="rId8" location="page=7&amp;viewer=picture&amp;o=info&amp;n=0&amp;q=" display="https://permalinkbnd.bnportugal.gov.pt/viewer/270109/?offset= - page=7&amp;viewer=picture&amp;o=info&amp;n=0&amp;q=" xr:uid="{06846B0A-9DA4-4677-B68B-72CB71496B77}"/>
    <hyperlink ref="R58" r:id="rId9" location="page=19&amp;viewer=picture&amp;o=info&amp;n=0&amp;q=" display="https://permalinkbnd.bnportugal.gov.pt/viewer/270109/?offset= - page=19&amp;viewer=picture&amp;o=info&amp;n=0&amp;q=" xr:uid="{C59AB8C2-ECDD-42BD-9E87-F29CA79F632D}"/>
    <hyperlink ref="R59" r:id="rId10" location="page=23&amp;viewer=picture&amp;o=info&amp;n=0&amp;q=" display="https://permalinkbnd.bnportugal.gov.pt/viewer/270109/?offset= - page=23&amp;viewer=picture&amp;o=info&amp;n=0&amp;q=" xr:uid="{7B8FBF7D-8F95-41DC-98E2-64A57EF70F9F}"/>
    <hyperlink ref="R60" r:id="rId11" location="page=11&amp;viewer=picture&amp;o=info&amp;n=0&amp;q=" display="https://permalinkbnd.bnportugal.gov.pt/viewer/273316/?offset= - page=11&amp;viewer=picture&amp;o=info&amp;n=0&amp;q=" xr:uid="{E716F974-C681-4BD9-BBE2-1FDC787AD273}"/>
    <hyperlink ref="R61" r:id="rId12" location="page=3&amp;viewer=picture&amp;o=info&amp;n=0&amp;q=" display="https://permalinkbnd.bnportugal.gov.pt/viewer/271559/?offset= - page=3&amp;viewer=picture&amp;o=info&amp;n=0&amp;q=" xr:uid="{C6F91E8D-47A2-4752-AB83-69E968A84513}"/>
    <hyperlink ref="R62" r:id="rId13" location="page=6&amp;viewer=picture&amp;o=info&amp;n=0&amp;q=" display="https://permalinkbnd.bnportugal.gov.pt/viewer/274171/?offset= - page=6&amp;viewer=picture&amp;o=info&amp;n=0&amp;q=" xr:uid="{E0EC7990-7BEA-4186-AED1-B49006EADDFD}"/>
    <hyperlink ref="R63" r:id="rId14" location="page=14&amp;viewer=picture&amp;o=info&amp;n=0&amp;q=" display="https://permalinkbnd.bnportugal.gov.pt/viewer/274229/?offset= - page=14&amp;viewer=picture&amp;o=info&amp;n=0&amp;q=" xr:uid="{0B962713-4737-4657-8D9F-C20C0127D800}"/>
    <hyperlink ref="R64" r:id="rId15" location="page=7&amp;viewer=picture&amp;o=info&amp;n=0&amp;q=" display="https://permalinkbnd.bnportugal.gov.pt/viewer/274235/?offset= - page=7&amp;viewer=picture&amp;o=info&amp;n=0&amp;q=" xr:uid="{AE034651-76B1-4AE6-AFC6-B976016F6C68}"/>
    <hyperlink ref="R65" r:id="rId16" location="page=13&amp;viewer=picture&amp;o=info&amp;n=0&amp;q=" display="https://permalinkbnd.bnportugal.gov.pt/viewer/274235/?offset= - page=13&amp;viewer=picture&amp;o=info&amp;n=0&amp;q=" xr:uid="{52D61A93-80BA-4660-B0C2-A0C9E629E604}"/>
    <hyperlink ref="R66" r:id="rId17" location="page=15&amp;viewer=picture&amp;o=info&amp;n=0&amp;q=" display="https://permalinkbnd.bnportugal.gov.pt/viewer/274235/?offset= - page=15&amp;viewer=picture&amp;o=info&amp;n=0&amp;q=" xr:uid="{7DF8C90D-B94E-41B5-80E0-4EF8D29B3195}"/>
    <hyperlink ref="R67" r:id="rId18" location="page=9&amp;viewer=picture&amp;o=info&amp;n=0&amp;q=" display="https://permalinkbnd.bnportugal.gov.pt/viewer/1880/?offset= - page=9&amp;viewer=picture&amp;o=info&amp;n=0&amp;q=" xr:uid="{AC8EEFA5-23A9-48FE-B8C1-0663A47B0624}"/>
    <hyperlink ref="R70" r:id="rId19" location="page=15&amp;viewer=picture&amp;o=info&amp;n=0&amp;q=" display="https://permalinkbnd.bnportugal.gov.pt/viewer/273149/?offset= - page=15&amp;viewer=picture&amp;o=info&amp;n=0&amp;q=" xr:uid="{8D141FC7-A66D-41C9-8C2B-391EC179E7E5}"/>
    <hyperlink ref="R71" r:id="rId20" location="page=1&amp;viewer=picture&amp;o=info&amp;n=0&amp;q=" display="https://permalinkbnd.bnportugal.gov.pt/viewer/274256/?offset= - page=1&amp;viewer=picture&amp;o=info&amp;n=0&amp;q=" xr:uid="{C77FCF5C-8366-43C7-B672-0FC8F4A54003}"/>
    <hyperlink ref="R72" r:id="rId21" location="page=1&amp;viewer=picture&amp;o=info&amp;n=0&amp;q=" display="https://permalinkbnd.bnportugal.gov.pt/viewer/273122/?offset= - page=1&amp;viewer=picture&amp;o=info&amp;n=0&amp;q=" xr:uid="{432874D6-6E84-4FE8-88BD-06ABBE4F5154}"/>
    <hyperlink ref="R73" r:id="rId22" location="page=1&amp;viewer=picture&amp;o=info&amp;n=0&amp;q=" display="https://permalinkbnd.bnportugal.gov.pt/viewer/273124/?offset= - page=1&amp;viewer=picture&amp;o=info&amp;n=0&amp;q=" xr:uid="{7C34D7DE-2DB6-4C7E-AAEF-7492BF1C35E4}"/>
    <hyperlink ref="R74" r:id="rId23" location="page=1&amp;viewer=picture&amp;o=info&amp;n=0&amp;q=" display="https://permalinkbnd.bnportugal.gov.pt/viewer/36059/?offset= - page=1&amp;viewer=picture&amp;o=info&amp;n=0&amp;q=" xr:uid="{B7F516EC-6892-4618-AC51-78C1D3A906A6}"/>
    <hyperlink ref="R75" r:id="rId24" location="page=11&amp;viewer=picture&amp;o=info&amp;n=0&amp;q=" display="https://permalinkbnd.bnportugal.gov.pt/viewer/273150/?offset= - page=11&amp;viewer=picture&amp;o=info&amp;n=0&amp;q=" xr:uid="{11724AE4-51A4-4273-A670-A3ED77483982}"/>
    <hyperlink ref="R77" r:id="rId25" location="page=6&amp;viewer=picture&amp;o=info&amp;n=0&amp;q=" display="https://permalinkbnd.bnportugal.gov.pt/viewer/272368/?offset= - page=6&amp;viewer=picture&amp;o=info&amp;n=0&amp;q=" xr:uid="{F1E04284-3174-463A-A7BB-6102EFEAA7AC}"/>
    <hyperlink ref="R79" r:id="rId26" location="page=7&amp;viewer=picture&amp;o=info&amp;n=0&amp;q=" display="https://permalinkbnd.bnportugal.gov.pt/viewer/274090/?offset= - page=7&amp;viewer=picture&amp;o=info&amp;n=0&amp;q=" xr:uid="{1A34F2E5-EFF3-4C4C-9558-181484B4785A}"/>
    <hyperlink ref="R81" r:id="rId27" location="page=14&amp;viewer=picture&amp;o=info&amp;n=0&amp;q=" display="https://permalinkbnd.bnportugal.gov.pt/viewer/274172/?offset= - page=14&amp;viewer=picture&amp;o=info&amp;n=0&amp;q=" xr:uid="{F2E1D4DA-C3F5-4BE9-BB93-B6B6681F1575}"/>
    <hyperlink ref="R82" r:id="rId28" location="page=11&amp;viewer=picture&amp;o=info&amp;n=0&amp;q=" display="https://permalinkbnd.bnportugal.gov.pt/viewer/273148/?offset= - page=11&amp;viewer=picture&amp;o=info&amp;n=0&amp;q=" xr:uid="{D8A27D1F-4BBC-492D-8F3F-0AF88FE29948}"/>
    <hyperlink ref="R83" r:id="rId29" location="page=9&amp;viewer=picture&amp;o=info&amp;n=0&amp;q=" display="https://permalinkbnd.bnportugal.gov.pt/viewer/274230/?offset= - page=9&amp;viewer=picture&amp;o=info&amp;n=0&amp;q=" xr:uid="{E24FC4F5-B724-4661-9A32-38332486B230}"/>
    <hyperlink ref="R84" r:id="rId30" location="page=9&amp;viewer=picture&amp;o=info&amp;n=0&amp;q=" display="https://permalinkbnd.bnportugal.gov.pt/viewer/1576/?offset= - page=9&amp;viewer=picture&amp;o=info&amp;n=0&amp;q=" xr:uid="{28837079-5DB7-41C4-8E3F-FD9F43BDEE9C}"/>
    <hyperlink ref="R86" r:id="rId31" location="page=3&amp;viewer=picture&amp;o=info&amp;n=0&amp;q=" display="https://permalinkbnd.bnportugal.gov.pt/viewer/273125/?offset= - page=3&amp;viewer=picture&amp;o=info&amp;n=0&amp;q=" xr:uid="{17A3F1E4-448D-4A9C-BDE3-2FAEB4D6FAAE}"/>
    <hyperlink ref="R87" r:id="rId32" location="page=1&amp;viewer=picture&amp;o=info&amp;n=0&amp;q=" display="https://permalinkbnd.bnportugal.gov.pt/viewer/3/?offset= - page=1&amp;viewer=picture&amp;o=info&amp;n=0&amp;q=" xr:uid="{FFA4D538-D2D2-4A5E-9F07-DC6FA12F943E}"/>
    <hyperlink ref="R88" r:id="rId33" location="page=1&amp;viewer=picture&amp;o=info&amp;n=0&amp;q=" display="https://permalinkbnd.bnportugal.gov.pt/viewer/274260/?offset= - page=1&amp;viewer=picture&amp;o=info&amp;n=0&amp;q=" xr:uid="{722BAF7E-5425-49CC-8CA3-AD89F983D672}"/>
    <hyperlink ref="R89" r:id="rId34" location="page=16&amp;viewer=picture&amp;o=info&amp;n=0&amp;q=" display="https://permalinkbnd.bnportugal.gov.pt/viewer/274280/?offset= - page=16&amp;viewer=picture&amp;o=info&amp;n=0&amp;q=" xr:uid="{1123FE40-8470-4875-A09C-18A51B60BB60}"/>
    <hyperlink ref="R90" r:id="rId35" location="page=22&amp;viewer=picture&amp;o=info&amp;n=0&amp;q=" display="https://permalinkbnd.bnportugal.gov.pt/viewer/274280/?offset= - page=22&amp;viewer=picture&amp;o=info&amp;n=0&amp;q=" xr:uid="{54B3B6E3-1985-4A8D-AADB-E0510D9EAB4A}"/>
    <hyperlink ref="R91" r:id="rId36" location="page=9&amp;viewer=picture&amp;o=info&amp;n=0&amp;q=" display="https://permalinkbnd.bnportugal.gov.pt/viewer/273560/?offset= - page=9&amp;viewer=picture&amp;o=info&amp;n=0&amp;q=" xr:uid="{6B293EB6-60B8-4EE8-BED1-8AE3169A62AC}"/>
    <hyperlink ref="R92" r:id="rId37" location="page=7&amp;viewer=picture&amp;o=info&amp;n=0&amp;q=" display="https://permalinkbnd.bnportugal.gov.pt/viewer/273347/?offset= - page=7&amp;viewer=picture&amp;o=info&amp;n=0&amp;q=" xr:uid="{7D908B9C-44B0-41CA-B7C4-8C63008EBA0B}"/>
    <hyperlink ref="R94" r:id="rId38" location="page=21&amp;viewer=picture&amp;o=info&amp;n=0&amp;q=" display="https://permalinkbnd.bnportugal.gov.pt/viewer/274348/?offset= - page=21&amp;viewer=picture&amp;o=info&amp;n=0&amp;q=" xr:uid="{BB72CAB1-FA81-4042-9ECF-52DE411C8C14}"/>
    <hyperlink ref="R95" r:id="rId39" location="page=69&amp;viewer=picture&amp;o=info&amp;n=0&amp;q=" display="https://permalinkbnd.bnportugal.gov.pt/viewer/274348/?offset= - page=69&amp;viewer=picture&amp;o=info&amp;n=0&amp;q=" xr:uid="{3103D6D4-A8F0-440B-A29B-79602885E381}"/>
    <hyperlink ref="R96" r:id="rId40" location="page=6&amp;viewer=picture&amp;o=info&amp;n=0&amp;q=" display="https://permalinkbnd.bnportugal.gov.pt/viewer/274346/?offset= - page=6&amp;viewer=picture&amp;o=info&amp;n=0&amp;q=" xr:uid="{735D6074-C378-4D1A-8A67-70169585E9FB}"/>
    <hyperlink ref="R97" r:id="rId41" location="page=1&amp;viewer=picture&amp;o=info&amp;n=0&amp;q=" display="https://permalinkbnd.bnportugal.gov.pt/viewer/273798/?offset= - page=1&amp;viewer=picture&amp;o=info&amp;n=0&amp;q=" xr:uid="{3AB48453-A277-401D-B448-BD3D159AFBCB}"/>
    <hyperlink ref="R98" r:id="rId42" location="page=1&amp;viewer=picture&amp;o=info&amp;n=0&amp;q=" display="https://permalinkbnd.bnportugal.gov.pt/viewer/272882/?offset= - page=1&amp;viewer=picture&amp;o=info&amp;n=0&amp;q=" xr:uid="{11CA52C2-895F-406C-BA7A-E2B95B6F48A0}"/>
    <hyperlink ref="R99" r:id="rId43" location="page=11&amp;viewer=picture&amp;o=info&amp;n=0&amp;q=" display="https://permalinkbnd.bnportugal.gov.pt/viewer/1880/?offset= - page=11&amp;viewer=picture&amp;o=info&amp;n=0&amp;q=" xr:uid="{C5A34342-F139-41DA-917A-AD8057DAE28E}"/>
    <hyperlink ref="R100" r:id="rId44" location="page=1&amp;viewer=picture&amp;o=info&amp;n=0&amp;q=" display="https://permalinkbnd.bnportugal.gov.pt/viewer/35644/?offset= - page=1&amp;viewer=picture&amp;o=info&amp;n=0&amp;q=" xr:uid="{6FF94980-3E3D-4764-8E3D-CBCAA6146867}"/>
    <hyperlink ref="R101" r:id="rId45" location="page=9&amp;viewer=picture&amp;o=info&amp;n=0&amp;q=" display="https://permalinkbnd.bnportugal.gov.pt/viewer/1880/?offset= - page=9&amp;viewer=picture&amp;o=info&amp;n=0&amp;q=" xr:uid="{BACDB567-BD1C-47D1-BCF3-89D98012E558}"/>
    <hyperlink ref="R102" r:id="rId46" location="page=3&amp;viewer=picture&amp;o=info&amp;n=0&amp;q=" display="https://permalinkbnd.bnportugal.gov.pt/viewer/273923/?offset= - page=3&amp;viewer=picture&amp;o=info&amp;n=0&amp;q=" xr:uid="{7226DA4A-867A-45FA-9847-1D3C80F6CF8A}"/>
    <hyperlink ref="R103" r:id="rId47" location="page=8&amp;viewer=picture&amp;o=info&amp;n=0&amp;q=" display="https://permalinkbnd.bnportugal.gov.pt/viewer/270331/?offset= - page=8&amp;viewer=picture&amp;o=info&amp;n=0&amp;q=" xr:uid="{104FBE49-3EA2-4EF3-9C9D-20E99F17327D}"/>
    <hyperlink ref="R104" r:id="rId48" location="page=62&amp;viewer=picture&amp;o=info&amp;n=0&amp;q=" display="https://permalinkbnd.bnportugal.gov.pt/viewer/270331/?offset= - page=62&amp;viewer=picture&amp;o=info&amp;n=0&amp;q=" xr:uid="{19826ABC-DEA4-4DAC-A1E7-10EFA442ACA0}"/>
    <hyperlink ref="R105" r:id="rId49" location="page=8&amp;viewer=picture&amp;o=info&amp;n=0&amp;q=" display="https://permalinkbnd.bnportugal.gov.pt/viewer/270331/?offset= - page=8&amp;viewer=picture&amp;o=info&amp;n=0&amp;q=" xr:uid="{D373FB52-457C-4971-9DEC-38F44B631AE7}"/>
    <hyperlink ref="R106" r:id="rId50" location="page=10&amp;viewer=picture&amp;o=info&amp;n=0&amp;q=" display="https://permalinkbnd.bnportugal.gov.pt/viewer/270345/?offset= - page=10&amp;viewer=picture&amp;o=info&amp;n=0&amp;q=" xr:uid="{4794B546-F019-4696-BBE4-521306F9CD54}"/>
    <hyperlink ref="R110" r:id="rId51" location="page=10&amp;viewer=picture&amp;o=info&amp;n=0&amp;q=" display="https://permalinkbnd.bnportugal.gov.pt/viewer/273525/?offset= - page=10&amp;viewer=picture&amp;o=info&amp;n=0&amp;q=" xr:uid="{2E0861B8-5564-4BBC-8326-D66202B03071}"/>
    <hyperlink ref="R116" r:id="rId52" location="page=11&amp;viewer=picture&amp;o=info&amp;n=0&amp;q=" display="https://permalinkbnd.bnportugal.gov.pt/viewer/270116/?offset= - page=11&amp;viewer=picture&amp;o=info&amp;n=0&amp;q=" xr:uid="{300A3011-849A-41DC-B8EB-2F888D7C92AA}"/>
    <hyperlink ref="R117" r:id="rId53" location="page=5&amp;viewer=picture&amp;o=info&amp;n=0&amp;q=" xr:uid="{EEB4AF4C-0B19-44D6-A4EB-5E7C94FE5B4B}"/>
    <hyperlink ref="R118" r:id="rId54" location="page=12&amp;viewer=picture&amp;o=info&amp;n=0&amp;q=" display="https://permalinkbnd.bnportugal.gov.pt/viewer/270116/?offset= - page=12&amp;viewer=picture&amp;o=info&amp;n=0&amp;q=" xr:uid="{1069C362-41C6-49FB-AA07-8E80A2CC6B5D}"/>
    <hyperlink ref="R119" r:id="rId55" location="page=12&amp;viewer=picture&amp;o=info&amp;n=0&amp;q=" display="https://permalinkbnd.bnportugal.gov.pt/viewer/270116/?offset= - page=12&amp;viewer=picture&amp;o=info&amp;n=0&amp;q=" xr:uid="{122A948A-9BE5-4664-A74E-2466699CA6D4}"/>
    <hyperlink ref="R120" r:id="rId56" location="page=11&amp;viewer=picture&amp;o=info&amp;n=0&amp;q=" display="https://permalinkbnd.bnportugal.gov.pt/viewer/270116/?offset= - page=11&amp;viewer=picture&amp;o=info&amp;n=0&amp;q=" xr:uid="{BDFFF8B3-5301-4C3E-9640-72D8C3FD09F3}"/>
    <hyperlink ref="R121" r:id="rId57" location="page=12&amp;viewer=picture&amp;o=info&amp;n=0&amp;q=" display="https://permalinkbnd.bnportugal.gov.pt/viewer/270116/?offset= - page=12&amp;viewer=picture&amp;o=info&amp;n=0&amp;q=" xr:uid="{A2EB1061-E0B9-44AE-B0E6-B226EAEB02F3}"/>
    <hyperlink ref="R122" r:id="rId58" location="page=3&amp;viewer=picture&amp;o=info&amp;n=0&amp;q=" display="https://permalinkbnd.bnportugal.gov.pt/viewer/274117/?offset= - page=3&amp;viewer=picture&amp;o=info&amp;n=0&amp;q=" xr:uid="{55C94446-DD81-4471-B0B0-268B2E4E319E}"/>
    <hyperlink ref="R123" r:id="rId59" location="page=5&amp;viewer=picture&amp;o=info&amp;n=0&amp;q=" display="https://permalinkbnd.bnportugal.gov.pt/viewer/274153/?offset= - page=5&amp;viewer=picture&amp;o=info&amp;n=0&amp;q=" xr:uid="{71E0677E-E5E7-4F49-8322-5314E135259A}"/>
    <hyperlink ref="R124" r:id="rId60" location="page=13&amp;viewer=picture&amp;o=info&amp;n=0&amp;q=" display="https://permalinkbnd.bnportugal.gov.pt/viewer/272371/?offset= - page=13&amp;viewer=picture&amp;o=info&amp;n=0&amp;q=" xr:uid="{1D191B2C-22F0-42C4-9559-A7DEE77F03B9}"/>
    <hyperlink ref="R125" r:id="rId61" location="page=7&amp;viewer=picture&amp;o=info&amp;n=0&amp;q=" display="https://permalinkbnd.bnportugal.gov.pt/viewer/273182/?offset= - page=7&amp;viewer=picture&amp;o=info&amp;n=0&amp;q=" xr:uid="{9218A3C9-1FD8-42A6-A23C-ABE1F7E0B4D5}"/>
    <hyperlink ref="R126" r:id="rId62" location="page=1&amp;viewer=picture&amp;o=info&amp;n=0&amp;q=" display="https://permalinkbnd.bnportugal.gov.pt/viewer/273318/?offset= - page=1&amp;viewer=picture&amp;o=info&amp;n=0&amp;q=" xr:uid="{C94C6161-2CD4-4F55-B0D0-FD62B4BDFF1B}"/>
    <hyperlink ref="R127" r:id="rId63" location="page=1&amp;viewer=picture&amp;o=info&amp;n=0&amp;q=" display="https://permalinkbnd.bnportugal.gov.pt/viewer/273319/?offset= - page=1&amp;viewer=picture&amp;o=info&amp;n=0&amp;q=" xr:uid="{D45751F4-6F09-4FB2-9CE5-0A9859718ED7}"/>
    <hyperlink ref="R128" r:id="rId64" location="page=5&amp;viewer=picture&amp;o=info&amp;n=0&amp;q=" display="https://permalinkbnd.bnportugal.gov.pt/viewer/273102/?offset= - page=5&amp;viewer=picture&amp;o=info&amp;n=0&amp;q=" xr:uid="{4A2D594A-19FA-4565-8DF6-9B13A18022FE}"/>
    <hyperlink ref="R129" r:id="rId65" location="page=1&amp;viewer=picture&amp;o=info&amp;n=0&amp;q=" display="https://permalinkbnd.bnportugal.gov.pt/viewer/270341/?offset= - page=1&amp;viewer=picture&amp;o=info&amp;n=0&amp;q=" xr:uid="{65AFAFB1-61AB-46EA-8453-FE0CA2313036}"/>
    <hyperlink ref="R130" r:id="rId66" location="page=1&amp;viewer=picture&amp;o=info&amp;n=0&amp;q=" display="https://permalinkbnd.bnportugal.gov.pt/viewer/270336/?offset= - page=1&amp;viewer=picture&amp;o=info&amp;n=0&amp;q=" xr:uid="{FE16CE23-FCE7-4B64-A457-C2B30F1DE13D}"/>
    <hyperlink ref="R131" r:id="rId67" location="page=1&amp;viewer=picture&amp;o=info&amp;n=0&amp;q=" display="https://permalinkbnd.bnportugal.gov.pt/viewer/273314/?offset= - page=1&amp;viewer=picture&amp;o=info&amp;n=0&amp;q=" xr:uid="{8BC69109-5404-47BD-86DB-955758D91037}"/>
    <hyperlink ref="R132" r:id="rId68" location="page=10&amp;viewer=picture&amp;o=info&amp;n=0&amp;q=" display="https://permalinkbnd.bnportugal.gov.pt/viewer/281908/?offset= - page=10&amp;viewer=picture&amp;o=info&amp;n=0&amp;q=" xr:uid="{3578F737-36A6-4C72-B599-CB2282E397E5}"/>
    <hyperlink ref="R133" r:id="rId69" location="page=1&amp;viewer=picture&amp;o=info&amp;n=0&amp;q=" display="https://permalinkbnd.bnportugal.gov.pt/viewer/36540/?offset= - page=1&amp;viewer=picture&amp;o=info&amp;n=0&amp;q=" xr:uid="{F068AE09-D371-49AB-9780-752966D4909E}"/>
    <hyperlink ref="R134" r:id="rId70" location="page=1&amp;viewer=picture&amp;o=info&amp;n=0&amp;q=" display="https://permalinkbnd.bnportugal.gov.pt/viewer/14040/?offset= - page=1&amp;viewer=picture&amp;o=info&amp;n=0&amp;q=" xr:uid="{0292ACFB-BF22-4489-8278-768CCCC81033}"/>
    <hyperlink ref="R135" r:id="rId71" location="page=1&amp;viewer=picture&amp;o=info&amp;n=0&amp;q=" display="https://permalinkbnd.bnportugal.gov.pt/viewer/272734/?offset= - page=1&amp;viewer=picture&amp;o=info&amp;n=0&amp;q=" xr:uid="{F26229B9-CA73-4883-9F82-9904BF854F54}"/>
    <hyperlink ref="R136" r:id="rId72" location="page=1&amp;viewer=picture&amp;o=info&amp;n=0&amp;q=" display="https://permalinkbnd.bnportugal.gov.pt/viewer/36741/?offset= - page=1&amp;viewer=picture&amp;o=info&amp;n=0&amp;q=" xr:uid="{0F55ED7C-9ED9-43B2-8FC2-D5C2C2648614}"/>
    <hyperlink ref="R137" r:id="rId73" location="page=1&amp;viewer=picture&amp;o=info&amp;n=0&amp;q=" display="https://permalinkbnd.bnportugal.gov.pt/viewer/37180/?offset= - page=1&amp;viewer=picture&amp;o=info&amp;n=0&amp;q=" xr:uid="{61EE92B4-074D-4A69-A7A9-EFC5746D6E2F}"/>
    <hyperlink ref="R138" r:id="rId74" location="page=1&amp;viewer=picture&amp;o=info&amp;n=0&amp;q=" display="https://permalinkbnd.bnportugal.gov.pt/viewer/37208/?offset= - page=1&amp;viewer=picture&amp;o=info&amp;n=0&amp;q=" xr:uid="{5804D4BB-4413-46E1-BCD7-0ED8B1AF9689}"/>
    <hyperlink ref="R139" r:id="rId75" location="page=1&amp;viewer=picture&amp;o=info&amp;n=0&amp;q=" display="https://permalinkbnd.bnportugal.gov.pt/viewer/35147/?offset= - page=1&amp;viewer=picture&amp;o=info&amp;n=0&amp;q=" xr:uid="{A8E2F895-71E8-4D4B-948A-93550DB5D537}"/>
    <hyperlink ref="R140" r:id="rId76" location="page=1&amp;viewer=picture&amp;o=info&amp;n=0&amp;q=" display="https://permalinkbnd.bnportugal.gov.pt/viewer/1880/?offset= - page=1&amp;viewer=picture&amp;o=info&amp;n=0&amp;q=" xr:uid="{A60002D2-3BAE-49B2-9E1E-6570BDA08B9B}"/>
    <hyperlink ref="R141" r:id="rId77" location="page=1&amp;viewer=picture&amp;o=info&amp;n=0&amp;q=" display="https://permalinkbnd.bnportugal.gov.pt/viewer/35133/?offset= - page=1&amp;viewer=picture&amp;o=info&amp;n=0&amp;q=" xr:uid="{D8D5AB85-FB3B-48B0-BB61-384D2A7C2D21}"/>
    <hyperlink ref="R142" r:id="rId78" location="page=1&amp;viewer=picture&amp;o=info&amp;n=0&amp;q=" display="https://permalinkbnd.bnportugal.gov.pt/viewer/35127/?offset= - page=1&amp;viewer=picture&amp;o=info&amp;n=0&amp;q=" xr:uid="{91298CA5-D3D4-40F1-8AE6-AB7912883D48}"/>
    <hyperlink ref="R143" r:id="rId79" location="page=1&amp;viewer=picture&amp;o=info&amp;n=0&amp;q=" display="https://permalinkbnd.bnportugal.gov.pt/viewer/35137/?offset= - page=1&amp;viewer=picture&amp;o=info&amp;n=0&amp;q=" xr:uid="{2727981F-2CEB-42E0-8187-C69FCFD678A8}"/>
    <hyperlink ref="R144" r:id="rId80" location="page=1&amp;viewer=picture&amp;o=info&amp;n=0&amp;q=" display="https://permalinkbnd.bnportugal.gov.pt/viewer/37203/?offset= - page=1&amp;viewer=picture&amp;o=info&amp;n=0&amp;q=" xr:uid="{DE765B55-C410-465E-9894-1D0C4FA6D811}"/>
    <hyperlink ref="R145" r:id="rId81" location="page=1&amp;viewer=picture&amp;o=info&amp;n=0&amp;q=" display="https://permalinkbnd.bnportugal.gov.pt/viewer/37132/?offset= - page=1&amp;viewer=picture&amp;o=info&amp;n=0&amp;q=" xr:uid="{9CB1981B-D624-470A-BF33-A2886B7466BA}"/>
    <hyperlink ref="R146" r:id="rId82" location="page=1&amp;viewer=picture&amp;o=info&amp;n=0&amp;q=" display="https://permalinkbnd.bnportugal.gov.pt/viewer/34623/?offset= - page=1&amp;viewer=picture&amp;o=info&amp;n=0&amp;q=" xr:uid="{19E2E6CC-299B-4106-AF33-A93F77EF5C4B}"/>
    <hyperlink ref="R147" r:id="rId83" location="page=1&amp;viewer=picture&amp;o=info&amp;n=0&amp;q=" display="https://permalinkbnd.bnportugal.gov.pt/viewer/37092/?offset= - page=1&amp;viewer=picture&amp;o=info&amp;n=0&amp;q=" xr:uid="{B3C7E2B4-0367-47D6-B51A-350688B0BD33}"/>
    <hyperlink ref="R148" r:id="rId84" location="page=1&amp;viewer=picture&amp;o=info&amp;n=0&amp;q=" display="https://permalinkbnd.bnportugal.gov.pt/viewer/37325/?offset= - page=1&amp;viewer=picture&amp;o=info&amp;n=0&amp;q=" xr:uid="{8ECDC6F2-D811-4CE6-BF1D-E2AD2F9DC278}"/>
    <hyperlink ref="R149" r:id="rId85" location="page=1&amp;viewer=picture&amp;o=info&amp;n=0&amp;q=" display="https://permalinkbnd.bnportugal.gov.pt/viewer/33427/?offset= - page=1&amp;viewer=picture&amp;o=info&amp;n=0&amp;q=" xr:uid="{9FB211A1-3B00-4005-A229-ED5774220E2F}"/>
    <hyperlink ref="R150" r:id="rId86" location="page=1&amp;viewer=picture&amp;o=info&amp;n=0&amp;q=" display="https://permalinkbnd.bnportugal.gov.pt/viewer/36374/?offset= - page=1&amp;viewer=picture&amp;o=info&amp;n=0&amp;q=" xr:uid="{A9E659F4-122D-422D-9D10-1AC26DB26597}"/>
    <hyperlink ref="R151" r:id="rId87" location="page=1&amp;viewer=picture&amp;o=info&amp;n=0&amp;q=" display="https://permalinkbnd.bnportugal.gov.pt/viewer/36554/?offset= - page=1&amp;viewer=picture&amp;o=info&amp;n=0&amp;q=" xr:uid="{14F8427F-E7A3-4F58-B45B-421A85855D61}"/>
    <hyperlink ref="R152" r:id="rId88" location="page=1&amp;viewer=picture&amp;o=info&amp;n=0&amp;q=" display="https://permalinkbnd.bnportugal.gov.pt/viewer/37663/?offset= - page=1&amp;viewer=picture&amp;o=info&amp;n=0&amp;q=" xr:uid="{ACDC6F48-66B0-495A-9568-2C349D5C6D24}"/>
    <hyperlink ref="R153" r:id="rId89" location="page=1&amp;viewer=picture&amp;o=info&amp;n=0&amp;q=" display="https://permalinkbnd.bnportugal.gov.pt/viewer/37195/?offset= - page=1&amp;viewer=picture&amp;o=info&amp;n=0&amp;q=" xr:uid="{7E75EF87-B1D7-466D-9023-58157C8B317C}"/>
    <hyperlink ref="R154" r:id="rId90" location="page=1&amp;viewer=picture&amp;o=info&amp;n=0&amp;q=" display="https://permalinkbnd.bnportugal.gov.pt/viewer/37674/?offset= - page=1&amp;viewer=picture&amp;o=info&amp;n=0&amp;q=" xr:uid="{5E878144-7D23-48B8-81FF-44B87044C370}"/>
    <hyperlink ref="R155" r:id="rId91" location="page=10&amp;viewer=picture&amp;o=info&amp;n=0&amp;q=" display="https://permalinkbnd.bnportugal.gov.pt/viewer/274166/?offset= - page=10&amp;viewer=picture&amp;o=info&amp;n=0&amp;q=" xr:uid="{FBB62D07-7C0A-4F47-B878-6421749EC015}"/>
    <hyperlink ref="R156" r:id="rId92" location="page=18&amp;viewer=picture&amp;o=info&amp;n=0&amp;q=" display="https://permalinkbnd.bnportugal.gov.pt/viewer/274166/?offset= - page=18&amp;viewer=picture&amp;o=info&amp;n=0&amp;q=" xr:uid="{68847773-E18D-4FBD-B296-77C0832EED09}"/>
    <hyperlink ref="R157" r:id="rId93" location="page=7&amp;viewer=picture&amp;o=info&amp;n=0&amp;q=" display="https://permalinkbnd.bnportugal.gov.pt/viewer/270042/?offset= - page=7&amp;viewer=picture&amp;o=info&amp;n=0&amp;q=" xr:uid="{465F8795-27C1-4F4B-9A18-B4B9A74482C2}"/>
    <hyperlink ref="R159" r:id="rId94" location="page=4&amp;viewer=picture&amp;o=info&amp;n=0&amp;q=" display="https://permalinkbnd.bnportugal.gov.pt/viewer/273943/?offset= - page=4&amp;viewer=picture&amp;o=info&amp;n=0&amp;q=" xr:uid="{B66F9877-38AF-4587-A049-CB78E79FA278}"/>
    <hyperlink ref="R160" r:id="rId95" location="page=3&amp;viewer=picture&amp;o=info&amp;n=0&amp;q=" display="https://permalinkbnd.bnportugal.gov.pt/viewer/273427/?offset= - page=3&amp;viewer=picture&amp;o=info&amp;n=0&amp;q=" xr:uid="{228DE82D-5AD5-4A88-8234-6231DE3EAA11}"/>
    <hyperlink ref="R161" r:id="rId96" location="page=6&amp;viewer=picture&amp;o=info&amp;n=0&amp;q=" display="https://permalinkbnd.bnportugal.gov.pt/viewer/272372/?offset= - page=6&amp;viewer=picture&amp;o=info&amp;n=0&amp;q=" xr:uid="{02E6D43A-15EE-4FBA-851F-DC7A4BD2F3F2}"/>
    <hyperlink ref="R162" r:id="rId97" location="page=21&amp;viewer=picture&amp;o=info&amp;n=0&amp;q=" display="https://permalinkbnd.bnportugal.gov.pt/viewer/272381/?offset= - page=21&amp;viewer=picture&amp;o=info&amp;n=0&amp;q=" xr:uid="{23771D0F-07FE-4A48-A233-B5E521209C80}"/>
    <hyperlink ref="R163" r:id="rId98" location="page=24&amp;viewer=picture&amp;o=info&amp;n=0&amp;q=" display="https://permalinkbnd.bnportugal.gov.pt/viewer/272381/?offset= - page=24&amp;viewer=picture&amp;o=info&amp;n=0&amp;q=" xr:uid="{FE294BD5-DD1A-4C99-8DA3-588F551E8693}"/>
    <hyperlink ref="R164" r:id="rId99" location="page=25&amp;viewer=picture&amp;o=info&amp;n=0&amp;q=" display="https://permalinkbnd.bnportugal.gov.pt/viewer/272381/?offset= - page=25&amp;viewer=picture&amp;o=info&amp;n=0&amp;q=" xr:uid="{F2885264-8F86-4097-ACC0-D48AF827E445}"/>
    <hyperlink ref="R165" r:id="rId100" location="page=28&amp;viewer=picture&amp;o=info&amp;n=0&amp;q=" display="https://permalinkbnd.bnportugal.gov.pt/viewer/272381/?offset= - page=28&amp;viewer=picture&amp;o=info&amp;n=0&amp;q=" xr:uid="{529450B0-C497-4F75-AE3F-93D34D2E90CB}"/>
    <hyperlink ref="R166" r:id="rId101" location="page=29&amp;viewer=picture&amp;o=info&amp;n=0&amp;q=" display="https://permalinkbnd.bnportugal.gov.pt/viewer/272381/?offset= - page=29&amp;viewer=picture&amp;o=info&amp;n=0&amp;q=" xr:uid="{99E2A733-C0DE-4814-94B6-84218EB8AAEE}"/>
    <hyperlink ref="R167" r:id="rId102" location="page=32&amp;viewer=picture&amp;o=info&amp;n=0&amp;q=" display="https://permalinkbnd.bnportugal.gov.pt/viewer/272381/?offset= - page=32&amp;viewer=picture&amp;o=info&amp;n=0&amp;q=" xr:uid="{28200D13-0002-43DC-9480-C2E4E49A25EF}"/>
    <hyperlink ref="R168" r:id="rId103" location="page=33&amp;viewer=picture&amp;o=info&amp;n=0&amp;q=" display="https://permalinkbnd.bnportugal.gov.pt/viewer/272381/?offset= - page=33&amp;viewer=picture&amp;o=info&amp;n=0&amp;q=" xr:uid="{B5A3BA33-19D6-41F2-B0E3-47FEA547281A}"/>
    <hyperlink ref="R169" r:id="rId104" location="page=36&amp;viewer=picture&amp;o=info&amp;n=0&amp;q=" display="https://permalinkbnd.bnportugal.gov.pt/viewer/272381/?offset= - page=36&amp;viewer=picture&amp;o=info&amp;n=0&amp;q=" xr:uid="{29A47066-E002-45D2-AE56-8DFF9A93C63E}"/>
    <hyperlink ref="R170" r:id="rId105" location="page=37&amp;viewer=picture&amp;o=info&amp;n=0&amp;q=" display="https://permalinkbnd.bnportugal.gov.pt/viewer/272381/?offset= - page=37&amp;viewer=picture&amp;o=info&amp;n=0&amp;q=" xr:uid="{3248E1CE-511B-41F3-8FB6-4265D48A85E2}"/>
    <hyperlink ref="R171" r:id="rId106" location="page=40&amp;viewer=picture&amp;o=info&amp;n=0&amp;q=" display="https://permalinkbnd.bnportugal.gov.pt/viewer/272381/?offset= - page=40&amp;viewer=picture&amp;o=info&amp;n=0&amp;q=" xr:uid="{C1D5E672-C8A3-46FA-807F-AA0B24415806}"/>
    <hyperlink ref="R172" r:id="rId107" location="page=41&amp;viewer=picture&amp;o=info&amp;n=0&amp;q=" display="https://permalinkbnd.bnportugal.gov.pt/viewer/272381/?offset= - page=41&amp;viewer=picture&amp;o=info&amp;n=0&amp;q=" xr:uid="{FA6E2ABE-EC83-423D-AF63-F62CE8E72EE9}"/>
    <hyperlink ref="R173" r:id="rId108" location="page=10&amp;viewer=picture&amp;o=info&amp;n=0&amp;q=" display="https://permalinkbnd.bnportugal.gov.pt/viewer/280474/?offset= - page=10&amp;viewer=picture&amp;o=info&amp;n=0&amp;q=" xr:uid="{ED57B811-F95F-4F5E-A575-94BB5ED809D9}"/>
    <hyperlink ref="R174" r:id="rId109" location="page=8&amp;viewer=picture&amp;o=info&amp;n=0&amp;q=" display="https://permalinkbnd.bnportugal.gov.pt/viewer/272359/?offset= - page=8&amp;viewer=picture&amp;o=info&amp;n=0&amp;q=" xr:uid="{FF603133-E157-45E4-B20F-8360EAAC0799}"/>
    <hyperlink ref="R181" r:id="rId110" location="page=216&amp;viewer=picture&amp;o=info&amp;n=0&amp;q=" display="https://permalinkbnd.bnportugal.gov.pt/viewer/272367/?offset= - page=216&amp;viewer=picture&amp;o=info&amp;n=0&amp;q=" xr:uid="{6F25CDC4-6D5B-48F9-9E9B-FF5349A936E0}"/>
    <hyperlink ref="R182" r:id="rId111" location="page=10&amp;viewer=picture&amp;o=info&amp;n=0&amp;q=" display="https://permalinkbnd.bnportugal.gov.pt/viewer/272379/?offset= - page=10&amp;viewer=picture&amp;o=info&amp;n=0&amp;q=" xr:uid="{065FE9F5-3E6A-4D7E-830A-BD5E060AE664}"/>
    <hyperlink ref="R183" r:id="rId112" location="page=8&amp;viewer=picture&amp;o=info&amp;n=0&amp;q=" display="https://permalinkbnd.bnportugal.gov.pt/viewer/272383/?offset= - page=8&amp;viewer=picture&amp;o=info&amp;n=0&amp;q=" xr:uid="{A8536583-FDD2-421C-93A8-563E066C2035}"/>
    <hyperlink ref="R185" r:id="rId113" location="page=5&amp;viewer=picture&amp;o=info&amp;n=0&amp;q=" display="https://permalinkbnd.bnportugal.gov.pt/viewer/272376/?offset= - page=5&amp;viewer=picture&amp;o=info&amp;n=0&amp;q=" xr:uid="{82B6A149-4FBA-46CF-A5ED-76A161CE7BB0}"/>
    <hyperlink ref="R186" r:id="rId114" location="page=2&amp;viewer=picture&amp;o=info&amp;n=0&amp;q=" display="https://permalinkbnd.bnportugal.gov.pt/viewer/272380/?offset= - page=2&amp;viewer=picture&amp;o=info&amp;n=0&amp;q=" xr:uid="{EF604284-AC0F-4394-9F2A-BD8FAAFD56B6}"/>
    <hyperlink ref="R187" r:id="rId115" location="page=5&amp;viewer=picture&amp;o=info&amp;n=0&amp;q=" display="https://permalinkbnd.bnportugal.gov.pt/viewer/272389/?offset= - page=5&amp;viewer=picture&amp;o=info&amp;n=0&amp;q=" xr:uid="{0EA15E91-49C4-4C2F-87DB-DA0EBB990907}"/>
    <hyperlink ref="R188" r:id="rId116" location="page=5&amp;viewer=picture&amp;o=info&amp;n=0&amp;q=" display="https://permalinkbnd.bnportugal.gov.pt/viewer/272392/?offset= - page=5&amp;viewer=picture&amp;o=info&amp;n=0&amp;q=" xr:uid="{46A3675B-AD9B-4F9E-9B44-602C38DDC5DD}"/>
    <hyperlink ref="R190" r:id="rId117" location="page=7&amp;viewer=picture&amp;o=info&amp;n=0&amp;q=" display="https://permalinkbnd.bnportugal.gov.pt/viewer/270350/?offset= - page=7&amp;viewer=picture&amp;o=info&amp;n=0&amp;q=" xr:uid="{D1067751-3808-43A8-B5A6-62CBF837A29F}"/>
    <hyperlink ref="R192" r:id="rId118" location="page=13&amp;viewer=picture&amp;o=info&amp;n=0&amp;q=" display="https://permalinkbnd.bnportugal.gov.pt/viewer/274038/?offset= - page=13&amp;viewer=picture&amp;o=info&amp;n=0&amp;q=" xr:uid="{7C5B6EA7-A62B-406D-A4D3-9CB4C977DEF9}"/>
    <hyperlink ref="R193" r:id="rId119" location="page=3&amp;viewer=picture&amp;o=info&amp;n=0&amp;q=" display="https://permalinkbnd.bnportugal.gov.pt/viewer/272399/?offset= - page=3&amp;viewer=picture&amp;o=info&amp;n=0&amp;q=" xr:uid="{71748B79-1A10-43DC-990B-6100342A5A09}"/>
    <hyperlink ref="R194" r:id="rId120" location="page=8&amp;viewer=picture&amp;o=info&amp;n=0&amp;q=" display="https://permalinkbnd.bnportugal.gov.pt/viewer/274084/?offset= - page=8&amp;viewer=picture&amp;o=info&amp;n=0&amp;q=" xr:uid="{34EA6F8C-2ABC-4079-A978-BD97A0F952F1}"/>
    <hyperlink ref="R195" r:id="rId121" location="page=8&amp;viewer=picture&amp;o=info&amp;n=0&amp;q=" display="https://permalinkbnd.bnportugal.gov.pt/viewer/272355/?offset= - page=8&amp;viewer=picture&amp;o=info&amp;n=0&amp;q=" xr:uid="{386D1027-E931-4B83-A963-14B2ABD20A91}"/>
    <hyperlink ref="R196" r:id="rId122" location="page=42&amp;viewer=picture&amp;o=info&amp;n=0&amp;q=" display="https://permalinkbnd.bnportugal.gov.pt/viewer/272355/?offset= - page=42&amp;viewer=picture&amp;o=info&amp;n=0&amp;q=" xr:uid="{08F198CD-60DD-4AFC-B85E-4485FC4432E9}"/>
    <hyperlink ref="R197" r:id="rId123" location="page=10&amp;viewer=picture&amp;o=info&amp;n=0&amp;q=" display="https://permalinkbnd.bnportugal.gov.pt/viewer/270138/?offset= - page=10&amp;viewer=picture&amp;o=info&amp;n=0&amp;q=" xr:uid="{82DFCD38-578E-4804-A260-CE2420563204}"/>
    <hyperlink ref="R198" r:id="rId124" location="page=10&amp;viewer=picture&amp;o=info&amp;n=0&amp;q=" display="https://permalinkbnd.bnportugal.gov.pt/viewer/270138/?offset= - page=10&amp;viewer=picture&amp;o=info&amp;n=0&amp;q=" xr:uid="{A13BE2F7-6F91-4E18-BDB4-057C5B805D2C}"/>
    <hyperlink ref="R199" r:id="rId125" location="page=43&amp;viewer=picture&amp;o=info&amp;n=0&amp;q=" display="https://permalinkbnd.bnportugal.gov.pt/viewer/270138/?offset= - page=43&amp;viewer=picture&amp;o=info&amp;n=0&amp;q=" xr:uid="{B01507F3-F5AF-49EF-802A-592E2A075D47}"/>
    <hyperlink ref="R200" r:id="rId126" location="page=174&amp;viewer=picture&amp;o=info&amp;n=0&amp;q=" display="https://permalinkbnd.bnportugal.gov.pt/viewer/270138/?offset= - page=174&amp;viewer=picture&amp;o=info&amp;n=0&amp;q=" xr:uid="{600E3B1D-3A84-4347-AF44-D6F7DB42F7F1}"/>
    <hyperlink ref="R201" r:id="rId127" location="page=388&amp;viewer=picture&amp;o=info&amp;n=0&amp;q=" display="https://permalinkbnd.bnportugal.gov.pt/viewer/270138/?offset= - page=388&amp;viewer=picture&amp;o=info&amp;n=0&amp;q=" xr:uid="{94040CDC-64B6-4463-B403-EEC3ACE38490}"/>
    <hyperlink ref="R202" r:id="rId128" location="page=7&amp;viewer=picture&amp;o=info&amp;n=0&amp;q=" display="https://permalinkbnd.bnportugal.gov.pt/viewer/270047/?offset= - page=7&amp;viewer=picture&amp;o=info&amp;n=0&amp;q=" xr:uid="{904E7DA1-55CF-4C8F-8934-093F7B24E4D1}"/>
    <hyperlink ref="R203" r:id="rId129" location="page=8&amp;viewer=picture&amp;o=info&amp;n=0&amp;q=" display="https://permalinkbnd.bnportugal.gov.pt/viewer/274169/?offset= - page=8&amp;viewer=picture&amp;o=info&amp;n=0&amp;q=" xr:uid="{4D73165D-C00B-43B5-97F0-42DF0C02DE35}"/>
    <hyperlink ref="R205" r:id="rId130" location="page=54&amp;viewer=picture&amp;o=info&amp;n=0&amp;q=" display="https://permalinkbnd.bnportugal.gov.pt/viewer/270089/?offset= - page=54&amp;viewer=picture&amp;o=info&amp;n=0&amp;q=" xr:uid="{94F7A7AE-3A20-4910-A4DB-837921251216}"/>
    <hyperlink ref="R206" r:id="rId131" location="page=1 vs. 9&amp;viewer=picture&amp;o=info&amp;n=0&amp;q=" display="https://permalinkbnd.bnportugal.gov.pt/viewer/281023/?offset= - page=1 vs. 9&amp;viewer=picture&amp;o=info&amp;n=0&amp;q=" xr:uid="{1671F8E8-3B1D-483D-88E3-1F8873C64414}"/>
    <hyperlink ref="R207" r:id="rId132" location="page=17&amp;viewer=picture&amp;o=info&amp;n=0&amp;q=" display="https://permalinkbnd.bnportugal.gov.pt/viewer/274252/?offset= - page=17&amp;viewer=picture&amp;o=info&amp;n=0&amp;q=" xr:uid="{D1AA3206-0CEA-4BA9-93D4-EEAF1DB1C2F8}"/>
    <hyperlink ref="R208" r:id="rId133" location="page=26&amp;viewer=picture&amp;o=info&amp;n=0&amp;q=" display="https://permalinkbnd.bnportugal.gov.pt/viewer/274252/?offset= - page=26&amp;viewer=picture&amp;o=info&amp;n=0&amp;q=" xr:uid="{48483D3C-CCD8-435B-80E0-F21C853A3BC8}"/>
    <hyperlink ref="R209" r:id="rId134" location="page=29&amp;viewer=picture&amp;o=info&amp;n=0&amp;q=" display="https://permalinkbnd.bnportugal.gov.pt/viewer/274252/?offset= - page=29&amp;viewer=picture&amp;o=info&amp;n=0&amp;q=" xr:uid="{ECF8A67B-2C1D-4D6E-8B97-481801F8ABAA}"/>
    <hyperlink ref="R210" r:id="rId135" location="page=7&amp;viewer=picture&amp;o=info&amp;n=0&amp;q=" display="https://permalinkbnd.bnportugal.gov.pt/viewer/273233/?offset= - page=7&amp;viewer=picture&amp;o=info&amp;n=0&amp;q=" xr:uid="{1ADC9A17-AC0D-4BB6-A119-F3C49CEFFAC9}"/>
    <hyperlink ref="R211" r:id="rId136" location="page=12&amp;viewer=picture&amp;o=info&amp;n=0&amp;q=" display="https://permalinkbnd.bnportugal.gov.pt/viewer/270086/?offset= - page=12&amp;viewer=picture&amp;o=info&amp;n=0&amp;q=" xr:uid="{AD8F3DF9-504A-4B88-8CE4-5FC0F2F00825}"/>
    <hyperlink ref="R212" r:id="rId137" location="page=7&amp;viewer=picture&amp;o=info&amp;n=0&amp;q=" display="https://permalinkbnd.bnportugal.gov.pt/viewer/270087/?offset= - page=7&amp;viewer=picture&amp;o=info&amp;n=0&amp;q=" xr:uid="{9B01AF8B-1357-4E44-A2D5-A233C3ED4B70}"/>
    <hyperlink ref="R213" r:id="rId138" location="page=17&amp;viewer=picture&amp;o=info&amp;n=0&amp;q=" display="https://permalinkbnd.bnportugal.gov.pt/viewer/270087/?offset= - page=17&amp;viewer=picture&amp;o=info&amp;n=0&amp;q=" xr:uid="{27D359A2-0116-41DD-BC02-7E218F7A5B64}"/>
    <hyperlink ref="R214" r:id="rId139" location="page=79&amp;viewer=picture&amp;o=info&amp;n=0&amp;q=" display="https://permalinkbnd.bnportugal.gov.pt/viewer/270087/?offset= - page=79&amp;viewer=picture&amp;o=info&amp;n=0&amp;q=" xr:uid="{BD264D5C-322F-4B1C-B294-BF1FE2F86857}"/>
    <hyperlink ref="R215" r:id="rId140" location="page=89&amp;viewer=picture&amp;o=info&amp;n=0&amp;q=" display="https://permalinkbnd.bnportugal.gov.pt/viewer/270087/?offset= - page=89&amp;viewer=picture&amp;o=info&amp;n=0&amp;q=" xr:uid="{44DB2B38-B15B-484C-99E8-463F04A9007C}"/>
    <hyperlink ref="R216" r:id="rId141" location="page=97&amp;viewer=picture&amp;o=info&amp;n=0&amp;q=" display="https://permalinkbnd.bnportugal.gov.pt/viewer/270087/?offset= - page=97&amp;viewer=picture&amp;o=info&amp;n=0&amp;q=" xr:uid="{3DC67DA1-069C-43BF-A700-987E57C4D693}"/>
    <hyperlink ref="R217" r:id="rId142" location="page=104&amp;viewer=picture&amp;o=info&amp;n=0&amp;q=" display="https://permalinkbnd.bnportugal.gov.pt/viewer/270087/?offset= - page=104&amp;viewer=picture&amp;o=info&amp;n=0&amp;q=" xr:uid="{68595EF3-B6A1-4C11-A083-CCDD7335F9FD}"/>
    <hyperlink ref="R218" r:id="rId143" location="page=105&amp;viewer=picture&amp;o=info&amp;n=0&amp;q=" display="https://permalinkbnd.bnportugal.gov.pt/viewer/270087/?offset= - page=105&amp;viewer=picture&amp;o=info&amp;n=0&amp;q=" xr:uid="{9E901223-07B1-4446-B4F6-D1EBD932B27D}"/>
    <hyperlink ref="R219" r:id="rId144" location="page=10&amp;viewer=picture&amp;o=info&amp;n=0&amp;q=" display="https://permalinkbnd.bnportugal.gov.pt/viewer/273350/?offset= - page=10&amp;viewer=picture&amp;o=info&amp;n=0&amp;q=" xr:uid="{CF28387C-8C78-4C6E-B31C-6B7AA71449D0}"/>
    <hyperlink ref="R221" r:id="rId145" location="page=11&amp;viewer=picture&amp;o=info&amp;n=0&amp;q=" display="https://permalinkbnd.bnportugal.gov.pt/viewer/273316/?offset= - page=11&amp;viewer=picture&amp;o=info&amp;n=0&amp;q=" xr:uid="{491345E3-FED1-4BA0-AC5F-44B9667DC727}"/>
    <hyperlink ref="R222" r:id="rId146" location="page=1&amp;viewer=picture&amp;o=info&amp;n=0&amp;q=" display="https://permalinkbnd.bnportugal.gov.pt/viewer/273346/?offset= - page=1&amp;viewer=picture&amp;o=info&amp;n=0&amp;q=" xr:uid="{AC59B6F3-AE03-4ADD-A1EC-D500B95453AB}"/>
    <hyperlink ref="R223" r:id="rId147" location="page=5&amp;viewer=picture&amp;o=info&amp;n=0&amp;q=" display="https://permalinkbnd.bnportugal.gov.pt/viewer/273346/?offset= - page=5&amp;viewer=picture&amp;o=info&amp;n=0&amp;q=" xr:uid="{15E89F1C-948F-48DD-90ED-55B4C897BA81}"/>
    <hyperlink ref="R224" r:id="rId148" location="page=7&amp;viewer=picture&amp;o=info&amp;n=0&amp;q=" display="https://permalinkbnd.bnportugal.gov.pt/viewer/274342/?offset= - page=7&amp;viewer=picture&amp;o=info&amp;n=0&amp;q=" xr:uid="{263811CD-CDF3-45C2-A86F-290CD12EF6E4}"/>
    <hyperlink ref="R225" r:id="rId149" location="page=3&amp;viewer=picture&amp;o=info&amp;n=0&amp;q=" display="https://permalinkbnd.bnportugal.gov.pt/viewer/273439/?offset= - page=3&amp;viewer=picture&amp;o=info&amp;n=0&amp;q=" xr:uid="{06739470-D561-4A2F-8E16-F9330B4EFF23}"/>
    <hyperlink ref="R226" r:id="rId150" location="page=5&amp;viewer=picture&amp;o=info&amp;n=0&amp;q=" display="https://permalinkbnd.bnportugal.gov.pt/viewer/273527/?offset= - page=5&amp;viewer=picture&amp;o=info&amp;n=0&amp;q=" xr:uid="{E148DCB2-C709-4E8F-84DB-ABA336BD3C9A}"/>
    <hyperlink ref="R227" r:id="rId151" location="page=11&amp;viewer=picture&amp;o=info&amp;n=0&amp;q=" display="https://permalinkbnd.bnportugal.gov.pt/viewer/273731/?offset= - page=11&amp;viewer=picture&amp;o=info&amp;n=0&amp;q=" xr:uid="{BABBC0C1-A2D6-4D0C-8921-BC7BF5DE96E3}"/>
    <hyperlink ref="R228" r:id="rId152" location="page=3&amp;viewer=picture&amp;o=info&amp;n=0&amp;q=" display="https://permalinkbnd.bnportugal.gov.pt/viewer/272628/?offset= - page=3&amp;viewer=picture&amp;o=info&amp;n=0&amp;q=" xr:uid="{888A6E73-C578-4761-831B-3AC7FAC87E57}"/>
    <hyperlink ref="R229" r:id="rId153" location="page=1&amp;viewer=picture&amp;o=info&amp;n=0&amp;q=" display="https://permalinkbnd.bnportugal.gov.pt/viewer/281130/?offset= - page=1&amp;viewer=picture&amp;o=info&amp;n=0&amp;q=" xr:uid="{49758514-4590-4E06-A925-B5173FEF58B9}"/>
    <hyperlink ref="R230" r:id="rId154" location="page=&amp;viewer=picture&amp;o=info&amp;n=0&amp;q=" display="https://permalinkbnd.bnportugal.gov.pt/viewer/273183/?offset= - page=&amp;viewer=picture&amp;o=info&amp;n=0&amp;q=" xr:uid="{2369C563-521F-4105-86F4-D1975105192A}"/>
    <hyperlink ref="R231" r:id="rId155" location="page=1&amp;viewer=picture&amp;o=info&amp;n=0&amp;q=" display="https://permalinkbnd.bnportugal.gov.pt/viewer/272728/?offset= - page=1&amp;viewer=picture&amp;o=info&amp;n=0&amp;q=" xr:uid="{6C440F56-96A5-4236-AC00-193ABD6F69B6}"/>
    <hyperlink ref="R232" r:id="rId156" location="page=1&amp;viewer=picture&amp;o=info&amp;n=0&amp;q=" display="https://permalinkbnd.bnportugal.gov.pt/viewer/272733/?offset= - page=1&amp;viewer=picture&amp;o=info&amp;n=0&amp;q=" xr:uid="{B4040610-8F1E-45FB-9D49-586CFCC1CF54}"/>
    <hyperlink ref="R233" r:id="rId157" location="page=1&amp;viewer=picture&amp;o=info&amp;n=0&amp;q=" display="https://permalinkbnd.bnportugal.gov.pt/viewer/33718/?offset= - page=1&amp;viewer=picture&amp;o=info&amp;n=0&amp;q=" xr:uid="{15D6DBB3-F28D-4BC9-A24B-72DCD27242B9}"/>
    <hyperlink ref="R234" r:id="rId158" location="page=1&amp;viewer=picture&amp;o=info&amp;n=0&amp;q=" display="https://permalinkbnd.bnportugal.gov.pt/viewer/33721/?offset= - page=1&amp;viewer=picture&amp;o=info&amp;n=0&amp;q=" xr:uid="{D0166013-82C5-403E-B5F5-D62F45BD3CF9}"/>
    <hyperlink ref="R235" r:id="rId159" location="page=1&amp;viewer=picture&amp;o=info&amp;n=0&amp;q=" display="https://permalinkbnd.bnportugal.gov.pt/viewer/36775/?offset= - page=1&amp;viewer=picture&amp;o=info&amp;n=0&amp;q=" xr:uid="{7A457993-4704-45AB-A2E0-669B4707F76B}"/>
    <hyperlink ref="R236" r:id="rId160" location="page=3&amp;viewer=picture&amp;o=info&amp;n=0&amp;q=" display="https://permalinkbnd.bnportugal.gov.pt/viewer/274123/?offset= - page=3&amp;viewer=picture&amp;o=info&amp;n=0&amp;q=" xr:uid="{DFB47AD5-51EE-457A-AD13-312293DB58A3}"/>
    <hyperlink ref="R237" r:id="rId161" location="page=1&amp;viewer=picture&amp;o=info&amp;n=0&amp;q=" display="https://permalinkbnd.bnportugal.gov.pt/viewer/272738/?offset= - page=1&amp;viewer=picture&amp;o=info&amp;n=0&amp;q=" xr:uid="{4A396244-661A-4545-92E6-6C36F987F837}"/>
    <hyperlink ref="R238" r:id="rId162" location="page=126&amp;viewer=picture&amp;o=info&amp;n=0&amp;q=" display="https://permalinkbnd.bnportugal.gov.pt/viewer/274092/?offset= - page=126&amp;viewer=picture&amp;o=info&amp;n=0&amp;q=" xr:uid="{2D29744A-76AB-4EE2-8F9B-58B817DC9218}"/>
    <hyperlink ref="R239" r:id="rId163" location="page=217&amp;viewer=picture&amp;o=info&amp;n=0&amp;q=" display="https://permalinkbnd.bnportugal.gov.pt/viewer/274092/?offset= - page=217&amp;viewer=picture&amp;o=info&amp;n=0&amp;q=" xr:uid="{29426BF2-B20E-4DBC-A975-C427E569DC33}"/>
    <hyperlink ref="R240" r:id="rId164" location="page=9&amp;viewer=picture&amp;o=info&amp;n=0&amp;q=" display="https://permalinkbnd.bnportugal.gov.pt/viewer/272390/?offset= - page=9&amp;viewer=picture&amp;o=info&amp;n=0&amp;q=" xr:uid="{7F345106-FC5A-421B-BD22-793AA97CB86C}"/>
    <hyperlink ref="R241" r:id="rId165" location="page=1&amp;viewer=picture&amp;o=info&amp;n=0&amp;q=" display="https://permalinkbnd.bnportugal.gov.pt/viewer/280467/?offset= - page=1&amp;viewer=picture&amp;o=info&amp;n=0&amp;q=" xr:uid="{6073AE19-1FD1-45F8-8723-FFC2ADEB14E0}"/>
    <hyperlink ref="R242" r:id="rId166" location="page=13&amp;viewer=picture&amp;o=info&amp;n=0&amp;q=" display="https://permalinkbnd.bnportugal.gov.pt/viewer/280467/?offset= - page=13&amp;viewer=picture&amp;o=info&amp;n=0&amp;q=" xr:uid="{C6FEDBE4-3BFF-4F65-9636-5372F9E00BB5}"/>
    <hyperlink ref="R243" r:id="rId167" location="page=35&amp;viewer=picture&amp;o=info&amp;n=0&amp;q=" display="https://permalinkbnd.bnportugal.gov.pt/viewer/280467/?offset= - page=35&amp;viewer=picture&amp;o=info&amp;n=0&amp;q=" xr:uid="{6E744744-A8BE-4C4B-ADF5-9BA9F7296815}"/>
    <hyperlink ref="R244" r:id="rId168" location="page=1&amp;viewer=picture&amp;o=info&amp;n=0&amp;q=" display="https://permalinkbnd.bnportugal.gov.pt/viewer/36160/?offset= - page=1&amp;viewer=picture&amp;o=info&amp;n=0&amp;q=" xr:uid="{E7B6D005-6E4D-4713-AF28-BDF9CD46973A}"/>
    <hyperlink ref="R245" r:id="rId169" location="page=1&amp;viewer=picture&amp;o=info&amp;n=0&amp;q=" display="https://permalinkbnd.bnportugal.gov.pt/viewer/272788/?offset= - page=1&amp;viewer=picture&amp;o=info&amp;n=0&amp;q=" xr:uid="{D501ED2B-409E-4A24-9862-A3A48211F0BF}"/>
    <hyperlink ref="R246" r:id="rId170" location="page=1&amp;viewer=picture&amp;o=info&amp;n=0&amp;q=" display="https://permalinkbnd.bnportugal.gov.pt/viewer/88185/?offset= - page=1&amp;viewer=picture&amp;o=info&amp;n=0&amp;q=" xr:uid="{2FE5EA50-4A8A-4D89-931F-E8D0DEC1DCC1}"/>
    <hyperlink ref="R247" r:id="rId171" location="page=1&amp;viewer=picture&amp;o=info&amp;n=0&amp;q=" display="https://permalinkbnd.bnportugal.gov.pt/viewer/272785/?offset= - page=1&amp;viewer=picture&amp;o=info&amp;n=0&amp;q=" xr:uid="{93586799-40A9-4A97-809F-F0C9A3D92F7F}"/>
    <hyperlink ref="R248" r:id="rId172" location="page=1&amp;viewer=picture&amp;o=info&amp;n=0&amp;q=" display="https://permalinkbnd.bnportugal.gov.pt/viewer/38463/?offset= - page=1&amp;viewer=picture&amp;o=info&amp;n=0&amp;q=" xr:uid="{886E37C5-DF33-4DC8-B412-503B0DC241C7}"/>
    <hyperlink ref="R249" r:id="rId173" location="page=1&amp;viewer=picture&amp;o=info&amp;n=0&amp;q=" display="https://permalinkbnd.bnportugal.gov.pt/viewer/38591/?offset= - page=1&amp;viewer=picture&amp;o=info&amp;n=0&amp;q=" xr:uid="{018D6FA2-0E10-4837-B810-41BC8DB9233B}"/>
    <hyperlink ref="R250" r:id="rId174" location="page=1&amp;viewer=picture&amp;o=info&amp;n=0&amp;q=" display="https://permalinkbnd.bnportugal.gov.pt/viewer/1843/?offset= - page=1&amp;viewer=picture&amp;o=info&amp;n=0&amp;q=" xr:uid="{720A636C-F9AD-4A5D-B119-5FB772CFA0DE}"/>
    <hyperlink ref="R251" r:id="rId175" location="page=1&amp;viewer=picture&amp;o=info&amp;n=0&amp;q=" display="https://permalinkbnd.bnportugal.gov.pt/viewer/37955/?offset= - page=1&amp;viewer=picture&amp;o=info&amp;n=0&amp;q=" xr:uid="{2709A56A-0048-4877-98AD-DC36A73C9F94}"/>
    <hyperlink ref="R252" r:id="rId176" location="page=1&amp;viewer=picture&amp;o=info&amp;n=0&amp;q=" display="https://permalinkbnd.bnportugal.gov.pt/viewer/38270/?offset= - page=1&amp;viewer=picture&amp;o=info&amp;n=0&amp;q=" xr:uid="{183E01F2-40B7-4DCB-8523-341E75A37811}"/>
    <hyperlink ref="R253" r:id="rId177" location="page=1&amp;viewer=picture&amp;o=info&amp;n=0&amp;q=" display="https://permalinkbnd.bnportugal.gov.pt/viewer/39315/?offset= - page=1&amp;viewer=picture&amp;o=info&amp;n=0&amp;q=" xr:uid="{EAEA3E03-9AFA-4A00-A951-86158F6B169C}"/>
    <hyperlink ref="R254" r:id="rId178" location="page=1&amp;viewer=picture&amp;o=info&amp;n=0&amp;q=" display="https://permalinkbnd.bnportugal.gov.pt/viewer/272735/?offset= - page=1&amp;viewer=picture&amp;o=info&amp;n=0&amp;q=" xr:uid="{DB09DBD8-5B11-4B61-8C1A-0C09BB430197}"/>
    <hyperlink ref="R255" r:id="rId179" location="page=1&amp;viewer=picture&amp;o=info&amp;n=0&amp;q=" display="https://permalinkbnd.bnportugal.gov.pt/viewer/272737/?offset= - page=1&amp;viewer=picture&amp;o=info&amp;n=0&amp;q=" xr:uid="{E18EED03-CF13-4D34-84BA-4545A7B57EEC}"/>
    <hyperlink ref="R256" r:id="rId180" location="page=1&amp;viewer=picture&amp;o=info&amp;n=0&amp;q=" display="https://permalinkbnd.bnportugal.gov.pt/viewer/272727/?offset= - page=1&amp;viewer=picture&amp;o=info&amp;n=0&amp;q=" xr:uid="{18DE51FF-6822-4870-8E30-B4A5EA70DBD6}"/>
    <hyperlink ref="R257" r:id="rId181" location="page=1&amp;viewer=picture&amp;o=info&amp;n=0&amp;q=" display="https://permalinkbnd.bnportugal.gov.pt/viewer/272736/?offset= - page=1&amp;viewer=picture&amp;o=info&amp;n=0&amp;q=" xr:uid="{6FBAE4B8-ACB2-4B33-99D7-FFB2AD211E14}"/>
    <hyperlink ref="R258" r:id="rId182" location="page=1&amp;viewer=picture&amp;o=info&amp;n=0&amp;q=" display="https://permalinkbnd.bnportugal.gov.pt/viewer/16732/?offset= - page=1&amp;viewer=picture&amp;o=info&amp;n=0&amp;q=" xr:uid="{CE855D00-7284-43CD-ABA6-DD539281A0F0}"/>
    <hyperlink ref="R259" r:id="rId183" location="page=3&amp;viewer=picture&amp;o=info&amp;n=0&amp;q=" display="https://permalinkbnd.bnportugal.gov.pt/viewer/16732/?offset= - page=3&amp;viewer=picture&amp;o=info&amp;n=0&amp;q=" xr:uid="{A0CCCBB4-7998-4103-BDDC-5CD2BC4F953D}"/>
    <hyperlink ref="R260" r:id="rId184" location="page=1&amp;viewer=picture&amp;o=info&amp;n=0&amp;q=" display="https://permalinkbnd.bnportugal.gov.pt/viewer/268841/?offset= - page=1&amp;viewer=picture&amp;o=info&amp;n=0&amp;q=" xr:uid="{BE7D20DB-5867-4ED0-BAEC-E3966D3668E8}"/>
    <hyperlink ref="R261" r:id="rId185" location="page=1&amp;viewer=picture&amp;o=info&amp;n=0&amp;q=" display="https://permalinkbnd.bnportugal.gov.pt/viewer/33216/?offset= - page=1&amp;viewer=picture&amp;o=info&amp;n=0&amp;q=" xr:uid="{F78DC8E5-AA8C-4F12-A89D-C149554A160B}"/>
    <hyperlink ref="R262" r:id="rId186" location="page=1&amp;viewer=picture&amp;o=info&amp;n=0&amp;q=" display="https://permalinkbnd.bnportugal.gov.pt/viewer/272731/?offset= - page=1&amp;viewer=picture&amp;o=info&amp;n=0&amp;q=" xr:uid="{0E274D7A-D7B7-49ED-A15F-DA6559378F77}"/>
    <hyperlink ref="R263" r:id="rId187" location="page=1&amp;viewer=picture&amp;o=info&amp;n=0&amp;q=" display="https://permalinkbnd.bnportugal.gov.pt/viewer/272732/?offset= - page=1&amp;viewer=picture&amp;o=info&amp;n=0&amp;q=" xr:uid="{6300CB7B-1855-4F79-9AD9-C5B2EA5A87C2}"/>
    <hyperlink ref="R264" r:id="rId188" location="page=1&amp;viewer=picture&amp;o=info&amp;n=0&amp;q=" display="https://permalinkbnd.bnportugal.gov.pt/viewer/272729/?offset= - page=1&amp;viewer=picture&amp;o=info&amp;n=0&amp;q=" xr:uid="{ABA58AC8-6917-457C-A4E3-32EAD0845C95}"/>
    <hyperlink ref="R265" r:id="rId189" location="page=1&amp;viewer=picture&amp;o=info&amp;n=0&amp;q=" display="https://permalinkbnd.bnportugal.gov.pt/viewer/272786/?offset= - page=1&amp;viewer=picture&amp;o=info&amp;n=0&amp;q=" xr:uid="{FFC8BB94-812C-4967-A77B-0320664728D7}"/>
    <hyperlink ref="R266" r:id="rId190" location="page=8&amp;viewer=picture&amp;o=info&amp;n=0&amp;q=" display="https://permalinkbnd.bnportugal.gov.pt/viewer/272786/?offset= - page=8&amp;viewer=picture&amp;o=info&amp;n=0&amp;q=" xr:uid="{301032AD-472F-430E-A43F-866B531B8796}"/>
    <hyperlink ref="R267" r:id="rId191" location="page=10&amp;viewer=picture&amp;o=info&amp;n=0&amp;q=" display="https://permalinkbnd.bnportugal.gov.pt/viewer/272786/?offset= - page=10&amp;viewer=picture&amp;o=info&amp;n=0&amp;q=" xr:uid="{24D37FF3-DFCF-40B8-9F67-CD050BFE0AD8}"/>
    <hyperlink ref="R268" r:id="rId192" location="page=12&amp;viewer=picture&amp;o=info&amp;n=0&amp;q=" display="https://permalinkbnd.bnportugal.gov.pt/viewer/272786/?offset= - page=12&amp;viewer=picture&amp;o=info&amp;n=0&amp;q=" xr:uid="{CF864BD7-262E-4013-9F8A-8B7CE9FB1976}"/>
    <hyperlink ref="R269" r:id="rId193" location="page=52&amp;viewer=picture&amp;o=info&amp;n=0&amp;q=" display="https://permalinkbnd.bnportugal.gov.pt/viewer/272786/?offset= - page=52&amp;viewer=picture&amp;o=info&amp;n=0&amp;q=" xr:uid="{A7EF3E24-DF58-4E70-8A0A-8CADD15D5F46}"/>
    <hyperlink ref="R270" r:id="rId194" location="page=53&amp;viewer=picture&amp;o=info&amp;n=0&amp;q=" display="https://permalinkbnd.bnportugal.gov.pt/viewer/272786/?offset= - page=53&amp;viewer=picture&amp;o=info&amp;n=0&amp;q=" xr:uid="{9AB3369D-54F2-41B3-81FD-24C6E77B182E}"/>
    <hyperlink ref="R271" r:id="rId195" location="page=86&amp;viewer=picture&amp;o=info&amp;n=0&amp;q=" display="https://permalinkbnd.bnportugal.gov.pt/viewer/272786/?offset= - page=86&amp;viewer=picture&amp;o=info&amp;n=0&amp;q=" xr:uid="{7D02B442-A15E-44D6-A111-424C3BC451BA}"/>
    <hyperlink ref="R272" r:id="rId196" location="page=87&amp;viewer=picture&amp;o=info&amp;n=0&amp;q=" display="https://permalinkbnd.bnportugal.gov.pt/viewer/272786/?offset= - page=87&amp;viewer=picture&amp;o=info&amp;n=0&amp;q=" xr:uid="{15A5E9EA-5E10-4D68-9A48-D6994C19B16A}"/>
    <hyperlink ref="R273" r:id="rId197" location="page=88&amp;viewer=picture&amp;o=info&amp;n=0&amp;q=" display="https://permalinkbnd.bnportugal.gov.pt/viewer/272786/?offset= - page=88&amp;viewer=picture&amp;o=info&amp;n=0&amp;q=" xr:uid="{5D1EEF2E-41F7-4A0F-BE6E-A4A6F218CAF5}"/>
    <hyperlink ref="R274" r:id="rId198" location="page=166&amp;viewer=picture&amp;o=info&amp;n=0&amp;q=" display="https://permalinkbnd.bnportugal.gov.pt/viewer/272786/?offset= - page=166&amp;viewer=picture&amp;o=info&amp;n=0&amp;q=" xr:uid="{2278F7AD-746A-4D5C-93B0-59B9749AE680}"/>
    <hyperlink ref="R275" r:id="rId199" location="page=167&amp;viewer=picture&amp;o=info&amp;n=0&amp;q=" display="https://permalinkbnd.bnportugal.gov.pt/viewer/272786/?offset= - page=167&amp;viewer=picture&amp;o=info&amp;n=0&amp;q=" xr:uid="{1F9758D1-BFE1-40B8-9166-DC9E42B74704}"/>
    <hyperlink ref="R276" r:id="rId200" location="page=168&amp;viewer=picture&amp;o=info&amp;n=0&amp;q=" display="https://permalinkbnd.bnportugal.gov.pt/viewer/272786/?offset= - page=168&amp;viewer=picture&amp;o=info&amp;n=0&amp;q=" xr:uid="{7539DD68-890E-4308-BF67-303EA74366DD}"/>
    <hyperlink ref="R277" r:id="rId201" location="page=241&amp;viewer=picture&amp;o=info&amp;n=0&amp;q=" display="https://permalinkbnd.bnportugal.gov.pt/viewer/272786/?offset= - page=241&amp;viewer=picture&amp;o=info&amp;n=0&amp;q=" xr:uid="{0A5A5FAF-FC9A-47C8-A73B-0E59F76BBCCD}"/>
    <hyperlink ref="R278" r:id="rId202" location="page=329&amp;viewer=picture&amp;o=info&amp;n=0&amp;q=" display="https://permalinkbnd.bnportugal.gov.pt/viewer/272786/?offset= - page=329&amp;viewer=picture&amp;o=info&amp;n=0&amp;q=" xr:uid="{49AD9DBC-7C8C-4CA6-82F1-C06ABFBE7E10}"/>
    <hyperlink ref="R279" r:id="rId203" location="page=330&amp;viewer=picture&amp;o=info&amp;n=0&amp;q=" display="https://permalinkbnd.bnportugal.gov.pt/viewer/272786/?offset= - page=330&amp;viewer=picture&amp;o=info&amp;n=0&amp;q=" xr:uid="{4F13602E-EF02-4B19-AFA5-35CECA85A503}"/>
    <hyperlink ref="R280" r:id="rId204" location="page=389&amp;viewer=picture&amp;o=info&amp;n=0&amp;q=" display="https://permalinkbnd.bnportugal.gov.pt/viewer/272786/?offset= - page=389&amp;viewer=picture&amp;o=info&amp;n=0&amp;q=" xr:uid="{8334F95B-C97C-4AF4-A622-E3A23C1D9D22}"/>
    <hyperlink ref="R281" r:id="rId205" location="page=390&amp;viewer=picture&amp;o=info&amp;n=0&amp;q=" display="https://permalinkbnd.bnportugal.gov.pt/viewer/272786/?offset= - page=390&amp;viewer=picture&amp;o=info&amp;n=0&amp;q=" xr:uid="{00FC928B-C425-463F-9AAC-3A3BC84AAB20}"/>
    <hyperlink ref="R282" r:id="rId206" location="page=449&amp;viewer=picture&amp;o=info&amp;n=0&amp;q=" display="https://permalinkbnd.bnportugal.gov.pt/viewer/272786/?offset= - page=449&amp;viewer=picture&amp;o=info&amp;n=0&amp;q=" xr:uid="{31658F23-A7FA-40B4-BF35-95FF5C23F463}"/>
    <hyperlink ref="R283" r:id="rId207" location="page=450&amp;viewer=picture&amp;o=info&amp;n=0&amp;q=" display="https://permalinkbnd.bnportugal.gov.pt/viewer/272786/?offset= - page=450&amp;viewer=picture&amp;o=info&amp;n=0&amp;q=" xr:uid="{3DAD7054-A3D2-4CA7-B80E-3F42AD55B96C}"/>
    <hyperlink ref="R284" r:id="rId208" location="page=505&amp;viewer=picture&amp;o=info&amp;n=0&amp;q=" display="https://permalinkbnd.bnportugal.gov.pt/viewer/272786/?offset= - page=505&amp;viewer=picture&amp;o=info&amp;n=0&amp;q=" xr:uid="{2EAB759E-1B38-40D0-A47E-D40FE492022F}"/>
    <hyperlink ref="R285" r:id="rId209" location="page=506&amp;viewer=picture&amp;o=info&amp;n=0&amp;q=" display="https://permalinkbnd.bnportugal.gov.pt/viewer/272786/?offset= - page=506&amp;viewer=picture&amp;o=info&amp;n=0&amp;q=" xr:uid="{7A47A793-7377-4AA5-ABDC-A0B222DA9466}"/>
    <hyperlink ref="R286" r:id="rId210" location="page=559&amp;viewer=picture&amp;o=info&amp;n=0&amp;q=" display="https://permalinkbnd.bnportugal.gov.pt/viewer/272786/?offset= - page=559&amp;viewer=picture&amp;o=info&amp;n=0&amp;q=" xr:uid="{486ADE01-A8D4-445C-A226-CCF33A3DBCFE}"/>
    <hyperlink ref="R287" r:id="rId211" location="page=560&amp;viewer=picture&amp;o=info&amp;n=0&amp;q=" display="https://permalinkbnd.bnportugal.gov.pt/viewer/272786/?offset= - page=560&amp;viewer=picture&amp;o=info&amp;n=0&amp;q=" xr:uid="{33300F75-566D-4154-A0D8-607B6CB6CBF7}"/>
    <hyperlink ref="R288" r:id="rId212" location="page=615&amp;viewer=picture&amp;o=info&amp;n=0&amp;q=" display="https://permalinkbnd.bnportugal.gov.pt/viewer/272786/?offset= - page=615&amp;viewer=picture&amp;o=info&amp;n=0&amp;q=" xr:uid="{91590945-752B-47CF-A9A4-401869205FD0}"/>
    <hyperlink ref="R289" r:id="rId213" location="page=616&amp;viewer=picture&amp;o=info&amp;n=0&amp;q=" display="https://permalinkbnd.bnportugal.gov.pt/viewer/272786/?offset= - page=616&amp;viewer=picture&amp;o=info&amp;n=0&amp;q=" xr:uid="{85100E77-B014-4AF7-AA6A-6889FEC8416D}"/>
    <hyperlink ref="R290" r:id="rId214" location="page=670&amp;viewer=picture&amp;o=info&amp;n=0&amp;q=" display="https://permalinkbnd.bnportugal.gov.pt/viewer/272786/?offset= - page=670&amp;viewer=picture&amp;o=info&amp;n=0&amp;q=" xr:uid="{9F5216CD-4E3E-4BF9-B6DA-C04FED66EB99}"/>
    <hyperlink ref="R291" r:id="rId215" location="page=671&amp;viewer=picture&amp;o=info&amp;n=0&amp;q=" display="https://permalinkbnd.bnportugal.gov.pt/viewer/272786/?offset= - page=671&amp;viewer=picture&amp;o=info&amp;n=0&amp;q=" xr:uid="{874201A3-18A7-4F4F-8C48-F12F4A892AFE}"/>
    <hyperlink ref="R292" r:id="rId216" location="page=672&amp;viewer=picture&amp;o=info&amp;n=0&amp;q=" display="https://permalinkbnd.bnportugal.gov.pt/viewer/272786/?offset= - page=672&amp;viewer=picture&amp;o=info&amp;n=0&amp;q=" xr:uid="{1BD1E27D-8718-4BB4-AD83-3471418753FF}"/>
    <hyperlink ref="R293" r:id="rId217" location="page=792&amp;viewer=picture&amp;o=info&amp;n=0&amp;q=" display="https://permalinkbnd.bnportugal.gov.pt/viewer/272786/?offset= - page=792&amp;viewer=picture&amp;o=info&amp;n=0&amp;q=" xr:uid="{F4BC635E-A3E7-45D3-8CAD-ACFB242DA5F3}"/>
    <hyperlink ref="R294" r:id="rId218" location="page=793&amp;viewer=picture&amp;o=info&amp;n=0&amp;q=" display="https://permalinkbnd.bnportugal.gov.pt/viewer/272786/?offset= - page=793&amp;viewer=picture&amp;o=info&amp;n=0&amp;q=" xr:uid="{6E0C74C1-7F59-4D8D-9A2C-013D80AD55DF}"/>
    <hyperlink ref="R295" r:id="rId219" location="page=794&amp;viewer=picture&amp;o=info&amp;n=0&amp;q=" display="https://permalinkbnd.bnportugal.gov.pt/viewer/272786/?offset= - page=794&amp;viewer=picture&amp;o=info&amp;n=0&amp;q=" xr:uid="{F82009A6-A54C-4BF8-B45A-7C9F9BD6019E}"/>
    <hyperlink ref="R296" r:id="rId220" location="page=795&amp;viewer=picture&amp;o=info&amp;n=0&amp;q=" display="https://permalinkbnd.bnportugal.gov.pt/viewer/272786/?offset= - page=795&amp;viewer=picture&amp;o=info&amp;n=0&amp;q=" xr:uid="{53D16632-97B9-4DA2-BB1B-A2529CE5AD21}"/>
    <hyperlink ref="R297" r:id="rId221" location="page=796&amp;viewer=picture&amp;o=info&amp;n=0&amp;q=" display="https://permalinkbnd.bnportugal.gov.pt/viewer/272786/?offset= - page=796&amp;viewer=picture&amp;o=info&amp;n=0&amp;q=" xr:uid="{154605C7-82C6-4A87-ACA3-084E710F03D2}"/>
    <hyperlink ref="R298" r:id="rId222" location="page=797&amp;viewer=picture&amp;o=info&amp;n=0&amp;q=" display="https://permalinkbnd.bnportugal.gov.pt/viewer/272786/?offset= - page=797&amp;viewer=picture&amp;o=info&amp;n=0&amp;q=" xr:uid="{37A0B23E-8B2E-4998-BF36-BA0BC3E25093}"/>
    <hyperlink ref="R299" r:id="rId223" location="page=798&amp;viewer=picture&amp;o=info&amp;n=0&amp;q=" display="https://permalinkbnd.bnportugal.gov.pt/viewer/272786/?offset= - page=798&amp;viewer=picture&amp;o=info&amp;n=0&amp;q=" xr:uid="{ED777285-D631-45C3-8221-9322E38F7E25}"/>
    <hyperlink ref="R300" r:id="rId224" location="page=799&amp;viewer=picture&amp;o=info&amp;n=0&amp;q=" display="https://permalinkbnd.bnportugal.gov.pt/viewer/272786/?offset= - page=799&amp;viewer=picture&amp;o=info&amp;n=0&amp;q=" xr:uid="{B8E8A7DE-8C48-4320-A6F4-70EECCF80220}"/>
    <hyperlink ref="R301" r:id="rId225" location="page=800&amp;viewer=picture&amp;o=info&amp;n=0&amp;q=" display="https://permalinkbnd.bnportugal.gov.pt/viewer/272786/?offset= - page=800&amp;viewer=picture&amp;o=info&amp;n=0&amp;q=" xr:uid="{8783CAFC-78A6-407E-9AA4-409EBDCF3FDD}"/>
    <hyperlink ref="R302" r:id="rId226" location="page=804&amp;viewer=picture&amp;o=info&amp;n=0&amp;q=" display="https://permalinkbnd.bnportugal.gov.pt/viewer/272786/?offset= - page=804&amp;viewer=picture&amp;o=info&amp;n=0&amp;q=" xr:uid="{0B3A5611-971E-4CAC-8361-372B1B22B978}"/>
    <hyperlink ref="R303" r:id="rId227" location="page=1&amp;viewer=picture&amp;o=info&amp;n=0&amp;q=" display="https://permalinkbnd.bnportugal.gov.pt/viewer/272730/?offset= - page=1&amp;viewer=picture&amp;o=info&amp;n=0&amp;q=" xr:uid="{0B8148B8-B36B-4B74-A74E-0B48FC122EB9}"/>
    <hyperlink ref="R304" r:id="rId228" location="page=3&amp;viewer=picture&amp;o=info&amp;n=0&amp;q=" display="https://permalinkbnd.bnportugal.gov.pt/viewer/67153/?offset= - page=3&amp;viewer=picture&amp;o=info&amp;n=0&amp;q=" xr:uid="{F1095B8A-BF4E-479C-AD09-E14172BDAD0E}"/>
    <hyperlink ref="R305" r:id="rId229" location="page=1&amp;viewer=picture&amp;o=info&amp;n=0&amp;q=" display="https://permalinkbnd.bnportugal.gov.pt/viewer/272792/?offset= - page=1&amp;viewer=picture&amp;o=info&amp;n=0&amp;q=" xr:uid="{0D107C14-0498-4928-AAD3-E11EF5016E4D}"/>
    <hyperlink ref="R306" r:id="rId230" location="page=1&amp;viewer=picture&amp;o=info&amp;n=0&amp;q=" display="https://permalinkbnd.bnportugal.gov.pt/viewer/272811/?offset= - page=1&amp;viewer=picture&amp;o=info&amp;n=0&amp;q=" xr:uid="{6C3BE155-F23D-4CC8-A8E0-F98202267B2E}"/>
    <hyperlink ref="R307" r:id="rId231" location="page=1&amp;viewer=picture&amp;o=info&amp;n=0&amp;q=" display="https://permalinkbnd.bnportugal.gov.pt/viewer/272812/?offset= - page=1&amp;viewer=picture&amp;o=info&amp;n=0&amp;q=" xr:uid="{DABD1819-BD08-42AB-B0E7-C44A3D33C231}"/>
    <hyperlink ref="R308" r:id="rId232" location="page=7&amp;viewer=picture&amp;o=info&amp;n=0&amp;q=" display="https://permalinkbnd.bnportugal.gov.pt/viewer/281142/?offset= - page=7&amp;viewer=picture&amp;o=info&amp;n=0&amp;q=" xr:uid="{7E4B17BC-C10F-4D9F-B0FD-349AF629C711}"/>
    <hyperlink ref="R309" r:id="rId233" location="page=9&amp;viewer=picture&amp;o=info&amp;n=0&amp;q=" display="https://permalinkbnd.bnportugal.gov.pt/viewer/281142/?offset= - page=9&amp;viewer=picture&amp;o=info&amp;n=0&amp;q=" xr:uid="{CF8C4B11-22D5-4E02-A8A2-AB5A59919939}"/>
    <hyperlink ref="R310" r:id="rId234" location="page=1&amp;viewer=picture&amp;o=info&amp;n=0&amp;q=" display="https://permalinkbnd.bnportugal.gov.pt/viewer/276786/?offset= - page=1&amp;viewer=picture&amp;o=info&amp;n=0&amp;q=" xr:uid="{A080A10F-564A-4323-9726-31ACB6F5B1A1}"/>
    <hyperlink ref="R311" r:id="rId235" location="page=1&amp;viewer=picture&amp;o=info&amp;n=0&amp;q=" display="https://permalinkbnd.bnportugal.gov.pt/viewer/274457/?offset= - page=1&amp;viewer=picture&amp;o=info&amp;n=0&amp;q=" xr:uid="{EA243162-E971-491F-8A3D-5FE7E99CEFCA}"/>
    <hyperlink ref="R312" r:id="rId236" location="page=7&amp;viewer=picture&amp;o=info&amp;n=0&amp;q=" display="https://permalinkbnd.bnportugal.gov.pt/viewer/274458/?offset= - page=7&amp;viewer=picture&amp;o=info&amp;n=0&amp;q=" xr:uid="{A590E68B-1ADC-4C52-8A1F-9C07495F6BFC}"/>
    <hyperlink ref="R313" r:id="rId237" location="page=3&amp;viewer=picture&amp;o=info&amp;n=0&amp;q=" display="https://permalinkbnd.bnportugal.gov.pt/viewer/274459/?offset= - page=3&amp;viewer=picture&amp;o=info&amp;n=0&amp;q=" xr:uid="{E35EDC53-3F02-4639-A5E6-5D1C5350BD05}"/>
    <hyperlink ref="R314" r:id="rId238" location="page=5&amp;viewer=picture&amp;o=info&amp;n=0&amp;q=" display="https://permalinkbnd.bnportugal.gov.pt/viewer/274957/?offset= - page=5&amp;viewer=picture&amp;o=info&amp;n=0&amp;q=" xr:uid="{12AF788A-0B99-4710-A49E-4D560619E07A}"/>
    <hyperlink ref="R319" r:id="rId239" location="page=69&amp;viewer=picture&amp;o=info&amp;n=0&amp;q=" display="https://permalinkbnd.bnportugal.gov.pt/viewer/272626/?offset= - page=69&amp;viewer=picture&amp;o=info&amp;n=0&amp;q=" xr:uid="{D9FB88B3-B177-4DCC-94B2-42CB446542A3}"/>
    <hyperlink ref="R320" r:id="rId240" location="page=71&amp;viewer=picture&amp;o=info&amp;n=0&amp;q=" display="https://permalinkbnd.bnportugal.gov.pt/viewer/272626/?offset= - page=71&amp;viewer=picture&amp;o=info&amp;n=0&amp;q=" xr:uid="{8163F700-7A8B-4BAE-9FD1-14E220590646}"/>
    <hyperlink ref="R321" r:id="rId241" location="page=73&amp;viewer=picture&amp;o=info&amp;n=0&amp;q=" display="https://permalinkbnd.bnportugal.gov.pt/viewer/272626/?offset= - page=73&amp;viewer=picture&amp;o=info&amp;n=0&amp;q=" xr:uid="{8AF29150-5469-46AE-8B31-24B18454F678}"/>
    <hyperlink ref="R324" r:id="rId242" location="page=102&amp;viewer=picture&amp;o=info&amp;n=0&amp;q=" display="https://permalinkbnd.bnportugal.gov.pt/viewer/272626/?offset= - page=102&amp;viewer=picture&amp;o=info&amp;n=0&amp;q=" xr:uid="{4BF7E174-24ED-43DA-BE71-478CC539776C}"/>
    <hyperlink ref="R325" r:id="rId243" location="page=122&amp;viewer=picture&amp;o=info&amp;n=0&amp;q=" display="https://permalinkbnd.bnportugal.gov.pt/viewer/272626/?offset= - page=122&amp;viewer=picture&amp;o=info&amp;n=0&amp;q=" xr:uid="{4D55FFC9-0C74-4215-BB63-E10D186C8159}"/>
    <hyperlink ref="R326" r:id="rId244" location="page=103&amp;viewer=picture&amp;o=info&amp;n=0&amp;q=" display="https://permalinkbnd.bnportugal.gov.pt/viewer/272626/?offset= - page=103&amp;viewer=picture&amp;o=info&amp;n=0&amp;q=" xr:uid="{6FBC4001-672D-4993-A6A4-E97A02396255}"/>
    <hyperlink ref="R328" r:id="rId245" location="page=135&amp;viewer=picture&amp;o=info&amp;n=0&amp;q=" display="https://permalinkbnd.bnportugal.gov.pt/viewer/272626/?offset= - page=135&amp;viewer=picture&amp;o=info&amp;n=0&amp;q=" xr:uid="{7C7C6744-A2A7-491D-86CD-6E1C203B65F2}"/>
    <hyperlink ref="R329" r:id="rId246" location="page=175&amp;viewer=picture&amp;o=info&amp;n=0&amp;q=" display="https://permalinkbnd.bnportugal.gov.pt/viewer/272626/?offset= - page=175&amp;viewer=picture&amp;o=info&amp;n=0&amp;q=" xr:uid="{E59167E5-1BDB-4216-9F21-8D892228FEC7}"/>
    <hyperlink ref="R332" r:id="rId247" location="page=205&amp;viewer=picture&amp;o=info&amp;n=0&amp;q=" display="https://permalinkbnd.bnportugal.gov.pt/viewer/272626/?offset= - page=205&amp;viewer=picture&amp;o=info&amp;n=0&amp;q=" xr:uid="{2A479D40-629F-4448-A762-4EEBC6D3E8BA}"/>
    <hyperlink ref="R334" r:id="rId248" location="page=233&amp;viewer=picture&amp;o=info&amp;n=0&amp;q=" display="https://permalinkbnd.bnportugal.gov.pt/viewer/272626/?offset= - page=233&amp;viewer=picture&amp;o=info&amp;n=0&amp;q=" xr:uid="{43B9104E-B14F-40D3-8242-09F1F1B9721D}"/>
    <hyperlink ref="R336" r:id="rId249" location="page=261&amp;viewer=picture&amp;o=info&amp;n=0&amp;q=" display="https://permalinkbnd.bnportugal.gov.pt/viewer/272626/?offset= - page=261&amp;viewer=picture&amp;o=info&amp;n=0&amp;q=" xr:uid="{9EFCA018-D6B1-4245-9DFA-F8B2A080AEBC}"/>
    <hyperlink ref="R337" r:id="rId250" location="page=287&amp;viewer=picture&amp;o=info&amp;n=0&amp;q=" display="https://permalinkbnd.bnportugal.gov.pt/viewer/272626/?offset= - page=287&amp;viewer=picture&amp;o=info&amp;n=0&amp;q=" xr:uid="{475CF7A8-7AD6-44AC-B065-3FD840D98FFB}"/>
    <hyperlink ref="R339" r:id="rId251" location="page=315&amp;viewer=picture&amp;o=info&amp;n=0&amp;q=" display="https://permalinkbnd.bnportugal.gov.pt/viewer/272626/?offset= - page=315&amp;viewer=picture&amp;o=info&amp;n=0&amp;q=" xr:uid="{CD8EB399-8F3C-470B-B7C6-301D86E7606C}"/>
    <hyperlink ref="R341" r:id="rId252" location="page=343&amp;viewer=picture&amp;o=info&amp;n=0&amp;q=" display="https://permalinkbnd.bnportugal.gov.pt/viewer/272626/?offset= - page=343&amp;viewer=picture&amp;o=info&amp;n=0&amp;q=" xr:uid="{529B11EF-FDC5-4782-9C32-BF2E50B17F3A}"/>
    <hyperlink ref="R345" r:id="rId253" location="page=23&amp;viewer=picture&amp;o=info&amp;n=0&amp;q=" display="https://permalinkbnd.bnportugal.gov.pt/viewer/279168/?offset= - page=23&amp;viewer=picture&amp;o=info&amp;n=0&amp;q=" xr:uid="{4E1F5718-5679-4585-8DEB-C033DD63B233}"/>
    <hyperlink ref="R346" r:id="rId254" location="page=63&amp;viewer=picture&amp;o=info&amp;n=0&amp;q=" display="https://permalinkbnd.bnportugal.gov.pt/viewer/279168/?offset= - page=63&amp;viewer=picture&amp;o=info&amp;n=0&amp;q=" xr:uid="{CCC53776-D47E-4A4E-BEC1-8C22BA1CC5BD}"/>
    <hyperlink ref="R347" r:id="rId255" location="page=105&amp;viewer=picture&amp;o=info&amp;n=0&amp;q=" display="https://permalinkbnd.bnportugal.gov.pt/viewer/279168/?offset= - page=105&amp;viewer=picture&amp;o=info&amp;n=0&amp;q=" xr:uid="{E71C3D32-5485-456F-BFBF-FBE61241AB03}"/>
    <hyperlink ref="R348" r:id="rId256" location="page=157&amp;viewer=picture&amp;o=info&amp;n=0&amp;q=" display="https://permalinkbnd.bnportugal.gov.pt/viewer/279168/?offset= - page=157&amp;viewer=picture&amp;o=info&amp;n=0&amp;q=" xr:uid="{6DFB7E94-92E1-4219-B2AE-B29A0E2980A2}"/>
    <hyperlink ref="R349" r:id="rId257" location="page=197&amp;viewer=picture&amp;o=info&amp;n=0&amp;q=" display="https://permalinkbnd.bnportugal.gov.pt/viewer/279168/?offset= - page=197&amp;viewer=picture&amp;o=info&amp;n=0&amp;q=" xr:uid="{C8E95156-DA1E-4F18-899C-284181884968}"/>
    <hyperlink ref="R350" r:id="rId258" location="page=268&amp;viewer=picture&amp;o=info&amp;n=0&amp;q=" display="https://permalinkbnd.bnportugal.gov.pt/viewer/279168/?offset= - page=268&amp;viewer=picture&amp;o=info&amp;n=0&amp;q=" xr:uid="{E25D7F60-2F33-432C-BEF1-5DCAC00CC4D4}"/>
    <hyperlink ref="R351" r:id="rId259" location="page=309&amp;viewer=picture&amp;o=info&amp;n=0&amp;q=" display="https://permalinkbnd.bnportugal.gov.pt/viewer/279168/?offset= - page=309&amp;viewer=picture&amp;o=info&amp;n=0&amp;q=" xr:uid="{92069566-C94A-49B0-B636-E04E0894FA16}"/>
    <hyperlink ref="R352" r:id="rId260" location="page=375&amp;viewer=picture&amp;o=info&amp;n=0&amp;q=" display="https://permalinkbnd.bnportugal.gov.pt/viewer/279168/?offset= - page=375&amp;viewer=picture&amp;o=info&amp;n=0&amp;q=" xr:uid="{4AB3CCD7-908F-428C-A60A-9F7B5AD6BBC1}"/>
    <hyperlink ref="R353" r:id="rId261" location="page=10&amp;viewer=picture&amp;o=info&amp;n=0&amp;q=" display="https://permalinkbnd.bnportugal.gov.pt/viewer/273511/?offset= - page=10&amp;viewer=picture&amp;o=info&amp;n=0&amp;q=" xr:uid="{F64E2DA9-5412-45CA-90DB-01A781B56931}"/>
    <hyperlink ref="R354" r:id="rId262" location="page=11&amp;viewer=picture&amp;o=info&amp;n=0&amp;q=" display="https://permalinkbnd.bnportugal.gov.pt/viewer/273511/?offset= - page=11&amp;viewer=picture&amp;o=info&amp;n=0&amp;q=" xr:uid="{A1661F1C-383A-4019-A0DE-32D3709DD036}"/>
    <hyperlink ref="R358" r:id="rId263" location="page=5&amp;viewer=picture&amp;o=info&amp;n=0&amp;q=" display="https://permalinkbnd.bnportugal.gov.pt/viewer/274951/?offset= - page=5&amp;viewer=picture&amp;o=info&amp;n=0&amp;q=" xr:uid="{EAB4A3D7-E1D0-4428-9189-B2CFCAA5B933}"/>
    <hyperlink ref="R359" r:id="rId264" location="page=96&amp;viewer=picture&amp;o=info&amp;n=0&amp;q=" display="https://permalinkbnd.bnportugal.gov.pt/viewer/273524/?offset= - page=96&amp;viewer=picture&amp;o=info&amp;n=0&amp;q=" xr:uid="{9E9384E3-3A39-48CE-81E9-859187CA9538}"/>
    <hyperlink ref="R360" r:id="rId265" location="page=97&amp;viewer=picture&amp;o=info&amp;n=0&amp;q=" display="https://permalinkbnd.bnportugal.gov.pt/viewer/273524/?offset= - page=97&amp;viewer=picture&amp;o=info&amp;n=0&amp;q=" xr:uid="{9943DD52-5F63-4C6E-AAEE-7FA35CF0B3A9}"/>
    <hyperlink ref="R361" r:id="rId266" location="page=100&amp;viewer=picture&amp;o=info&amp;n=0&amp;q=" display="https://permalinkbnd.bnportugal.gov.pt/viewer/273524/?offset= - page=100&amp;viewer=picture&amp;o=info&amp;n=0&amp;q=" xr:uid="{DE0BEA1F-75C9-42B1-8F2A-32E660045230}"/>
    <hyperlink ref="R362" r:id="rId267" location="page=101&amp;viewer=picture&amp;o=info&amp;n=0&amp;q=" display="https://permalinkbnd.bnportugal.gov.pt/viewer/273524/?offset= - page=101&amp;viewer=picture&amp;o=info&amp;n=0&amp;q=" xr:uid="{9E15E99F-E20F-46DF-BE8F-85066B45A5D9}"/>
    <hyperlink ref="R363" r:id="rId268" location="page=8&amp;viewer=picture&amp;o=info&amp;n=0&amp;q=" display="https://permalinkbnd.bnportugal.gov.pt/viewer/275168/?offset= - page=8&amp;viewer=picture&amp;o=info&amp;n=0&amp;q=" xr:uid="{C03291ED-108D-4FCA-9252-B3A8BAD5B127}"/>
    <hyperlink ref="R365" r:id="rId269" location="page=7&amp;viewer=picture&amp;o=info&amp;n=0&amp;q=" display="https://permalinkbnd.bnportugal.gov.pt/viewer/275163/?offset= - page=7&amp;viewer=picture&amp;o=info&amp;n=0&amp;q=" xr:uid="{A2BF2EC7-8D1F-4047-B1F8-7E858C9FFD04}"/>
    <hyperlink ref="R366" r:id="rId270" location="page=7&amp;viewer=picture&amp;o=info&amp;n=0&amp;q=" display="https://permalinkbnd.bnportugal.gov.pt/viewer/275167/?offset= - page=7&amp;viewer=picture&amp;o=info&amp;n=0&amp;q=" xr:uid="{927AF28A-ED46-4095-B949-AEB2EC077C52}"/>
    <hyperlink ref="R377" r:id="rId271" location="page=100&amp;viewer=picture&amp;o=info&amp;n=0&amp;q=" display="https://permalinkbnd.bnportugal.gov.pt/viewer/280465/?offset= - page=100&amp;viewer=picture&amp;o=info&amp;n=0&amp;q=" xr:uid="{FE890BC1-B4DE-4334-9305-405E0992F0D2}"/>
    <hyperlink ref="R378" r:id="rId272" location="page=121&amp;viewer=picture&amp;o=info&amp;n=0&amp;q=" display="https://permalinkbnd.bnportugal.gov.pt/viewer/280465/?offset= - page=121&amp;viewer=picture&amp;o=info&amp;n=0&amp;q=" xr:uid="{E850447A-C93B-4611-82F6-EE175642193D}"/>
    <hyperlink ref="R379" r:id="rId273" location="page=125&amp;viewer=picture&amp;o=info&amp;n=0&amp;q=" display="https://permalinkbnd.bnportugal.gov.pt/viewer/280465/?offset= - page=125&amp;viewer=picture&amp;o=info&amp;n=0&amp;q=" xr:uid="{7C9F0452-4526-447D-BE72-D2C53A551D6B}"/>
    <hyperlink ref="R380" r:id="rId274" location="page=129&amp;viewer=picture&amp;o=info&amp;n=0&amp;q=" display="https://permalinkbnd.bnportugal.gov.pt/viewer/280465/?offset= - page=129&amp;viewer=picture&amp;o=info&amp;n=0&amp;q=" xr:uid="{1FC1C836-DD0D-4079-810A-EF3C9B6EE2E5}"/>
    <hyperlink ref="R381" r:id="rId275" location="page=137&amp;viewer=picture&amp;o=info&amp;n=0&amp;q=" display="https://permalinkbnd.bnportugal.gov.pt/viewer/280465/?offset= - page=137&amp;viewer=picture&amp;o=info&amp;n=0&amp;q=" xr:uid="{00566489-86F4-4D2D-AE4B-9ED975FFB009}"/>
    <hyperlink ref="R382" r:id="rId276" location="page=151&amp;viewer=picture&amp;o=info&amp;n=0&amp;q=" display="https://permalinkbnd.bnportugal.gov.pt/viewer/280465/?offset= - page=151&amp;viewer=picture&amp;o=info&amp;n=0&amp;q=" xr:uid="{18FBF93A-3210-4E9C-8FB8-23CCF6EEAAEE}"/>
    <hyperlink ref="R383" r:id="rId277" location="page=157&amp;viewer=picture&amp;o=info&amp;n=0&amp;q=" display="https://permalinkbnd.bnportugal.gov.pt/viewer/280465/?offset= - page=157&amp;viewer=picture&amp;o=info&amp;n=0&amp;q=" xr:uid="{9CCF1562-162D-40DF-AC66-E13A000211A6}"/>
    <hyperlink ref="R384" r:id="rId278" location="page=159&amp;viewer=picture&amp;o=info&amp;n=0&amp;q=" display="https://permalinkbnd.bnportugal.gov.pt/viewer/280465/?offset= - page=159&amp;viewer=picture&amp;o=info&amp;n=0&amp;q=" xr:uid="{A4F268B8-F59B-4C3D-A245-63C992CD6216}"/>
    <hyperlink ref="R385" r:id="rId279" location="page=192&amp;viewer=picture&amp;o=info&amp;n=0&amp;q=" display="https://permalinkbnd.bnportugal.gov.pt/viewer/280465/?offset= - page=192&amp;viewer=picture&amp;o=info&amp;n=0&amp;q=" xr:uid="{4A5373F6-1862-4F52-AF96-71E4F3977584}"/>
    <hyperlink ref="R386" r:id="rId280" location="page=193&amp;viewer=picture&amp;o=info&amp;n=0&amp;q=" display="https://permalinkbnd.bnportugal.gov.pt/viewer/280465/?offset= - page=193&amp;viewer=picture&amp;o=info&amp;n=0&amp;q=" xr:uid="{40D105CA-1F0C-49DC-80F7-8DF0499D0A48}"/>
    <hyperlink ref="R387" r:id="rId281" location="page=226&amp;viewer=picture&amp;o=info&amp;n=0&amp;q=" display="https://permalinkbnd.bnportugal.gov.pt/viewer/280465/?offset= - page=226&amp;viewer=picture&amp;o=info&amp;n=0&amp;q=" xr:uid="{7EB57A8F-D899-4937-AB9E-4D3D5EF181C4}"/>
    <hyperlink ref="R388" r:id="rId282" location="page=281&amp;viewer=picture&amp;o=info&amp;n=0&amp;q=" display="https://permalinkbnd.bnportugal.gov.pt/viewer/280465/?offset= - page=281&amp;viewer=picture&amp;o=info&amp;n=0&amp;q=" xr:uid="{13E46F71-AE5E-49FD-84EE-339EB6BFE594}"/>
    <hyperlink ref="R389" r:id="rId283" location="page=294&amp;viewer=picture&amp;o=info&amp;n=0&amp;q=" display="https://permalinkbnd.bnportugal.gov.pt/viewer/280465/?offset= - page=294&amp;viewer=picture&amp;o=info&amp;n=0&amp;q=" xr:uid="{E9066A44-8ACB-4067-BC7D-1B0A2C5BC36A}"/>
    <hyperlink ref="R390" r:id="rId284" location="page=325&amp;viewer=picture&amp;o=info&amp;n=0&amp;q=" display="https://permalinkbnd.bnportugal.gov.pt/viewer/280465/?offset= - page=325&amp;viewer=picture&amp;o=info&amp;n=0&amp;q=" xr:uid="{CD533D8F-7CA6-4AAE-BE25-87139A903415}"/>
    <hyperlink ref="R391" r:id="rId285" location="page=468&amp;viewer=picture&amp;o=info&amp;n=0&amp;q=" display="https://permalinkbnd.bnportugal.gov.pt/viewer/280465/?offset= - page=468&amp;viewer=picture&amp;o=info&amp;n=0&amp;q=" xr:uid="{0DCEF20D-0D81-4B30-9C89-9AFD8C16E661}"/>
    <hyperlink ref="R392" r:id="rId286" location="page=500&amp;viewer=picture&amp;o=info&amp;n=0&amp;q=" display="https://permalinkbnd.bnportugal.gov.pt/viewer/280465/?offset= - page=500&amp;viewer=picture&amp;o=info&amp;n=0&amp;q=" xr:uid="{15D9B988-1BCE-4C03-901D-D36D7E6A280A}"/>
    <hyperlink ref="R393" r:id="rId287" location="page=5&amp;viewer=picture&amp;o=info&amp;n=0&amp;q=" display="https://permalinkbnd.bnportugal.gov.pt/viewer/275169/?offset= - page=5&amp;viewer=picture&amp;o=info&amp;n=0&amp;q=" xr:uid="{BBB3A6E3-544F-4F88-BE4E-1969875EDD58}"/>
    <hyperlink ref="R394" r:id="rId288" location="page=5&amp;viewer=picture&amp;o=info&amp;n=0&amp;q=" display="https://permalinkbnd.bnportugal.gov.pt/viewer/275164/?offset= - page=5&amp;viewer=picture&amp;o=info&amp;n=0&amp;q=" xr:uid="{539FA8C5-60B1-4B36-B918-657BD51A32E8}"/>
    <hyperlink ref="R395" r:id="rId289" location="page=4&amp;viewer=picture&amp;o=info&amp;n=0&amp;q=" display="https://permalinkbnd.bnportugal.gov.pt/viewer/275364/?offset= - page=4&amp;viewer=picture&amp;o=info&amp;n=0&amp;q=" xr:uid="{86FB1806-9E7D-4D2B-ADE6-02ED0CECBC08}"/>
    <hyperlink ref="R396" r:id="rId290" location="page=6&amp;viewer=picture&amp;o=info&amp;n=0&amp;q=" display="https://permalinkbnd.bnportugal.gov.pt/viewer/279243/?offset= - page=6&amp;viewer=picture&amp;o=info&amp;n=0&amp;q=" xr:uid="{6090486A-935E-41A8-AA94-BA35EF682A7B}"/>
    <hyperlink ref="R397" r:id="rId291" location="page=6&amp;viewer=picture&amp;o=info&amp;n=0&amp;q=" display="https://permalinkbnd.bnportugal.gov.pt/viewer/279232/?offset= - page=6&amp;viewer=picture&amp;o=info&amp;n=0&amp;q=" xr:uid="{59C54925-D3E6-4270-B045-050C5CCE2FC2}"/>
    <hyperlink ref="R398" r:id="rId292" location="page=1&amp;viewer=picture&amp;o=info&amp;n=0&amp;q=" display="https://permalinkbnd.bnportugal.gov.pt/viewer/276120/?offset= - page=1&amp;viewer=picture&amp;o=info&amp;n=0&amp;q=" xr:uid="{97F46050-B0C6-4534-80F9-4A25D5C6A4A9}"/>
    <hyperlink ref="R399" r:id="rId293" location="page=10&amp;viewer=picture&amp;o=info&amp;n=0&amp;q=" display="https://permalinkbnd.bnportugal.gov.pt/viewer/279340/?offset= - page=10&amp;viewer=picture&amp;o=info&amp;n=0&amp;q=" xr:uid="{7AF7292F-67F6-4779-B265-FD0DA2E01346}"/>
    <hyperlink ref="R400" r:id="rId294" location="page=8&amp;viewer=picture&amp;o=info&amp;n=0&amp;q=" display="https://permalinkbnd.bnportugal.gov.pt/viewer/276130/?offset= - page=8&amp;viewer=picture&amp;o=info&amp;n=0&amp;q=" xr:uid="{5570D2E8-37FF-4314-ABDE-A8F3D9B9593D}"/>
    <hyperlink ref="R401" r:id="rId295" location="page=9&amp;viewer=picture&amp;o=info&amp;n=0&amp;q=" display="https://permalinkbnd.bnportugal.gov.pt/viewer/273100/?offset= - page=9&amp;viewer=picture&amp;o=info&amp;n=0&amp;q=" xr:uid="{CF81300F-6E08-4FF8-A4C7-040CE70FA037}"/>
    <hyperlink ref="R402" r:id="rId296" location="page=16&amp;viewer=picture&amp;o=info&amp;n=0&amp;q=" display="https://permalinkbnd.bnportugal.gov.pt/viewer/273100/?offset= - page=16&amp;viewer=picture&amp;o=info&amp;n=0&amp;q=" xr:uid="{65EC6C53-8B6F-4494-8D6A-8970FCE907A7}"/>
    <hyperlink ref="R404" r:id="rId297" location="page=7&amp;viewer=picture&amp;o=info&amp;n=0&amp;q=" display="https://permalinkbnd.bnportugal.gov.pt/viewer/273782/?offset= - page=7&amp;viewer=picture&amp;o=info&amp;n=0&amp;q=" xr:uid="{A845400A-1AA4-44E8-B4A0-858D90D286F3}"/>
    <hyperlink ref="R405" r:id="rId298" location="page=12&amp;viewer=picture&amp;o=info&amp;n=0&amp;q=" display="https://permalinkbnd.bnportugal.gov.pt/viewer/273782/?offset= - page=12&amp;viewer=picture&amp;o=info&amp;n=0&amp;q=" xr:uid="{16C92C46-153B-4C8B-A59D-A9DD57031D74}"/>
    <hyperlink ref="R406" r:id="rId299" location="page=25&amp;viewer=picture&amp;o=info&amp;n=0&amp;q=" display="https://permalinkbnd.bnportugal.gov.pt/viewer/273782/?offset= - page=25&amp;viewer=picture&amp;o=info&amp;n=0&amp;q=" xr:uid="{365BC56A-1A32-4D5A-A970-6BA6BDB6DF1F}"/>
    <hyperlink ref="R408" r:id="rId300" location="page=48&amp;viewer=picture&amp;o=info&amp;n=0&amp;q=" display="https://permalinkbnd.bnportugal.gov.pt/viewer/273782/?offset= - page=48&amp;viewer=picture&amp;o=info&amp;n=0&amp;q=" xr:uid="{AB5BD378-2486-425F-9F31-BB1075A66173}"/>
    <hyperlink ref="R411" r:id="rId301" location="page=103&amp;viewer=picture&amp;o=info&amp;n=0&amp;q=" display="https://permalinkbnd.bnportugal.gov.pt/viewer/273782/?offset= - page=103&amp;viewer=picture&amp;o=info&amp;n=0&amp;q=" xr:uid="{2AA2EC48-0523-4758-81D0-C198887B70C7}"/>
    <hyperlink ref="R413" r:id="rId302" location="page=163&amp;viewer=picture&amp;o=info&amp;n=0&amp;q=" display="https://permalinkbnd.bnportugal.gov.pt/viewer/273782/?offset= - page=163&amp;viewer=picture&amp;o=info&amp;n=0&amp;q=" xr:uid="{27297B54-CD66-487F-86F6-5446B186DE16}"/>
    <hyperlink ref="R415" r:id="rId303" location="page=237&amp;viewer=picture&amp;o=info&amp;n=0&amp;q=" display="https://permalinkbnd.bnportugal.gov.pt/viewer/273782/?offset= - page=237&amp;viewer=picture&amp;o=info&amp;n=0&amp;q=" xr:uid="{685B8188-155A-4053-9C7C-56C3AE0A1178}"/>
    <hyperlink ref="R416" r:id="rId304" location="page=239&amp;viewer=picture&amp;o=info&amp;n=0&amp;q=" display="https://permalinkbnd.bnportugal.gov.pt/viewer/273782/?offset= - page=239&amp;viewer=picture&amp;o=info&amp;n=0&amp;q=" xr:uid="{D5E8884F-7033-4DB7-B821-6C033D88DC4F}"/>
    <hyperlink ref="R418" r:id="rId305" location="page=293&amp;viewer=picture&amp;o=info&amp;n=0&amp;q=" display="https://permalinkbnd.bnportugal.gov.pt/viewer/273782/?offset= - page=293&amp;viewer=picture&amp;o=info&amp;n=0&amp;q=" xr:uid="{F15F5F9B-C03A-441E-87FE-C9BABD431A19}"/>
    <hyperlink ref="R420" r:id="rId306" location="page=347&amp;viewer=picture&amp;o=info&amp;n=0&amp;q=" display="https://permalinkbnd.bnportugal.gov.pt/viewer/273782/?offset= - page=347&amp;viewer=picture&amp;o=info&amp;n=0&amp;q=" xr:uid="{1E43FEDB-ED0E-4302-AEDE-400FE653DA33}"/>
    <hyperlink ref="R421" r:id="rId307" location="page=349&amp;viewer=picture&amp;o=info&amp;n=0&amp;q=" display="https://permalinkbnd.bnportugal.gov.pt/viewer/273782/?offset= - page=349&amp;viewer=picture&amp;o=info&amp;n=0&amp;q=" xr:uid="{525E5210-3773-44E3-B871-B9F5074502F0}"/>
    <hyperlink ref="R422" r:id="rId308" location="page=399&amp;viewer=picture&amp;o=info&amp;n=0&amp;q=" display="https://permalinkbnd.bnportugal.gov.pt/viewer/273782/?offset= - page=399&amp;viewer=picture&amp;o=info&amp;n=0&amp;q=" xr:uid="{9BD305DA-22C5-4309-B734-CCFFFABB151C}"/>
    <hyperlink ref="R423" r:id="rId309" location="page=401&amp;viewer=picture&amp;o=info&amp;n=0&amp;q=" display="https://permalinkbnd.bnportugal.gov.pt/viewer/273782/?offset= - page=401&amp;viewer=picture&amp;o=info&amp;n=0&amp;q=" xr:uid="{15CA597D-F2B8-430A-906C-9DA46430E414}"/>
    <hyperlink ref="R424" r:id="rId310" location="page=445&amp;viewer=picture&amp;o=info&amp;n=0&amp;q=" display="https://permalinkbnd.bnportugal.gov.pt/viewer/273782/?offset= - page=445&amp;viewer=picture&amp;o=info&amp;n=0&amp;q=" xr:uid="{119B4CB7-ADA6-43AA-9B4F-4681A95BFEFB}"/>
    <hyperlink ref="R425" r:id="rId311" location="page=447&amp;viewer=picture&amp;o=info&amp;n=0&amp;q=" display="https://permalinkbnd.bnportugal.gov.pt/viewer/273782/?offset= - page=447&amp;viewer=picture&amp;o=info&amp;n=0&amp;q=" xr:uid="{0F4364D5-9FCE-4D8A-B3D2-2962EB21FD13}"/>
    <hyperlink ref="R426" r:id="rId312" location="page=497&amp;viewer=picture&amp;o=info&amp;n=0&amp;q=" display="https://permalinkbnd.bnportugal.gov.pt/viewer/273782/?offset= - page=497&amp;viewer=picture&amp;o=info&amp;n=0&amp;q=" xr:uid="{913E5F88-B406-4AA5-88BF-82FDFBE0E1E5}"/>
    <hyperlink ref="R427" r:id="rId313" location="page=499&amp;viewer=picture&amp;o=info&amp;n=0&amp;q=" display="https://permalinkbnd.bnportugal.gov.pt/viewer/273782/?offset= - page=499&amp;viewer=picture&amp;o=info&amp;n=0&amp;q=" xr:uid="{BCA19280-32E2-499D-AC1F-F5E358C5A553}"/>
    <hyperlink ref="R428" r:id="rId314" location="page=547&amp;viewer=picture&amp;o=info&amp;n=0&amp;q=" display="https://permalinkbnd.bnportugal.gov.pt/viewer/273782/?offset= - page=547&amp;viewer=picture&amp;o=info&amp;n=0&amp;q=" xr:uid="{DA730762-FD5A-4965-952F-87C73C4F16F0}"/>
    <hyperlink ref="R429" r:id="rId315" location="page=549&amp;viewer=picture&amp;o=info&amp;n=0&amp;q=" display="https://permalinkbnd.bnportugal.gov.pt/viewer/273782/?offset= - page=549&amp;viewer=picture&amp;o=info&amp;n=0&amp;q=" xr:uid="{87F4AD00-3381-4DE7-B43B-DA881F8F76BD}"/>
    <hyperlink ref="R434" r:id="rId316" location="page=67&amp;viewer=picture&amp;o=info&amp;n=0&amp;q=" display="https://permalinkbnd.bnportugal.gov.pt/viewer/272627/?offset= - page=67&amp;viewer=picture&amp;o=info&amp;n=0&amp;q=" xr:uid="{DEEA6A9A-7286-45E7-AECC-17E5EBCA07F9}"/>
    <hyperlink ref="R436" r:id="rId317" location="page=71&amp;viewer=picture&amp;o=info&amp;n=0&amp;q=" display="https://permalinkbnd.bnportugal.gov.pt/viewer/272627/?offset= - page=71&amp;viewer=picture&amp;o=info&amp;n=0&amp;q=" xr:uid="{7F933306-FE15-45DE-810A-A35FC5BE3A10}"/>
    <hyperlink ref="R440" r:id="rId318" location="page=101&amp;viewer=picture&amp;o=info&amp;n=0&amp;q=" display="https://permalinkbnd.bnportugal.gov.pt/viewer/272627/?offset= - page=101&amp;viewer=picture&amp;o=info&amp;n=0&amp;q=" xr:uid="{5F58754A-FFD7-4985-998B-FB8609791068}"/>
    <hyperlink ref="R441" r:id="rId319" location="page=133&amp;viewer=picture&amp;o=info&amp;n=0&amp;q=" display="https://permalinkbnd.bnportugal.gov.pt/viewer/272627/?offset= - page=133&amp;viewer=picture&amp;o=info&amp;n=0&amp;q=" xr:uid="{F23E26F8-6468-4F3A-8806-018A94B98E20}"/>
    <hyperlink ref="R442" r:id="rId320" location="page=173&amp;viewer=picture&amp;o=info&amp;n=0&amp;q=" display="https://permalinkbnd.bnportugal.gov.pt/viewer/272627/?offset= - page=173&amp;viewer=picture&amp;o=info&amp;n=0&amp;q=" xr:uid="{DD1C2A7D-D6ED-4C34-9594-E0732EB7355C}"/>
    <hyperlink ref="R443" r:id="rId321" location="page=203&amp;viewer=picture&amp;o=info&amp;n=0&amp;q=" display="https://permalinkbnd.bnportugal.gov.pt/viewer/272627/?offset= - page=203&amp;viewer=picture&amp;o=info&amp;n=0&amp;q=" xr:uid="{76065F63-3106-41A5-A31E-3FBF09D44C06}"/>
    <hyperlink ref="R444" r:id="rId322" location="page=231&amp;viewer=picture&amp;o=info&amp;n=0&amp;q=" display="https://permalinkbnd.bnportugal.gov.pt/viewer/272627/?offset= - page=231&amp;viewer=picture&amp;o=info&amp;n=0&amp;q=" xr:uid="{1D8B743B-74D1-4883-954A-3EE16150A101}"/>
    <hyperlink ref="R445" r:id="rId323" location="page=259&amp;viewer=picture&amp;o=info&amp;n=0&amp;q=" display="https://permalinkbnd.bnportugal.gov.pt/viewer/272627/?offset= - page=259&amp;viewer=picture&amp;o=info&amp;n=0&amp;q=" xr:uid="{077EB750-A7B3-4052-8A61-C297ADD67874}"/>
    <hyperlink ref="R446" r:id="rId324" location="page=285&amp;viewer=picture&amp;o=info&amp;n=0&amp;q=" display="https://permalinkbnd.bnportugal.gov.pt/viewer/272627/?offset= - page=285&amp;viewer=picture&amp;o=info&amp;n=0&amp;q=" xr:uid="{219D150C-F1AA-49AA-858C-E805994C72BA}"/>
    <hyperlink ref="R447" r:id="rId325" location="page=313&amp;viewer=picture&amp;o=info&amp;n=0&amp;q=" display="https://permalinkbnd.bnportugal.gov.pt/viewer/272627/?offset= - page=313&amp;viewer=picture&amp;o=info&amp;n=0&amp;q=" xr:uid="{261606D4-47E9-4BEF-84F1-78D0782F1D40}"/>
    <hyperlink ref="R449" r:id="rId326" location="page=341&amp;viewer=picture&amp;o=info&amp;n=0&amp;q=" display="https://permalinkbnd.bnportugal.gov.pt/viewer/272627/?offset= - page=341&amp;viewer=picture&amp;o=info&amp;n=0&amp;q=" xr:uid="{6D5E41CA-480D-4878-8921-C9F166061A5E}"/>
    <hyperlink ref="R451" r:id="rId327" location="page=8&amp;viewer=picture&amp;o=info&amp;n=0&amp;q=" display="https://permalinkbnd.bnportugal.gov.pt/viewer/277151/?offset= - page=8&amp;viewer=picture&amp;o=info&amp;n=0&amp;q=" xr:uid="{BE0DDF04-627C-478F-95C0-6CBFE1651C42}"/>
    <hyperlink ref="R453" r:id="rId328" location="page=63&amp;viewer=picture&amp;o=info&amp;n=0&amp;q=" display="https://permalinkbnd.bnportugal.gov.pt/viewer/277151/?offset= - page=63&amp;viewer=picture&amp;o=info&amp;n=0&amp;q=" xr:uid="{4E490A86-552D-4039-BCD0-AFD334F9CFB2}"/>
    <hyperlink ref="R454" r:id="rId329" location="page=101&amp;viewer=picture&amp;o=info&amp;n=0&amp;q=" display="https://permalinkbnd.bnportugal.gov.pt/viewer/277151/?offset= - page=101&amp;viewer=picture&amp;o=info&amp;n=0&amp;q=" xr:uid="{EB2C1FE4-4557-4545-BC75-2DF2CAF2BE03}"/>
    <hyperlink ref="R455" r:id="rId330" location="page=143&amp;viewer=picture&amp;o=info&amp;n=0&amp;q=" display="https://permalinkbnd.bnportugal.gov.pt/viewer/277151/?offset= - page=143&amp;viewer=picture&amp;o=info&amp;n=0&amp;q=" xr:uid="{247315F5-5885-45CF-9F77-C42C196ED5E9}"/>
    <hyperlink ref="R456" r:id="rId331" location="page=195&amp;viewer=picture&amp;o=info&amp;n=0&amp;q=" display="https://permalinkbnd.bnportugal.gov.pt/viewer/277151/?offset= - page=195&amp;viewer=picture&amp;o=info&amp;n=0&amp;q=" xr:uid="{B747260B-C891-481B-B923-92407E6E1D5C}"/>
    <hyperlink ref="R457" r:id="rId332" location="page=233&amp;viewer=picture&amp;o=info&amp;n=0&amp;q=" display="https://permalinkbnd.bnportugal.gov.pt/viewer/277151/?offset= - page=233&amp;viewer=picture&amp;o=info&amp;n=0&amp;q=" xr:uid="{38C17488-DDA9-42C9-9736-8B4103BC3966}"/>
    <hyperlink ref="R458" r:id="rId333" location="page=269&amp;viewer=picture&amp;o=info&amp;n=0&amp;q=" display="https://permalinkbnd.bnportugal.gov.pt/viewer/277151/?offset= - page=269&amp;viewer=picture&amp;o=info&amp;n=0&amp;q=" xr:uid="{24015B25-83CC-41F9-A5C6-7B8C8DD71875}"/>
    <hyperlink ref="R459" r:id="rId334" location="page=305&amp;viewer=picture&amp;o=info&amp;n=0&amp;q=" display="https://permalinkbnd.bnportugal.gov.pt/viewer/277151/?offset= - page=305&amp;viewer=picture&amp;o=info&amp;n=0&amp;q=" xr:uid="{F6669594-6265-4926-8D3D-B25511C2C39C}"/>
    <hyperlink ref="R460" r:id="rId335" location="page=337&amp;viewer=picture&amp;o=info&amp;n=0&amp;q=" display="https://permalinkbnd.bnportugal.gov.pt/viewer/277151/?offset= - page=337&amp;viewer=picture&amp;o=info&amp;n=0&amp;q=" xr:uid="{26E8F666-F951-4221-9F6E-A474BCE479B6}"/>
    <hyperlink ref="R461" r:id="rId336" location="page=373&amp;viewer=picture&amp;o=info&amp;n=0&amp;q=" display="https://permalinkbnd.bnportugal.gov.pt/viewer/277151/?offset= - page=373&amp;viewer=picture&amp;o=info&amp;n=0&amp;q=" xr:uid="{44549967-200B-4939-94CB-CED16687FF5D}"/>
    <hyperlink ref="R462" r:id="rId337" location="page=409&amp;viewer=picture&amp;o=info&amp;n=0&amp;q=" display="https://permalinkbnd.bnportugal.gov.pt/viewer/277151/?offset= - page=409&amp;viewer=picture&amp;o=info&amp;n=0&amp;q=" xr:uid="{8E8E23F3-6CC8-4BE9-AF12-18ECC03750C7}"/>
    <hyperlink ref="R463" r:id="rId338" location="page=12&amp;viewer=picture&amp;o=info&amp;n=0&amp;q=" display="https://permalinkbnd.bnportugal.gov.pt/viewer/277145/?offset= - page=12&amp;viewer=picture&amp;o=info&amp;n=0&amp;q=" xr:uid="{D63ECA34-4211-4102-9F6F-EB82AC58B1CC}"/>
    <hyperlink ref="R464" r:id="rId339" location="page=110&amp;viewer=picture&amp;o=info&amp;n=0&amp;q=" display="https://permalinkbnd.bnportugal.gov.pt/viewer/277145/?offset= - page=110&amp;viewer=picture&amp;o=info&amp;n=0&amp;q=" xr:uid="{7252E762-8DC7-4183-AB49-8768A00E9CE1}"/>
    <hyperlink ref="R468" r:id="rId340" location="page=273&amp;viewer=picture&amp;o=info&amp;n=0&amp;q=" display="https://permalinkbnd.bnportugal.gov.pt/viewer/277145/?offset= - page=273&amp;viewer=picture&amp;o=info&amp;n=0&amp;q=" xr:uid="{99E83E84-EB86-40DC-A8BD-6FB1D92F67B6}"/>
    <hyperlink ref="R473" r:id="rId341" location="page=23&amp;viewer=picture&amp;o=info&amp;n=0&amp;q=" display="https://permalinkbnd.bnportugal.gov.pt/viewer/273814/?offset= - page=23&amp;viewer=picture&amp;o=info&amp;n=0&amp;q=" xr:uid="{08C91DE6-E8B2-4E80-82C7-85669EC1FD5B}"/>
    <hyperlink ref="R474" r:id="rId342" location="page=102&amp;viewer=picture&amp;o=info&amp;n=0&amp;q=" display="https://permalinkbnd.bnportugal.gov.pt/viewer/273814/?offset= - page=102&amp;viewer=picture&amp;o=info&amp;n=0&amp;q=" xr:uid="{375FFF1C-0280-4199-87E4-8EFFD19A1DF6}"/>
    <hyperlink ref="R480" r:id="rId343" location="page=198&amp;viewer=picture&amp;o=info&amp;n=0&amp;q=" display="https://permalinkbnd.bnportugal.gov.pt/viewer/273814/?offset= - page=198&amp;viewer=picture&amp;o=info&amp;n=0&amp;q=" xr:uid="{878CC482-7ED2-42D8-B728-A8183B6F4B7C}"/>
    <hyperlink ref="R481" r:id="rId344" location="page=8&amp;viewer=picture&amp;o=info&amp;n=0&amp;q=" display="https://permalinkbnd.bnportugal.gov.pt/viewer/277150/?offset= - page=8&amp;viewer=picture&amp;o=info&amp;n=0&amp;q=" xr:uid="{8C450877-FFA8-411C-907F-8E6AB48E5268}"/>
    <hyperlink ref="R483" r:id="rId345" location="page=59&amp;viewer=picture&amp;o=info&amp;n=0&amp;q=" display="https://permalinkbnd.bnportugal.gov.pt/viewer/277150/?offset= - page=59&amp;viewer=picture&amp;o=info&amp;n=0&amp;q=" xr:uid="{06260E0D-C761-4AB8-BD0C-F719E164693D}"/>
    <hyperlink ref="R484" r:id="rId346" location="page=97&amp;viewer=picture&amp;o=info&amp;n=0&amp;q=" display="https://permalinkbnd.bnportugal.gov.pt/viewer/277150/?offset= - page=97&amp;viewer=picture&amp;o=info&amp;n=0&amp;q=" xr:uid="{B5729CEC-0BFA-43B2-8292-853C343AE533}"/>
    <hyperlink ref="R485" r:id="rId347" location="page=139&amp;viewer=picture&amp;o=info&amp;n=0&amp;q=" display="https://permalinkbnd.bnportugal.gov.pt/viewer/277150/?offset= - page=139&amp;viewer=picture&amp;o=info&amp;n=0&amp;q=" xr:uid="{51373C5A-401D-4914-B431-4035B6323042}"/>
    <hyperlink ref="R486" r:id="rId348" location="page=191&amp;viewer=picture&amp;o=info&amp;n=0&amp;q=" display="https://permalinkbnd.bnportugal.gov.pt/viewer/277150/?offset= - page=191&amp;viewer=picture&amp;o=info&amp;n=0&amp;q=" xr:uid="{DDD99EB7-ED73-4169-A1F6-12F579306B73}"/>
    <hyperlink ref="R487" r:id="rId349" location="page=229&amp;viewer=picture&amp;o=info&amp;n=0&amp;q=" display="https://permalinkbnd.bnportugal.gov.pt/viewer/277150/?offset= - page=229&amp;viewer=picture&amp;o=info&amp;n=0&amp;q=" xr:uid="{12336568-657E-4EE1-8923-90367CBE0B99}"/>
    <hyperlink ref="R488" r:id="rId350" location="page=265&amp;viewer=picture&amp;o=info&amp;n=0&amp;q=" display="https://permalinkbnd.bnportugal.gov.pt/viewer/277150/?offset= - page=265&amp;viewer=picture&amp;o=info&amp;n=0&amp;q=" xr:uid="{E6CAB71C-F6BD-4EBD-B003-0A34EA59C80A}"/>
    <hyperlink ref="R489" r:id="rId351" location="page=301&amp;viewer=picture&amp;o=info&amp;n=0&amp;q=" display="https://permalinkbnd.bnportugal.gov.pt/viewer/277150/?offset= - page=301&amp;viewer=picture&amp;o=info&amp;n=0&amp;q=" xr:uid="{8178A0F0-3362-487D-9B9E-533A3FD9884F}"/>
    <hyperlink ref="R490" r:id="rId352" location="page=333&amp;viewer=picture&amp;o=info&amp;n=0&amp;q=" display="https://permalinkbnd.bnportugal.gov.pt/viewer/277150/?offset= - page=333&amp;viewer=picture&amp;o=info&amp;n=0&amp;q=" xr:uid="{F10BCF51-D585-4E12-9E52-CF7BA3568217}"/>
    <hyperlink ref="R491" r:id="rId353" location="page=369&amp;viewer=picture&amp;o=info&amp;n=0&amp;q=" display="https://permalinkbnd.bnportugal.gov.pt/viewer/277150/?offset= - page=369&amp;viewer=picture&amp;o=info&amp;n=0&amp;q=" xr:uid="{D676C53E-0F3D-4F0A-B3B0-11B57418656E}"/>
    <hyperlink ref="R492" r:id="rId354" location="page=405&amp;viewer=picture&amp;o=info&amp;n=0&amp;q=" display="https://permalinkbnd.bnportugal.gov.pt/viewer/277150/?offset= - page=405&amp;viewer=picture&amp;o=info&amp;n=0&amp;q=" xr:uid="{27456B15-21E4-4355-BC3D-ADF91D51F307}"/>
    <hyperlink ref="R493" r:id="rId355" location="page=6&amp;viewer=picture&amp;o=info&amp;n=0&amp;q=" display="https://permalinkbnd.bnportugal.gov.pt/viewer/281138/?offset= - page=6&amp;viewer=picture&amp;o=info&amp;n=0&amp;q=" xr:uid="{B2862CE2-FA23-41A8-8685-368F23C82CF2}"/>
    <hyperlink ref="R494" r:id="rId356" location="page=11&amp;viewer=picture&amp;o=info&amp;n=0&amp;q=" display="https://permalinkbnd.bnportugal.gov.pt/viewer/1892/?offset= - page=11&amp;viewer=picture&amp;o=info&amp;n=0&amp;q=" xr:uid="{38D44357-1F86-47E6-BE33-1237686F8BBF}"/>
    <hyperlink ref="R495" r:id="rId357" location="page=6&amp;viewer=picture&amp;o=info&amp;n=0&amp;q=" display="https://permalinkbnd.bnportugal.gov.pt/viewer/277143/?offset= - page=6&amp;viewer=picture&amp;o=info&amp;n=0&amp;q=" xr:uid="{637B73F1-C7FF-4C42-B905-31A589A9D6A7}"/>
    <hyperlink ref="R496" r:id="rId358" location="page=6&amp;viewer=picture&amp;o=info&amp;n=0&amp;q=" display="https://permalinkbnd.bnportugal.gov.pt/viewer/277149/?offset= - page=6&amp;viewer=picture&amp;o=info&amp;n=0&amp;q=" xr:uid="{3DB3195A-F370-43A5-81AB-7909013BF9D4}"/>
    <hyperlink ref="R498" r:id="rId359" location="page=282&amp;viewer=picture&amp;o=info&amp;n=0&amp;q=" display="https://permalinkbnd.bnportugal.gov.pt/viewer/277149/?offset= - page=282&amp;viewer=picture&amp;o=info&amp;n=0&amp;q=" xr:uid="{9FF1CD4C-3D91-4F1E-8C99-B15D7B143C84}"/>
    <hyperlink ref="R499" r:id="rId360" location="page=318&amp;viewer=picture&amp;o=info&amp;n=0&amp;q=" display="https://permalinkbnd.bnportugal.gov.pt/viewer/277149/?offset= - page=318&amp;viewer=picture&amp;o=info&amp;n=0&amp;q=" xr:uid="{6A673375-5337-466B-A15E-BCEBF8DFB8BB}"/>
    <hyperlink ref="R501" r:id="rId361" location="page=101&amp;viewer=picture&amp;o=info&amp;n=0&amp;q=" display="https://permalinkbnd.bnportugal.gov.pt/viewer/272672/?offset= - page=101&amp;viewer=picture&amp;o=info&amp;n=0&amp;q=" xr:uid="{2F90DBFC-90E8-4D4A-AA19-803163ED271B}"/>
    <hyperlink ref="R502" r:id="rId362" location="page=159&amp;viewer=picture&amp;o=info&amp;n=0&amp;q=" display="https://permalinkbnd.bnportugal.gov.pt/viewer/272672/?offset= - page=159&amp;viewer=picture&amp;o=info&amp;n=0&amp;q=" xr:uid="{4214A43C-CA28-4F53-9411-0B3144DE5B53}"/>
    <hyperlink ref="R503" r:id="rId363" location="page=201&amp;viewer=picture&amp;o=info&amp;n=0&amp;q=" display="https://permalinkbnd.bnportugal.gov.pt/viewer/272672/?offset= - page=201&amp;viewer=picture&amp;o=info&amp;n=0&amp;q=" xr:uid="{D79CA161-1252-4055-9C26-BAC623169052}"/>
    <hyperlink ref="R504" r:id="rId364" location="page=307&amp;viewer=picture&amp;o=info&amp;n=0&amp;q=" display="https://permalinkbnd.bnportugal.gov.pt/viewer/272672/?offset= - page=307&amp;viewer=picture&amp;o=info&amp;n=0&amp;q=" xr:uid="{87BB2C9D-4610-432B-B0E2-3221D831FE85}"/>
    <hyperlink ref="R505" r:id="rId365" location="page=5&amp;viewer=picture&amp;o=info&amp;n=0&amp;q=" display="https://permalinkbnd.bnportugal.gov.pt/viewer/272668/?offset= - page=5&amp;viewer=picture&amp;o=info&amp;n=0&amp;q=" xr:uid="{034D8FD5-2904-4CC0-A1C2-2CA48A6409F1}"/>
    <hyperlink ref="R506" r:id="rId366" location="page=63&amp;viewer=picture&amp;o=info&amp;n=0&amp;q=" display="https://permalinkbnd.bnportugal.gov.pt/viewer/272668/?offset= - page=63&amp;viewer=picture&amp;o=info&amp;n=0&amp;q=" xr:uid="{0A6EE87F-597C-4A8B-B687-E2905AB643B6}"/>
    <hyperlink ref="R507" r:id="rId367" location="page=65&amp;viewer=picture&amp;o=info&amp;n=0&amp;q=" display="https://permalinkbnd.bnportugal.gov.pt/viewer/272668/?offset= - page=65&amp;viewer=picture&amp;o=info&amp;n=0&amp;q=" xr:uid="{7E4B33BF-E668-4BFA-B717-297FD6F7F072}"/>
    <hyperlink ref="R508" r:id="rId368" location="page=203&amp;viewer=picture&amp;o=info&amp;n=0&amp;q=" display="https://permalinkbnd.bnportugal.gov.pt/viewer/272668/?offset= - page=203&amp;viewer=picture&amp;o=info&amp;n=0&amp;q=" xr:uid="{4261837B-C5AA-4638-B774-B9AE4A8AE6B1}"/>
    <hyperlink ref="R509" r:id="rId369" location="page=291&amp;viewer=picture&amp;o=info&amp;n=0&amp;q=" display="https://permalinkbnd.bnportugal.gov.pt/viewer/272668/?offset= - page=291&amp;viewer=picture&amp;o=info&amp;n=0&amp;q=" xr:uid="{932CD8AD-068F-4DF6-A703-9AC3BCDDAF7D}"/>
    <hyperlink ref="R510" r:id="rId370" location="page=397&amp;viewer=picture&amp;o=info&amp;n=0&amp;q=" display="https://permalinkbnd.bnportugal.gov.pt/viewer/272668/?offset= - page=397&amp;viewer=picture&amp;o=info&amp;n=0&amp;q=" xr:uid="{B018DA38-C41B-4656-92D4-001BBF190F0B}"/>
    <hyperlink ref="R511" r:id="rId371" location="page=10&amp;viewer=picture&amp;o=info&amp;n=0&amp;q=" display="https://permalinkbnd.bnportugal.gov.pt/viewer/277147/?offset= - page=10&amp;viewer=picture&amp;o=info&amp;n=0&amp;q=" xr:uid="{20FE9867-3596-4863-8F27-E0FC544BBBC1}"/>
    <hyperlink ref="R514" r:id="rId372" location="page=11&amp;viewer=picture&amp;o=info&amp;n=0&amp;q=" display="https://permalinkbnd.bnportugal.gov.pt/viewer/276783/?offset= - page=11&amp;viewer=picture&amp;o=info&amp;n=0&amp;q=" xr:uid="{358D2A42-1EDE-48BA-96EC-B016BE086F1A}"/>
    <hyperlink ref="R515" r:id="rId373" location="page=180&amp;viewer=picture&amp;o=info&amp;n=0&amp;q=" display="https://permalinkbnd.bnportugal.gov.pt/viewer/276783/?offset= - page=180&amp;viewer=picture&amp;o=info&amp;n=0&amp;q=" xr:uid="{E6BB2F65-A88E-429C-87A1-34586EEF9201}"/>
    <hyperlink ref="R516" r:id="rId374" location="page=5&amp;viewer=picture&amp;o=info&amp;n=0&amp;q=" display="https://permalinkbnd.bnportugal.gov.pt/viewer/276790/?offset= - page=5&amp;viewer=picture&amp;o=info&amp;n=0&amp;q=" xr:uid="{247A5A6B-B0AB-43DE-9785-C9158E6A7270}"/>
    <hyperlink ref="R517" r:id="rId375" location="page=6&amp;viewer=picture&amp;o=info&amp;n=0&amp;q=" display="https://permalinkbnd.bnportugal.gov.pt/viewer/276790/?offset= - page=6&amp;viewer=picture&amp;o=info&amp;n=0&amp;q=" xr:uid="{6F64D0EA-2080-4272-ADC4-6DE1C82DD36C}"/>
    <hyperlink ref="R522" r:id="rId376" location="page=4&amp;viewer=picture&amp;o=info&amp;n=0&amp;q=" display="https://permalinkbnd.bnportugal.gov.pt/viewer/276785/?offset= - page=4&amp;viewer=picture&amp;o=info&amp;n=0&amp;q=" xr:uid="{E9BF0E3C-AE01-42E8-99A3-17B94A5178B0}"/>
    <hyperlink ref="R523" r:id="rId377" location="page=162&amp;viewer=picture&amp;o=info&amp;n=0&amp;q=" display="https://permalinkbnd.bnportugal.gov.pt/viewer/276785/?offset= - page=162&amp;viewer=picture&amp;o=info&amp;n=0&amp;q=" xr:uid="{82A670A9-4A84-48D8-BB71-37872858B7BC}"/>
    <hyperlink ref="R524" r:id="rId378" location="page=6&amp;viewer=picture&amp;o=info&amp;n=0&amp;q=" display="https://permalinkbnd.bnportugal.gov.pt/viewer/276792/?offset= - page=6&amp;viewer=picture&amp;o=info&amp;n=0&amp;q=" xr:uid="{44E945BD-E207-4B26-82C6-7AED5BBC8E72}"/>
    <hyperlink ref="R525" r:id="rId379" location="page=10&amp;viewer=picture&amp;o=info&amp;n=0&amp;q=" display="https://permalinkbnd.bnportugal.gov.pt/viewer/279509/?offset= - page=10&amp;viewer=picture&amp;o=info&amp;n=0&amp;q=" xr:uid="{A60ACCE4-8BAA-4CDC-BE18-E657E250869D}"/>
    <hyperlink ref="R526" r:id="rId380" location="page=10&amp;viewer=picture&amp;o=info&amp;n=0&amp;q=" display="https://permalinkbnd.bnportugal.gov.pt/viewer/279502/?offset= - page=10&amp;viewer=picture&amp;o=info&amp;n=0&amp;q=" xr:uid="{90B2351D-EC60-412C-BC1D-4291005E2D05}"/>
    <hyperlink ref="R527" r:id="rId381" location="page=11&amp;viewer=picture&amp;o=info&amp;n=0&amp;q=" display="https://permalinkbnd.bnportugal.gov.pt/viewer/279513/?offset= - page=11&amp;viewer=picture&amp;o=info&amp;n=0&amp;q=" xr:uid="{3228873A-28E2-4957-B95C-68E461B6552C}"/>
    <hyperlink ref="R528" r:id="rId382" location="page=21&amp;viewer=picture&amp;o=info&amp;n=0&amp;q=" display="https://permalinkbnd.bnportugal.gov.pt/viewer/279513/?offset= - page=21&amp;viewer=picture&amp;o=info&amp;n=0&amp;q=" xr:uid="{18A31E2A-D609-49D4-8A3A-48966D6B4B49}"/>
    <hyperlink ref="R529" r:id="rId383" location="page=7&amp;viewer=picture&amp;o=info&amp;n=0&amp;q=" display="https://permalinkbnd.bnportugal.gov.pt/viewer/279512/?offset= - page=7&amp;viewer=picture&amp;o=info&amp;n=0&amp;q=" xr:uid="{BADF53B2-19DB-4F4F-AADA-17FCAC63F918}"/>
    <hyperlink ref="R530" r:id="rId384" location="page=10&amp;viewer=picture&amp;o=info&amp;n=0&amp;q=" display="https://permalinkbnd.bnportugal.gov.pt/viewer/276787/?offset= - page=10&amp;viewer=picture&amp;o=info&amp;n=0&amp;q=" xr:uid="{14987026-4050-4DD0-865F-B881D89755F4}"/>
    <hyperlink ref="R531" r:id="rId385" location="page=1&amp;viewer=picture&amp;o=info&amp;n=0&amp;q=" display="https://permalinkbnd.bnportugal.gov.pt/viewer/275409/?offset= - page=1&amp;viewer=picture&amp;o=info&amp;n=0&amp;q=" xr:uid="{23BBD32F-68B1-4175-B6B5-4906671CAEC5}"/>
    <hyperlink ref="R532" r:id="rId386" location="page=14&amp;viewer=picture&amp;o=info&amp;n=0&amp;q=" display="https://permalinkbnd.bnportugal.gov.pt/viewer/273746/?offset= - page=14&amp;viewer=picture&amp;o=info&amp;n=0&amp;q=" xr:uid="{72BE1A70-6FB5-4AFB-A276-343466E34DBE}"/>
    <hyperlink ref="R533" r:id="rId387" location="page=74&amp;viewer=picture&amp;o=info&amp;n=0&amp;q=" display="https://permalinkbnd.bnportugal.gov.pt/viewer/273746/?offset= - page=74&amp;viewer=picture&amp;o=info&amp;n=0&amp;q=" xr:uid="{F9D0D9EE-A072-4625-9AE5-3CCEA83EB761}"/>
    <hyperlink ref="R534" r:id="rId388" location="page=89&amp;viewer=picture&amp;o=info&amp;n=0&amp;q=" display="https://permalinkbnd.bnportugal.gov.pt/viewer/273746/?offset= - page=89&amp;viewer=picture&amp;o=info&amp;n=0&amp;q=" xr:uid="{195B8396-6C87-42A3-BDE6-125CAE51C920}"/>
    <hyperlink ref="R535" r:id="rId389" location="page=103&amp;viewer=picture&amp;o=info&amp;n=0&amp;q=" display="https://permalinkbnd.bnportugal.gov.pt/viewer/273746/?offset= - page=103&amp;viewer=picture&amp;o=info&amp;n=0&amp;q=" xr:uid="{C8899415-B464-47C7-8698-6EAA8F975DBD}"/>
    <hyperlink ref="R541" r:id="rId390" location="page=10&amp;viewer=picture&amp;o=info&amp;n=0&amp;q=" display="https://permalinkbnd.bnportugal.gov.pt/viewer/275415/?offset= - page=10&amp;viewer=picture&amp;o=info&amp;n=0&amp;q=" xr:uid="{0D51C538-6C54-48D7-9A76-D2E509C19AE2}"/>
    <hyperlink ref="R543" r:id="rId391" location="page=5&amp;viewer=picture&amp;o=info&amp;n=0&amp;q=" display="https://permalinkbnd.bnportugal.gov.pt/viewer/277335/?offset= - page=5&amp;viewer=picture&amp;o=info&amp;n=0&amp;q=" xr:uid="{50A16255-4109-4355-ABD8-641A0ECDD077}"/>
    <hyperlink ref="R544" r:id="rId392" location="page=8&amp;viewer=picture&amp;o=info&amp;n=0&amp;q=" display="https://permalinkbnd.bnportugal.gov.pt/viewer/273811/?offset= - page=8&amp;viewer=picture&amp;o=info&amp;n=0&amp;q=" xr:uid="{206C0A16-277D-4620-A2B7-77D6DE088A23}"/>
    <hyperlink ref="R546" r:id="rId393" location="page=49&amp;viewer=picture&amp;o=info&amp;n=0&amp;q=" display="https://permalinkbnd.bnportugal.gov.pt/viewer/273796/?offset= - page=49&amp;viewer=picture&amp;o=info&amp;n=0&amp;q=" xr:uid="{62A8132A-E9C1-4623-B0F9-72AE84420F42}"/>
    <hyperlink ref="R547" r:id="rId394" location="page=51&amp;viewer=picture&amp;o=info&amp;n=0&amp;q=" display="https://permalinkbnd.bnportugal.gov.pt/viewer/273796/?offset= - page=51&amp;viewer=picture&amp;o=info&amp;n=0&amp;q=" xr:uid="{3CCDBB10-9F24-49A3-B396-1CE6832AABB6}"/>
    <hyperlink ref="R548" r:id="rId395" location="page=10&amp;viewer=picture&amp;o=info&amp;n=0&amp;q=" display="https://permalinkbnd.bnportugal.gov.pt/viewer/273101/?offset= - page=10&amp;viewer=picture&amp;o=info&amp;n=0&amp;q=" xr:uid="{C341E29E-52F2-49C7-93C3-72221C0509A2}"/>
    <hyperlink ref="R553" r:id="rId396" location="page=10&amp;viewer=picture&amp;o=info&amp;n=0&amp;q=" display="https://permalinkbnd.bnportugal.gov.pt/viewer/277366/?offset= - page=10&amp;viewer=picture&amp;o=info&amp;n=0&amp;q=" xr:uid="{E6356261-191A-4F81-AB54-7B610EFF1F2F}"/>
    <hyperlink ref="R555" r:id="rId397" location="page=9&amp;viewer=picture&amp;o=info&amp;n=0&amp;q=" display="https://permalinkbnd.bnportugal.gov.pt/viewer/277369/?offset= - page=9&amp;viewer=picture&amp;o=info&amp;n=0&amp;q=" xr:uid="{CFB911F8-2A1B-4B13-8AF4-C26DA0EE1688}"/>
    <hyperlink ref="R557" r:id="rId398" location="page=15&amp;viewer=picture&amp;o=info&amp;n=0&amp;q=" display="https://permalinkbnd.bnportugal.gov.pt/viewer/277364/?offset= - page=15&amp;viewer=picture&amp;o=info&amp;n=0&amp;q=" xr:uid="{4E9D9028-AC3A-47B9-89C0-DDFC57B442AC}"/>
    <hyperlink ref="R558" r:id="rId399" location="page=8&amp;viewer=picture&amp;o=info&amp;n=0&amp;q=" display="https://permalinkbnd.bnportugal.gov.pt/viewer/277455/?offset= - page=8&amp;viewer=picture&amp;o=info&amp;n=0&amp;q=" xr:uid="{4DF70D1B-C8D5-4535-BA09-BA81E6594DA9}"/>
    <hyperlink ref="R559" r:id="rId400" location="page=77&amp;viewer=picture&amp;o=info&amp;n=0&amp;q=" display="https://permalinkbnd.bnportugal.gov.pt/viewer/277455/?offset= - page=77&amp;viewer=picture&amp;o=info&amp;n=0&amp;q=" xr:uid="{F2D63A1E-7101-4087-946D-6D5094E21628}"/>
    <hyperlink ref="R563" r:id="rId401" location="page=23&amp;viewer=picture&amp;o=info&amp;n=0&amp;q=" display="https://permalinkbnd.bnportugal.gov.pt/viewer/273117/?offset= - page=23&amp;viewer=picture&amp;o=info&amp;n=0&amp;q=" xr:uid="{FC38CF52-AC79-42BD-87C0-49D1E24000A3}"/>
    <hyperlink ref="R564" r:id="rId402" location="page=79&amp;viewer=picture&amp;o=info&amp;n=0&amp;q=" display="https://permalinkbnd.bnportugal.gov.pt/viewer/273117/?offset= - page=79&amp;viewer=picture&amp;o=info&amp;n=0&amp;q=" xr:uid="{3B259938-DF32-4AE6-863C-E1C69576AB74}"/>
    <hyperlink ref="R565" r:id="rId403" location="page=139&amp;viewer=picture&amp;o=info&amp;n=0&amp;q=" display="https://permalinkbnd.bnportugal.gov.pt/viewer/273117/?offset= - page=139&amp;viewer=picture&amp;o=info&amp;n=0&amp;q=" xr:uid="{2E047265-C2FF-45B5-AF8B-90CA621C764D}"/>
    <hyperlink ref="R566" r:id="rId404" location="page=141&amp;viewer=picture&amp;o=info&amp;n=0&amp;q=" display="https://permalinkbnd.bnportugal.gov.pt/viewer/273117/?offset= - page=141&amp;viewer=picture&amp;o=info&amp;n=0&amp;q=" xr:uid="{080029EA-6594-44E1-8FB0-285E32FE41D8}"/>
    <hyperlink ref="R567" r:id="rId405" location="page=213&amp;viewer=picture&amp;o=info&amp;n=0&amp;q=" display="https://permalinkbnd.bnportugal.gov.pt/viewer/273117/?offset= - page=213&amp;viewer=picture&amp;o=info&amp;n=0&amp;q=" xr:uid="{78B05E44-0492-4F6D-BA2E-396BDFBD5AC2}"/>
    <hyperlink ref="R568" r:id="rId406" location="page=215&amp;viewer=picture&amp;o=info&amp;n=0&amp;q=" display="https://permalinkbnd.bnportugal.gov.pt/viewer/273117/?offset= - page=215&amp;viewer=picture&amp;o=info&amp;n=0&amp;q=" xr:uid="{AFB015EB-A249-4BF5-A46A-F6AC9DC80081}"/>
    <hyperlink ref="R569" r:id="rId407" location="page=269&amp;viewer=picture&amp;o=info&amp;n=0&amp;q=" display="https://permalinkbnd.bnportugal.gov.pt/viewer/273117/?offset= - page=269&amp;viewer=picture&amp;o=info&amp;n=0&amp;q=" xr:uid="{3D75F414-DF5D-4E73-BD57-445CB41C73C6}"/>
    <hyperlink ref="R570" r:id="rId408" location="page=271&amp;viewer=picture&amp;o=info&amp;n=0&amp;q=" display="https://permalinkbnd.bnportugal.gov.pt/viewer/273117/?offset= - page=271&amp;viewer=picture&amp;o=info&amp;n=0&amp;q=" xr:uid="{D6CBB31D-B2B4-462B-AA5E-0A61EB907864}"/>
    <hyperlink ref="R571" r:id="rId409" location="page=10&amp;viewer=picture&amp;o=info&amp;n=0&amp;q=" display="https://permalinkbnd.bnportugal.gov.pt/viewer/273120/?offset= - page=10&amp;viewer=picture&amp;o=info&amp;n=0&amp;q=" xr:uid="{7F27F519-DEC0-4713-8890-191B409B4C2D}"/>
    <hyperlink ref="R574" r:id="rId410" location="page=7&amp;viewer=picture&amp;o=info&amp;n=0&amp;q=" display="https://permalinkbnd.bnportugal.gov.pt/viewer/277449/?offset= - page=7&amp;viewer=picture&amp;o=info&amp;n=0&amp;q=" xr:uid="{C10B80FA-C063-4341-A30E-FA23D9CA22F5}"/>
    <hyperlink ref="R575" r:id="rId411" location="page=45&amp;viewer=picture&amp;o=info&amp;n=0&amp;q=" display="https://permalinkbnd.bnportugal.gov.pt/viewer/277452/?offset= - page=45&amp;viewer=picture&amp;o=info&amp;n=0&amp;q=" xr:uid="{9758BF9D-2111-4F94-8685-85662FFB99FF}"/>
    <hyperlink ref="R576" r:id="rId412" location="page=47&amp;viewer=picture&amp;o=info&amp;n=0&amp;q=" display="https://permalinkbnd.bnportugal.gov.pt/viewer/277452/?offset= - page=47&amp;viewer=picture&amp;o=info&amp;n=0&amp;q=" xr:uid="{A16AEF79-278C-4CD2-828B-ED9A769C4D1E}"/>
    <hyperlink ref="R578" r:id="rId413" location="page=77&amp;viewer=picture&amp;o=info&amp;n=0&amp;q=" display="https://permalinkbnd.bnportugal.gov.pt/viewer/277452/?offset= - page=77&amp;viewer=picture&amp;o=info&amp;n=0&amp;q=" xr:uid="{4B075882-F039-48E5-AB29-6CDCB8A24F2B}"/>
    <hyperlink ref="R579" r:id="rId414" location="page=105&amp;viewer=picture&amp;o=info&amp;n=0&amp;q=" display="https://permalinkbnd.bnportugal.gov.pt/viewer/277452/?offset= - page=105&amp;viewer=picture&amp;o=info&amp;n=0&amp;q=" xr:uid="{32A22B0C-F225-4F51-99B7-FBD0F5CA1C5F}"/>
    <hyperlink ref="R580" r:id="rId415" location="page=131&amp;viewer=picture&amp;o=info&amp;n=0&amp;q=" display="https://permalinkbnd.bnportugal.gov.pt/viewer/277452/?offset= - page=131&amp;viewer=picture&amp;o=info&amp;n=0&amp;q=" xr:uid="{BCDF0BD0-E415-4D1F-8608-565B6A3A7A58}"/>
    <hyperlink ref="R581" r:id="rId416" location="page=227&amp;viewer=picture&amp;o=info&amp;n=0&amp;q=" display="https://permalinkbnd.bnportugal.gov.pt/viewer/277452/?offset= - page=227&amp;viewer=picture&amp;o=info&amp;n=0&amp;q=" xr:uid="{8E0D0B07-85C2-4377-BE19-DB1537FE2129}"/>
    <hyperlink ref="R582" r:id="rId417" location="page=473&amp;viewer=picture&amp;o=info&amp;n=0&amp;q=" display="https://permalinkbnd.bnportugal.gov.pt/viewer/277452/?offset= - page=473&amp;viewer=picture&amp;o=info&amp;n=0&amp;q=" xr:uid="{FFEABAD7-446A-46DC-8965-8D17BA84E84F}"/>
    <hyperlink ref="R583" r:id="rId418" location="page=493&amp;viewer=picture&amp;o=info&amp;n=0&amp;q=" display="https://permalinkbnd.bnportugal.gov.pt/viewer/277452/?offset= - page=493&amp;viewer=picture&amp;o=info&amp;n=0&amp;q=" xr:uid="{7FD9D324-1B79-4DE5-ACC2-E0FC49E7A2FA}"/>
    <hyperlink ref="R584" r:id="rId419" location="page=10&amp;viewer=picture&amp;o=info&amp;n=0&amp;q=" display="https://permalinkbnd.bnportugal.gov.pt/viewer/277482/?offset= - page=10&amp;viewer=picture&amp;o=info&amp;n=0&amp;q=" xr:uid="{131723C2-6C84-48EF-8F16-547F7FF08370}"/>
    <hyperlink ref="R585" r:id="rId420" location="page=12&amp;viewer=picture&amp;o=info&amp;n=0&amp;q=" display="https://permalinkbnd.bnportugal.gov.pt/viewer/277488/?offset= - page=12&amp;viewer=picture&amp;o=info&amp;n=0&amp;q=" xr:uid="{7FE78C87-4664-48CF-977A-A3C44F1A4BF4}"/>
    <hyperlink ref="R586" r:id="rId421" location="page=9&amp;viewer=picture&amp;o=info&amp;n=0&amp;q=" display="https://permalinkbnd.bnportugal.gov.pt/viewer/272638/?offset= - page=9&amp;viewer=picture&amp;o=info&amp;n=0&amp;q=" xr:uid="{7C6C98D7-6EDD-4840-84EA-3FA406EB1149}"/>
    <hyperlink ref="R587" r:id="rId422" location="page=27&amp;viewer=picture&amp;o=info&amp;n=0&amp;q=" display="https://permalinkbnd.bnportugal.gov.pt/viewer/272638/?offset= - page=27&amp;viewer=picture&amp;o=info&amp;n=0&amp;q=" xr:uid="{6F2BFDDE-7EA6-46BC-8A00-676AA0CE0068}"/>
    <hyperlink ref="R588" r:id="rId423" location="page=404&amp;viewer=picture&amp;o=info&amp;n=0&amp;q=" display="https://permalinkbnd.bnportugal.gov.pt/viewer/272638/?offset= - page=404&amp;viewer=picture&amp;o=info&amp;n=0&amp;q=" xr:uid="{1A566C6E-F9DC-4243-A4DC-9E38DE07B308}"/>
    <hyperlink ref="R589" r:id="rId424" location="page=1&amp;viewer=picture&amp;o=info&amp;n=0&amp;q=" display="https://permalinkbnd.bnportugal.gov.pt/viewer/273872/?offset= - page=1&amp;viewer=picture&amp;o=info&amp;n=0&amp;q=" xr:uid="{DC02009A-24BE-4AEC-A992-78025A6CCB17}"/>
    <hyperlink ref="R590" r:id="rId425" location="page=8&amp;viewer=picture&amp;o=info&amp;n=0&amp;q=" display="https://permalinkbnd.bnportugal.gov.pt/viewer/277739/?offset= - page=8&amp;viewer=picture&amp;o=info&amp;n=0&amp;q=" xr:uid="{F76E9F74-695B-4CEE-AC49-702FA1E17C8A}"/>
    <hyperlink ref="R592" r:id="rId426" location="page=12&amp;viewer=picture&amp;o=info&amp;n=0&amp;q=" display="https://permalinkbnd.bnportugal.gov.pt/viewer/273879/?offset= - page=12&amp;viewer=picture&amp;o=info&amp;n=0&amp;q=" xr:uid="{2599B396-E5EE-42AE-845D-B03292FE5C76}"/>
    <hyperlink ref="R593" r:id="rId427" location="page=31&amp;viewer=picture&amp;o=info&amp;n=0&amp;q=" display="https://permalinkbnd.bnportugal.gov.pt/viewer/273869/?offset= - page=31&amp;viewer=picture&amp;o=info&amp;n=0&amp;q=" xr:uid="{5E9F1834-9636-4827-ABD6-4B46F4D9DD87}"/>
    <hyperlink ref="R594" r:id="rId428" location="page=35&amp;viewer=picture&amp;o=info&amp;n=0&amp;q=" display="https://permalinkbnd.bnportugal.gov.pt/viewer/273869/?offset= - page=35&amp;viewer=picture&amp;o=info&amp;n=0&amp;q=" xr:uid="{36E93A32-F6FD-4571-B2E9-CB49BCA98AB0}"/>
    <hyperlink ref="R595" r:id="rId429" location="page=39&amp;viewer=picture&amp;o=info&amp;n=0&amp;q=" display="https://permalinkbnd.bnportugal.gov.pt/viewer/273869/?offset= - page=39&amp;viewer=picture&amp;o=info&amp;n=0&amp;q=" xr:uid="{019BCA89-1B66-4EAC-BD8E-17C44F6011BB}"/>
    <hyperlink ref="R596" r:id="rId430" location="page=40&amp;viewer=picture&amp;o=info&amp;n=0&amp;q=" display="https://permalinkbnd.bnportugal.gov.pt/viewer/273869/?offset= - page=40&amp;viewer=picture&amp;o=info&amp;n=0&amp;q=" xr:uid="{C8F628C9-515A-46E6-A585-569556B90CFC}"/>
    <hyperlink ref="R597" r:id="rId431" location="page=41&amp;viewer=picture&amp;o=info&amp;n=0&amp;q=" display="https://permalinkbnd.bnportugal.gov.pt/viewer/273869/?offset= - page=41&amp;viewer=picture&amp;o=info&amp;n=0&amp;q=" xr:uid="{DD8F7457-0C3C-4CB9-A3FC-66593706C3D4}"/>
    <hyperlink ref="R598" r:id="rId432" location="page=52&amp;viewer=picture&amp;o=info&amp;n=0&amp;q=" display="https://permalinkbnd.bnportugal.gov.pt/viewer/273869/?offset= - page=52&amp;viewer=picture&amp;o=info&amp;n=0&amp;q=" xr:uid="{A47A7C93-FB72-43B6-98C3-4AB62CDFA6DA}"/>
    <hyperlink ref="R599" r:id="rId433" location="page=58&amp;viewer=picture&amp;o=info&amp;n=0&amp;q=" display="https://permalinkbnd.bnportugal.gov.pt/viewer/273869/?offset= - page=58&amp;viewer=picture&amp;o=info&amp;n=0&amp;q=" xr:uid="{5C321AF7-0427-4FB8-9966-024961E55C97}"/>
    <hyperlink ref="R600" r:id="rId434" location="page=92&amp;viewer=picture&amp;o=info&amp;n=0&amp;q=" display="https://permalinkbnd.bnportugal.gov.pt/viewer/273869/?offset= - page=92&amp;viewer=picture&amp;o=info&amp;n=0&amp;q=" xr:uid="{EC7FD2BC-FA9C-473B-862F-27EB6533277C}"/>
    <hyperlink ref="R601" r:id="rId435" location="page=115&amp;viewer=picture&amp;o=info&amp;n=0&amp;q=" display="https://permalinkbnd.bnportugal.gov.pt/viewer/273869/?offset= - page=115&amp;viewer=picture&amp;o=info&amp;n=0&amp;q=" xr:uid="{084E65A5-D9E9-4765-8285-DE1307CB1491}"/>
    <hyperlink ref="R602" r:id="rId436" location="page=139&amp;viewer=picture&amp;o=info&amp;n=0&amp;q=" display="https://permalinkbnd.bnportugal.gov.pt/viewer/273869/?offset= - page=139&amp;viewer=picture&amp;o=info&amp;n=0&amp;q=" xr:uid="{84541ADA-F7CD-4129-9BA4-E3D1C99228B4}"/>
    <hyperlink ref="R603" r:id="rId437" location="page=155&amp;viewer=picture&amp;o=info&amp;n=0&amp;q=" display="https://permalinkbnd.bnportugal.gov.pt/viewer/273869/?offset= - page=155&amp;viewer=picture&amp;o=info&amp;n=0&amp;q=" xr:uid="{B3C9833E-E7F8-4E81-BB6F-E78DAE6A5288}"/>
    <hyperlink ref="R604" r:id="rId438" location="page=7&amp;viewer=picture&amp;o=info&amp;n=0&amp;q=" display="https://permalinkbnd.bnportugal.gov.pt/viewer/277738/?offset= - page=7&amp;viewer=picture&amp;o=info&amp;n=0&amp;q=" xr:uid="{EA6486B3-99E8-4A83-B94D-2E42E034D36E}"/>
    <hyperlink ref="R605" r:id="rId439" location="page=10&amp;viewer=picture&amp;o=info&amp;n=0&amp;q=" display="https://permalinkbnd.bnportugal.gov.pt/viewer/273912/?offset= - page=10&amp;viewer=picture&amp;o=info&amp;n=0&amp;q=" xr:uid="{2C441968-7211-4A1B-958F-9966CADD36B0}"/>
    <hyperlink ref="R606" r:id="rId440" location="page=271&amp;viewer=picture&amp;o=info&amp;n=0&amp;q=" display="https://permalinkbnd.bnportugal.gov.pt/viewer/273912/?offset= - page=271&amp;viewer=picture&amp;o=info&amp;n=0&amp;q=" xr:uid="{046CFD5C-2E09-47C8-AD81-0A2F463EF167}"/>
    <hyperlink ref="R607" r:id="rId441" location="page=12&amp;viewer=picture&amp;o=info&amp;n=0&amp;q=" display="https://permalinkbnd.bnportugal.gov.pt/viewer/272639/?offset= - page=12&amp;viewer=picture&amp;o=info&amp;n=0&amp;q=" xr:uid="{AB1DF098-30FA-4E65-9B1B-3922E7093A27}"/>
    <hyperlink ref="R609" r:id="rId442" location="page=173&amp;viewer=picture&amp;o=info&amp;n=0&amp;q=" display="https://permalinkbnd.bnportugal.gov.pt/viewer/272639/?offset= - page=173&amp;viewer=picture&amp;o=info&amp;n=0&amp;q=" xr:uid="{A8344D29-C169-4810-A449-0CC93F3E3234}"/>
    <hyperlink ref="R610" r:id="rId443" location="page=363&amp;viewer=picture&amp;o=info&amp;n=0&amp;q=" display="https://permalinkbnd.bnportugal.gov.pt/viewer/272639/?offset= - page=363&amp;viewer=picture&amp;o=info&amp;n=0&amp;q=" xr:uid="{9B3E4320-DDB4-4EDC-88F8-123BC53958CB}"/>
    <hyperlink ref="R611" r:id="rId444" location="page=391&amp;viewer=picture&amp;o=info&amp;n=0&amp;q=" display="https://permalinkbnd.bnportugal.gov.pt/viewer/272639/?offset= - page=391&amp;viewer=picture&amp;o=info&amp;n=0&amp;q=" xr:uid="{E8D3DF74-7AC8-4F44-B2F7-25405C490F88}"/>
    <hyperlink ref="R612" r:id="rId445" location="page=1&amp;viewer=picture&amp;o=info&amp;n=0&amp;q=" display="https://permalinkbnd.bnportugal.gov.pt/viewer/277836/?offset= - page=1&amp;viewer=picture&amp;o=info&amp;n=0&amp;q=" xr:uid="{09F020C8-9E7E-4436-8E88-84AA6A03B678}"/>
    <hyperlink ref="R613" r:id="rId446" location="page=10&amp;viewer=picture&amp;o=info&amp;n=0&amp;q=" display="https://permalinkbnd.bnportugal.gov.pt/viewer/277820/?offset= - page=10&amp;viewer=picture&amp;o=info&amp;n=0&amp;q=" xr:uid="{4D6CDA6E-7115-40F4-B055-17F8F21E7B16}"/>
    <hyperlink ref="R614" r:id="rId447" location="page=8&amp;viewer=picture&amp;o=info&amp;n=0&amp;q=" display="https://permalinkbnd.bnportugal.gov.pt/viewer/277966/?offset= - page=8&amp;viewer=picture&amp;o=info&amp;n=0&amp;q=" xr:uid="{28D4E9A9-84AF-4450-ACB9-EB0ED0B3712F}"/>
    <hyperlink ref="R615" r:id="rId448" location="page=118&amp;viewer=picture&amp;o=info&amp;n=0&amp;q=" display="https://permalinkbnd.bnportugal.gov.pt/viewer/277966/?offset= - page=118&amp;viewer=picture&amp;o=info&amp;n=0&amp;q=" xr:uid="{67784F5D-71B2-4C2E-9409-E62A3B6DF987}"/>
    <hyperlink ref="R616" r:id="rId449" location="page=24&amp;viewer=picture&amp;o=info&amp;n=0&amp;q=" display="https://permalinkbnd.bnportugal.gov.pt/viewer/278039/?offset= - page=24&amp;viewer=picture&amp;o=info&amp;n=0&amp;q=" xr:uid="{EC0EFEDC-FA63-4DD3-B75E-DC027CD2ABEE}"/>
    <hyperlink ref="R617" r:id="rId450" location="page=8&amp;viewer=picture&amp;o=info&amp;n=0&amp;q=" display="https://permalinkbnd.bnportugal.gov.pt/viewer/278038/?offset= - page=8&amp;viewer=picture&amp;o=info&amp;n=0&amp;q=" xr:uid="{CB665906-0F05-4DCC-A00C-0E64E1BAC50E}"/>
    <hyperlink ref="R618" r:id="rId451" location="page=303&amp;viewer=picture&amp;o=info&amp;n=0&amp;q=" display="https://permalinkbnd.bnportugal.gov.pt/viewer/278038/?offset= - page=303&amp;viewer=picture&amp;o=info&amp;n=0&amp;q=" xr:uid="{828C1BF0-8E58-40F1-97F7-43FA6A407F64}"/>
    <hyperlink ref="R619" r:id="rId452" location="page=68&amp;viewer=picture&amp;o=info&amp;n=0&amp;q=" display="https://permalinkbnd.bnportugal.gov.pt/viewer/278031/?offset= - page=68&amp;viewer=picture&amp;o=info&amp;n=0&amp;q=" xr:uid="{9E0F1614-CE34-4B1F-80D9-DE3FF98B3001}"/>
    <hyperlink ref="R620" r:id="rId453" location="page=1&amp;viewer=picture&amp;o=info&amp;n=0&amp;q=" display="https://permalinkbnd.bnportugal.gov.pt/viewer/278032/?offset= - page=1&amp;viewer=picture&amp;o=info&amp;n=0&amp;q=" xr:uid="{1C1B7623-6B7C-4F07-A54F-1A05EE395280}"/>
    <hyperlink ref="R621" r:id="rId454" location="page=136&amp;viewer=picture&amp;o=info&amp;n=0&amp;q=" display="https://permalinkbnd.bnportugal.gov.pt/viewer/278097/?offset= - page=136&amp;viewer=picture&amp;o=info&amp;n=0&amp;q=" xr:uid="{CF7AC92D-C02C-46CC-8C6F-22D498F5019A}"/>
    <hyperlink ref="R622" r:id="rId455" location="page=138&amp;viewer=picture&amp;o=info&amp;n=0&amp;q=" display="https://permalinkbnd.bnportugal.gov.pt/viewer/278097/?offset= - page=138&amp;viewer=picture&amp;o=info&amp;n=0&amp;q=" xr:uid="{188143C2-B2AE-4C75-B04A-353F268113B6}"/>
    <hyperlink ref="R623" r:id="rId456" location="page=140&amp;viewer=picture&amp;o=info&amp;n=0&amp;q=" display="https://permalinkbnd.bnportugal.gov.pt/viewer/278097/?offset= - page=140&amp;viewer=picture&amp;o=info&amp;n=0&amp;q=" xr:uid="{B656C521-7674-498F-A68E-7F34AC24829D}"/>
    <hyperlink ref="R624" r:id="rId457" location="page=142&amp;viewer=picture&amp;o=info&amp;n=0&amp;q=" display="https://permalinkbnd.bnportugal.gov.pt/viewer/278097/?offset= - page=142&amp;viewer=picture&amp;o=info&amp;n=0&amp;q=" xr:uid="{5229282C-628D-4880-B519-B284F811387A}"/>
    <hyperlink ref="R625" r:id="rId458" location="page=144&amp;viewer=picture&amp;o=info&amp;n=0&amp;q=" display="https://permalinkbnd.bnportugal.gov.pt/viewer/278097/?offset= - page=144&amp;viewer=picture&amp;o=info&amp;n=0&amp;q=" xr:uid="{6A790A1F-2921-4AD7-8977-F980357C17D0}"/>
    <hyperlink ref="R626" r:id="rId459" location="page=8&amp;viewer=picture&amp;o=info&amp;n=0&amp;q=" display="https://permalinkbnd.bnportugal.gov.pt/viewer/278099/?offset= - page=8&amp;viewer=picture&amp;o=info&amp;n=0&amp;q=" xr:uid="{5A9D1399-7B29-4CA2-89D2-D4599B51B701}"/>
    <hyperlink ref="R627" r:id="rId460" location="page=5&amp;viewer=picture&amp;o=info&amp;n=0&amp;q=" display="https://permalinkbnd.bnportugal.gov.pt/viewer/1897/?offset= - page=5&amp;viewer=picture&amp;o=info&amp;n=0&amp;q=" xr:uid="{DFB4659E-7DC6-447C-A864-5B23D50EC8B0}"/>
    <hyperlink ref="R628" r:id="rId461" location="page=39&amp;viewer=picture&amp;o=info&amp;n=0&amp;q=" display="https://permalinkbnd.bnportugal.gov.pt/viewer/1897/?offset= - page=39&amp;viewer=picture&amp;o=info&amp;n=0&amp;q=" xr:uid="{B071A2AF-475A-4558-B973-08AE55E6A4C4}"/>
    <hyperlink ref="R629" r:id="rId462" location="page=71&amp;viewer=picture&amp;o=info&amp;n=0&amp;q=" display="https://permalinkbnd.bnportugal.gov.pt/viewer/1897/?offset= - page=71&amp;viewer=picture&amp;o=info&amp;n=0&amp;q=" xr:uid="{0D53A650-4E53-4613-8772-EA82037E2441}"/>
    <hyperlink ref="R630" r:id="rId463" location="page=151&amp;viewer=picture&amp;o=info&amp;n=0&amp;q=" display="https://permalinkbnd.bnportugal.gov.pt/viewer/1897/?offset= - page=151&amp;viewer=picture&amp;o=info&amp;n=0&amp;q=" xr:uid="{02C2D04C-5F83-4456-A0B9-ABE4D584B983}"/>
    <hyperlink ref="R631" r:id="rId464" location="page=9&amp;viewer=picture&amp;o=info&amp;n=0&amp;q=" display="https://permalinkbnd.bnportugal.gov.pt/viewer/278157/?offset= - page=9&amp;viewer=picture&amp;o=info&amp;n=0&amp;q=" xr:uid="{8E1DCEA9-B24C-4F04-A624-4CE53392DAB7}"/>
    <hyperlink ref="R633" r:id="rId465" location="page=11&amp;viewer=picture&amp;o=info&amp;n=0&amp;q=" display="https://permalinkbnd.bnportugal.gov.pt/viewer/278157/?offset= - page=11&amp;viewer=picture&amp;o=info&amp;n=0&amp;q=" xr:uid="{8BDDB635-0656-413E-B1D7-A593E18692F7}"/>
    <hyperlink ref="R659" r:id="rId466" location="page=37&amp;viewer=picture&amp;o=info&amp;n=0&amp;q=" display="https://permalinkbnd.bnportugal.gov.pt/viewer/278157/?offset= - page=37&amp;viewer=picture&amp;o=info&amp;n=0&amp;q=" xr:uid="{8DCED6C3-E29C-4616-AB9B-76928D79549D}"/>
    <hyperlink ref="R660" r:id="rId467" location="page=13&amp;viewer=picture&amp;o=info&amp;n=0&amp;q=" display="https://permalinkbnd.bnportugal.gov.pt/viewer/278166/?offset= - page=13&amp;viewer=picture&amp;o=info&amp;n=0&amp;q=" xr:uid="{CD99508C-F7EA-4015-AA6D-961251A9DD4E}"/>
    <hyperlink ref="R661" r:id="rId468" location="page=15&amp;viewer=picture&amp;o=info&amp;n=0&amp;q=" display="https://permalinkbnd.bnportugal.gov.pt/viewer/278166/?offset= - page=15&amp;viewer=picture&amp;o=info&amp;n=0&amp;q=" xr:uid="{1AC3EBDA-6CB7-4EDF-B46D-21B6E42BD8BF}"/>
    <hyperlink ref="R662" r:id="rId469" location="page=6&amp;viewer=picture&amp;o=info&amp;n=0&amp;q=" display="https://permalinkbnd.bnportugal.gov.pt/viewer/278323/?offset= - page=6&amp;viewer=picture&amp;o=info&amp;n=0&amp;q=" xr:uid="{F7A50975-33DD-49AF-AD92-CF119EF14D6E}"/>
    <hyperlink ref="R663" r:id="rId470" location="page=7&amp;viewer=picture&amp;o=info&amp;n=0&amp;q=" display="https://permalinkbnd.bnportugal.gov.pt/viewer/278325/?offset= - page=7&amp;viewer=picture&amp;o=info&amp;n=0&amp;q=" xr:uid="{A9BD0127-CC22-4309-AD14-130A5B166990}"/>
    <hyperlink ref="R664" r:id="rId471" location="page=12&amp;viewer=picture&amp;o=info&amp;n=0&amp;q=" display="https://permalinkbnd.bnportugal.gov.pt/viewer/278334/?offset= - page=12&amp;viewer=picture&amp;o=info&amp;n=0&amp;q=" xr:uid="{3794CFD1-DAC6-4440-8469-175543FDB878}"/>
    <hyperlink ref="R665" r:id="rId472" location="page=12&amp;viewer=picture&amp;o=info&amp;n=0&amp;q=" display="https://permalinkbnd.bnportugal.gov.pt/viewer/273607/?offset= - page=12&amp;viewer=picture&amp;o=info&amp;n=0&amp;q=" xr:uid="{A93E82B3-44A3-407C-9FCD-2C95E1EF8F0B}"/>
    <hyperlink ref="R666" r:id="rId473" location="page=7&amp;viewer=picture&amp;o=info&amp;n=0&amp;q=" display="https://permalinkbnd.bnportugal.gov.pt/viewer/273178/?offset= - page=7&amp;viewer=picture&amp;o=info&amp;n=0&amp;q=" xr:uid="{280E90F4-061C-4FD1-8183-21F1AF6CFE6A}"/>
    <hyperlink ref="R667" r:id="rId474" location="page=20&amp;viewer=picture&amp;o=info&amp;n=0&amp;q=" display="https://permalinkbnd.bnportugal.gov.pt/viewer/273178/?offset= - page=20&amp;viewer=picture&amp;o=info&amp;n=0&amp;q=" xr:uid="{7F7F4842-195D-4065-B614-AF8BB1E3641A}"/>
    <hyperlink ref="R668" r:id="rId475" location="page=34&amp;viewer=picture&amp;o=info&amp;n=0&amp;q=" display="https://permalinkbnd.bnportugal.gov.pt/viewer/273178/?offset= - page=34&amp;viewer=picture&amp;o=info&amp;n=0&amp;q=" xr:uid="{9A14C56A-0891-4FCF-9C26-116BF898CD2A}"/>
    <hyperlink ref="R669" r:id="rId476" location="page=48&amp;viewer=picture&amp;o=info&amp;n=0&amp;q=" display="https://permalinkbnd.bnportugal.gov.pt/viewer/273178/?offset= - page=48&amp;viewer=picture&amp;o=info&amp;n=0&amp;q=" xr:uid="{E1AEC657-8DCB-4376-9EE1-F60714D68605}"/>
    <hyperlink ref="R670" r:id="rId477" location="page=85&amp;viewer=picture&amp;o=info&amp;n=0&amp;q=" display="https://permalinkbnd.bnportugal.gov.pt/viewer/273178/?offset= - page=85&amp;viewer=picture&amp;o=info&amp;n=0&amp;q=" xr:uid="{37EBEAFE-A7C7-4420-8540-253E42FD2E75}"/>
    <hyperlink ref="R671" r:id="rId478" location="page=90&amp;viewer=picture&amp;o=info&amp;n=0&amp;q=" display="https://permalinkbnd.bnportugal.gov.pt/viewer/273178/?offset= - page=90&amp;viewer=picture&amp;o=info&amp;n=0&amp;q=" xr:uid="{A43CF5F5-F2AB-4F34-906D-B5BAF6DE1ACC}"/>
    <hyperlink ref="R672" r:id="rId479" location="page=1&amp;viewer=picture&amp;o=info&amp;n=0&amp;q=" display="https://permalinkbnd.bnportugal.gov.pt/viewer/273317/?offset= - page=1&amp;viewer=picture&amp;o=info&amp;n=0&amp;q=" xr:uid="{090A4406-0EC8-4A07-AE1B-C3B4D0F5360B}"/>
    <hyperlink ref="R679" r:id="rId480" location="page=35&amp;viewer=picture&amp;o=info&amp;n=0&amp;q=" display="https://permalinkbnd.bnportugal.gov.pt/viewer/1/?offset= - page=35&amp;viewer=picture&amp;o=info&amp;n=0&amp;q=" xr:uid="{2DC4E336-3F02-4BCE-B478-D4F57E990A0A}"/>
    <hyperlink ref="R688" r:id="rId481" location="page=10&amp;viewer=picture&amp;o=info&amp;n=0&amp;q=" display="https://permalinkbnd.bnportugal.gov.pt/viewer/273944/?offset= - page=10&amp;viewer=picture&amp;o=info&amp;n=0&amp;q=" xr:uid="{0909A25C-7BF3-49FE-8D2B-F617F7E4779C}"/>
    <hyperlink ref="R690" r:id="rId482" location="page=103&amp;viewer=picture&amp;o=info&amp;n=0&amp;q=" display="https://permalinkbnd.bnportugal.gov.pt/viewer/273944/?offset= - page=103&amp;viewer=picture&amp;o=info&amp;n=0&amp;q=" xr:uid="{4B15760A-C477-43DA-98AD-8D65B5A9C28E}"/>
    <hyperlink ref="R691" r:id="rId483" location="page=107&amp;viewer=picture&amp;o=info&amp;n=0&amp;q=" display="https://permalinkbnd.bnportugal.gov.pt/viewer/273944/?offset= - page=107&amp;viewer=picture&amp;o=info&amp;n=0&amp;q=" xr:uid="{CA224E1D-DD76-4E31-A3DA-FDD8985E96CC}"/>
    <hyperlink ref="R693" r:id="rId484" location="page=145&amp;viewer=picture&amp;o=info&amp;n=0&amp;q=" display="https://permalinkbnd.bnportugal.gov.pt/viewer/273944/?offset= - page=145&amp;viewer=picture&amp;o=info&amp;n=0&amp;q=" xr:uid="{D96B60CB-CFE2-4BB5-ADC2-0F7D9220FC44}"/>
    <hyperlink ref="R694" r:id="rId485" location="page=185&amp;viewer=picture&amp;o=info&amp;n=0&amp;q=" display="https://permalinkbnd.bnportugal.gov.pt/viewer/273944/?offset= - page=185&amp;viewer=picture&amp;o=info&amp;n=0&amp;q=" xr:uid="{17CE0F52-19AF-496F-A941-F995F2D61AC9}"/>
    <hyperlink ref="R695" r:id="rId486" location="page=235&amp;viewer=picture&amp;o=info&amp;n=0&amp;q=" display="https://permalinkbnd.bnportugal.gov.pt/viewer/273944/?offset= - page=235&amp;viewer=picture&amp;o=info&amp;n=0&amp;q=" xr:uid="{BD1745F2-A0C6-496B-B2B0-2BC12781D920}"/>
    <hyperlink ref="R696" r:id="rId487" location="page=270&amp;viewer=picture&amp;o=info&amp;n=0&amp;q=" display="https://permalinkbnd.bnportugal.gov.pt/viewer/273944/?offset= - page=270&amp;viewer=picture&amp;o=info&amp;n=0&amp;q=" xr:uid="{183BCD5C-DE16-46EF-B68A-132A47213037}"/>
    <hyperlink ref="R697" r:id="rId488" location="page=273&amp;viewer=picture&amp;o=info&amp;n=0&amp;q=" display="https://permalinkbnd.bnportugal.gov.pt/viewer/273944/?offset= - page=273&amp;viewer=picture&amp;o=info&amp;n=0&amp;q=" xr:uid="{B55D4189-EE70-4002-86BA-7C3261489592}"/>
    <hyperlink ref="R698" r:id="rId489" location="page=306&amp;viewer=picture&amp;o=info&amp;n=0&amp;q=" display="https://permalinkbnd.bnportugal.gov.pt/viewer/273944/?offset= - page=306&amp;viewer=picture&amp;o=info&amp;n=0&amp;q=" xr:uid="{DA2598A3-97E6-480A-B45D-6265FB628E3B}"/>
    <hyperlink ref="R699" r:id="rId490" location="page=309&amp;viewer=picture&amp;o=info&amp;n=0&amp;q=" display="https://permalinkbnd.bnportugal.gov.pt/viewer/273944/?offset= - page=309&amp;viewer=picture&amp;o=info&amp;n=0&amp;q=" xr:uid="{A7B30321-9876-4BD3-9098-39B6260073D7}"/>
    <hyperlink ref="R700" r:id="rId491" location="page=342&amp;viewer=picture&amp;o=info&amp;n=0&amp;q=" display="https://permalinkbnd.bnportugal.gov.pt/viewer/273944/?offset= - page=342&amp;viewer=picture&amp;o=info&amp;n=0&amp;q=" xr:uid="{A8CA6855-97E7-4F1B-A1C3-0414D7B5DF32}"/>
    <hyperlink ref="R701" r:id="rId492" location="page=345&amp;viewer=picture&amp;o=info&amp;n=0&amp;q=" display="https://permalinkbnd.bnportugal.gov.pt/viewer/273944/?offset= - page=345&amp;viewer=picture&amp;o=info&amp;n=0&amp;q=" xr:uid="{1B1533EC-A491-44A0-A4B0-51174519CF33}"/>
    <hyperlink ref="R702" r:id="rId493" location="page=374&amp;viewer=picture&amp;o=info&amp;n=0&amp;q=" display="https://permalinkbnd.bnportugal.gov.pt/viewer/273944/?offset= - page=374&amp;viewer=picture&amp;o=info&amp;n=0&amp;q=" xr:uid="{D27DD497-A76D-4C49-8821-1089BC76FC9C}"/>
    <hyperlink ref="R703" r:id="rId494" location="page=377&amp;viewer=picture&amp;o=info&amp;n=0&amp;q=" display="https://permalinkbnd.bnportugal.gov.pt/viewer/273944/?offset= - page=377&amp;viewer=picture&amp;o=info&amp;n=0&amp;q=" xr:uid="{33BA5E1F-04E1-4E74-A3AD-6A7E3D93146A}"/>
    <hyperlink ref="R704" r:id="rId495" location="page=410&amp;viewer=picture&amp;o=info&amp;n=0&amp;q=" display="https://permalinkbnd.bnportugal.gov.pt/viewer/273944/?offset= - page=410&amp;viewer=picture&amp;o=info&amp;n=0&amp;q=" xr:uid="{DA56960E-B9AF-4E5E-9A7A-6B94A6E1CD58}"/>
    <hyperlink ref="R705" r:id="rId496" location="page=413&amp;viewer=picture&amp;o=info&amp;n=0&amp;q=" display="https://permalinkbnd.bnportugal.gov.pt/viewer/273944/?offset= - page=413&amp;viewer=picture&amp;o=info&amp;n=0&amp;q=" xr:uid="{D963C76E-FD1A-4169-B549-2B78FB53FFEE}"/>
    <hyperlink ref="R706" r:id="rId497" location="page=447&amp;viewer=picture&amp;o=info&amp;n=0&amp;q=" display="https://permalinkbnd.bnportugal.gov.pt/viewer/273944/?offset= - page=447&amp;viewer=picture&amp;o=info&amp;n=0&amp;q=" xr:uid="{12EA788A-F1C2-4066-9E30-49FC59251E59}"/>
    <hyperlink ref="R707" r:id="rId498" location="page=499&amp;viewer=picture&amp;o=info&amp;n=0&amp;q=" display="https://permalinkbnd.bnportugal.gov.pt/viewer/273944/?offset= - page=499&amp;viewer=picture&amp;o=info&amp;n=0&amp;q=" xr:uid="{76BB51D4-2653-4E6D-A7D4-CD45FAF26A2B}"/>
    <hyperlink ref="R708" r:id="rId499" location="page=7&amp;viewer=picture&amp;o=info&amp;n=0&amp;q=" display="https://permalinkbnd.bnportugal.gov.pt/viewer/14663/?offset= - page=7&amp;viewer=picture&amp;o=info&amp;n=0&amp;q=" xr:uid="{0D3BAA12-45CB-4137-A6A3-981E49B6274F}"/>
    <hyperlink ref="R709" r:id="rId500" location="page=5&amp;viewer=picture&amp;o=info&amp;n=0&amp;q=" display="https://permalinkbnd.bnportugal.gov.pt/viewer/255848/?offset= - page=5&amp;viewer=picture&amp;o=info&amp;n=0&amp;q=" xr:uid="{CDEF6F20-4C5A-403E-A59D-0DD3CF0BC940}"/>
    <hyperlink ref="R710" r:id="rId501" location="page=11&amp;viewer=picture&amp;o=info&amp;n=0&amp;q=" display="https://permalinkbnd.bnportugal.gov.pt/viewer/255848/?offset= - page=11&amp;viewer=picture&amp;o=info&amp;n=0&amp;q=" xr:uid="{C27F896D-6F60-4899-8131-B249448FAD2C}"/>
    <hyperlink ref="R711" r:id="rId502" location="page=13&amp;viewer=picture&amp;o=info&amp;n=0&amp;q=" display="https://permalinkbnd.bnportugal.gov.pt/viewer/255848/?offset= - page=13&amp;viewer=picture&amp;o=info&amp;n=0&amp;q=" xr:uid="{429D3D1E-4A01-4AD6-BE5F-96443FAC58B2}"/>
    <hyperlink ref="R712" r:id="rId503" location="page=15&amp;viewer=picture&amp;o=info&amp;n=0&amp;q=" display="https://permalinkbnd.bnportugal.gov.pt/viewer/255848/?offset= - page=15&amp;viewer=picture&amp;o=info&amp;n=0&amp;q=" xr:uid="{85B09F95-CCE4-4E47-8646-2CD5B9586A97}"/>
    <hyperlink ref="R713" r:id="rId504" location="page=17&amp;viewer=picture&amp;o=info&amp;n=0&amp;q=" display="https://permalinkbnd.bnportugal.gov.pt/viewer/255848/?offset= - page=17&amp;viewer=picture&amp;o=info&amp;n=0&amp;q=" xr:uid="{0334B093-3A82-40F8-814B-F745FD9F34C6}"/>
    <hyperlink ref="R714" r:id="rId505" location="page=19&amp;viewer=picture&amp;o=info&amp;n=0&amp;q=" display="https://permalinkbnd.bnportugal.gov.pt/viewer/255848/?offset= - page=19&amp;viewer=picture&amp;o=info&amp;n=0&amp;q=" xr:uid="{450F1A11-E7C2-498D-9686-1C2C176AD645}"/>
    <hyperlink ref="R715" r:id="rId506" location="page=21&amp;viewer=picture&amp;o=info&amp;n=0&amp;q=" display="https://permalinkbnd.bnportugal.gov.pt/viewer/255848/?offset= - page=21&amp;viewer=picture&amp;o=info&amp;n=0&amp;q=" xr:uid="{E2876F62-967C-4F96-8293-31E061E88FD2}"/>
    <hyperlink ref="R716" r:id="rId507" location="page=23&amp;viewer=picture&amp;o=info&amp;n=0&amp;q=" display="https://permalinkbnd.bnportugal.gov.pt/viewer/255848/?offset= - page=23&amp;viewer=picture&amp;o=info&amp;n=0&amp;q=" xr:uid="{9D61ACF6-4AC7-4D2A-AA31-D22AE495F6AB}"/>
    <hyperlink ref="R717" r:id="rId508" location="page=25&amp;viewer=picture&amp;o=info&amp;n=0&amp;q=" display="https://permalinkbnd.bnportugal.gov.pt/viewer/255848/?offset= - page=25&amp;viewer=picture&amp;o=info&amp;n=0&amp;q=" xr:uid="{640DBEFD-EEBE-4137-BE9A-CDE5ED5C0251}"/>
    <hyperlink ref="R718" r:id="rId509" location="page=27&amp;viewer=picture&amp;o=info&amp;n=0&amp;q=" display="https://permalinkbnd.bnportugal.gov.pt/viewer/255848/?offset= - page=27&amp;viewer=picture&amp;o=info&amp;n=0&amp;q=" xr:uid="{4C4F602E-896E-4ED4-AAE3-5158219D3655}"/>
    <hyperlink ref="R719" r:id="rId510" location="page=29&amp;viewer=picture&amp;o=info&amp;n=0&amp;q=" display="https://permalinkbnd.bnportugal.gov.pt/viewer/255848/?offset= - page=29&amp;viewer=picture&amp;o=info&amp;n=0&amp;q=" xr:uid="{311A0FF9-2AF9-4A00-97FE-23F9A30E7EC9}"/>
    <hyperlink ref="R720" r:id="rId511" location="page=31&amp;viewer=picture&amp;o=info&amp;n=0&amp;q=" display="https://permalinkbnd.bnportugal.gov.pt/viewer/255848/?offset= - page=31&amp;viewer=picture&amp;o=info&amp;n=0&amp;q=" xr:uid="{CB256211-EC09-4322-834F-7EE256583B4F}"/>
    <hyperlink ref="R721" r:id="rId512" location="page=33&amp;viewer=picture&amp;o=info&amp;n=0&amp;q=" display="https://permalinkbnd.bnportugal.gov.pt/viewer/255848/?offset= - page=33&amp;viewer=picture&amp;o=info&amp;n=0&amp;q=" xr:uid="{F74019FD-F054-4D66-85D5-1E40565FECE2}"/>
    <hyperlink ref="R722" r:id="rId513" location="page=35&amp;viewer=picture&amp;o=info&amp;n=0&amp;q=" display="https://permalinkbnd.bnportugal.gov.pt/viewer/255848/?offset= - page=35&amp;viewer=picture&amp;o=info&amp;n=0&amp;q=" xr:uid="{5689E98D-31AA-432A-8039-0D642E8A2A47}"/>
    <hyperlink ref="R723" r:id="rId514" location="page=37&amp;viewer=picture&amp;o=info&amp;n=0&amp;q=" display="https://permalinkbnd.bnportugal.gov.pt/viewer/255848/?offset= - page=37&amp;viewer=picture&amp;o=info&amp;n=0&amp;q=" xr:uid="{A803FC44-9E0E-494A-8AC5-1BB487B14BF1}"/>
    <hyperlink ref="R724" r:id="rId515" location="page=39&amp;viewer=picture&amp;o=info&amp;n=0&amp;q=" display="https://permalinkbnd.bnportugal.gov.pt/viewer/255848/?offset= - page=39&amp;viewer=picture&amp;o=info&amp;n=0&amp;q=" xr:uid="{DC31FCA4-3FA7-4005-96AD-C540F16C6A27}"/>
    <hyperlink ref="R725" r:id="rId516" location="page=41&amp;viewer=picture&amp;o=info&amp;n=0&amp;q=" display="https://permalinkbnd.bnportugal.gov.pt/viewer/255848/?offset= - page=41&amp;viewer=picture&amp;o=info&amp;n=0&amp;q=" xr:uid="{5289B0DC-B17C-4E77-920C-73E767972E75}"/>
    <hyperlink ref="R726" r:id="rId517" location="page=43&amp;viewer=picture&amp;o=info&amp;n=0&amp;q=" display="https://permalinkbnd.bnportugal.gov.pt/viewer/255848/?offset= - page=43&amp;viewer=picture&amp;o=info&amp;n=0&amp;q=" xr:uid="{A48FA162-F61E-469B-8041-C38018C08EBF}"/>
    <hyperlink ref="R727" r:id="rId518" location="page=45&amp;viewer=picture&amp;o=info&amp;n=0&amp;q=" display="https://permalinkbnd.bnportugal.gov.pt/viewer/255848/?offset= - page=45&amp;viewer=picture&amp;o=info&amp;n=0&amp;q=" xr:uid="{F2729978-7BA8-418F-A74A-7E9802C30366}"/>
    <hyperlink ref="R728" r:id="rId519" location="page=47&amp;viewer=picture&amp;o=info&amp;n=0&amp;q=" display="https://permalinkbnd.bnportugal.gov.pt/viewer/255848/?offset= - page=47&amp;viewer=picture&amp;o=info&amp;n=0&amp;q=" xr:uid="{217DB9D5-8ED1-4148-8874-826DD01CF974}"/>
    <hyperlink ref="R729" r:id="rId520" location="page=49&amp;viewer=picture&amp;o=info&amp;n=0&amp;q=" display="https://permalinkbnd.bnportugal.gov.pt/viewer/255848/?offset= - page=49&amp;viewer=picture&amp;o=info&amp;n=0&amp;q=" xr:uid="{597AA495-CBCB-486B-B772-3CBD667C59CE}"/>
    <hyperlink ref="R730" r:id="rId521" location="page=51&amp;viewer=picture&amp;o=info&amp;n=0&amp;q=" display="https://permalinkbnd.bnportugal.gov.pt/viewer/255848/?offset= - page=51&amp;viewer=picture&amp;o=info&amp;n=0&amp;q=" xr:uid="{97D95EFA-AEB3-4C73-9D19-DE4AE6E31C25}"/>
    <hyperlink ref="R731" r:id="rId522" location="page=54&amp;viewer=picture&amp;o=info&amp;n=0&amp;q=" display="https://permalinkbnd.bnportugal.gov.pt/viewer/274463/?offset= - page=54&amp;viewer=picture&amp;o=info&amp;n=0&amp;q=" xr:uid="{01E90113-34FD-4CAC-AE8F-D37433BA671E}"/>
    <hyperlink ref="R732" r:id="rId523" location="page=366&amp;viewer=picture&amp;o=info&amp;n=0&amp;q=" display="https://permalinkbnd.bnportugal.gov.pt/viewer/274463/?offset= - page=366&amp;viewer=picture&amp;o=info&amp;n=0&amp;q=" xr:uid="{D1F9F18B-B8F6-4BF6-8D4B-EBBD898AC0A2}"/>
    <hyperlink ref="R733" r:id="rId524" location="page=7&amp;viewer=picture&amp;o=info&amp;n=0&amp;q=" display="https://permalinkbnd.bnportugal.gov.pt/viewer/14629/?offset= - page=7&amp;viewer=picture&amp;o=info&amp;n=0&amp;q=" xr:uid="{58D535D0-3DD6-4BB7-BE2D-7B08F7D79099}"/>
    <hyperlink ref="R734" r:id="rId525" location="page=21&amp;viewer=picture&amp;o=info&amp;n=0&amp;q=" display="https://permalinkbnd.bnportugal.gov.pt/viewer/14629/?offset= - page=21&amp;viewer=picture&amp;o=info&amp;n=0&amp;q=" xr:uid="{07F339C5-F3DB-40C5-AD7D-A32D489FF682}"/>
    <hyperlink ref="R735" r:id="rId526" location="page=48&amp;viewer=picture&amp;o=info&amp;n=0&amp;q=" display="https://permalinkbnd.bnportugal.gov.pt/viewer/14629/?offset= - page=48&amp;viewer=picture&amp;o=info&amp;n=0&amp;q=" xr:uid="{0175E87F-3AE0-4EBE-9E80-0794065585B2}"/>
    <hyperlink ref="R736" r:id="rId527" location="page=100&amp;viewer=picture&amp;o=info&amp;n=0&amp;q=" display="https://permalinkbnd.bnportugal.gov.pt/viewer/14629/?offset= - page=100&amp;viewer=picture&amp;o=info&amp;n=0&amp;q=" xr:uid="{C50D8CEB-A2AF-4951-A0A1-DF8644AC9BA1}"/>
    <hyperlink ref="R737" r:id="rId528" location="page=129&amp;viewer=picture&amp;o=info&amp;n=0&amp;q=" display="https://permalinkbnd.bnportugal.gov.pt/viewer/14629/?offset= - page=129&amp;viewer=picture&amp;o=info&amp;n=0&amp;q=" xr:uid="{733DA8DC-08F9-457B-AC99-8D1D9623F945}"/>
    <hyperlink ref="R738" r:id="rId529" location="page=152&amp;viewer=picture&amp;o=info&amp;n=0&amp;q=" display="https://permalinkbnd.bnportugal.gov.pt/viewer/14629/?offset= - page=152&amp;viewer=picture&amp;o=info&amp;n=0&amp;q=" xr:uid="{C8C6E973-6605-488E-B86B-748243774483}"/>
    <hyperlink ref="R739" r:id="rId530" location="page=191&amp;viewer=picture&amp;o=info&amp;n=0&amp;q=" display="https://permalinkbnd.bnportugal.gov.pt/viewer/14629/?offset= - page=191&amp;viewer=picture&amp;o=info&amp;n=0&amp;q=" xr:uid="{E8D72623-3650-4476-9D5E-0A0647218ADD}"/>
    <hyperlink ref="R740" r:id="rId531" location="page=209&amp;viewer=picture&amp;o=info&amp;n=0&amp;q=" display="https://permalinkbnd.bnportugal.gov.pt/viewer/14629/?offset= - page=209&amp;viewer=picture&amp;o=info&amp;n=0&amp;q=" xr:uid="{D9F33B50-FFA7-42B5-BD6C-70D8DD923A30}"/>
    <hyperlink ref="R741" r:id="rId532" location="page=264&amp;viewer=picture&amp;o=info&amp;n=0&amp;q=" display="https://permalinkbnd.bnportugal.gov.pt/viewer/14629/?offset= - page=264&amp;viewer=picture&amp;o=info&amp;n=0&amp;q=" xr:uid="{C0DBB604-CAA8-4D5B-B165-DD89E95A1CF7}"/>
    <hyperlink ref="R742" r:id="rId533" location="page=297&amp;viewer=picture&amp;o=info&amp;n=0&amp;q=" display="https://permalinkbnd.bnportugal.gov.pt/viewer/14629/?offset= - page=297&amp;viewer=picture&amp;o=info&amp;n=0&amp;q=" xr:uid="{F9159C0A-DCC6-4C14-B2F8-643E5FC778CE}"/>
    <hyperlink ref="R743" r:id="rId534" location="page=10&amp;viewer=picture&amp;o=info&amp;n=0&amp;q=" display="https://permalinkbnd.bnportugal.gov.pt/viewer/14639/?offset= - page=10&amp;viewer=picture&amp;o=info&amp;n=0&amp;q=" xr:uid="{5040905F-0989-4B8E-9392-5E482DDB24EE}"/>
    <hyperlink ref="R744" r:id="rId535" location="page=86&amp;viewer=picture&amp;o=info&amp;n=0&amp;q=" display="https://permalinkbnd.bnportugal.gov.pt/viewer/14639/?offset= - page=86&amp;viewer=picture&amp;o=info&amp;n=0&amp;q=" xr:uid="{B2DB0BEF-6032-44EE-9EAC-4BCFA121331C}"/>
    <hyperlink ref="R745" r:id="rId536" location="page=168&amp;viewer=picture&amp;o=info&amp;n=0&amp;q=" display="https://permalinkbnd.bnportugal.gov.pt/viewer/14639/?offset= - page=168&amp;viewer=picture&amp;o=info&amp;n=0&amp;q=" xr:uid="{8B22667A-6B90-4BDE-9F85-E2D3C9267ABF}"/>
    <hyperlink ref="R746" r:id="rId537" location="page=266&amp;viewer=picture&amp;o=info&amp;n=0&amp;q=" display="https://permalinkbnd.bnportugal.gov.pt/viewer/14639/?offset= - page=266&amp;viewer=picture&amp;o=info&amp;n=0&amp;q=" xr:uid="{81475C1E-93D6-41B0-9D12-66D61053455A}"/>
    <hyperlink ref="R747" r:id="rId538" location="page=12&amp;viewer=picture&amp;o=info&amp;n=0&amp;q=" display="https://permalinkbnd.bnportugal.gov.pt/viewer/14639/?offset= - page=12&amp;viewer=picture&amp;o=info&amp;n=0&amp;q=" xr:uid="{6B7CCAC7-9A5E-41F4-A6F9-E24E96E1A926}"/>
    <hyperlink ref="R748" r:id="rId539" location="page=102&amp;viewer=picture&amp;o=info&amp;n=0&amp;q=" display="https://permalinkbnd.bnportugal.gov.pt/viewer/14639/?offset= - page=102&amp;viewer=picture&amp;o=info&amp;n=0&amp;q=" xr:uid="{4CEFB1C6-48DB-468F-BB5C-3D75F4156869}"/>
    <hyperlink ref="R749" r:id="rId540" location="page=202&amp;viewer=picture&amp;o=info&amp;n=0&amp;q=" display="https://permalinkbnd.bnportugal.gov.pt/viewer/14639/?offset= - page=202&amp;viewer=picture&amp;o=info&amp;n=0&amp;q=" xr:uid="{AFFC9E67-82A3-40BC-A9E1-31CC85C70D49}"/>
    <hyperlink ref="R750" r:id="rId541" location="page=282&amp;viewer=picture&amp;o=info&amp;n=0&amp;q=" display="https://permalinkbnd.bnportugal.gov.pt/viewer/14639/?offset= - page=282&amp;viewer=picture&amp;o=info&amp;n=0&amp;q=" xr:uid="{F986B39F-75FC-45C0-85E1-94C71D270A8F}"/>
    <hyperlink ref="R751" r:id="rId542" location="page=12&amp;viewer=picture&amp;o=info&amp;n=0&amp;q=" display="https://permalinkbnd.bnportugal.gov.pt/viewer/14639/?offset= - page=12&amp;viewer=picture&amp;o=info&amp;n=0&amp;q=" xr:uid="{6311C7D9-D38A-4EDD-B616-569CF1DD5653}"/>
    <hyperlink ref="R752" r:id="rId543" location="page=98&amp;viewer=picture&amp;o=info&amp;n=0&amp;q=" display="https://permalinkbnd.bnportugal.gov.pt/viewer/14639/?offset= - page=98&amp;viewer=picture&amp;o=info&amp;n=0&amp;q=" xr:uid="{A022DDF0-85D9-49D7-86D4-011B59BEACA7}"/>
    <hyperlink ref="R753" r:id="rId544" location="page=176&amp;viewer=picture&amp;o=info&amp;n=0&amp;q=" display="https://permalinkbnd.bnportugal.gov.pt/viewer/14639/?offset= - page=176&amp;viewer=picture&amp;o=info&amp;n=0&amp;q=" xr:uid="{E1143A76-48FA-4CE6-9AD3-7AD2728371AB}"/>
    <hyperlink ref="R754" r:id="rId545" location="page=9&amp;viewer=picture&amp;o=info&amp;n=0&amp;q=" display="https://permalinkbnd.bnportugal.gov.pt/viewer/14621/?offset= - page=9&amp;viewer=picture&amp;o=info&amp;n=0&amp;q=" xr:uid="{4858A72D-A68D-4184-A1BF-A611D0234610}"/>
    <hyperlink ref="R755" r:id="rId546" location="page=37&amp;viewer=picture&amp;o=info&amp;n=0&amp;q=" display="https://permalinkbnd.bnportugal.gov.pt/viewer/14621/?offset= - page=37&amp;viewer=picture&amp;o=info&amp;n=0&amp;q=" xr:uid="{12380323-F646-47D2-AAA5-987709F51D55}"/>
    <hyperlink ref="R756" r:id="rId547" location="page=75&amp;viewer=picture&amp;o=info&amp;n=0&amp;q=" display="https://permalinkbnd.bnportugal.gov.pt/viewer/14621/?offset= - page=75&amp;viewer=picture&amp;o=info&amp;n=0&amp;q=" xr:uid="{B178B9B5-B11D-4FC2-B912-6627539F1C08}"/>
    <hyperlink ref="R757" r:id="rId548" location="page=115&amp;viewer=picture&amp;o=info&amp;n=0&amp;q=" display="https://permalinkbnd.bnportugal.gov.pt/viewer/14621/?offset= - page=115&amp;viewer=picture&amp;o=info&amp;n=0&amp;q=" xr:uid="{5EC2B8D0-D84F-49F6-AC01-C5D09AEF0BA4}"/>
    <hyperlink ref="R758" r:id="rId549" location="page=171&amp;viewer=picture&amp;o=info&amp;n=0&amp;q=" display="https://permalinkbnd.bnportugal.gov.pt/viewer/14621/?offset= - page=171&amp;viewer=picture&amp;o=info&amp;n=0&amp;q=" xr:uid="{B653898B-FBAA-4006-98ED-A76625C7043D}"/>
    <hyperlink ref="R759" r:id="rId550" location="page=211&amp;viewer=picture&amp;o=info&amp;n=0&amp;q=" display="https://permalinkbnd.bnportugal.gov.pt/viewer/14621/?offset= - page=211&amp;viewer=picture&amp;o=info&amp;n=0&amp;q=" xr:uid="{EFA12E10-E0D3-49F6-A5C7-7177EB065154}"/>
    <hyperlink ref="R760" r:id="rId551" location="page=259&amp;viewer=picture&amp;o=info&amp;n=0&amp;q=" display="https://permalinkbnd.bnportugal.gov.pt/viewer/14621/?offset= - page=259&amp;viewer=picture&amp;o=info&amp;n=0&amp;q=" xr:uid="{21C2266F-D6C3-4CA1-AF01-E04EF7F2731C}"/>
    <hyperlink ref="R761" r:id="rId552" location="page=293&amp;viewer=picture&amp;o=info&amp;n=0&amp;q=" display="https://permalinkbnd.bnportugal.gov.pt/viewer/14621/?offset= - page=293&amp;viewer=picture&amp;o=info&amp;n=0&amp;q=" xr:uid="{02FBE70C-9CC5-409B-A574-91ABB021CFE4}"/>
    <hyperlink ref="R762" r:id="rId553" location="page=325&amp;viewer=picture&amp;o=info&amp;n=0&amp;q=" display="https://permalinkbnd.bnportugal.gov.pt/viewer/14621/?offset= - page=325&amp;viewer=picture&amp;o=info&amp;n=0&amp;q=" xr:uid="{4CB7B9D2-BF71-4252-9D95-CAEEACC7838F}"/>
    <hyperlink ref="R763" r:id="rId554" location="page=365&amp;viewer=picture&amp;o=info&amp;n=0&amp;q=" display="https://permalinkbnd.bnportugal.gov.pt/viewer/14621/?offset= - page=365&amp;viewer=picture&amp;o=info&amp;n=0&amp;q=" xr:uid="{1EA0DEAD-A8DD-49E2-92BB-35CC04DDA12F}"/>
    <hyperlink ref="R764" r:id="rId555" location="page=401&amp;viewer=picture&amp;o=info&amp;n=0&amp;q=" display="https://permalinkbnd.bnportugal.gov.pt/viewer/14621/?offset= - page=401&amp;viewer=picture&amp;o=info&amp;n=0&amp;q=" xr:uid="{50C9B353-0C8A-4DDC-A9EB-140DF52422E6}"/>
    <hyperlink ref="R765" r:id="rId556" location="page=10&amp;viewer=picture&amp;o=info&amp;n=0&amp;q=" display="https://permalinkbnd.bnportugal.gov.pt/viewer/14573/?offset= - page=10&amp;viewer=picture&amp;o=info&amp;n=0&amp;q=" xr:uid="{F771B0E6-E746-4924-BBF7-8F04A0D55D64}"/>
    <hyperlink ref="R766" r:id="rId557" location="page=19&amp;viewer=picture&amp;o=info&amp;n=0&amp;q=" display="https://permalinkbnd.bnportugal.gov.pt/viewer/14605/?offset= - page=19&amp;viewer=picture&amp;o=info&amp;n=0&amp;q=" xr:uid="{0A7A755F-EBEF-41F1-A323-8798102592EE}"/>
    <hyperlink ref="R767" r:id="rId558" location="page=7&amp;viewer=picture&amp;o=info&amp;n=0&amp;q=" display="https://permalinkbnd.bnportugal.gov.pt/viewer/14632/?offset= - page=7&amp;viewer=picture&amp;o=info&amp;n=0&amp;q=" xr:uid="{9D303EDA-FCC4-47A2-9D74-9BAE6F970637}"/>
    <hyperlink ref="R768" r:id="rId559" location="page=23&amp;viewer=picture&amp;o=info&amp;n=0&amp;q=" display="https://permalinkbnd.bnportugal.gov.pt/viewer/14680/?offset= - page=23&amp;viewer=picture&amp;o=info&amp;n=0&amp;q=" xr:uid="{06CA5927-9145-47F2-BED2-34DCDABB8565}"/>
    <hyperlink ref="R769" r:id="rId560" location="page=45&amp;viewer=picture&amp;o=info&amp;n=0&amp;q=" display="https://permalinkbnd.bnportugal.gov.pt/viewer/14680/?offset= - page=45&amp;viewer=picture&amp;o=info&amp;n=0&amp;q=" xr:uid="{294CDF96-71AE-4167-ACAC-B71127FD8F7D}"/>
    <hyperlink ref="R770" r:id="rId561" location="page=9&amp;viewer=picture&amp;o=info&amp;n=0&amp;q=" display="https://permalinkbnd.bnportugal.gov.pt/viewer/14556/?offset= - page=9&amp;viewer=picture&amp;o=info&amp;n=0&amp;q=" xr:uid="{8E75BDA7-D8B5-4EA4-B8AF-854723B38C21}"/>
    <hyperlink ref="R771" r:id="rId562" location="page=5&amp;viewer=picture&amp;o=info&amp;n=0&amp;q=" display="https://permalinkbnd.bnportugal.gov.pt/viewer/14578/?offset= - page=5&amp;viewer=picture&amp;o=info&amp;n=0&amp;q=" xr:uid="{3F8CB868-3A60-425E-8064-DFAFDE0D769B}"/>
    <hyperlink ref="R772" r:id="rId563" location="page=9&amp;viewer=picture&amp;o=info&amp;n=0&amp;q=" display="https://permalinkbnd.bnportugal.gov.pt/viewer/14576/?offset= - page=9&amp;viewer=picture&amp;o=info&amp;n=0&amp;q=" xr:uid="{522B0A3C-AA21-431B-80BA-DBAE6C8E8B57}"/>
    <hyperlink ref="R773" r:id="rId564" location="page=3&amp;viewer=picture&amp;o=info&amp;n=0&amp;q=" display="https://permalinkbnd.bnportugal.gov.pt/viewer/14592/?offset= - page=3&amp;viewer=picture&amp;o=info&amp;n=0&amp;q=" xr:uid="{BE842648-3C9A-4AED-B1DC-5FCC6A6C1CD5}"/>
    <hyperlink ref="R774" r:id="rId565" location="page=8&amp;viewer=picture&amp;o=info&amp;n=0&amp;q=" display="https://permalinkbnd.bnportugal.gov.pt/viewer/14592/?offset= - page=8&amp;viewer=picture&amp;o=info&amp;n=0&amp;q=" xr:uid="{2FCBA1C7-2CCB-407E-9324-4D766D1B256F}"/>
    <hyperlink ref="R775" r:id="rId566" location="page=12&amp;viewer=picture&amp;o=info&amp;n=0&amp;q=" display="https://permalinkbnd.bnportugal.gov.pt/viewer/14592/?offset= - page=12&amp;viewer=picture&amp;o=info&amp;n=0&amp;q=" xr:uid="{1CF874D3-893D-4CBF-A0A6-3B06B00F74BF}"/>
    <hyperlink ref="R776" r:id="rId567" location="page=10&amp;viewer=picture&amp;o=info&amp;n=0&amp;q=" display="https://permalinkbnd.bnportugal.gov.pt/viewer/14566/?offset= - page=10&amp;viewer=picture&amp;o=info&amp;n=0&amp;q=" xr:uid="{1D502F73-B49D-4F8A-9B0B-5812FEFB5B58}"/>
    <hyperlink ref="R777" r:id="rId568" location="page=11&amp;viewer=picture&amp;o=info&amp;n=0&amp;q=" display="https://permalinkbnd.bnportugal.gov.pt/viewer/14566/?offset= - page=11&amp;viewer=picture&amp;o=info&amp;n=0&amp;q=" xr:uid="{F8D0EBFD-972A-4F8A-AF72-44F17DCDD05A}"/>
    <hyperlink ref="R778" r:id="rId569" location="page=6&amp;viewer=picture&amp;o=info&amp;n=0&amp;q=" display="https://permalinkbnd.bnportugal.gov.pt/viewer/274466/?offset= - page=6&amp;viewer=picture&amp;o=info&amp;n=0&amp;q=" xr:uid="{9704A4AF-58D0-468D-9A9E-2E430F85A439}"/>
    <hyperlink ref="R779" r:id="rId570" location="page=12&amp;viewer=picture&amp;o=info&amp;n=0&amp;q=" display="https://permalinkbnd.bnportugal.gov.pt/viewer/274466/?offset= - page=12&amp;viewer=picture&amp;o=info&amp;n=0&amp;q=" xr:uid="{EE7B3974-FC73-4F76-BEE3-FEFA06C2C09C}"/>
    <hyperlink ref="R780" r:id="rId571" location="page=1&amp;viewer=picture&amp;o=info&amp;n=0&amp;q=" display="https://permalinkbnd.bnportugal.gov.pt/viewer/278408/?offset= - page=1&amp;viewer=picture&amp;o=info&amp;n=0&amp;q=" xr:uid="{DB082B2E-638A-4033-9BF1-06E8C90CA36D}"/>
    <hyperlink ref="R781" r:id="rId572" location="page=29&amp;viewer=picture&amp;o=info&amp;n=0&amp;q=" display="https://permalinkbnd.bnportugal.gov.pt/viewer/14624/?offset= - page=29&amp;viewer=picture&amp;o=info&amp;n=0&amp;q=" xr:uid="{CED1D6FC-296E-41B7-9DDA-A22EB540B054}"/>
    <hyperlink ref="R782" r:id="rId573" location="page=100&amp;viewer=picture&amp;o=info&amp;n=0&amp;q=" display="https://permalinkbnd.bnportugal.gov.pt/viewer/14624/?offset= - page=100&amp;viewer=picture&amp;o=info&amp;n=0&amp;q=" xr:uid="{E91DCAF5-1277-4388-9A1E-8F47EBB6A996}"/>
    <hyperlink ref="R783" r:id="rId574" location="page=216&amp;viewer=picture&amp;o=info&amp;n=0&amp;q=" display="https://permalinkbnd.bnportugal.gov.pt/viewer/14624/?offset= - page=216&amp;viewer=picture&amp;o=info&amp;n=0&amp;q=" xr:uid="{16C5E0D5-232A-460F-919E-5D6C55640108}"/>
    <hyperlink ref="R784" r:id="rId575" location="page=297&amp;viewer=picture&amp;o=info&amp;n=0&amp;q=" display="https://permalinkbnd.bnportugal.gov.pt/viewer/14624/?offset= - page=297&amp;viewer=picture&amp;o=info&amp;n=0&amp;q=" xr:uid="{F930933A-B2CA-484B-A812-456B3EC12A94}"/>
    <hyperlink ref="R785" r:id="rId576" location="page=308&amp;viewer=picture&amp;o=info&amp;n=0&amp;q=" display="https://permalinkbnd.bnportugal.gov.pt/viewer/14624/?offset= - page=308&amp;viewer=picture&amp;o=info&amp;n=0&amp;q=" xr:uid="{65EB10D0-FC14-4987-BC6D-E598732C0E4B}"/>
    <hyperlink ref="R789" r:id="rId577" location="page=424&amp;viewer=picture&amp;o=info&amp;n=0&amp;q=" display="https://permalinkbnd.bnportugal.gov.pt/viewer/14624/?offset= - page=424&amp;viewer=picture&amp;o=info&amp;n=0&amp;q=" xr:uid="{4BE44D0A-A446-44F3-BB36-36A4CE38C0F7}"/>
    <hyperlink ref="R790" r:id="rId578" location="page=530&amp;viewer=picture&amp;o=info&amp;n=0&amp;q=" display="https://permalinkbnd.bnportugal.gov.pt/viewer/14624/?offset= - page=530&amp;viewer=picture&amp;o=info&amp;n=0&amp;q=" xr:uid="{D9CB2FCD-FA8F-4E36-8F14-17B27524AAA4}"/>
    <hyperlink ref="R791" r:id="rId579" location="page=7&amp;viewer=picture&amp;o=info&amp;n=0&amp;q=" display="https://permalinkbnd.bnportugal.gov.pt/viewer/14624/?offset= - page=7&amp;viewer=picture&amp;o=info&amp;n=0&amp;q=" xr:uid="{290DF924-CF02-451F-9BEC-53C7040B84E0}"/>
    <hyperlink ref="R792" r:id="rId580" location="page=10&amp;viewer=picture&amp;o=info&amp;n=0&amp;q=" display="https://permalinkbnd.bnportugal.gov.pt/viewer/14624/?offset= - page=10&amp;viewer=picture&amp;o=info&amp;n=0&amp;q=" xr:uid="{9F3F8E01-4F03-482A-B026-80E53A410FD2}"/>
    <hyperlink ref="R793" r:id="rId581" location="page=76&amp;viewer=picture&amp;o=info&amp;n=0&amp;q=" display="https://permalinkbnd.bnportugal.gov.pt/viewer/14624/?offset= - page=76&amp;viewer=picture&amp;o=info&amp;n=0&amp;q=" xr:uid="{7AF84D03-EB45-4258-A938-3BCB16A9FC67}"/>
    <hyperlink ref="R794" r:id="rId582" location="page=114&amp;viewer=picture&amp;o=info&amp;n=0&amp;q=" display="https://permalinkbnd.bnportugal.gov.pt/viewer/14624/?offset= - page=114&amp;viewer=picture&amp;o=info&amp;n=0&amp;q=" xr:uid="{810F4FED-79C1-4DCC-A616-78AD93E8B3F8}"/>
    <hyperlink ref="R795" r:id="rId583" location="page=194&amp;viewer=picture&amp;o=info&amp;n=0&amp;q=" display="https://permalinkbnd.bnportugal.gov.pt/viewer/14624/?offset= - page=194&amp;viewer=picture&amp;o=info&amp;n=0&amp;q=" xr:uid="{12CFC006-E2DE-45D3-842C-A168D578376A}"/>
    <hyperlink ref="R796" r:id="rId584" location="page=274&amp;viewer=picture&amp;o=info&amp;n=0&amp;q=" display="https://permalinkbnd.bnportugal.gov.pt/viewer/14624/?offset= - page=274&amp;viewer=picture&amp;o=info&amp;n=0&amp;q=" xr:uid="{279ED252-07A4-4C0B-B753-7F9076FDF4AA}"/>
    <hyperlink ref="R797" r:id="rId585" location="page=418&amp;viewer=picture&amp;o=info&amp;n=0&amp;q=" display="https://permalinkbnd.bnportugal.gov.pt/viewer/14624/?offset= - page=418&amp;viewer=picture&amp;o=info&amp;n=0&amp;q=" xr:uid="{F92F1B25-289F-48F0-9806-FDFD757EB3D8}"/>
    <hyperlink ref="R798" r:id="rId586" location="page=454&amp;viewer=picture&amp;o=info&amp;n=0&amp;q=" display="https://permalinkbnd.bnportugal.gov.pt/viewer/14624/?offset= - page=454&amp;viewer=picture&amp;o=info&amp;n=0&amp;q=" xr:uid="{1CC625F1-5E0B-465E-9795-0B8CE663B4D2}"/>
    <hyperlink ref="R799" r:id="rId587" location="page=463&amp;viewer=picture&amp;o=info&amp;n=0&amp;q=" display="https://permalinkbnd.bnportugal.gov.pt/viewer/14624/?offset= - page=463&amp;viewer=picture&amp;o=info&amp;n=0&amp;q=" xr:uid="{F28D957D-EACA-4485-8D3B-FD88D50AA8ED}"/>
    <hyperlink ref="R800" r:id="rId588" location="page=465&amp;viewer=picture&amp;o=info&amp;n=0&amp;q=" display="https://permalinkbnd.bnportugal.gov.pt/viewer/14624/?offset= - page=465&amp;viewer=picture&amp;o=info&amp;n=0&amp;q=" xr:uid="{285D8D30-24C4-4201-922E-F42E0584D2F7}"/>
    <hyperlink ref="R801" r:id="rId589" location="page=466&amp;viewer=picture&amp;o=info&amp;n=0&amp;q=" display="https://permalinkbnd.bnportugal.gov.pt/viewer/14624/?offset= - page=466&amp;viewer=picture&amp;o=info&amp;n=0&amp;q=" xr:uid="{67A58D09-1783-4E01-856F-07A82DEAF816}"/>
    <hyperlink ref="R802" r:id="rId590" location="page=468&amp;viewer=picture&amp;o=info&amp;n=0&amp;q=" display="https://permalinkbnd.bnportugal.gov.pt/viewer/14624/?offset= - page=468&amp;viewer=picture&amp;o=info&amp;n=0&amp;q=" xr:uid="{016E7DB0-0E85-4338-810D-69BDB23FE4F9}"/>
    <hyperlink ref="R803" r:id="rId591" location="page=472&amp;viewer=picture&amp;o=info&amp;n=0&amp;q=" display="https://permalinkbnd.bnportugal.gov.pt/viewer/14624/?offset= - page=472&amp;viewer=picture&amp;o=info&amp;n=0&amp;q=" xr:uid="{163129A6-75B9-4135-88AD-52EC9957F48D}"/>
    <hyperlink ref="R804" r:id="rId592" location="page=473&amp;viewer=picture&amp;o=info&amp;n=0&amp;q=" display="https://permalinkbnd.bnportugal.gov.pt/viewer/14624/?offset= - page=473&amp;viewer=picture&amp;o=info&amp;n=0&amp;q=" xr:uid="{4554E9FF-C27A-4E67-92A5-4A936214A0ED}"/>
    <hyperlink ref="R805" r:id="rId593" location="page=474&amp;viewer=picture&amp;o=info&amp;n=0&amp;q=" display="https://permalinkbnd.bnportugal.gov.pt/viewer/14624/?offset= - page=474&amp;viewer=picture&amp;o=info&amp;n=0&amp;q=" xr:uid="{84F99255-35A5-4342-A226-7AE3387575A1}"/>
    <hyperlink ref="R806" r:id="rId594" location="page=476&amp;viewer=picture&amp;o=info&amp;n=0&amp;q=" display="https://permalinkbnd.bnportugal.gov.pt/viewer/14624/?offset= - page=476&amp;viewer=picture&amp;o=info&amp;n=0&amp;q=" xr:uid="{DF583FD0-B720-4943-8A46-F8AEBD758F02}"/>
    <hyperlink ref="R807" r:id="rId595" location="page=480&amp;viewer=picture&amp;o=info&amp;n=0&amp;q=" display="https://permalinkbnd.bnportugal.gov.pt/viewer/14624/?offset= - page=480&amp;viewer=picture&amp;o=info&amp;n=0&amp;q=" xr:uid="{9448D648-644D-48B5-B615-B4C93139A78B}"/>
    <hyperlink ref="R808" r:id="rId596" location="page=514&amp;viewer=picture&amp;o=info&amp;n=0&amp;q=" display="https://permalinkbnd.bnportugal.gov.pt/viewer/14624/?offset= - page=514&amp;viewer=picture&amp;o=info&amp;n=0&amp;q=" xr:uid="{F4A52EC6-1498-44AA-8DFD-827807B3760A}"/>
    <hyperlink ref="R809" r:id="rId597" location="page=520&amp;viewer=picture&amp;o=info&amp;n=0&amp;q=" display="https://permalinkbnd.bnportugal.gov.pt/viewer/14624/?offset= - page=520&amp;viewer=picture&amp;o=info&amp;n=0&amp;q=" xr:uid="{D1F4E3EF-DA82-413A-B049-D341C254589B}"/>
    <hyperlink ref="R810" r:id="rId598" location="page=521&amp;viewer=picture&amp;o=info&amp;n=0&amp;q=" display="https://permalinkbnd.bnportugal.gov.pt/viewer/14624/?offset= - page=521&amp;viewer=picture&amp;o=info&amp;n=0&amp;q=" xr:uid="{B9514D2D-8247-43BF-964F-08E5528487E0}"/>
    <hyperlink ref="R811" r:id="rId599" location="page=9&amp;viewer=picture&amp;o=info&amp;n=0&amp;q=" display="https://permalinkbnd.bnportugal.gov.pt/viewer/14587/?offset= - page=9&amp;viewer=picture&amp;o=info&amp;n=0&amp;q=" xr:uid="{2DC25F68-CB34-41D5-8F87-AA97D6F7DB47}"/>
    <hyperlink ref="R812" r:id="rId600" location="page=23&amp;viewer=picture&amp;o=info&amp;n=0&amp;q=" display="https://permalinkbnd.bnportugal.gov.pt/viewer/14587/?offset= - page=23&amp;viewer=picture&amp;o=info&amp;n=0&amp;q=" xr:uid="{CFB2D254-D79E-4909-B604-BEB03B65B5C2}"/>
    <hyperlink ref="R813" r:id="rId601" location="page=33&amp;viewer=picture&amp;o=info&amp;n=0&amp;q=" display="https://permalinkbnd.bnportugal.gov.pt/viewer/14587/?offset= - page=33&amp;viewer=picture&amp;o=info&amp;n=0&amp;q=" xr:uid="{C1D37AA2-9A64-472D-9F04-8E52CA341BFF}"/>
    <hyperlink ref="R814" r:id="rId602" location="page=57&amp;viewer=picture&amp;o=info&amp;n=0&amp;q=" display="https://permalinkbnd.bnportugal.gov.pt/viewer/14587/?offset= - page=57&amp;viewer=picture&amp;o=info&amp;n=0&amp;q=" xr:uid="{1D632E71-56C1-4EC6-B5F6-0AA384935BAA}"/>
    <hyperlink ref="R815" r:id="rId603" location="page=77&amp;viewer=picture&amp;o=info&amp;n=0&amp;q=" display="https://permalinkbnd.bnportugal.gov.pt/viewer/14587/?offset= - page=77&amp;viewer=picture&amp;o=info&amp;n=0&amp;q=" xr:uid="{6B8F5597-F892-4BE6-BAC4-BDB976BB7D85}"/>
    <hyperlink ref="R816" r:id="rId604" location="page=99&amp;viewer=picture&amp;o=info&amp;n=0&amp;q=" display="https://permalinkbnd.bnportugal.gov.pt/viewer/14587/?offset= - page=99&amp;viewer=picture&amp;o=info&amp;n=0&amp;q=" xr:uid="{6E382D1E-7DBF-445B-98C9-D5FC079A7092}"/>
    <hyperlink ref="R817" r:id="rId605" location="page=125&amp;viewer=picture&amp;o=info&amp;n=0&amp;q=" display="https://permalinkbnd.bnportugal.gov.pt/viewer/14587/?offset= - page=125&amp;viewer=picture&amp;o=info&amp;n=0&amp;q=" xr:uid="{FF89CA37-7008-4888-9325-B051DE0EDB5F}"/>
    <hyperlink ref="R818" r:id="rId606" location="page=147&amp;viewer=picture&amp;o=info&amp;n=0&amp;q=" display="https://permalinkbnd.bnportugal.gov.pt/viewer/14587/?offset= - page=147&amp;viewer=picture&amp;o=info&amp;n=0&amp;q=" xr:uid="{87EE552D-9259-4CB1-BB85-B7870740EF44}"/>
    <hyperlink ref="R819" r:id="rId607" location="page=157&amp;viewer=picture&amp;o=info&amp;n=0&amp;q=" display="https://permalinkbnd.bnportugal.gov.pt/viewer/14587/?offset= - page=157&amp;viewer=picture&amp;o=info&amp;n=0&amp;q=" xr:uid="{4F4BC380-6580-44DE-98FB-84E07D8DD000}"/>
    <hyperlink ref="R820" r:id="rId608" location="page=173&amp;viewer=picture&amp;o=info&amp;n=0&amp;q=" display="https://permalinkbnd.bnportugal.gov.pt/viewer/14587/?offset= - page=173&amp;viewer=picture&amp;o=info&amp;n=0&amp;q=" xr:uid="{22968F9B-4553-44D4-A6ED-FF203403A2AA}"/>
    <hyperlink ref="R821" r:id="rId609" location="page=185&amp;viewer=picture&amp;o=info&amp;n=0&amp;q=" display="https://permalinkbnd.bnportugal.gov.pt/viewer/14587/?offset= - page=185&amp;viewer=picture&amp;o=info&amp;n=0&amp;q=" xr:uid="{700433B2-7E60-4C0F-AC70-A5683901B0F8}"/>
    <hyperlink ref="R822" r:id="rId610" location="page=223&amp;viewer=picture&amp;o=info&amp;n=0&amp;q=" display="https://permalinkbnd.bnportugal.gov.pt/viewer/14587/?offset= - page=223&amp;viewer=picture&amp;o=info&amp;n=0&amp;q=" xr:uid="{107D1145-A313-4B0F-9E9B-F8D230EFE8AE}"/>
    <hyperlink ref="R823" r:id="rId611" location="page=231&amp;viewer=picture&amp;o=info&amp;n=0&amp;q=" display="https://permalinkbnd.bnportugal.gov.pt/viewer/14587/?offset= - page=231&amp;viewer=picture&amp;o=info&amp;n=0&amp;q=" xr:uid="{8446AE15-0871-4C58-9D4E-37EB8058D107}"/>
    <hyperlink ref="R824" r:id="rId612" location="page=255&amp;viewer=picture&amp;o=info&amp;n=0&amp;q=" display="https://permalinkbnd.bnportugal.gov.pt/viewer/14587/?offset= - page=255&amp;viewer=picture&amp;o=info&amp;n=0&amp;q=" xr:uid="{DAEE7B67-4F4B-484A-A1F5-058B8D10CBCA}"/>
    <hyperlink ref="R825" r:id="rId613" location="page=265&amp;viewer=picture&amp;o=info&amp;n=0&amp;q=" display="https://permalinkbnd.bnportugal.gov.pt/viewer/14587/?offset= - page=265&amp;viewer=picture&amp;o=info&amp;n=0&amp;q=" xr:uid="{1E6DFB5E-992A-4364-8967-E5282269701C}"/>
    <hyperlink ref="R826" r:id="rId614" location="page=289&amp;viewer=picture&amp;o=info&amp;n=0&amp;q=" display="https://permalinkbnd.bnportugal.gov.pt/viewer/14587/?offset= - page=289&amp;viewer=picture&amp;o=info&amp;n=0&amp;q=" xr:uid="{B03EA4F1-3FBD-4A20-A521-1EE65330D03D}"/>
    <hyperlink ref="R827" r:id="rId615" location="page=295&amp;viewer=picture&amp;o=info&amp;n=0&amp;q=" display="https://permalinkbnd.bnportugal.gov.pt/viewer/14587/?offset= - page=295&amp;viewer=picture&amp;o=info&amp;n=0&amp;q=" xr:uid="{974C9A4A-1663-4863-97C1-DF4F16FB7DA7}"/>
    <hyperlink ref="R828" r:id="rId616" location="page=323&amp;viewer=picture&amp;o=info&amp;n=0&amp;q=" display="https://permalinkbnd.bnportugal.gov.pt/viewer/14587/?offset= - page=323&amp;viewer=picture&amp;o=info&amp;n=0&amp;q=" xr:uid="{9105238C-44B6-4D22-9CF8-59F33EDB2A3A}"/>
    <hyperlink ref="R829" r:id="rId617" location="page=331&amp;viewer=picture&amp;o=info&amp;n=0&amp;q=" display="https://permalinkbnd.bnportugal.gov.pt/viewer/14587/?offset= - page=331&amp;viewer=picture&amp;o=info&amp;n=0&amp;q=" xr:uid="{619162C8-2770-4E34-A691-3BDD2D40EDEF}"/>
    <hyperlink ref="R831" r:id="rId618" location="page=365&amp;viewer=picture&amp;o=info&amp;n=0&amp;q=" display="https://permalinkbnd.bnportugal.gov.pt/viewer/14587/?offset= - page=365&amp;viewer=picture&amp;o=info&amp;n=0&amp;q=" xr:uid="{CC2B9A63-257E-458C-A4F8-A5C07B241C84}"/>
    <hyperlink ref="R832" r:id="rId619" location="page=385&amp;viewer=picture&amp;o=info&amp;n=0&amp;q=" display="https://permalinkbnd.bnportugal.gov.pt/viewer/14587/?offset= - page=385&amp;viewer=picture&amp;o=info&amp;n=0&amp;q=" xr:uid="{8825E66C-EAE3-40CA-96BB-279B605D768F}"/>
    <hyperlink ref="R833" r:id="rId620" location="page=8&amp;viewer=picture&amp;o=info&amp;n=0&amp;q=" display="https://permalinkbnd.bnportugal.gov.pt/viewer/14650/?offset= - page=8&amp;viewer=picture&amp;o=info&amp;n=0&amp;q=" xr:uid="{B06604C2-473B-4C81-AF3D-D6A9AC519487}"/>
    <hyperlink ref="R834" r:id="rId621" location="page=30&amp;viewer=picture&amp;o=info&amp;n=0&amp;q=" display="https://permalinkbnd.bnportugal.gov.pt/viewer/14650/?offset= - page=30&amp;viewer=picture&amp;o=info&amp;n=0&amp;q=" xr:uid="{16281B44-5A92-41CB-ACDA-913E394C9222}"/>
    <hyperlink ref="R835" r:id="rId622" location="page=31&amp;viewer=picture&amp;o=info&amp;n=0&amp;q=" display="https://permalinkbnd.bnportugal.gov.pt/viewer/14650/?offset= - page=31&amp;viewer=picture&amp;o=info&amp;n=0&amp;q=" xr:uid="{ED656172-5622-4D40-AA2A-D137D3EEF040}"/>
    <hyperlink ref="R836" r:id="rId623" location="page=6&amp;viewer=picture&amp;o=info&amp;n=0&amp;q=" display="https://permalinkbnd.bnportugal.gov.pt/viewer/14604/?offset= - page=6&amp;viewer=picture&amp;o=info&amp;n=0&amp;q=" xr:uid="{F0F528F4-F903-474D-BCB4-ECC3FC0AFC72}"/>
    <hyperlink ref="R837" r:id="rId624" location="page=35&amp;viewer=picture&amp;o=info&amp;n=0&amp;q=" display="https://permalinkbnd.bnportugal.gov.pt/viewer/14604/?offset= - page=35&amp;viewer=picture&amp;o=info&amp;n=0&amp;q=" xr:uid="{D6791DE1-5990-447D-9138-869D17888C3A}"/>
    <hyperlink ref="R838" r:id="rId625" location="page=13&amp;viewer=picture&amp;o=info&amp;n=0&amp;q=" display="https://permalinkbnd.bnportugal.gov.pt/viewer/278482/?offset= - page=13&amp;viewer=picture&amp;o=info&amp;n=0&amp;q=" xr:uid="{89DD0C0B-52C7-4AE5-94C9-AD5A8AD069B2}"/>
    <hyperlink ref="R839" r:id="rId626" location="page=12&amp;viewer=picture&amp;o=info&amp;n=0&amp;q=" display="https://permalinkbnd.bnportugal.gov.pt/viewer/14622/?offset= - page=12&amp;viewer=picture&amp;o=info&amp;n=0&amp;q=" xr:uid="{88E19C37-5621-4E1A-9712-33FCDE9F12AD}"/>
    <hyperlink ref="R840" r:id="rId627" location="page=21&amp;viewer=picture&amp;o=info&amp;n=0&amp;q=" display="https://permalinkbnd.bnportugal.gov.pt/viewer/14622/?offset= - page=21&amp;viewer=picture&amp;o=info&amp;n=0&amp;q=" xr:uid="{75BA6952-1D8C-4067-A812-C0A69EB5EFEF}"/>
    <hyperlink ref="R841" r:id="rId628" location="page=108&amp;viewer=picture&amp;o=info&amp;n=0&amp;q=" display="https://permalinkbnd.bnportugal.gov.pt/viewer/14622/?offset= - page=108&amp;viewer=picture&amp;o=info&amp;n=0&amp;q=" xr:uid="{773431A7-BF77-46CB-8C67-FDB1146656FC}"/>
    <hyperlink ref="R842" r:id="rId629" location="page=125&amp;viewer=picture&amp;o=info&amp;n=0&amp;q=" display="https://permalinkbnd.bnportugal.gov.pt/viewer/14622/?offset= - page=125&amp;viewer=picture&amp;o=info&amp;n=0&amp;q=" xr:uid="{3860DF12-AC5F-48DA-B090-3A13869394A5}"/>
    <hyperlink ref="R843" r:id="rId630" location="page=6&amp;viewer=picture&amp;o=info&amp;n=0&amp;q=" display="https://permalinkbnd.bnportugal.gov.pt/viewer/86723/?offset= - page=6&amp;viewer=picture&amp;o=info&amp;n=0&amp;q=" xr:uid="{7703C211-11E7-4D4E-981D-76900B029DA7}"/>
    <hyperlink ref="R844" r:id="rId631" location="page=11&amp;viewer=picture&amp;o=info&amp;n=0&amp;q=" display="https://permalinkbnd.bnportugal.gov.pt/viewer/86723/?offset= - page=11&amp;viewer=picture&amp;o=info&amp;n=0&amp;q=" xr:uid="{E72DF1CD-8F65-4B01-B5F3-E7CEE346412D}"/>
    <hyperlink ref="R845" r:id="rId632" location="page=17&amp;viewer=picture&amp;o=info&amp;n=0&amp;q=" display="https://permalinkbnd.bnportugal.gov.pt/viewer/278583/?offset= - page=17&amp;viewer=picture&amp;o=info&amp;n=0&amp;q=" xr:uid="{83EDBC62-BF34-41CB-BF2A-2BA45BE4C465}"/>
    <hyperlink ref="R846" r:id="rId633" location="page=8&amp;viewer=picture&amp;o=info&amp;n=0&amp;q=" display="https://permalinkbnd.bnportugal.gov.pt/viewer/274032/?offset= - page=8&amp;viewer=picture&amp;o=info&amp;n=0&amp;q=" xr:uid="{9D7C21C2-0491-47DD-A3D7-C1A8E7328EF8}"/>
    <hyperlink ref="R847" r:id="rId634" location="page=55&amp;viewer=picture&amp;o=info&amp;n=0&amp;q=" display="https://permalinkbnd.bnportugal.gov.pt/viewer/274032/?offset= - page=55&amp;viewer=picture&amp;o=info&amp;n=0&amp;q=" xr:uid="{756F09D0-C6D9-40FB-8D79-67E7D3F3B316}"/>
    <hyperlink ref="R848" r:id="rId635" location="page=81&amp;viewer=picture&amp;o=info&amp;n=0&amp;q=" display="https://permalinkbnd.bnportugal.gov.pt/viewer/274032/?offset= - page=81&amp;viewer=picture&amp;o=info&amp;n=0&amp;q=" xr:uid="{81217991-51BD-405E-8C09-5B187E76E3A5}"/>
    <hyperlink ref="R849" r:id="rId636" location="page=198&amp;viewer=picture&amp;o=info&amp;n=0&amp;q=" display="https://permalinkbnd.bnportugal.gov.pt/viewer/274032/?offset= - page=198&amp;viewer=picture&amp;o=info&amp;n=0&amp;q=" xr:uid="{BAD12150-32C7-47CE-93F5-BCB7A5B57FC7}"/>
    <hyperlink ref="R850" r:id="rId637" location="page=307&amp;viewer=picture&amp;o=info&amp;n=0&amp;q=" display="https://permalinkbnd.bnportugal.gov.pt/viewer/274032/?offset= - page=307&amp;viewer=picture&amp;o=info&amp;n=0&amp;q=" xr:uid="{32C0D8EA-E596-40D3-B40A-7F9FCC7B10D9}"/>
    <hyperlink ref="R851" r:id="rId638" location="page=369&amp;viewer=picture&amp;o=info&amp;n=0&amp;q=" display="https://permalinkbnd.bnportugal.gov.pt/viewer/274032/?offset= - page=369&amp;viewer=picture&amp;o=info&amp;n=0&amp;q=" xr:uid="{2B064887-E1BE-4AAC-831C-085C7485893E}"/>
    <hyperlink ref="R852" r:id="rId639" location="page=1&amp;viewer=picture&amp;o=info&amp;n=0&amp;q=" display="https://permalinkbnd.bnportugal.gov.pt/viewer/6839/?offset= - page=1&amp;viewer=picture&amp;o=info&amp;n=0&amp;q=" xr:uid="{F80046DF-925A-400E-92F4-2DD0C18CDF5A}"/>
    <hyperlink ref="R855" r:id="rId640" location="page=10&amp;viewer=picture&amp;o=info&amp;n=0&amp;q=" display="https://permalinkbnd.bnportugal.gov.pt/viewer/6839/?offset= - page=10&amp;viewer=picture&amp;o=info&amp;n=0&amp;q=" xr:uid="{D65A7DCB-E16C-4AF1-8D7B-4A314CAD233F}"/>
    <hyperlink ref="R856" r:id="rId641" location="page=11&amp;viewer=picture&amp;o=info&amp;n=0&amp;q=" display="https://permalinkbnd.bnportugal.gov.pt/viewer/6839/?offset= - page=11&amp;viewer=picture&amp;o=info&amp;n=0&amp;q=" xr:uid="{66999283-3B6D-46D1-9E88-3BB86C8408E5}"/>
    <hyperlink ref="R857" r:id="rId642" location="page=14&amp;viewer=picture&amp;o=info&amp;n=0&amp;q=" display="https://permalinkbnd.bnportugal.gov.pt/viewer/6839/?offset= - page=14&amp;viewer=picture&amp;o=info&amp;n=0&amp;q=" xr:uid="{CCACCB58-CE43-4ADD-A813-F98A00F9F9FA}"/>
    <hyperlink ref="R858" r:id="rId643" location="page=16&amp;viewer=picture&amp;o=info&amp;n=0&amp;q=" display="https://permalinkbnd.bnportugal.gov.pt/viewer/6839/?offset= - page=16&amp;viewer=picture&amp;o=info&amp;n=0&amp;q=" xr:uid="{1E32A137-77E4-4F78-A859-7E7099A520C5}"/>
    <hyperlink ref="R859" r:id="rId644" location="page=20&amp;viewer=picture&amp;o=info&amp;n=0&amp;q=" display="https://permalinkbnd.bnportugal.gov.pt/viewer/6839/?offset= - page=20&amp;viewer=picture&amp;o=info&amp;n=0&amp;q=" xr:uid="{E04535EF-F5B5-4B6D-A322-883A45CA1D65}"/>
    <hyperlink ref="R860" r:id="rId645" location="page=1&amp;viewer=picture&amp;o=info&amp;n=0&amp;q=" display="https://permalinkbnd.bnportugal.gov.pt/viewer/36391/?offset= - page=1&amp;viewer=picture&amp;o=info&amp;n=0&amp;q=" xr:uid="{480C0CE2-2442-439F-8195-60943168836F}"/>
    <hyperlink ref="R861" r:id="rId646" location="page=1&amp;viewer=picture&amp;o=info&amp;n=0&amp;q=" display="https://permalinkbnd.bnportugal.gov.pt/viewer/14630/?offset= - page=1&amp;viewer=picture&amp;o=info&amp;n=0&amp;q=" xr:uid="{5E8CE7B0-9701-465B-A386-F61B1F86AD58}"/>
    <hyperlink ref="R862" r:id="rId647" location="page=10&amp;viewer=picture&amp;o=info&amp;n=0&amp;q=" display="https://permalinkbnd.bnportugal.gov.pt/viewer/278664/?offset= - page=10&amp;viewer=picture&amp;o=info&amp;n=0&amp;q=" xr:uid="{520E11EF-0BC4-46E2-A9A2-C5FD51D6A590}"/>
    <hyperlink ref="R863" r:id="rId648" location="page=8&amp;viewer=picture&amp;o=info&amp;n=0&amp;q=" display="https://permalinkbnd.bnportugal.gov.pt/viewer/278660/?offset= - page=8&amp;viewer=picture&amp;o=info&amp;n=0&amp;q=" xr:uid="{328BC5C2-8FB8-4F0A-8038-81EECBA6365E}"/>
    <hyperlink ref="R864" r:id="rId649" location="page=6&amp;viewer=picture&amp;o=info&amp;n=0&amp;q=" display="https://permalinkbnd.bnportugal.gov.pt/viewer/278669/?offset= - page=6&amp;viewer=picture&amp;o=info&amp;n=0&amp;q=" xr:uid="{861E9741-597D-4DFF-B09E-A92204F18D6C}"/>
    <hyperlink ref="R865" r:id="rId650" location="page=6&amp;viewer=picture&amp;o=info&amp;n=0&amp;q=" display="https://permalinkbnd.bnportugal.gov.pt/viewer/278783/?offset= - page=6&amp;viewer=picture&amp;o=info&amp;n=0&amp;q=" xr:uid="{56540A36-F3D4-46CA-A697-39BFC2A36D44}"/>
    <hyperlink ref="R866" r:id="rId651" location="page=10&amp;viewer=picture&amp;o=info&amp;n=0&amp;q=" display="https://permalinkbnd.bnportugal.gov.pt/viewer/278786/?offset= - page=10&amp;viewer=picture&amp;o=info&amp;n=0&amp;q=" xr:uid="{C455F72C-77B1-4CE7-BBF4-C838679F9634}"/>
    <hyperlink ref="R867" r:id="rId652" location="page=8&amp;viewer=picture&amp;o=info&amp;n=0&amp;q=" display="https://permalinkbnd.bnportugal.gov.pt/viewer/278784/?offset= - page=8&amp;viewer=picture&amp;o=info&amp;n=0&amp;q=" xr:uid="{42C95ACD-6029-4F68-9B01-C864D734AC59}"/>
    <hyperlink ref="R868" r:id="rId653" location="page=6&amp;viewer=picture&amp;o=info&amp;n=0&amp;q=" display="https://permalinkbnd.bnportugal.gov.pt/viewer/278793/?offset= - page=6&amp;viewer=picture&amp;o=info&amp;n=0&amp;q=" xr:uid="{6DBEDE3F-5F3A-4A7A-B8B7-F26F7932B101}"/>
    <hyperlink ref="R869" r:id="rId654" location="page=6&amp;viewer=picture&amp;o=info&amp;n=0&amp;q=" display="https://permalinkbnd.bnportugal.gov.pt/viewer/278782/?offset= - page=6&amp;viewer=picture&amp;o=info&amp;n=0&amp;q=" xr:uid="{21EAFEF5-4BB7-49EC-A618-F6B97F1AE7D4}"/>
    <hyperlink ref="R871" r:id="rId655" location="page=1&amp;viewer=picture&amp;o=info&amp;n=0&amp;q=" display="https://permalinkbnd.bnportugal.gov.pt/viewer/272640/?offset= - page=1&amp;viewer=picture&amp;o=info&amp;n=0&amp;q=" xr:uid="{1E5F7583-F6F4-41B4-A691-894B52CC151D}"/>
    <hyperlink ref="R872" r:id="rId656" location="page=8&amp;viewer=picture&amp;o=info&amp;n=0&amp;q=" display="https://permalinkbnd.bnportugal.gov.pt/viewer/272640/?offset= - page=8&amp;viewer=picture&amp;o=info&amp;n=0&amp;q=" xr:uid="{E05B65B8-0608-41E6-B94C-18A8D275C3EB}"/>
    <hyperlink ref="R873" r:id="rId657" location="page=9&amp;viewer=picture&amp;o=info&amp;n=0&amp;q=" display="https://permalinkbnd.bnportugal.gov.pt/viewer/272640/?offset= - page=9&amp;viewer=picture&amp;o=info&amp;n=0&amp;q=" xr:uid="{E57A03D0-80A8-4891-81AA-E5EC011FD0C2}"/>
    <hyperlink ref="R875" r:id="rId658" location="page=25&amp;viewer=picture&amp;o=info&amp;n=0&amp;q=" display="https://permalinkbnd.bnportugal.gov.pt/viewer/272640/?offset= - page=25&amp;viewer=picture&amp;o=info&amp;n=0&amp;q=" xr:uid="{A67FF360-7E4B-4299-BE00-EE5F87471317}"/>
    <hyperlink ref="R876" r:id="rId659" location="page=27&amp;viewer=picture&amp;o=info&amp;n=0&amp;q=" display="https://permalinkbnd.bnportugal.gov.pt/viewer/272640/?offset= - page=27&amp;viewer=picture&amp;o=info&amp;n=0&amp;q=" xr:uid="{8F3CA176-9721-44C5-B2EA-4AF07F22D22D}"/>
    <hyperlink ref="R877" r:id="rId660" location="page=29&amp;viewer=picture&amp;o=info&amp;n=0&amp;q=" display="https://permalinkbnd.bnportugal.gov.pt/viewer/272640/?offset= - page=29&amp;viewer=picture&amp;o=info&amp;n=0&amp;q=" xr:uid="{E2BB3BB7-A594-4362-895E-BD41D5D31A06}"/>
    <hyperlink ref="R878" r:id="rId661" location="page=31&amp;viewer=picture&amp;o=info&amp;n=0&amp;q=" display="https://permalinkbnd.bnportugal.gov.pt/viewer/272640/?offset= - page=31&amp;viewer=picture&amp;o=info&amp;n=0&amp;q=" xr:uid="{23DD3D8C-5ADD-4714-82D0-B6524DC69871}"/>
    <hyperlink ref="R880" r:id="rId662" location="page=59&amp;viewer=picture&amp;o=info&amp;n=0&amp;q=" display="https://permalinkbnd.bnportugal.gov.pt/viewer/272640/?offset= - page=59&amp;viewer=picture&amp;o=info&amp;n=0&amp;q=" xr:uid="{F1507507-9BD5-4ED8-9803-096F851C99AE}"/>
    <hyperlink ref="R882" r:id="rId663" location="page=71&amp;viewer=picture&amp;o=info&amp;n=0&amp;q=" display="https://permalinkbnd.bnportugal.gov.pt/viewer/272640/?offset= - page=71&amp;viewer=picture&amp;o=info&amp;n=0&amp;q=" xr:uid="{44088B33-08E6-460C-8F24-DA4E1F7B51B7}"/>
    <hyperlink ref="R883" r:id="rId664" location="page=89&amp;viewer=picture&amp;o=info&amp;n=0&amp;q=" display="https://permalinkbnd.bnportugal.gov.pt/viewer/272640/?offset= - page=89&amp;viewer=picture&amp;o=info&amp;n=0&amp;q=" xr:uid="{C167EB5C-EEE5-4A5F-91A3-29C6F789A2D0}"/>
    <hyperlink ref="R884" r:id="rId665" location="page=95&amp;viewer=picture&amp;o=info&amp;n=0&amp;q=" display="https://permalinkbnd.bnportugal.gov.pt/viewer/272640/?offset= - page=95&amp;viewer=picture&amp;o=info&amp;n=0&amp;q=" xr:uid="{080750FC-9A60-44ED-964F-B55FD2520638}"/>
    <hyperlink ref="R886" r:id="rId666" location="page=127&amp;viewer=picture&amp;o=info&amp;n=0&amp;q=" display="https://permalinkbnd.bnportugal.gov.pt/viewer/272640/?offset= - page=127&amp;viewer=picture&amp;o=info&amp;n=0&amp;q=" xr:uid="{5DA51C33-8EE4-4221-BF32-A31EC0F77ECA}"/>
    <hyperlink ref="R887" r:id="rId667" location="page=135&amp;viewer=picture&amp;o=info&amp;n=0&amp;q=" display="https://permalinkbnd.bnportugal.gov.pt/viewer/272640/?offset= - page=135&amp;viewer=picture&amp;o=info&amp;n=0&amp;q=" xr:uid="{2B628A0D-A263-46F7-9278-77BE3E1D4B83}"/>
    <hyperlink ref="R889" r:id="rId668" location="page=161&amp;viewer=picture&amp;o=info&amp;n=0&amp;q=" display="https://permalinkbnd.bnportugal.gov.pt/viewer/272640/?offset= - page=161&amp;viewer=picture&amp;o=info&amp;n=0&amp;q=" xr:uid="{F3CBE847-C570-4EC2-B152-DE5ADA272B54}"/>
    <hyperlink ref="R890" r:id="rId669" location="page=167&amp;viewer=picture&amp;o=info&amp;n=0&amp;q=" display="https://permalinkbnd.bnportugal.gov.pt/viewer/272640/?offset= - page=167&amp;viewer=picture&amp;o=info&amp;n=0&amp;q=" xr:uid="{AB0567AD-D693-4163-B84E-6B4FD2E70E79}"/>
    <hyperlink ref="R892" r:id="rId670" location="page=181&amp;viewer=picture&amp;o=info&amp;n=0&amp;q=" display="https://permalinkbnd.bnportugal.gov.pt/viewer/272640/?offset= - page=181&amp;viewer=picture&amp;o=info&amp;n=0&amp;q=" xr:uid="{67E92CDE-1AFE-402F-A61B-AAEC02FD34FB}"/>
    <hyperlink ref="R893" r:id="rId671" location="page=197&amp;viewer=picture&amp;o=info&amp;n=0&amp;q=" display="https://permalinkbnd.bnportugal.gov.pt/viewer/272640/?offset= - page=197&amp;viewer=picture&amp;o=info&amp;n=0&amp;q=" xr:uid="{31AC7C8C-697F-4C92-8AF0-85B8E09482C4}"/>
    <hyperlink ref="R895" r:id="rId672" location="page=207&amp;viewer=picture&amp;o=info&amp;n=0&amp;q=" display="https://permalinkbnd.bnportugal.gov.pt/viewer/272640/?offset= - page=207&amp;viewer=picture&amp;o=info&amp;n=0&amp;q=" xr:uid="{78F3392A-3B93-489E-83B3-A89B8351D5B6}"/>
    <hyperlink ref="R896" r:id="rId673" location="page=227&amp;viewer=picture&amp;o=info&amp;n=0&amp;q=" display="https://permalinkbnd.bnportugal.gov.pt/viewer/272640/?offset= - page=227&amp;viewer=picture&amp;o=info&amp;n=0&amp;q=" xr:uid="{2335448E-E9DE-4E39-8E26-54073BB2575B}"/>
    <hyperlink ref="R898" r:id="rId674" location="page=241&amp;viewer=picture&amp;o=info&amp;n=0&amp;q=" display="https://permalinkbnd.bnportugal.gov.pt/viewer/272640/?offset= - page=241&amp;viewer=picture&amp;o=info&amp;n=0&amp;q=" xr:uid="{3DA29E8D-4BD1-4007-A55B-804099AF8171}"/>
    <hyperlink ref="R899" r:id="rId675" location="page=253&amp;viewer=picture&amp;o=info&amp;n=0&amp;q=" display="https://permalinkbnd.bnportugal.gov.pt/viewer/272640/?offset= - page=253&amp;viewer=picture&amp;o=info&amp;n=0&amp;q=" xr:uid="{A30437DC-190E-448A-B9D4-02E64D11E591}"/>
    <hyperlink ref="R901" r:id="rId676" location="page=271&amp;viewer=picture&amp;o=info&amp;n=0&amp;q=" display="https://permalinkbnd.bnportugal.gov.pt/viewer/272640/?offset= - page=271&amp;viewer=picture&amp;o=info&amp;n=0&amp;q=" xr:uid="{3538D9F7-5932-4F5C-81F0-D83FDE0F86D9}"/>
    <hyperlink ref="R902" r:id="rId677" location="page=283&amp;viewer=picture&amp;o=info&amp;n=0&amp;q=" display="https://permalinkbnd.bnportugal.gov.pt/viewer/272640/?offset= - page=283&amp;viewer=picture&amp;o=info&amp;n=0&amp;q=" xr:uid="{67A60445-1112-40C9-9483-85029AB0F6EC}"/>
    <hyperlink ref="R904" r:id="rId678" location="page=307&amp;viewer=picture&amp;o=info&amp;n=0&amp;q=" display="https://permalinkbnd.bnportugal.gov.pt/viewer/272640/?offset= - page=307&amp;viewer=picture&amp;o=info&amp;n=0&amp;q=" xr:uid="{BD396DD9-715A-4E64-97BF-53A4A37724D7}"/>
    <hyperlink ref="R905" r:id="rId679" location="page=311&amp;viewer=picture&amp;o=info&amp;n=0&amp;q=" display="https://permalinkbnd.bnportugal.gov.pt/viewer/272640/?offset= - page=311&amp;viewer=picture&amp;o=info&amp;n=0&amp;q=" xr:uid="{460FC330-F9EA-4DAE-90AA-3011BD2C2053}"/>
    <hyperlink ref="R907" r:id="rId680" location="page=349&amp;viewer=picture&amp;o=info&amp;n=0&amp;q=" display="https://permalinkbnd.bnportugal.gov.pt/viewer/272640/?offset= - page=349&amp;viewer=picture&amp;o=info&amp;n=0&amp;q=" xr:uid="{41A58268-2939-4F6E-B52B-4FA3DA19A01A}"/>
    <hyperlink ref="R908" r:id="rId681" location="page=5&amp;viewer=picture&amp;o=info&amp;n=0&amp;q=" display="https://permalinkbnd.bnportugal.gov.pt/viewer/279630/?offset= - page=5&amp;viewer=picture&amp;o=info&amp;n=0&amp;q=" xr:uid="{3798CED1-B177-4DF7-B2F5-9E00A319DB77}"/>
    <hyperlink ref="R909" r:id="rId682" location="page=7&amp;viewer=picture&amp;o=info&amp;n=0&amp;q=" display="https://permalinkbnd.bnportugal.gov.pt/viewer/279630/?offset= - page=7&amp;viewer=picture&amp;o=info&amp;n=0&amp;q=" xr:uid="{7885F552-F0BB-4951-87CC-B2F0C3CA4B66}"/>
    <hyperlink ref="R910" r:id="rId683" location="page=4&amp;viewer=picture&amp;o=info&amp;n=0&amp;q=" display="https://permalinkbnd.bnportugal.gov.pt/viewer/279634/?offset= - page=4&amp;viewer=picture&amp;o=info&amp;n=0&amp;q=" xr:uid="{AB8946EB-E0B4-4168-B02C-CE5CD947A7FD}"/>
    <hyperlink ref="R912" r:id="rId684" location="page=1&amp;viewer=picture&amp;o=info&amp;n=0&amp;q=" display="https://permalinkbnd.bnportugal.gov.pt/viewer/279104/?offset= - page=1&amp;viewer=picture&amp;o=info&amp;n=0&amp;q=" xr:uid="{081E8A46-3A30-47EE-968E-5A2FB887A7E4}"/>
    <hyperlink ref="R914" r:id="rId685" location="page=1&amp;viewer=picture&amp;o=info&amp;n=0&amp;q=" display="https://permalinkbnd.bnportugal.gov.pt/viewer/20471/?offset= - page=1&amp;viewer=picture&amp;o=info&amp;n=0&amp;q=" xr:uid="{2EC1B602-2CEF-4661-A90F-D6120323B70F}"/>
    <hyperlink ref="R915" r:id="rId686" location="page=1&amp;viewer=picture&amp;o=info&amp;n=0&amp;q=" display="https://permalinkbnd.bnportugal.gov.pt/viewer/17516/?offset= - page=1&amp;viewer=picture&amp;o=info&amp;n=0&amp;q=" xr:uid="{89015463-B836-406A-BCDA-A0D30E4C5501}"/>
    <hyperlink ref="R919" r:id="rId687" location="page=13&amp;viewer=picture&amp;o=info&amp;n=0&amp;q=" display="https://permalinkbnd.bnportugal.gov.pt/viewer/14594/?offset= - page=13&amp;viewer=picture&amp;o=info&amp;n=0&amp;q=" xr:uid="{E0F42D17-76DB-49AB-A3A3-F50C6C1A8E85}"/>
    <hyperlink ref="R920" r:id="rId688" location="page=30&amp;viewer=picture&amp;o=info&amp;n=0&amp;q=" display="https://permalinkbnd.bnportugal.gov.pt/viewer/14594/?offset= - page=30&amp;viewer=picture&amp;o=info&amp;n=0&amp;q=" xr:uid="{C32B24DD-80EF-41CD-9524-1302BEB85491}"/>
    <hyperlink ref="R921" r:id="rId689" location="page=32&amp;viewer=picture&amp;o=info&amp;n=0&amp;q=" display="https://permalinkbnd.bnportugal.gov.pt/viewer/14594/?offset= - page=32&amp;viewer=picture&amp;o=info&amp;n=0&amp;q=" xr:uid="{E6BD26BE-E8EC-41C5-881B-5AB0638DEBB0}"/>
    <hyperlink ref="R922" r:id="rId690" location="page=54&amp;viewer=picture&amp;o=info&amp;n=0&amp;q=" display="https://permalinkbnd.bnportugal.gov.pt/viewer/14594/?offset= - page=54&amp;viewer=picture&amp;o=info&amp;n=0&amp;q=" xr:uid="{96FB01FE-0A9E-42AB-8B6B-6826012C87E8}"/>
    <hyperlink ref="R925" r:id="rId691" location="page=78&amp;viewer=picture&amp;o=info&amp;n=0&amp;q=" display="https://permalinkbnd.bnportugal.gov.pt/viewer/14594/?offset= - page=78&amp;viewer=picture&amp;o=info&amp;n=0&amp;q=" xr:uid="{BCAB7364-FCE6-4531-95D8-F686D74823B2}"/>
    <hyperlink ref="R926" r:id="rId692" location="page=106&amp;viewer=picture&amp;o=info&amp;n=0&amp;q=" display="https://permalinkbnd.bnportugal.gov.pt/viewer/14594/?offset= - page=106&amp;viewer=picture&amp;o=info&amp;n=0&amp;q=" xr:uid="{FCDEBC37-32A0-4D2A-9962-BD76B7B753EC}"/>
    <hyperlink ref="R928" r:id="rId693" location="page=128&amp;viewer=picture&amp;o=info&amp;n=0&amp;q=" display="https://permalinkbnd.bnportugal.gov.pt/viewer/14594/?offset= - page=128&amp;viewer=picture&amp;o=info&amp;n=0&amp;q=" xr:uid="{63B77C01-AB40-4085-8F53-80DC2134532E}"/>
    <hyperlink ref="R929" r:id="rId694" location="page=129&amp;viewer=picture&amp;o=info&amp;n=0&amp;q=" display="https://permalinkbnd.bnportugal.gov.pt/viewer/14594/?offset= - page=129&amp;viewer=picture&amp;o=info&amp;n=0&amp;q=" xr:uid="{5ECFE5B2-A912-4B88-A5AE-84A088B4E382}"/>
    <hyperlink ref="R931" r:id="rId695" location="page=150&amp;viewer=picture&amp;o=info&amp;n=0&amp;q=" display="https://permalinkbnd.bnportugal.gov.pt/viewer/14594/?offset= - page=150&amp;viewer=picture&amp;o=info&amp;n=0&amp;q=" xr:uid="{1D4B6436-ADA0-4004-9D57-7A651E68A7F2}"/>
    <hyperlink ref="R932" r:id="rId696" location="page=151&amp;viewer=picture&amp;o=info&amp;n=0&amp;q=" display="https://permalinkbnd.bnportugal.gov.pt/viewer/14594/?offset= - page=151&amp;viewer=picture&amp;o=info&amp;n=0&amp;q=" xr:uid="{AC844A62-B6AD-4F64-8317-A3BF8F80BD3F}"/>
    <hyperlink ref="R933" r:id="rId697" location="page=170&amp;viewer=picture&amp;o=info&amp;n=0&amp;q=" display="https://permalinkbnd.bnportugal.gov.pt/viewer/14594/?offset= - page=170&amp;viewer=picture&amp;o=info&amp;n=0&amp;q=" xr:uid="{5EBF6E4A-4AE3-4082-809F-F6349C7634BA}"/>
    <hyperlink ref="R934" r:id="rId698" location="page=171&amp;viewer=picture&amp;o=info&amp;n=0&amp;q=" display="https://permalinkbnd.bnportugal.gov.pt/viewer/14594/?offset= - page=171&amp;viewer=picture&amp;o=info&amp;n=0&amp;q=" xr:uid="{F6E32A27-0E19-4670-93D4-B1FEAEED6328}"/>
    <hyperlink ref="R935" r:id="rId699" location="page=188&amp;viewer=picture&amp;o=info&amp;n=0&amp;q=" display="https://permalinkbnd.bnportugal.gov.pt/viewer/14594/?offset= - page=188&amp;viewer=picture&amp;o=info&amp;n=0&amp;q=" xr:uid="{250631EF-C15E-4DDF-8481-5CCA0932E637}"/>
    <hyperlink ref="R936" r:id="rId700" location="page=189&amp;viewer=picture&amp;o=info&amp;n=0&amp;q=" display="https://permalinkbnd.bnportugal.gov.pt/viewer/14594/?offset= - page=189&amp;viewer=picture&amp;o=info&amp;n=0&amp;q=" xr:uid="{BD23ED96-2CD1-4775-B748-C98D1B85F031}"/>
    <hyperlink ref="R937" r:id="rId701" location="page=208&amp;viewer=picture&amp;o=info&amp;n=0&amp;q=" display="https://permalinkbnd.bnportugal.gov.pt/viewer/14594/?offset= - page=208&amp;viewer=picture&amp;o=info&amp;n=0&amp;q=" xr:uid="{9CE9D6E2-0351-403F-9E7B-13B62641250C}"/>
    <hyperlink ref="R938" r:id="rId702" location="page=209&amp;viewer=picture&amp;o=info&amp;n=0&amp;q=" display="https://permalinkbnd.bnportugal.gov.pt/viewer/14594/?offset= - page=209&amp;viewer=picture&amp;o=info&amp;n=0&amp;q=" xr:uid="{87F32A80-4A32-4D2C-B106-057812618F77}"/>
    <hyperlink ref="R939" r:id="rId703" location="page=228&amp;viewer=picture&amp;o=info&amp;n=0&amp;q=" display="https://permalinkbnd.bnportugal.gov.pt/viewer/14594/?offset= - page=228&amp;viewer=picture&amp;o=info&amp;n=0&amp;q=" xr:uid="{BEDE634F-7E52-48EF-8314-84A1FDF4732A}"/>
    <hyperlink ref="R940" r:id="rId704" location="page=229&amp;viewer=picture&amp;o=info&amp;n=0&amp;q=" display="https://permalinkbnd.bnportugal.gov.pt/viewer/14594/?offset= - page=229&amp;viewer=picture&amp;o=info&amp;n=0&amp;q=" xr:uid="{44AEAA40-04EE-467C-858D-A4C1477BC616}"/>
    <hyperlink ref="R943" r:id="rId705" location="page=1&amp;viewer=picture&amp;o=info&amp;n=0&amp;q=" display="https://permalinkbnd.bnportugal.gov.pt/viewer/89062/?offset= - page=1&amp;viewer=picture&amp;o=info&amp;n=0&amp;q=" xr:uid="{941D87AB-FA39-4624-BC96-95C5A199B511}"/>
    <hyperlink ref="R944" r:id="rId706" location="page=4&amp;viewer=picture&amp;o=info&amp;n=0&amp;q=" display="https://permalinkbnd.bnportugal.gov.pt/viewer/272813/?offset= - page=4&amp;viewer=picture&amp;o=info&amp;n=0&amp;q=" xr:uid="{1D6EEDCC-831E-442E-946C-29346499F155}"/>
    <hyperlink ref="R945" r:id="rId707" location="page=13&amp;viewer=picture&amp;o=info&amp;n=0&amp;q=" display="https://permalinkbnd.bnportugal.gov.pt/viewer/279095/?offset= - page=13&amp;viewer=picture&amp;o=info&amp;n=0&amp;q=" xr:uid="{AA0F2F8E-4419-44C8-B726-5B275444D916}"/>
    <hyperlink ref="R946" r:id="rId708" location="page=15&amp;viewer=picture&amp;o=info&amp;n=0&amp;q=" display="https://permalinkbnd.bnportugal.gov.pt/viewer/278400/?offset= - page=15&amp;viewer=picture&amp;o=info&amp;n=0&amp;q=" xr:uid="{346F9368-BED1-4FB4-B184-54859FCAB85A}"/>
    <hyperlink ref="R947" r:id="rId709" location="page=117 vs. 109&amp;viewer=picture&amp;o=info&amp;n=0&amp;q=" display="https://permalinkbnd.bnportugal.gov.pt/viewer/278400/?offset= - page=117 vs. 109&amp;viewer=picture&amp;o=info&amp;n=0&amp;q=" xr:uid="{753658DF-00A6-46F4-A283-00581B75754B}"/>
    <hyperlink ref="R948" r:id="rId710" location="page=121&amp;viewer=picture&amp;o=info&amp;n=0&amp;q=" display="https://permalinkbnd.bnportugal.gov.pt/viewer/278400/?offset= - page=121&amp;viewer=picture&amp;o=info&amp;n=0&amp;q=" xr:uid="{BCDEF786-9E49-4E97-B40F-D581062ABCA1}"/>
    <hyperlink ref="R949" r:id="rId711" location="page=153 vs. 135&amp;viewer=picture&amp;o=info&amp;n=0&amp;q=" display="https://permalinkbnd.bnportugal.gov.pt/viewer/278400/?offset= - page=153 vs. 135&amp;viewer=picture&amp;o=info&amp;n=0&amp;q=" xr:uid="{464953D4-9DEC-414F-B3A9-2984FF18C82C}"/>
    <hyperlink ref="R950" r:id="rId712" location="page=145&amp;viewer=picture&amp;o=info&amp;n=0&amp;q=" display="https://permalinkbnd.bnportugal.gov.pt/viewer/278400/?offset= - page=145&amp;viewer=picture&amp;o=info&amp;n=0&amp;q=" xr:uid="{17481951-576F-4385-8F7A-CA3CA1A37DCE}"/>
    <hyperlink ref="R951" r:id="rId713" location="page=165&amp;viewer=picture&amp;o=info&amp;n=0&amp;q=" display="https://permalinkbnd.bnportugal.gov.pt/viewer/278400/?offset= - page=165&amp;viewer=picture&amp;o=info&amp;n=0&amp;q=" xr:uid="{E7B49815-9C45-4024-BF2B-9F9CBB4082CD}"/>
    <hyperlink ref="R952" r:id="rId714" location="page=5&amp;viewer=picture&amp;o=info&amp;n=0&amp;q=" display="https://permalinkbnd.bnportugal.gov.pt/viewer/278662/?offset= - page=5&amp;viewer=picture&amp;o=info&amp;n=0&amp;q=" xr:uid="{D3F5A15C-3050-4CD0-82B5-FC558FD6C748}"/>
    <hyperlink ref="R953" r:id="rId715" location="page=8&amp;viewer=picture&amp;o=info&amp;n=0&amp;q=" display="https://permalinkbnd.bnportugal.gov.pt/viewer/278662/?offset= - page=8&amp;viewer=picture&amp;o=info&amp;n=0&amp;q=" xr:uid="{A39EB8A2-79AD-4927-8351-5FAF2574025C}"/>
    <hyperlink ref="R954" r:id="rId716" location="page=5&amp;viewer=picture&amp;o=info&amp;n=0&amp;q=" display="https://permalinkbnd.bnportugal.gov.pt/viewer/278491/?offset= - page=5&amp;viewer=picture&amp;o=info&amp;n=0&amp;q=" xr:uid="{55165BAC-1A06-4173-995B-64C8F65C6E17}"/>
    <hyperlink ref="R955" r:id="rId717" location="page=4&amp;viewer=picture&amp;o=info&amp;n=0&amp;q=" display="https://permalinkbnd.bnportugal.gov.pt/viewer/278670/?offset= - page=4&amp;viewer=picture&amp;o=info&amp;n=0&amp;q=" xr:uid="{CFF03269-9E32-405E-890E-FB53DB34EE9A}"/>
    <hyperlink ref="R956" r:id="rId718" location="page=3&amp;viewer=picture&amp;o=info&amp;n=0&amp;q=" display="https://permalinkbnd.bnportugal.gov.pt/viewer/279637/?offset= - page=3&amp;viewer=picture&amp;o=info&amp;n=0&amp;q=" xr:uid="{D5C31FF2-F475-4323-BFFA-43607EADC47B}"/>
    <hyperlink ref="R957" r:id="rId719" location="page=5&amp;viewer=picture&amp;o=info&amp;n=0&amp;q=" display="https://permalinkbnd.bnportugal.gov.pt/viewer/279637/?offset= - page=5&amp;viewer=picture&amp;o=info&amp;n=0&amp;q=" xr:uid="{0E3AEA1C-7F66-43FF-9B1E-1AF62B68D89A}"/>
    <hyperlink ref="R958" r:id="rId720" location="page=8&amp;viewer=picture&amp;o=info&amp;n=0&amp;q=" display="https://permalinkbnd.bnportugal.gov.pt/viewer/279637/?offset= - page=8&amp;viewer=picture&amp;o=info&amp;n=0&amp;q=" xr:uid="{B3F3C732-D0B0-405F-8B97-3661E2FA9258}"/>
    <hyperlink ref="R959" r:id="rId721" location="page=10&amp;viewer=picture&amp;o=info&amp;n=0&amp;q=" display="https://permalinkbnd.bnportugal.gov.pt/viewer/279637/?offset= - page=10&amp;viewer=picture&amp;o=info&amp;n=0&amp;q=" xr:uid="{A0EE9E76-1FD2-49D5-9EED-985CA64D8357}"/>
    <hyperlink ref="R960" r:id="rId722" location="page=12&amp;viewer=picture&amp;o=info&amp;n=0&amp;q=" display="https://permalinkbnd.bnportugal.gov.pt/viewer/1880/?offset= - page=12&amp;viewer=picture&amp;o=info&amp;n=0&amp;q=" xr:uid="{796A03B6-4CF8-4201-A8C7-9588A4AFF294}"/>
    <hyperlink ref="R961" r:id="rId723" location="page=10&amp;viewer=picture&amp;o=info&amp;n=0&amp;q=" display="https://permalinkbnd.bnportugal.gov.pt/viewer/278595/?offset= - page=10&amp;viewer=picture&amp;o=info&amp;n=0&amp;q=" xr:uid="{833D7D09-F9E7-487A-8A7E-27A9B36731B3}"/>
    <hyperlink ref="R962" r:id="rId724" location="page=8&amp;viewer=picture&amp;o=info&amp;n=0&amp;q=" display="https://permalinkbnd.bnportugal.gov.pt/viewer/278597/?offset= - page=8&amp;viewer=picture&amp;o=info&amp;n=0&amp;q=" xr:uid="{5D7C8434-A6B2-4E79-B22F-700944CAE663}"/>
    <hyperlink ref="R963" r:id="rId725" location="page=1&amp;viewer=picture&amp;o=info&amp;n=0&amp;q=" display="https://permalinkbnd.bnportugal.gov.pt/viewer/278668/?offset= - page=1&amp;viewer=picture&amp;o=info&amp;n=0&amp;q=" xr:uid="{5A18A8A7-0D7D-4951-957F-746E3807AD21}"/>
    <hyperlink ref="R964" r:id="rId726" location="page=5&amp;viewer=picture&amp;o=info&amp;n=0&amp;q=" display="https://permalinkbnd.bnportugal.gov.pt/viewer/278663/?offset= - page=5&amp;viewer=picture&amp;o=info&amp;n=0&amp;q=" xr:uid="{79590FFF-4060-4140-B0BF-54E158990343}"/>
    <hyperlink ref="R966" r:id="rId727" location="page=8&amp;viewer=picture&amp;o=info&amp;n=0&amp;q=" display="https://permalinkbnd.bnportugal.gov.pt/viewer/278795/?offset= - page=8&amp;viewer=picture&amp;o=info&amp;n=0&amp;q=" xr:uid="{B8C2A09F-8E34-42D2-9B91-59E1EFC018E0}"/>
    <hyperlink ref="R967" r:id="rId728" location="page=59&amp;viewer=picture&amp;o=info&amp;n=0&amp;q=" display="https://permalinkbnd.bnportugal.gov.pt/viewer/278795/?offset= - page=59&amp;viewer=picture&amp;o=info&amp;n=0&amp;q=" xr:uid="{A6DA5121-515B-46B9-817F-22211E64553B}"/>
    <hyperlink ref="R968" r:id="rId729" location="page=97&amp;viewer=picture&amp;o=info&amp;n=0&amp;q=" display="https://permalinkbnd.bnportugal.gov.pt/viewer/278795/?offset= - page=97&amp;viewer=picture&amp;o=info&amp;n=0&amp;q=" xr:uid="{D01480E7-E620-4F52-AC65-6547741D8F96}"/>
    <hyperlink ref="R969" r:id="rId730" location="page=139&amp;viewer=picture&amp;o=info&amp;n=0&amp;q=" display="https://permalinkbnd.bnportugal.gov.pt/viewer/278795/?offset= - page=139&amp;viewer=picture&amp;o=info&amp;n=0&amp;q=" xr:uid="{516F3A8C-911B-467B-A7B6-CA691387113F}"/>
    <hyperlink ref="R970" r:id="rId731" location="page=191&amp;viewer=picture&amp;o=info&amp;n=0&amp;q=" display="https://permalinkbnd.bnportugal.gov.pt/viewer/278795/?offset= - page=191&amp;viewer=picture&amp;o=info&amp;n=0&amp;q=" xr:uid="{3FC4A271-3C11-4B8E-B7AB-C4FA8426163C}"/>
    <hyperlink ref="R971" r:id="rId732" location="page=229&amp;viewer=picture&amp;o=info&amp;n=0&amp;q=" display="https://permalinkbnd.bnportugal.gov.pt/viewer/278795/?offset= - page=229&amp;viewer=picture&amp;o=info&amp;n=0&amp;q=" xr:uid="{8C0D383F-FED9-4490-B232-F7F7DF8CC7F1}"/>
    <hyperlink ref="R972" r:id="rId733" location="page=265&amp;viewer=picture&amp;o=info&amp;n=0&amp;q=" display="https://permalinkbnd.bnportugal.gov.pt/viewer/278795/?offset= - page=265&amp;viewer=picture&amp;o=info&amp;n=0&amp;q=" xr:uid="{A71D0D24-AE86-47AB-85CF-93B5D5308104}"/>
    <hyperlink ref="R973" r:id="rId734" location="page=301&amp;viewer=picture&amp;o=info&amp;n=0&amp;q=" display="https://permalinkbnd.bnportugal.gov.pt/viewer/278795/?offset= - page=301&amp;viewer=picture&amp;o=info&amp;n=0&amp;q=" xr:uid="{EA4A469D-935A-473C-914B-BA6735F424A3}"/>
    <hyperlink ref="R974" r:id="rId735" location="page=333&amp;viewer=picture&amp;o=info&amp;n=0&amp;q=" display="https://permalinkbnd.bnportugal.gov.pt/viewer/278795/?offset= - page=333&amp;viewer=picture&amp;o=info&amp;n=0&amp;q=" xr:uid="{DE367C4C-CEF8-4A45-B869-0F407050FDE3}"/>
    <hyperlink ref="R975" r:id="rId736" location="page=369&amp;viewer=picture&amp;o=info&amp;n=0&amp;q=" display="https://permalinkbnd.bnportugal.gov.pt/viewer/278795/?offset= - page=369&amp;viewer=picture&amp;o=info&amp;n=0&amp;q=" xr:uid="{F5EB4030-A197-4C8D-A238-8ECDBB0065F4}"/>
    <hyperlink ref="R976" r:id="rId737" location="page=405&amp;viewer=picture&amp;o=info&amp;n=0&amp;q=" display="https://permalinkbnd.bnportugal.gov.pt/viewer/278795/?offset= - page=405&amp;viewer=picture&amp;o=info&amp;n=0&amp;q=" xr:uid="{81C09F8E-D100-4C59-9761-33A4D6BC7AC6}"/>
    <hyperlink ref="R977" r:id="rId738" location="page=22&amp;viewer=picture&amp;o=info&amp;n=0&amp;q=" display="https://permalinkbnd.bnportugal.gov.pt/viewer/279624/?offset= - page=22&amp;viewer=picture&amp;o=info&amp;n=0&amp;q=" xr:uid="{B7C3256B-4243-4818-9E5A-4FF2CD88DB6C}"/>
    <hyperlink ref="R978" r:id="rId739" location="page=24&amp;viewer=picture&amp;o=info&amp;n=0&amp;q=" display="https://permalinkbnd.bnportugal.gov.pt/viewer/279624/?offset= - page=24&amp;viewer=picture&amp;o=info&amp;n=0&amp;q=" xr:uid="{CB8A26B1-D110-40EF-B837-2388FF8F2C73}"/>
    <hyperlink ref="R979" r:id="rId740" location="page=5&amp;viewer=picture&amp;o=info&amp;n=0&amp;q=" display="https://permalinkbnd.bnportugal.gov.pt/viewer/279100/?offset= - page=5&amp;viewer=picture&amp;o=info&amp;n=0&amp;q=" xr:uid="{98B3A996-2FCC-4362-8C2C-AC5FFB7C3991}"/>
    <hyperlink ref="R980" r:id="rId741" location="page=7&amp;viewer=picture&amp;o=info&amp;n=0&amp;q=" display="https://permalinkbnd.bnportugal.gov.pt/viewer/279100/?offset= - page=7&amp;viewer=picture&amp;o=info&amp;n=0&amp;q=" xr:uid="{2F5BD8E4-35BB-48DB-9B87-0EAB5EED2F29}"/>
    <hyperlink ref="R981" r:id="rId742" location="page=9&amp;viewer=picture&amp;o=info&amp;n=0&amp;q=" display="https://permalinkbnd.bnportugal.gov.pt/viewer/278495/?offset= - page=9&amp;viewer=picture&amp;o=info&amp;n=0&amp;q=" xr:uid="{5621E869-DBEA-414E-B8C1-216279D5F812}"/>
    <hyperlink ref="R983" r:id="rId743" location="page=7&amp;viewer=picture&amp;o=info&amp;n=0&amp;q=" display="https://permalinkbnd.bnportugal.gov.pt/viewer/14663/?offset= - page=7&amp;viewer=picture&amp;o=info&amp;n=0&amp;q=" xr:uid="{C04421E0-D5D8-4D46-9F14-83DB38B1EB29}"/>
    <hyperlink ref="R984" r:id="rId744" location="page=1&amp;viewer=picture&amp;o=info&amp;n=0&amp;q=" display="https://permalinkbnd.bnportugal.gov.pt/viewer/256552/?offset= - page=1&amp;viewer=picture&amp;o=info&amp;n=0&amp;q=" xr:uid="{15BABCA2-3596-430A-A4FA-E6D2A90FE3A6}"/>
    <hyperlink ref="R985" r:id="rId745" location="page=9&amp;viewer=picture&amp;o=info&amp;n=0&amp;q=" display="https://permalinkbnd.bnportugal.gov.pt/viewer/256552/?offset= - page=9&amp;viewer=picture&amp;o=info&amp;n=0&amp;q=" xr:uid="{40E247CF-84FB-41F6-A548-8C9219DEBB42}"/>
    <hyperlink ref="R986" r:id="rId746" location="page=14&amp;viewer=picture&amp;o=info&amp;n=0&amp;q=" display="https://permalinkbnd.bnportugal.gov.pt/viewer/256552/?offset= - page=14&amp;viewer=picture&amp;o=info&amp;n=0&amp;q=" xr:uid="{A14CF5B4-E204-4C83-93BB-F88221B3D58B}"/>
    <hyperlink ref="R987" r:id="rId747" location="page=19&amp;viewer=picture&amp;o=info&amp;n=0&amp;q=" display="https://permalinkbnd.bnportugal.gov.pt/viewer/256552/?offset= - page=19&amp;viewer=picture&amp;o=info&amp;n=0&amp;q=" xr:uid="{5F5EE1BD-3064-4BE7-A004-41F87E7CE5BE}"/>
    <hyperlink ref="R988" r:id="rId748" location="page=20&amp;viewer=picture&amp;o=info&amp;n=0&amp;q=" display="https://permalinkbnd.bnportugal.gov.pt/viewer/256552/?offset= - page=20&amp;viewer=picture&amp;o=info&amp;n=0&amp;q=" xr:uid="{3A5B938D-D6F6-4D3B-A099-D9D7EDB05329}"/>
    <hyperlink ref="R989" r:id="rId749" location="page=39&amp;viewer=picture&amp;o=info&amp;n=0&amp;q=" display="https://permalinkbnd.bnportugal.gov.pt/viewer/256552/?offset= - page=39&amp;viewer=picture&amp;o=info&amp;n=0&amp;q=" xr:uid="{1563F0F5-58E1-4A1C-A53E-B306982D33BD}"/>
    <hyperlink ref="R990" r:id="rId750" location="page=42&amp;viewer=picture&amp;o=info&amp;n=0&amp;q=" display="https://permalinkbnd.bnportugal.gov.pt/viewer/256552/?offset= - page=42&amp;viewer=picture&amp;o=info&amp;n=0&amp;q=" xr:uid="{141C108E-0365-45C6-9CF6-70D4D13CAAE6}"/>
    <hyperlink ref="R991" r:id="rId751" location="page=45&amp;viewer=picture&amp;o=info&amp;n=0&amp;q=" display="https://permalinkbnd.bnportugal.gov.pt/viewer/256552/?offset= - page=45&amp;viewer=picture&amp;o=info&amp;n=0&amp;q=" xr:uid="{4293D12D-3A81-4FD3-B201-22E9D529023E}"/>
    <hyperlink ref="R992" r:id="rId752" location="page=48&amp;viewer=picture&amp;o=info&amp;n=0&amp;q=" display="https://permalinkbnd.bnportugal.gov.pt/viewer/256552/?offset= - page=48&amp;viewer=picture&amp;o=info&amp;n=0&amp;q=" xr:uid="{DF88D88D-FE2A-443D-8E1B-C5DBEDFCF464}"/>
    <hyperlink ref="R993" r:id="rId753" location="page=59&amp;viewer=picture&amp;o=info&amp;n=0&amp;q=" display="https://permalinkbnd.bnportugal.gov.pt/viewer/256552/?offset= - page=59&amp;viewer=picture&amp;o=info&amp;n=0&amp;q=" xr:uid="{FBF94A41-62A5-481A-A05E-EF25DC6FC69A}"/>
    <hyperlink ref="R994" r:id="rId754" location="page=66&amp;viewer=picture&amp;o=info&amp;n=0&amp;q=" display="https://permalinkbnd.bnportugal.gov.pt/viewer/256552/?offset= - page=66&amp;viewer=picture&amp;o=info&amp;n=0&amp;q=" xr:uid="{B9444387-2989-4DDC-BFF7-E30F818A5A66}"/>
    <hyperlink ref="R995" r:id="rId755" location="page=9&amp;viewer=picture&amp;o=info&amp;n=0&amp;q=" display="https://permalinkbnd.bnportugal.gov.pt/viewer/14657/?offset= - page=9&amp;viewer=picture&amp;o=info&amp;n=0&amp;q=" xr:uid="{FC6CCBB6-2659-47B3-BE6C-B24C27E9005F}"/>
    <hyperlink ref="R996" r:id="rId756" location="page=2&amp;viewer=picture&amp;o=info&amp;n=0&amp;q=" display="https://permalinkbnd.bnportugal.gov.pt/viewer/3/?offset= - page=2&amp;viewer=picture&amp;o=info&amp;n=0&amp;q=" xr:uid="{99B39F48-E61B-44E2-B5D8-6B03CCBEDE52}"/>
    <hyperlink ref="R997" r:id="rId757" location="page=3&amp;viewer=picture&amp;o=info&amp;n=0&amp;q=" display="https://permalinkbnd.bnportugal.gov.pt/viewer/3/?offset= - page=3&amp;viewer=picture&amp;o=info&amp;n=0&amp;q=" xr:uid="{4D2CFCA7-A740-48FA-BBC6-6DF93B720967}"/>
    <hyperlink ref="R998" r:id="rId758" location="page=4&amp;viewer=picture&amp;o=info&amp;n=0&amp;q=" display="https://permalinkbnd.bnportugal.gov.pt/viewer/3/?offset= - page=4&amp;viewer=picture&amp;o=info&amp;n=0&amp;q=" xr:uid="{3C90B9EB-6258-4D5F-B9F3-32ED525DBE45}"/>
    <hyperlink ref="R999" r:id="rId759" location="page=1&amp;viewer=picture&amp;o=info&amp;n=0&amp;q=" display="https://permalinkbnd.bnportugal.gov.pt/viewer/85826/?offset= - page=1&amp;viewer=picture&amp;o=info&amp;n=0&amp;q=" xr:uid="{D4BC0676-5583-4A32-B813-3727FC9A69B1}"/>
    <hyperlink ref="R1000" r:id="rId760" location="page=10&amp;viewer=picture&amp;o=info&amp;n=0&amp;q=" display="https://permalinkbnd.bnportugal.gov.pt/viewer/14597/?offset= - page=10&amp;viewer=picture&amp;o=info&amp;n=0&amp;q=" xr:uid="{6C468ED5-484E-4EE3-8A7C-4370689B98DD}"/>
    <hyperlink ref="R1001" r:id="rId761" location="page=75&amp;viewer=picture&amp;o=info&amp;n=0&amp;q=" display="https://permalinkbnd.bnportugal.gov.pt/viewer/255741/?offset= - page=75&amp;viewer=picture&amp;o=info&amp;n=0&amp;q=" xr:uid="{04561A92-3D0D-4C64-954C-EAB9854A33AC}"/>
    <hyperlink ref="R1002" r:id="rId762" location="page=76&amp;viewer=picture&amp;o=info&amp;n=0&amp;q=" display="https://permalinkbnd.bnportugal.gov.pt/viewer/255741/?offset= - page=76&amp;viewer=picture&amp;o=info&amp;n=0&amp;q=" xr:uid="{71984332-97A4-4D78-8A3A-F76D70511FD4}"/>
    <hyperlink ref="R1003" r:id="rId763" location="page=77&amp;viewer=picture&amp;o=info&amp;n=0&amp;q=" display="https://permalinkbnd.bnportugal.gov.pt/viewer/255741/?offset= - page=77&amp;viewer=picture&amp;o=info&amp;n=0&amp;q=" xr:uid="{0BFC8656-C325-41F2-8E5F-9CC380131B4E}"/>
    <hyperlink ref="R1004" r:id="rId764" location="page=78&amp;viewer=picture&amp;o=info&amp;n=0&amp;q=" display="https://permalinkbnd.bnportugal.gov.pt/viewer/255741/?offset= - page=78&amp;viewer=picture&amp;o=info&amp;n=0&amp;q=" xr:uid="{A0232CDB-92DA-4CCF-92C4-7C4CB6B2112B}"/>
    <hyperlink ref="R1005" r:id="rId765" location="page=133&amp;viewer=picture&amp;o=info&amp;n=0&amp;q=" display="https://permalinkbnd.bnportugal.gov.pt/viewer/14651/?offset= - page=133&amp;viewer=picture&amp;o=info&amp;n=0&amp;q=" xr:uid="{D22B592D-CC06-4E74-AEE4-37E576CAF460}"/>
    <hyperlink ref="R1006" r:id="rId766" location="page=257&amp;viewer=picture&amp;o=info&amp;n=0&amp;q=" display="https://permalinkbnd.bnportugal.gov.pt/viewer/14651/?offset= - page=257&amp;viewer=picture&amp;o=info&amp;n=0&amp;q=" xr:uid="{8FCA1C93-2257-49C4-A484-C92DAB7DE058}"/>
    <hyperlink ref="R1007" r:id="rId767" location="page=136&amp;viewer=picture&amp;o=info&amp;n=0&amp;q=" display="https://permalinkbnd.bnportugal.gov.pt/viewer/14666/?offset= - page=136&amp;viewer=picture&amp;o=info&amp;n=0&amp;q=" xr:uid="{F615FE01-F8BA-4FC9-B284-D647ADB17206}"/>
    <hyperlink ref="R1008" r:id="rId768" location="page=1&amp;viewer=picture&amp;o=info&amp;n=0&amp;q=" display="https://permalinkbnd.bnportugal.gov.pt/viewer/86824/?offset= - page=1&amp;viewer=picture&amp;o=info&amp;n=0&amp;q=" xr:uid="{9A86CB4A-9361-45F8-B2F4-86F8DA7237AA}"/>
    <hyperlink ref="R1009" r:id="rId769" location="page=21&amp;viewer=picture&amp;o=info&amp;n=0&amp;q=" display="https://permalinkbnd.bnportugal.gov.pt/viewer/86824/?offset= - page=21&amp;viewer=picture&amp;o=info&amp;n=0&amp;q=" xr:uid="{A1670A70-7638-4FFC-90E3-657CCD8D746A}"/>
    <hyperlink ref="R1010" r:id="rId770" location="page=39&amp;viewer=picture&amp;o=info&amp;n=0&amp;q=" display="https://permalinkbnd.bnportugal.gov.pt/viewer/86824/?offset= - page=39&amp;viewer=picture&amp;o=info&amp;n=0&amp;q=" xr:uid="{44C4296E-2D7A-421A-8609-2FC2967854EB}"/>
    <hyperlink ref="R1011" r:id="rId771" location="page=57&amp;viewer=picture&amp;o=info&amp;n=0&amp;q=" display="https://permalinkbnd.bnportugal.gov.pt/viewer/86824/?offset= - page=57&amp;viewer=picture&amp;o=info&amp;n=0&amp;q=" xr:uid="{CD207FED-5CBE-4F16-A25D-A12C8695513C}"/>
    <hyperlink ref="R1012" r:id="rId772" location="page=7&amp;viewer=picture&amp;o=info&amp;n=0&amp;q=" display="https://permalinkbnd.bnportugal.gov.pt/viewer/14628/?offset= - page=7&amp;viewer=picture&amp;o=info&amp;n=0&amp;q=" xr:uid="{E7294951-21E6-4BBA-BAD7-6D1D7E4D4AC2}"/>
    <hyperlink ref="R1013" r:id="rId773" location="page=10&amp;viewer=picture&amp;o=info&amp;n=0&amp;q=" display="https://permalinkbnd.bnportugal.gov.pt/viewer/14628/?offset= - page=10&amp;viewer=picture&amp;o=info&amp;n=0&amp;q=" xr:uid="{9120EAD2-0BE7-4EEA-AA0E-ACEE611381AA}"/>
    <hyperlink ref="R1014" r:id="rId774" location="page=19&amp;viewer=picture&amp;o=info&amp;n=0&amp;q=" display="https://permalinkbnd.bnportugal.gov.pt/viewer/14628/?offset= - page=19&amp;viewer=picture&amp;o=info&amp;n=0&amp;q=" xr:uid="{9CB7948D-5523-48FD-8123-BE176891D714}"/>
    <hyperlink ref="R1017" r:id="rId775" location="page=75&amp;viewer=picture&amp;o=info&amp;n=0&amp;q=" display="https://permalinkbnd.bnportugal.gov.pt/viewer/14628/?offset= - page=75&amp;viewer=picture&amp;o=info&amp;n=0&amp;q=" xr:uid="{F9AE95D0-B6D4-4FA7-A39E-19F517D4F171}"/>
    <hyperlink ref="R1018" r:id="rId776" location="page=79&amp;viewer=picture&amp;o=info&amp;n=0&amp;q=" display="https://permalinkbnd.bnportugal.gov.pt/viewer/14628/?offset= - page=79&amp;viewer=picture&amp;o=info&amp;n=0&amp;q=" xr:uid="{C74960E2-966F-464D-9A95-6C24E0F08B82}"/>
    <hyperlink ref="R1019" r:id="rId777" location="page=90&amp;viewer=picture&amp;o=info&amp;n=0&amp;q=" display="https://permalinkbnd.bnportugal.gov.pt/viewer/14628/?offset= - page=90&amp;viewer=picture&amp;o=info&amp;n=0&amp;q=" xr:uid="{5BD90AD5-E734-4E51-9220-91AB570121A4}"/>
    <hyperlink ref="R1020" r:id="rId778" location="page=110&amp;viewer=picture&amp;o=info&amp;n=0&amp;q=" display="https://permalinkbnd.bnportugal.gov.pt/viewer/14628/?offset= - page=110&amp;viewer=picture&amp;o=info&amp;n=0&amp;q=" xr:uid="{2D2D7571-6E3C-4EC7-A81B-3BAD19502B01}"/>
    <hyperlink ref="R1022" r:id="rId779" location="page=118&amp;viewer=picture&amp;o=info&amp;n=0&amp;q=" display="https://permalinkbnd.bnportugal.gov.pt/viewer/14628/?offset= - page=118&amp;viewer=picture&amp;o=info&amp;n=0&amp;q=" xr:uid="{50270C64-553F-4BA3-ACBE-1CBF94B7BA40}"/>
    <hyperlink ref="R1023" r:id="rId780" location="page=120&amp;viewer=picture&amp;o=info&amp;n=0&amp;q=" display="https://permalinkbnd.bnportugal.gov.pt/viewer/14628/?offset= - page=120&amp;viewer=picture&amp;o=info&amp;n=0&amp;q=" xr:uid="{D7134DCA-4182-4759-BC5D-0C2328D5419A}"/>
    <hyperlink ref="R1024" r:id="rId781" location="page=134&amp;viewer=picture&amp;o=info&amp;n=0&amp;q=" display="https://permalinkbnd.bnportugal.gov.pt/viewer/14628/?offset= - page=134&amp;viewer=picture&amp;o=info&amp;n=0&amp;q=" xr:uid="{043BDCF9-EF4B-436E-891B-223098BA141A}"/>
    <hyperlink ref="R1025" r:id="rId782" location="page=156&amp;viewer=picture&amp;o=info&amp;n=0&amp;q=" display="https://permalinkbnd.bnportugal.gov.pt/viewer/14628/?offset= - page=156&amp;viewer=picture&amp;o=info&amp;n=0&amp;q=" xr:uid="{5D82C430-4B01-413E-AC73-42B77198F89B}"/>
    <hyperlink ref="R1026" r:id="rId783" location="page=162&amp;viewer=picture&amp;o=info&amp;n=0&amp;q=" display="https://permalinkbnd.bnportugal.gov.pt/viewer/14628/?offset= - page=162&amp;viewer=picture&amp;o=info&amp;n=0&amp;q=" xr:uid="{4E0B4435-02E5-48EB-BB0D-F9907B14ABF6}"/>
    <hyperlink ref="R1027" r:id="rId784" location="page=164&amp;viewer=picture&amp;o=info&amp;n=0&amp;q=" display="https://permalinkbnd.bnportugal.gov.pt/viewer/14628/?offset= - page=164&amp;viewer=picture&amp;o=info&amp;n=0&amp;q=" xr:uid="{669AB96D-5B0D-4B4D-9498-92CD83199708}"/>
    <hyperlink ref="R1028" r:id="rId785" location="page=205&amp;viewer=picture&amp;o=info&amp;n=0&amp;q=" display="https://permalinkbnd.bnportugal.gov.pt/viewer/14628/?offset= - page=205&amp;viewer=picture&amp;o=info&amp;n=0&amp;q=" xr:uid="{EF0CF3B1-FD9E-4A24-81D9-94E8D6D115E7}"/>
    <hyperlink ref="R1029" r:id="rId786" location="page=215&amp;viewer=picture&amp;o=info&amp;n=0&amp;q=" display="https://permalinkbnd.bnportugal.gov.pt/viewer/14628/?offset= - page=215&amp;viewer=picture&amp;o=info&amp;n=0&amp;q=" xr:uid="{7691A708-C264-426F-9CAF-2CC6FE419B7D}"/>
    <hyperlink ref="R1030" r:id="rId787" location="page=217&amp;viewer=picture&amp;o=info&amp;n=0&amp;q=" display="https://permalinkbnd.bnportugal.gov.pt/viewer/14628/?offset= - page=217&amp;viewer=picture&amp;o=info&amp;n=0&amp;q=" xr:uid="{D107A5C4-99D6-42CA-8A07-B0E041A6CAF3}"/>
    <hyperlink ref="R1031" r:id="rId788" location="page=242&amp;viewer=picture&amp;o=info&amp;n=0&amp;q=" display="https://permalinkbnd.bnportugal.gov.pt/viewer/14628/?offset= - page=242&amp;viewer=picture&amp;o=info&amp;n=0&amp;q=" xr:uid="{6F59338B-265D-4E20-908D-DA90E8D2A9E5}"/>
    <hyperlink ref="R1032" r:id="rId789" location="page=252&amp;viewer=picture&amp;o=info&amp;n=0&amp;q=" display="https://permalinkbnd.bnportugal.gov.pt/viewer/14628/?offset= - page=252&amp;viewer=picture&amp;o=info&amp;n=0&amp;q=" xr:uid="{A6AB3071-F554-4F47-8E89-1AF944D32C44}"/>
    <hyperlink ref="R1034" r:id="rId790" location="page=258&amp;viewer=picture&amp;o=info&amp;n=0&amp;q=" display="https://permalinkbnd.bnportugal.gov.pt/viewer/14628/?offset= - page=258&amp;viewer=picture&amp;o=info&amp;n=0&amp;q=" xr:uid="{53A2749E-54EA-4F11-A638-596EC9C53B49}"/>
    <hyperlink ref="R1035" r:id="rId791" location="page=260&amp;viewer=picture&amp;o=info&amp;n=0&amp;q=" display="https://permalinkbnd.bnportugal.gov.pt/viewer/14628/?offset= - page=260&amp;viewer=picture&amp;o=info&amp;n=0&amp;q=" xr:uid="{E6E532E8-05F7-4F98-A447-94060A4C3679}"/>
    <hyperlink ref="R1036" r:id="rId792" location="page=277&amp;viewer=picture&amp;o=info&amp;n=0&amp;q=" display="https://permalinkbnd.bnportugal.gov.pt/viewer/14628/?offset= - page=277&amp;viewer=picture&amp;o=info&amp;n=0&amp;q=" xr:uid="{8C2614C7-EF91-48AA-9FE7-FF5C2F9D790C}"/>
    <hyperlink ref="R1037" r:id="rId793" location="page=291&amp;viewer=picture&amp;o=info&amp;n=0&amp;q=" display="https://permalinkbnd.bnportugal.gov.pt/viewer/14628/?offset= - page=291&amp;viewer=picture&amp;o=info&amp;n=0&amp;q=" xr:uid="{1D02A647-B470-464D-AC58-9BEBF2D88D02}"/>
    <hyperlink ref="R1038" r:id="rId794" location="page=299&amp;viewer=picture&amp;o=info&amp;n=0&amp;q=" display="https://permalinkbnd.bnportugal.gov.pt/viewer/14628/?offset= - page=299&amp;viewer=picture&amp;o=info&amp;n=0&amp;q=" xr:uid="{04A645A6-E2EA-4327-A3C2-0253FD34E427}"/>
    <hyperlink ref="R1039" r:id="rId795" location="page=301&amp;viewer=picture&amp;o=info&amp;n=0&amp;q=" display="https://permalinkbnd.bnportugal.gov.pt/viewer/14628/?offset= - page=301&amp;viewer=picture&amp;o=info&amp;n=0&amp;q=" xr:uid="{123B7639-C453-45FF-BF7A-9A7946ECDB27}"/>
    <hyperlink ref="R1040" r:id="rId796" location="page=311&amp;viewer=picture&amp;o=info&amp;n=0&amp;q=" display="https://permalinkbnd.bnportugal.gov.pt/viewer/14628/?offset= - page=311&amp;viewer=picture&amp;o=info&amp;n=0&amp;q=" xr:uid="{581432B7-26A0-4ECB-932A-D8C266C82A41}"/>
    <hyperlink ref="R1041" r:id="rId797" location="page=334&amp;viewer=picture&amp;o=info&amp;n=0&amp;q=" display="https://permalinkbnd.bnportugal.gov.pt/viewer/14628/?offset= - page=334&amp;viewer=picture&amp;o=info&amp;n=0&amp;q=" xr:uid="{5C272CEE-1733-4043-B48A-FB2C33197038}"/>
    <hyperlink ref="R1043" r:id="rId798" location="page=340&amp;viewer=picture&amp;o=info&amp;n=0&amp;q=" display="https://permalinkbnd.bnportugal.gov.pt/viewer/14628/?offset= - page=340&amp;viewer=picture&amp;o=info&amp;n=0&amp;q=" xr:uid="{B87F2DFC-5E4C-4571-856E-DE7C79478778}"/>
    <hyperlink ref="R1044" r:id="rId799" location="page=342&amp;viewer=picture&amp;o=info&amp;n=0&amp;q=" display="https://permalinkbnd.bnportugal.gov.pt/viewer/14628/?offset= - page=342&amp;viewer=picture&amp;o=info&amp;n=0&amp;q=" xr:uid="{537D708B-5800-425C-A63B-AE4B6DA14937}"/>
    <hyperlink ref="R1045" r:id="rId800" location="page=357&amp;viewer=picture&amp;o=info&amp;n=0&amp;q=" display="https://permalinkbnd.bnportugal.gov.pt/viewer/14628/?offset= - page=357&amp;viewer=picture&amp;o=info&amp;n=0&amp;q=" xr:uid="{4616E294-0166-4FD8-9BA7-91F1BFE25FAD}"/>
    <hyperlink ref="R1046" r:id="rId801" location="page=371&amp;viewer=picture&amp;o=info&amp;n=0&amp;q=" display="https://permalinkbnd.bnportugal.gov.pt/viewer/14628/?offset= - page=371&amp;viewer=picture&amp;o=info&amp;n=0&amp;q=" xr:uid="{F8AA7F09-405B-4AB9-AB0C-3D6354A44249}"/>
    <hyperlink ref="R1048" r:id="rId802" location="page=377&amp;viewer=picture&amp;o=info&amp;n=0&amp;q=" display="https://permalinkbnd.bnportugal.gov.pt/viewer/14628/?offset= - page=377&amp;viewer=picture&amp;o=info&amp;n=0&amp;q=" xr:uid="{815436C3-833D-418D-B0F5-45B4073E1661}"/>
    <hyperlink ref="R1049" r:id="rId803" location="page=379&amp;viewer=picture&amp;o=info&amp;n=0&amp;q=" display="https://permalinkbnd.bnportugal.gov.pt/viewer/14628/?offset= - page=379&amp;viewer=picture&amp;o=info&amp;n=0&amp;q=" xr:uid="{D83906D4-AF59-4968-958B-569E209848BB}"/>
    <hyperlink ref="R1050" r:id="rId804" location="page=381&amp;viewer=picture&amp;o=info&amp;n=0&amp;q=" display="https://permalinkbnd.bnportugal.gov.pt/viewer/14628/?offset= - page=381&amp;viewer=picture&amp;o=info&amp;n=0&amp;q=" xr:uid="{00A1493E-B236-4033-BB26-BC14CB4404CE}"/>
    <hyperlink ref="R1051" r:id="rId805" location="page=402&amp;viewer=picture&amp;o=info&amp;n=0&amp;q=" display="https://permalinkbnd.bnportugal.gov.pt/viewer/14628/?offset= - page=402&amp;viewer=picture&amp;o=info&amp;n=0&amp;q=" xr:uid="{0849707B-4C10-40FD-9EC2-BA03AB7E271A}"/>
    <hyperlink ref="R1053" r:id="rId806" location="page=418&amp;viewer=picture&amp;o=info&amp;n=0&amp;q=" display="https://permalinkbnd.bnportugal.gov.pt/viewer/14628/?offset= - page=418&amp;viewer=picture&amp;o=info&amp;n=0&amp;q=" xr:uid="{9D3CC608-6B88-4B7C-AB86-389C310D7D34}"/>
    <hyperlink ref="R1054" r:id="rId807" location="page=420&amp;viewer=picture&amp;o=info&amp;n=0&amp;q=" display="https://permalinkbnd.bnportugal.gov.pt/viewer/14628/?offset= - page=420&amp;viewer=picture&amp;o=info&amp;n=0&amp;q=" xr:uid="{2B5F294E-5F10-4353-9EA9-2DB0A399E8B6}"/>
    <hyperlink ref="R1055" r:id="rId808" location="page=436&amp;viewer=picture&amp;o=info&amp;n=0&amp;q=" display="https://permalinkbnd.bnportugal.gov.pt/viewer/14628/?offset= - page=436&amp;viewer=picture&amp;o=info&amp;n=0&amp;q=" xr:uid="{AC9009F9-61C2-40FD-9E40-FC62A1324E04}"/>
    <hyperlink ref="R1056" r:id="rId809" location="page=444&amp;viewer=picture&amp;o=info&amp;n=0&amp;q=" display="https://permalinkbnd.bnportugal.gov.pt/viewer/14628/?offset= - page=444&amp;viewer=picture&amp;o=info&amp;n=0&amp;q=" xr:uid="{0036CD6D-6416-4427-842C-71A2A8FF4825}"/>
    <hyperlink ref="R1057" r:id="rId810" location="page=453&amp;viewer=picture&amp;o=info&amp;n=0&amp;q=" display="https://permalinkbnd.bnportugal.gov.pt/viewer/14628/?offset= - page=453&amp;viewer=picture&amp;o=info&amp;n=0&amp;q=" xr:uid="{45CC2612-7BDC-4508-B7C2-62CA3DD1AC48}"/>
    <hyperlink ref="R1058" r:id="rId811" location="page=459&amp;viewer=picture&amp;o=info&amp;n=0&amp;q=" display="https://permalinkbnd.bnportugal.gov.pt/viewer/14628/?offset= - page=459&amp;viewer=picture&amp;o=info&amp;n=0&amp;q=" xr:uid="{D84562D7-FA88-45AD-967A-FEFC63AA717D}"/>
    <hyperlink ref="R1059" r:id="rId812" location="page=461&amp;viewer=picture&amp;o=info&amp;n=0&amp;q=" display="https://permalinkbnd.bnportugal.gov.pt/viewer/14628/?offset= - page=461&amp;viewer=picture&amp;o=info&amp;n=0&amp;q=" xr:uid="{58199D57-CBF5-471C-83B4-3E8259A0616C}"/>
    <hyperlink ref="R1060" r:id="rId813" location="page=463&amp;viewer=picture&amp;o=info&amp;n=0&amp;q=" display="https://permalinkbnd.bnportugal.gov.pt/viewer/14628/?offset= - page=463&amp;viewer=picture&amp;o=info&amp;n=0&amp;q=" xr:uid="{CF88C47B-2C2E-4541-AA2F-87136A63571C}"/>
    <hyperlink ref="R1061" r:id="rId814" location="page=512&amp;viewer=picture&amp;o=info&amp;n=0&amp;q=" display="https://permalinkbnd.bnportugal.gov.pt/viewer/14628/?offset= - page=512&amp;viewer=picture&amp;o=info&amp;n=0&amp;q=" xr:uid="{9CBCC5A6-4B07-4792-B7A5-01DD7BB3E025}"/>
    <hyperlink ref="R1063" r:id="rId815" location="page=10&amp;viewer=picture&amp;o=info&amp;n=0&amp;q=" display="https://permalinkbnd.bnportugal.gov.pt/viewer/14598/?offset= - page=10&amp;viewer=picture&amp;o=info&amp;n=0&amp;q=" xr:uid="{8B5DECA7-B149-43A8-8364-F0473D6A97F6}"/>
    <hyperlink ref="R1064" r:id="rId816" location="page=69&amp;viewer=picture&amp;o=info&amp;n=0&amp;q=" display="https://permalinkbnd.bnportugal.gov.pt/viewer/14598/?offset= - page=69&amp;viewer=picture&amp;o=info&amp;n=0&amp;q=" xr:uid="{784A45B7-A14C-4BA8-9DA9-A4E7610E2E5D}"/>
    <hyperlink ref="R1065" r:id="rId817" location="page=156&amp;viewer=picture&amp;o=info&amp;n=0&amp;q=" display="https://permalinkbnd.bnportugal.gov.pt/viewer/14598/?offset= - page=156&amp;viewer=picture&amp;o=info&amp;n=0&amp;q=" xr:uid="{BCBC2D9A-25A0-4201-AE0E-0723C20A5379}"/>
    <hyperlink ref="R1066" r:id="rId818" location="page=196&amp;viewer=picture&amp;o=info&amp;n=0&amp;q=" display="https://permalinkbnd.bnportugal.gov.pt/viewer/14598/?offset= - page=196&amp;viewer=picture&amp;o=info&amp;n=0&amp;q=" xr:uid="{05F2A015-B8B8-43A4-A79E-EF0DC9DFD1DF}"/>
    <hyperlink ref="R1067" r:id="rId819" location="page=238&amp;viewer=picture&amp;o=info&amp;n=0&amp;q=" display="https://permalinkbnd.bnportugal.gov.pt/viewer/14598/?offset= - page=238&amp;viewer=picture&amp;o=info&amp;n=0&amp;q=" xr:uid="{D51A7273-C9A4-4C06-9D65-43E128BAD50C}"/>
    <hyperlink ref="R1068" r:id="rId820" location="page=290&amp;viewer=picture&amp;o=info&amp;n=0&amp;q=" display="https://permalinkbnd.bnportugal.gov.pt/viewer/14598/?offset= - page=290&amp;viewer=picture&amp;o=info&amp;n=0&amp;q=" xr:uid="{70126F4A-D7D3-4829-8A39-7D37852E4E0D}"/>
    <hyperlink ref="R1069" r:id="rId821" location="page=330&amp;viewer=picture&amp;o=info&amp;n=0&amp;q=" display="https://permalinkbnd.bnportugal.gov.pt/viewer/14598/?offset= - page=330&amp;viewer=picture&amp;o=info&amp;n=0&amp;q=" xr:uid="{978E93D7-1F84-4F95-B8A0-50E6F81074AE}"/>
    <hyperlink ref="R1070" r:id="rId822" location="page=368&amp;viewer=picture&amp;o=info&amp;n=0&amp;q=" display="https://permalinkbnd.bnportugal.gov.pt/viewer/14598/?offset= - page=368&amp;viewer=picture&amp;o=info&amp;n=0&amp;q=" xr:uid="{1BDA9D97-306E-4228-9A38-C434B69351B5}"/>
    <hyperlink ref="R1071" r:id="rId823" location="page=406&amp;viewer=picture&amp;o=info&amp;n=0&amp;q=" display="https://permalinkbnd.bnportugal.gov.pt/viewer/14598/?offset= - page=406&amp;viewer=picture&amp;o=info&amp;n=0&amp;q=" xr:uid="{F8DFB73C-F157-4DC2-BDA3-0942C3C33A4B}"/>
    <hyperlink ref="R1072" r:id="rId824" location="page=440&amp;viewer=picture&amp;o=info&amp;n=0&amp;q=" display="https://permalinkbnd.bnportugal.gov.pt/viewer/14598/?offset= - page=440&amp;viewer=picture&amp;o=info&amp;n=0&amp;q=" xr:uid="{DAFDE0C8-C0A0-4C21-A2B7-65D957740EC6}"/>
    <hyperlink ref="R1073" r:id="rId825" location="page=478&amp;viewer=picture&amp;o=info&amp;n=0&amp;q=" display="https://permalinkbnd.bnportugal.gov.pt/viewer/14598/?offset= - page=478&amp;viewer=picture&amp;o=info&amp;n=0&amp;q=" xr:uid="{34093F70-3905-428D-B067-DE6C16F21287}"/>
    <hyperlink ref="R1074" r:id="rId826" location="page=514&amp;viewer=picture&amp;o=info&amp;n=0&amp;q=" display="https://permalinkbnd.bnportugal.gov.pt/viewer/14598/?offset= - page=514&amp;viewer=picture&amp;o=info&amp;n=0&amp;q=" xr:uid="{58CAE9B1-8A90-4E8A-B9F4-9F469752BCD8}"/>
    <hyperlink ref="R1075" r:id="rId827" location="page=10&amp;viewer=picture&amp;o=info&amp;n=0&amp;q=" display="https://permalinkbnd.bnportugal.gov.pt/viewer/14581/?offset= - page=10&amp;viewer=picture&amp;o=info&amp;n=0&amp;q=" xr:uid="{8A71FC76-3674-45ED-82AC-81B722D3C213}"/>
    <hyperlink ref="R1076" r:id="rId828" location="page=49&amp;viewer=picture&amp;o=info&amp;n=0&amp;q=" display="https://permalinkbnd.bnportugal.gov.pt/viewer/14581/?offset= - page=49&amp;viewer=picture&amp;o=info&amp;n=0&amp;q=" xr:uid="{D207A8E8-4EE9-460D-A562-60075003981B}"/>
    <hyperlink ref="R1077" r:id="rId829" location="page=83&amp;viewer=picture&amp;o=info&amp;n=0&amp;q=" display="https://permalinkbnd.bnportugal.gov.pt/viewer/14581/?offset= - page=83&amp;viewer=picture&amp;o=info&amp;n=0&amp;q=" xr:uid="{E9163D62-799A-4246-B143-FAF95D321A5D}"/>
    <hyperlink ref="R1078" r:id="rId830" location="page=119&amp;viewer=picture&amp;o=info&amp;n=0&amp;q=" display="https://permalinkbnd.bnportugal.gov.pt/viewer/14581/?offset= - page=119&amp;viewer=picture&amp;o=info&amp;n=0&amp;q=" xr:uid="{6C1326E4-938A-4E8B-807D-D6F2526C6DB6}"/>
    <hyperlink ref="R1079" r:id="rId831" location="page=161&amp;viewer=picture&amp;o=info&amp;n=0&amp;q=" display="https://permalinkbnd.bnportugal.gov.pt/viewer/14581/?offset= - page=161&amp;viewer=picture&amp;o=info&amp;n=0&amp;q=" xr:uid="{8E000AF9-3BAA-489C-AD2F-9B5EBF303CC5}"/>
    <hyperlink ref="R1080" r:id="rId832" location="page=195&amp;viewer=picture&amp;o=info&amp;n=0&amp;q=" display="https://permalinkbnd.bnportugal.gov.pt/viewer/14581/?offset= - page=195&amp;viewer=picture&amp;o=info&amp;n=0&amp;q=" xr:uid="{0A8BCA1A-F898-4C8F-8F06-146D1039782A}"/>
    <hyperlink ref="R1081" r:id="rId833" location="page=227&amp;viewer=picture&amp;o=info&amp;n=0&amp;q=" display="https://permalinkbnd.bnportugal.gov.pt/viewer/14581/?offset= - page=227&amp;viewer=picture&amp;o=info&amp;n=0&amp;q=" xr:uid="{36F80717-3A98-4D2D-B741-ED4013CB3910}"/>
    <hyperlink ref="R1082" r:id="rId834" location="page=259&amp;viewer=picture&amp;o=info&amp;n=0&amp;q=" display="https://permalinkbnd.bnportugal.gov.pt/viewer/14581/?offset= - page=259&amp;viewer=picture&amp;o=info&amp;n=0&amp;q=" xr:uid="{BEFB93FD-8101-4358-A192-906317EDBCAE}"/>
    <hyperlink ref="R1083" r:id="rId835" location="page=287&amp;viewer=picture&amp;o=info&amp;n=0&amp;q=" display="https://permalinkbnd.bnportugal.gov.pt/viewer/14581/?offset= - page=287&amp;viewer=picture&amp;o=info&amp;n=0&amp;q=" xr:uid="{B9CECA61-112C-48CB-ABB6-64F63A357703}"/>
    <hyperlink ref="R1084" r:id="rId836" location="page=319&amp;viewer=picture&amp;o=info&amp;n=0&amp;q=" display="https://permalinkbnd.bnportugal.gov.pt/viewer/14581/?offset= - page=319&amp;viewer=picture&amp;o=info&amp;n=0&amp;q=" xr:uid="{0F92B149-B216-443F-A529-D92344DD1249}"/>
    <hyperlink ref="R1085" r:id="rId837" location="page=349&amp;viewer=picture&amp;o=info&amp;n=0&amp;q=" display="https://permalinkbnd.bnportugal.gov.pt/viewer/14581/?offset= - page=349&amp;viewer=picture&amp;o=info&amp;n=0&amp;q=" xr:uid="{64298764-3956-435C-A765-5B4E581E7DCA}"/>
    <hyperlink ref="R1086" r:id="rId838" location="page=1&amp;viewer=picture&amp;o=info&amp;n=0&amp;q=" display="https://permalinkbnd.bnportugal.gov.pt/viewer/86181/?offset= - page=1&amp;viewer=picture&amp;o=info&amp;n=0&amp;q=" xr:uid="{115AD631-8D10-42B0-A9B4-87DE98A1203A}"/>
    <hyperlink ref="R1087" r:id="rId839" location="page=3&amp;viewer=picture&amp;o=info&amp;n=0&amp;q=" display="https://permalinkbnd.bnportugal.gov.pt/viewer/86181/?offset= - page=3&amp;viewer=picture&amp;o=info&amp;n=0&amp;q=" xr:uid="{8BEBA61C-9047-45E1-BF68-5AEB7AE828E3}"/>
    <hyperlink ref="R1088" r:id="rId840" location="page=7&amp;viewer=picture&amp;o=info&amp;n=0&amp;q=" display="https://permalinkbnd.bnportugal.gov.pt/viewer/86181/?offset= - page=7&amp;viewer=picture&amp;o=info&amp;n=0&amp;q=" xr:uid="{B1EBBBBC-B5A7-4F91-86A2-6CBF32AAE14C}"/>
    <hyperlink ref="R1089" r:id="rId841" location="page=13&amp;viewer=picture&amp;o=info&amp;n=0&amp;q=" display="https://permalinkbnd.bnportugal.gov.pt/viewer/14678/?offset= - page=13&amp;viewer=picture&amp;o=info&amp;n=0&amp;q=" xr:uid="{14EACE18-DA9D-4554-BD77-261137DB8007}"/>
    <hyperlink ref="R1090" r:id="rId842" location="page=1&amp;viewer=picture&amp;o=info&amp;n=0&amp;q=" display="https://permalinkbnd.bnportugal.gov.pt/viewer/86483/?offset= - page=1&amp;viewer=picture&amp;o=info&amp;n=0&amp;q=" xr:uid="{F0D11B56-D0DB-464E-8FCF-083EE55E8373}"/>
    <hyperlink ref="R1091" r:id="rId843" location="page=1&amp;viewer=picture&amp;o=info&amp;n=0&amp;q=" display="https://permalinkbnd.bnportugal.gov.pt/viewer/35163/?offset= - page=1&amp;viewer=picture&amp;o=info&amp;n=0&amp;q=" xr:uid="{23D18671-9552-4B6B-A2DF-B98B9E194FC2}"/>
    <hyperlink ref="R1092" r:id="rId844" location="page=5&amp;viewer=picture&amp;o=info&amp;n=0&amp;q=" display="https://permalinkbnd.bnportugal.gov.pt/viewer/14644/?offset= - page=5&amp;viewer=picture&amp;o=info&amp;n=0&amp;q=" xr:uid="{17AB1C05-7579-4DA5-B0B3-E9C815C43EBD}"/>
    <hyperlink ref="R1093" r:id="rId845" location="page=2&amp;viewer=picture&amp;o=info&amp;n=0&amp;q=" display="https://permalinkbnd.bnportugal.gov.pt/viewer/14644/?offset= - page=2&amp;viewer=picture&amp;o=info&amp;n=0&amp;q=" xr:uid="{F84E7AD4-CF1A-4721-B995-30C22BBE1B0D}"/>
    <hyperlink ref="R1095" r:id="rId846" location="page=8&amp;viewer=picture&amp;o=info&amp;n=0&amp;q=" display="https://permalinkbnd.bnportugal.gov.pt/viewer/14613/?offset= - page=8&amp;viewer=picture&amp;o=info&amp;n=0&amp;q=" xr:uid="{D651CBD4-5250-4039-94C2-201804EF34D1}"/>
    <hyperlink ref="R1096" r:id="rId847" location="page=9&amp;viewer=picture&amp;o=info&amp;n=0&amp;q=" display="https://permalinkbnd.bnportugal.gov.pt/viewer/14613/?offset= - page=9&amp;viewer=picture&amp;o=info&amp;n=0&amp;q=" xr:uid="{F130CDDB-CA7D-4A90-A382-B7AC4A678B27}"/>
    <hyperlink ref="R1097" r:id="rId848" location="page=39&amp;viewer=picture&amp;o=info&amp;n=0&amp;q=" display="https://permalinkbnd.bnportugal.gov.pt/viewer/14613/?offset= - page=39&amp;viewer=picture&amp;o=info&amp;n=0&amp;q=" xr:uid="{5E036989-003D-4A46-A6CC-C4799FC2C479}"/>
    <hyperlink ref="R1098" r:id="rId849" location="page=120&amp;viewer=picture&amp;o=info&amp;n=0&amp;q=" display="https://permalinkbnd.bnportugal.gov.pt/viewer/7634/?offset= - page=120&amp;viewer=picture&amp;o=info&amp;n=0&amp;q=" xr:uid="{5EE630EC-F472-48E5-BBB4-D5314FC96CC6}"/>
    <hyperlink ref="R1100" r:id="rId850" location="page=1&amp;viewer=picture&amp;o=info&amp;n=0&amp;q=" display="https://permalinkbnd.bnportugal.gov.pt/viewer/1880/?offset= - page=1&amp;viewer=picture&amp;o=info&amp;n=0&amp;q=" xr:uid="{A09D1B9F-96B8-4853-9AC4-1BA33B39D79B}"/>
    <hyperlink ref="R1101" r:id="rId851" location="page=2&amp;viewer=picture&amp;o=info&amp;n=0&amp;q=" display="https://permalinkbnd.bnportugal.gov.pt/viewer/1880/?offset= - page=2&amp;viewer=picture&amp;o=info&amp;n=0&amp;q=" xr:uid="{9BFCEB31-3418-4A43-A6BC-F35B8E234D98}"/>
    <hyperlink ref="R1102" r:id="rId852" location="page=3&amp;viewer=picture&amp;o=info&amp;n=0&amp;q=" display="https://permalinkbnd.bnportugal.gov.pt/viewer/1880/?offset= - page=3&amp;viewer=picture&amp;o=info&amp;n=0&amp;q=" xr:uid="{66F7471F-2EBA-42FA-ABE4-5313BD7EBC54}"/>
    <hyperlink ref="R1103" r:id="rId853" location="page=1&amp;viewer=picture&amp;o=info&amp;n=0&amp;q=" display="https://permalinkbnd.bnportugal.gov.pt/viewer/275033/?offset= - page=1&amp;viewer=picture&amp;o=info&amp;n=0&amp;q=" xr:uid="{585355C8-FFE6-42F7-A0DC-23EF898F331B}"/>
    <hyperlink ref="R1104" r:id="rId854" location="page=1&amp;viewer=picture&amp;o=info&amp;n=0&amp;q=" display="https://permalinkbnd.bnportugal.gov.pt/viewer/275038/?offset= - page=1&amp;viewer=picture&amp;o=info&amp;n=0&amp;q=" xr:uid="{E58769D4-7EF3-445C-9CD7-9D00702E8554}"/>
    <hyperlink ref="R1105" r:id="rId855" location="page=1&amp;viewer=picture&amp;o=info&amp;n=0&amp;q=" display="https://permalinkbnd.bnportugal.gov.pt/viewer/273677/?offset= - page=1&amp;viewer=picture&amp;o=info&amp;n=0&amp;q=" xr:uid="{7848E2FE-39AC-4027-B796-37E8C85C5709}"/>
    <hyperlink ref="R1106" r:id="rId856" location="page=9&amp;viewer=picture&amp;o=info&amp;n=0&amp;q=" display="https://permalinkbnd.bnportugal.gov.pt/viewer/1880/?offset= - page=9&amp;viewer=picture&amp;o=info&amp;n=0&amp;q=" xr:uid="{B2E63574-8739-42F4-A70D-02E9D26F1BAE}"/>
    <hyperlink ref="R1107" r:id="rId857" location="page=1&amp;viewer=picture&amp;o=info&amp;n=0&amp;q=" display="https://permalinkbnd.bnportugal.gov.pt/viewer/273687/?offset= - page=1&amp;viewer=picture&amp;o=info&amp;n=0&amp;q=" xr:uid="{58F7DC5C-B07F-48B3-94A1-C1B421E4DBB1}"/>
    <hyperlink ref="R1108" r:id="rId858" location="page=1&amp;viewer=picture&amp;o=info&amp;n=0&amp;q=" display="https://permalinkbnd.bnportugal.gov.pt/viewer/273688/?offset= - page=1&amp;viewer=picture&amp;o=info&amp;n=0&amp;q=" xr:uid="{365E2357-7170-45E1-B386-1C30C7A1B099}"/>
    <hyperlink ref="R1109" r:id="rId859" location="page=5&amp;viewer=picture&amp;o=info&amp;n=0&amp;q=" display="https://permalinkbnd.bnportugal.gov.pt/viewer/277330/?offset= - page=5&amp;viewer=picture&amp;o=info&amp;n=0&amp;q=" xr:uid="{A1EDBF24-EFBB-4546-85DC-C75BF8073374}"/>
    <hyperlink ref="R1110" r:id="rId860" location="page=7&amp;viewer=picture&amp;o=info&amp;n=0&amp;q=" display="https://permalinkbnd.bnportugal.gov.pt/viewer/277330/?offset= - page=7&amp;viewer=picture&amp;o=info&amp;n=0&amp;q=" xr:uid="{7E6E5ACF-03A4-444F-B4DD-F676DF15C8C1}"/>
    <hyperlink ref="R1111" r:id="rId861" location="page=8&amp;viewer=picture&amp;o=info&amp;n=0&amp;q=" display="https://permalinkbnd.bnportugal.gov.pt/viewer/277330/?offset= - page=8&amp;viewer=picture&amp;o=info&amp;n=0&amp;q=" xr:uid="{7DFC63A4-B611-43ED-A582-E204417AB065}"/>
    <hyperlink ref="R1112" r:id="rId862" location="page=9&amp;viewer=picture&amp;o=info&amp;n=0&amp;q=" display="https://permalinkbnd.bnportugal.gov.pt/viewer/277330/?offset= - page=9&amp;viewer=picture&amp;o=info&amp;n=0&amp;q=" xr:uid="{737FE91C-D0AB-46D6-9FE3-A8E7D36D4133}"/>
    <hyperlink ref="R1113" r:id="rId863" location="page=10&amp;viewer=picture&amp;o=info&amp;n=0&amp;q=" display="https://permalinkbnd.bnportugal.gov.pt/viewer/277330/?offset= - page=10&amp;viewer=picture&amp;o=info&amp;n=0&amp;q=" xr:uid="{126BC1B5-FADE-44CF-B715-B37C3E0C1845}"/>
    <hyperlink ref="R1114" r:id="rId864" location="page=11&amp;viewer=picture&amp;o=info&amp;n=0&amp;q=" display="https://permalinkbnd.bnportugal.gov.pt/viewer/277330/?offset= - page=11&amp;viewer=picture&amp;o=info&amp;n=0&amp;q=" xr:uid="{C7918A1E-6618-4A00-912C-FA4D62263B91}"/>
    <hyperlink ref="R1115" r:id="rId865" location="page=5&amp;viewer=picture&amp;o=info&amp;n=0&amp;q=" display="https://permalinkbnd.bnportugal.gov.pt/viewer/277332/?offset= - page=5&amp;viewer=picture&amp;o=info&amp;n=0&amp;q=" xr:uid="{D3E8F513-0558-4BBA-A3EB-BD1A8222B469}"/>
    <hyperlink ref="R1116" r:id="rId866" location="page=11&amp;viewer=picture&amp;o=info&amp;n=0&amp;q=" display="https://permalinkbnd.bnportugal.gov.pt/viewer/277834/?offset= - page=11&amp;viewer=picture&amp;o=info&amp;n=0&amp;q=" xr:uid="{7EC39D31-EEBF-4789-AE4C-A66F6265D658}"/>
    <hyperlink ref="D679" r:id="rId867" xr:uid="{D97A1333-EF4E-4F64-A165-61D466FF789E}"/>
    <hyperlink ref="D673" r:id="rId868" xr:uid="{814B62D8-3010-49B2-BE98-432F2A1D80F7}"/>
    <hyperlink ref="D674" r:id="rId869" xr:uid="{BE66F2E4-4B65-434B-8228-D5B8979BF2D2}"/>
    <hyperlink ref="D675" r:id="rId870" xr:uid="{78B44C08-73C1-4EF7-959C-D1EAAD31E9D5}"/>
    <hyperlink ref="D676" r:id="rId871" xr:uid="{8B7C7593-0FCC-40DF-AEFB-82DBBD24F832}"/>
    <hyperlink ref="D677" r:id="rId872" xr:uid="{BD58F710-FF17-481A-BD2D-DA6E09BF3DBB}"/>
    <hyperlink ref="D678" r:id="rId873" xr:uid="{FFCEDCDD-3ECE-4059-8815-ED14F5759EB9}"/>
    <hyperlink ref="D680" r:id="rId874" xr:uid="{8ECE016D-C5B3-4F9A-94D6-AC2863C422D7}"/>
    <hyperlink ref="D681" r:id="rId875" xr:uid="{44171032-54F9-496D-8AC9-B6DB99575F8D}"/>
    <hyperlink ref="D682" r:id="rId876" xr:uid="{1E2DE490-5637-458B-BAD8-498806F3AF48}"/>
    <hyperlink ref="D683" r:id="rId877" xr:uid="{0A6837F9-B55D-40A8-86E8-53B7D0F86802}"/>
    <hyperlink ref="D684" r:id="rId878" xr:uid="{10E6F0B7-6921-475C-B421-2DC5AB635169}"/>
    <hyperlink ref="D687" r:id="rId879" xr:uid="{D1CA9142-81E7-4631-8279-3E9BF1864E06}"/>
    <hyperlink ref="D685" r:id="rId880" xr:uid="{DE4FAA77-443A-4AE1-B107-B480E2C1D3BE}"/>
    <hyperlink ref="D686" r:id="rId881" xr:uid="{A416BAE6-90FB-4CC7-9644-11B0B4B7DCA8}"/>
    <hyperlink ref="D367" r:id="rId882" xr:uid="{B421E7A9-A708-472D-8074-2E9D3C029952}"/>
    <hyperlink ref="D811" r:id="rId883" xr:uid="{20AE5348-6E76-417F-9DAE-5D79D4C752A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E2A2-A76F-48C1-8259-6D77C25FEA6D}">
  <dimension ref="A1:B2019"/>
  <sheetViews>
    <sheetView workbookViewId="0"/>
  </sheetViews>
  <sheetFormatPr defaultRowHeight="15"/>
  <cols>
    <col min="2" max="2" width="90.85546875" customWidth="1"/>
  </cols>
  <sheetData>
    <row r="1" spans="1:2">
      <c r="A1" s="37" t="s">
        <v>1550</v>
      </c>
      <c r="B1" s="36" t="s">
        <v>1551</v>
      </c>
    </row>
    <row r="2" spans="1:2">
      <c r="A2" s="31">
        <v>41</v>
      </c>
      <c r="B2" s="18"/>
    </row>
    <row r="3" spans="1:2">
      <c r="A3" s="31">
        <v>952</v>
      </c>
      <c r="B3" s="32"/>
    </row>
    <row r="4" spans="1:2">
      <c r="A4" s="17">
        <v>2284</v>
      </c>
      <c r="B4" s="18" t="s">
        <v>2153</v>
      </c>
    </row>
    <row r="5" spans="1:2">
      <c r="A5" s="31">
        <v>3887</v>
      </c>
      <c r="B5" s="32"/>
    </row>
    <row r="6" spans="1:2" ht="165">
      <c r="A6" s="19">
        <v>6786</v>
      </c>
      <c r="B6" s="18" t="s">
        <v>2671</v>
      </c>
    </row>
    <row r="7" spans="1:2">
      <c r="A7" s="31">
        <v>9332</v>
      </c>
      <c r="B7" s="32"/>
    </row>
    <row r="8" spans="1:2" ht="45">
      <c r="A8" s="19">
        <v>9413</v>
      </c>
      <c r="B8" s="18" t="s">
        <v>2672</v>
      </c>
    </row>
    <row r="9" spans="1:2">
      <c r="A9" s="31">
        <v>9512</v>
      </c>
      <c r="B9" s="32"/>
    </row>
    <row r="10" spans="1:2">
      <c r="A10" s="31">
        <v>9562</v>
      </c>
      <c r="B10" s="32"/>
    </row>
    <row r="11" spans="1:2">
      <c r="A11" s="31">
        <v>9983</v>
      </c>
      <c r="B11" s="32"/>
    </row>
    <row r="12" spans="1:2">
      <c r="A12" s="31">
        <v>11392</v>
      </c>
      <c r="B12" s="32"/>
    </row>
    <row r="13" spans="1:2">
      <c r="A13" s="31">
        <v>11876</v>
      </c>
      <c r="B13" s="32"/>
    </row>
    <row r="14" spans="1:2">
      <c r="A14" s="31">
        <v>11914</v>
      </c>
      <c r="B14" s="32"/>
    </row>
    <row r="15" spans="1:2">
      <c r="A15" s="31">
        <v>13248</v>
      </c>
      <c r="B15" s="32"/>
    </row>
    <row r="16" spans="1:2">
      <c r="A16" s="17">
        <v>13270</v>
      </c>
      <c r="B16" s="18"/>
    </row>
    <row r="17" spans="1:2">
      <c r="A17" s="31">
        <v>13739</v>
      </c>
      <c r="B17" s="32"/>
    </row>
    <row r="18" spans="1:2">
      <c r="A18" s="31">
        <v>13743</v>
      </c>
      <c r="B18" s="32"/>
    </row>
    <row r="19" spans="1:2">
      <c r="A19" s="31">
        <v>13755</v>
      </c>
      <c r="B19" s="32"/>
    </row>
    <row r="20" spans="1:2">
      <c r="A20" s="31">
        <v>15149</v>
      </c>
      <c r="B20" s="32"/>
    </row>
    <row r="21" spans="1:2">
      <c r="A21" s="31">
        <v>19998</v>
      </c>
      <c r="B21" s="32"/>
    </row>
    <row r="22" spans="1:2">
      <c r="A22" s="31">
        <v>20237</v>
      </c>
      <c r="B22" s="32"/>
    </row>
    <row r="23" spans="1:2">
      <c r="A23" s="31">
        <v>20303</v>
      </c>
      <c r="B23" s="32"/>
    </row>
    <row r="24" spans="1:2">
      <c r="A24" s="31">
        <v>20360</v>
      </c>
      <c r="B24" s="32"/>
    </row>
    <row r="25" spans="1:2">
      <c r="A25" s="31">
        <v>21187</v>
      </c>
      <c r="B25" s="32"/>
    </row>
    <row r="26" spans="1:2">
      <c r="A26" s="31">
        <v>21618</v>
      </c>
      <c r="B26" s="32"/>
    </row>
    <row r="27" spans="1:2">
      <c r="A27" s="31">
        <v>21706</v>
      </c>
      <c r="B27" s="32"/>
    </row>
    <row r="28" spans="1:2">
      <c r="A28" s="31">
        <v>22491</v>
      </c>
      <c r="B28" s="32"/>
    </row>
    <row r="29" spans="1:2">
      <c r="A29" s="31">
        <v>22513</v>
      </c>
      <c r="B29" s="32"/>
    </row>
    <row r="30" spans="1:2">
      <c r="A30" s="31">
        <v>24972</v>
      </c>
      <c r="B30" s="32"/>
    </row>
    <row r="31" spans="1:2" ht="45">
      <c r="A31" s="16">
        <v>26169</v>
      </c>
      <c r="B31" s="18" t="s">
        <v>1552</v>
      </c>
    </row>
    <row r="32" spans="1:2">
      <c r="A32" s="31">
        <v>26417</v>
      </c>
      <c r="B32" s="20" t="s">
        <v>2603</v>
      </c>
    </row>
    <row r="33" spans="1:2">
      <c r="A33" s="31">
        <v>30064</v>
      </c>
      <c r="B33" s="32"/>
    </row>
    <row r="34" spans="1:2">
      <c r="A34" s="31">
        <v>30073</v>
      </c>
      <c r="B34" s="32"/>
    </row>
    <row r="35" spans="1:2">
      <c r="A35" s="31">
        <v>30126</v>
      </c>
      <c r="B35" s="32"/>
    </row>
    <row r="36" spans="1:2">
      <c r="A36" s="31">
        <v>34700</v>
      </c>
      <c r="B36" s="32"/>
    </row>
    <row r="37" spans="1:2">
      <c r="A37" s="31">
        <v>36130</v>
      </c>
      <c r="B37" s="32"/>
    </row>
    <row r="38" spans="1:2">
      <c r="A38" s="31">
        <v>36468</v>
      </c>
      <c r="B38" s="32"/>
    </row>
    <row r="39" spans="1:2" ht="60">
      <c r="A39" s="16">
        <v>36470</v>
      </c>
      <c r="B39" s="18" t="s">
        <v>1553</v>
      </c>
    </row>
    <row r="40" spans="1:2">
      <c r="A40" s="31">
        <v>36491</v>
      </c>
      <c r="B40" s="32"/>
    </row>
    <row r="41" spans="1:2">
      <c r="A41" s="31">
        <v>36498</v>
      </c>
      <c r="B41" s="32"/>
    </row>
    <row r="42" spans="1:2">
      <c r="A42" s="31">
        <v>36500</v>
      </c>
      <c r="B42" s="32"/>
    </row>
    <row r="43" spans="1:2">
      <c r="A43" s="31">
        <v>36515</v>
      </c>
      <c r="B43" s="32"/>
    </row>
    <row r="44" spans="1:2" ht="60">
      <c r="A44" s="19">
        <v>36519</v>
      </c>
      <c r="B44" s="18" t="s">
        <v>2673</v>
      </c>
    </row>
    <row r="45" spans="1:2">
      <c r="A45" s="31">
        <v>38647</v>
      </c>
      <c r="B45" s="32"/>
    </row>
    <row r="46" spans="1:2">
      <c r="A46" s="31">
        <v>38652</v>
      </c>
      <c r="B46" s="32"/>
    </row>
    <row r="47" spans="1:2">
      <c r="A47" s="31">
        <v>38656</v>
      </c>
      <c r="B47" s="32"/>
    </row>
    <row r="48" spans="1:2">
      <c r="A48" s="31">
        <v>38671</v>
      </c>
      <c r="B48" s="32"/>
    </row>
    <row r="49" spans="1:2">
      <c r="A49" s="31">
        <v>38692</v>
      </c>
      <c r="B49" s="32"/>
    </row>
    <row r="50" spans="1:2">
      <c r="A50" s="31">
        <v>38697</v>
      </c>
      <c r="B50" s="32"/>
    </row>
    <row r="51" spans="1:2">
      <c r="A51" s="31">
        <v>38756</v>
      </c>
      <c r="B51" s="32"/>
    </row>
    <row r="52" spans="1:2">
      <c r="A52" s="31">
        <v>38760</v>
      </c>
      <c r="B52" s="32"/>
    </row>
    <row r="53" spans="1:2">
      <c r="A53" s="31">
        <v>38761</v>
      </c>
      <c r="B53" s="32"/>
    </row>
    <row r="54" spans="1:2">
      <c r="A54" s="31">
        <v>38805</v>
      </c>
      <c r="B54" s="32"/>
    </row>
    <row r="55" spans="1:2">
      <c r="A55" s="31">
        <v>38818</v>
      </c>
      <c r="B55" s="32"/>
    </row>
    <row r="56" spans="1:2">
      <c r="A56" s="31">
        <v>38830</v>
      </c>
      <c r="B56" s="32"/>
    </row>
    <row r="57" spans="1:2">
      <c r="A57" s="31">
        <v>39530</v>
      </c>
      <c r="B57" s="32"/>
    </row>
    <row r="58" spans="1:2">
      <c r="A58" s="17">
        <v>42859</v>
      </c>
      <c r="B58" s="18"/>
    </row>
    <row r="59" spans="1:2">
      <c r="A59" s="31">
        <v>43278</v>
      </c>
      <c r="B59" s="32"/>
    </row>
    <row r="60" spans="1:2">
      <c r="A60" s="31">
        <v>43319</v>
      </c>
      <c r="B60" s="32"/>
    </row>
    <row r="61" spans="1:2">
      <c r="A61" s="31">
        <v>43974</v>
      </c>
      <c r="B61" s="32"/>
    </row>
    <row r="62" spans="1:2">
      <c r="A62" s="31">
        <v>45876</v>
      </c>
      <c r="B62" s="32"/>
    </row>
    <row r="63" spans="1:2">
      <c r="A63" s="31">
        <v>47399</v>
      </c>
      <c r="B63" s="32"/>
    </row>
    <row r="64" spans="1:2">
      <c r="A64" s="17">
        <v>51434</v>
      </c>
      <c r="B64" s="18"/>
    </row>
    <row r="65" spans="1:2" ht="60">
      <c r="A65" s="19">
        <v>51530</v>
      </c>
      <c r="B65" s="18" t="s">
        <v>2674</v>
      </c>
    </row>
    <row r="66" spans="1:2">
      <c r="A66" s="31">
        <v>62281</v>
      </c>
      <c r="B66" s="32"/>
    </row>
    <row r="67" spans="1:2">
      <c r="A67" s="31">
        <v>65478</v>
      </c>
      <c r="B67" s="32"/>
    </row>
    <row r="68" spans="1:2">
      <c r="A68" s="31">
        <v>65656</v>
      </c>
      <c r="B68" s="32"/>
    </row>
    <row r="69" spans="1:2">
      <c r="A69" s="31">
        <v>65919</v>
      </c>
      <c r="B69" s="32"/>
    </row>
    <row r="70" spans="1:2">
      <c r="A70" s="31">
        <v>66827</v>
      </c>
      <c r="B70" s="32"/>
    </row>
    <row r="71" spans="1:2" ht="45">
      <c r="A71" s="41">
        <v>66868</v>
      </c>
      <c r="B71" s="18" t="s">
        <v>2384</v>
      </c>
    </row>
    <row r="72" spans="1:2">
      <c r="A72" s="31">
        <v>68174</v>
      </c>
      <c r="B72" s="32"/>
    </row>
    <row r="73" spans="1:2">
      <c r="A73" s="17">
        <v>68939</v>
      </c>
      <c r="B73" s="20" t="s">
        <v>2437</v>
      </c>
    </row>
    <row r="74" spans="1:2">
      <c r="A74" s="31">
        <v>73879</v>
      </c>
      <c r="B74" s="32"/>
    </row>
    <row r="75" spans="1:2">
      <c r="A75" s="17">
        <v>74377</v>
      </c>
      <c r="B75" s="18" t="s">
        <v>2292</v>
      </c>
    </row>
    <row r="76" spans="1:2" ht="45">
      <c r="A76" s="17">
        <v>74380</v>
      </c>
      <c r="B76" s="18" t="s">
        <v>2139</v>
      </c>
    </row>
    <row r="77" spans="1:2" ht="45">
      <c r="A77" s="17">
        <v>74399</v>
      </c>
      <c r="B77" s="18" t="s">
        <v>2137</v>
      </c>
    </row>
    <row r="78" spans="1:2">
      <c r="A78" s="31">
        <v>74663</v>
      </c>
      <c r="B78" s="32"/>
    </row>
    <row r="79" spans="1:2" ht="30">
      <c r="A79" s="17">
        <v>74733</v>
      </c>
      <c r="B79" s="22" t="s">
        <v>2291</v>
      </c>
    </row>
    <row r="80" spans="1:2" ht="45">
      <c r="A80" s="17">
        <v>75011</v>
      </c>
      <c r="B80" s="22" t="s">
        <v>2138</v>
      </c>
    </row>
    <row r="81" spans="1:2">
      <c r="A81" s="31">
        <v>76396</v>
      </c>
      <c r="B81" s="32"/>
    </row>
    <row r="82" spans="1:2">
      <c r="A82" s="31">
        <v>76419</v>
      </c>
      <c r="B82" s="32"/>
    </row>
    <row r="83" spans="1:2">
      <c r="A83" s="31">
        <v>76447</v>
      </c>
      <c r="B83" s="32"/>
    </row>
    <row r="84" spans="1:2">
      <c r="A84" s="31">
        <v>76452</v>
      </c>
      <c r="B84" s="32"/>
    </row>
    <row r="85" spans="1:2">
      <c r="A85" s="31">
        <v>78957</v>
      </c>
      <c r="B85" s="32"/>
    </row>
    <row r="86" spans="1:2" ht="60">
      <c r="A86" s="17">
        <v>86775</v>
      </c>
      <c r="B86" s="18" t="s">
        <v>2217</v>
      </c>
    </row>
    <row r="87" spans="1:2" ht="30">
      <c r="A87" s="17">
        <v>86944</v>
      </c>
      <c r="B87" s="21" t="s">
        <v>2177</v>
      </c>
    </row>
    <row r="88" spans="1:2">
      <c r="A88" s="31">
        <v>87112</v>
      </c>
      <c r="B88" s="32"/>
    </row>
    <row r="89" spans="1:2">
      <c r="A89" s="31">
        <v>87131</v>
      </c>
      <c r="B89" s="32"/>
    </row>
    <row r="90" spans="1:2">
      <c r="A90" s="16">
        <v>87568</v>
      </c>
      <c r="B90" s="18" t="s">
        <v>1554</v>
      </c>
    </row>
    <row r="91" spans="1:2" ht="45">
      <c r="A91" s="31">
        <v>90451</v>
      </c>
      <c r="B91" s="18" t="s">
        <v>2473</v>
      </c>
    </row>
    <row r="92" spans="1:2">
      <c r="A92" s="31">
        <v>90456</v>
      </c>
      <c r="B92" s="18"/>
    </row>
    <row r="93" spans="1:2">
      <c r="A93" s="31">
        <v>90475</v>
      </c>
      <c r="B93" s="32"/>
    </row>
    <row r="94" spans="1:2">
      <c r="A94" s="31">
        <v>96819</v>
      </c>
      <c r="B94" s="32"/>
    </row>
    <row r="95" spans="1:2" ht="45">
      <c r="A95" s="16">
        <v>98263</v>
      </c>
      <c r="B95" s="18" t="s">
        <v>1555</v>
      </c>
    </row>
    <row r="96" spans="1:2" ht="30">
      <c r="A96" s="31">
        <v>98840</v>
      </c>
      <c r="B96" s="33" t="s">
        <v>2474</v>
      </c>
    </row>
    <row r="97" spans="1:2">
      <c r="A97" s="31">
        <v>103287</v>
      </c>
      <c r="B97" s="32"/>
    </row>
    <row r="98" spans="1:2">
      <c r="A98" s="31">
        <v>104585</v>
      </c>
      <c r="B98" s="32"/>
    </row>
    <row r="99" spans="1:2">
      <c r="A99" s="31">
        <v>104586</v>
      </c>
      <c r="B99" s="32"/>
    </row>
    <row r="100" spans="1:2">
      <c r="A100" s="31">
        <v>104697</v>
      </c>
      <c r="B100" s="32"/>
    </row>
    <row r="101" spans="1:2">
      <c r="A101" s="31">
        <v>106286</v>
      </c>
      <c r="B101" s="32"/>
    </row>
    <row r="102" spans="1:2">
      <c r="A102" s="31">
        <v>118614</v>
      </c>
      <c r="B102" s="32"/>
    </row>
    <row r="103" spans="1:2">
      <c r="A103" s="31">
        <v>119563</v>
      </c>
      <c r="B103" s="32"/>
    </row>
    <row r="104" spans="1:2" ht="45">
      <c r="A104" s="19">
        <v>120121</v>
      </c>
      <c r="B104" s="18" t="s">
        <v>2675</v>
      </c>
    </row>
    <row r="105" spans="1:2">
      <c r="A105" s="31">
        <v>120352</v>
      </c>
      <c r="B105" s="32"/>
    </row>
    <row r="106" spans="1:2" ht="45">
      <c r="A106" s="17">
        <v>120404</v>
      </c>
      <c r="B106" s="18" t="s">
        <v>2114</v>
      </c>
    </row>
    <row r="107" spans="1:2">
      <c r="A107" s="31">
        <v>123090</v>
      </c>
      <c r="B107" s="32"/>
    </row>
    <row r="108" spans="1:2">
      <c r="A108" s="31">
        <v>123299</v>
      </c>
      <c r="B108" s="32"/>
    </row>
    <row r="109" spans="1:2">
      <c r="A109" s="31">
        <v>125495</v>
      </c>
      <c r="B109" s="32"/>
    </row>
    <row r="110" spans="1:2">
      <c r="A110" s="31">
        <v>131329</v>
      </c>
      <c r="B110" s="32"/>
    </row>
    <row r="111" spans="1:2">
      <c r="A111" s="31">
        <v>131331</v>
      </c>
      <c r="B111" s="32"/>
    </row>
    <row r="112" spans="1:2">
      <c r="A112" s="31">
        <v>134777</v>
      </c>
      <c r="B112" s="32"/>
    </row>
    <row r="113" spans="1:2">
      <c r="A113" s="31">
        <v>138504</v>
      </c>
      <c r="B113" s="32"/>
    </row>
    <row r="114" spans="1:2" ht="45">
      <c r="A114" s="19">
        <v>139244</v>
      </c>
      <c r="B114" s="18" t="s">
        <v>2676</v>
      </c>
    </row>
    <row r="115" spans="1:2">
      <c r="A115" s="31">
        <v>139886</v>
      </c>
      <c r="B115" s="32"/>
    </row>
    <row r="116" spans="1:2">
      <c r="A116" s="31">
        <v>139893</v>
      </c>
      <c r="B116" s="32"/>
    </row>
    <row r="117" spans="1:2">
      <c r="A117" s="31">
        <v>139998</v>
      </c>
      <c r="B117" s="32"/>
    </row>
    <row r="118" spans="1:2">
      <c r="A118" s="31">
        <v>144961</v>
      </c>
      <c r="B118" s="32"/>
    </row>
    <row r="119" spans="1:2" ht="60">
      <c r="A119" s="19">
        <v>145213</v>
      </c>
      <c r="B119" s="18" t="s">
        <v>2677</v>
      </c>
    </row>
    <row r="120" spans="1:2">
      <c r="A120" s="31">
        <v>157278</v>
      </c>
      <c r="B120" s="32"/>
    </row>
    <row r="121" spans="1:2" ht="45">
      <c r="A121" s="17">
        <v>157627</v>
      </c>
      <c r="B121" s="18" t="s">
        <v>2270</v>
      </c>
    </row>
    <row r="122" spans="1:2" ht="45">
      <c r="A122" s="17">
        <v>164561</v>
      </c>
      <c r="B122" s="18" t="s">
        <v>2269</v>
      </c>
    </row>
    <row r="123" spans="1:2" ht="60">
      <c r="A123" s="17">
        <v>164562</v>
      </c>
      <c r="B123" s="18" t="s">
        <v>2267</v>
      </c>
    </row>
    <row r="124" spans="1:2">
      <c r="A124" s="31">
        <v>170769</v>
      </c>
      <c r="B124" s="32"/>
    </row>
    <row r="125" spans="1:2" ht="45">
      <c r="A125" s="16">
        <v>174420</v>
      </c>
      <c r="B125" s="18" t="s">
        <v>1556</v>
      </c>
    </row>
    <row r="126" spans="1:2">
      <c r="A126" s="31">
        <v>178130</v>
      </c>
      <c r="B126" s="18"/>
    </row>
    <row r="127" spans="1:2">
      <c r="A127" s="31">
        <v>179242</v>
      </c>
      <c r="B127" s="32"/>
    </row>
    <row r="128" spans="1:2">
      <c r="A128" s="31">
        <v>179596</v>
      </c>
      <c r="B128" s="32"/>
    </row>
    <row r="129" spans="1:2" ht="60">
      <c r="A129" s="17">
        <v>179885</v>
      </c>
      <c r="B129" s="18" t="s">
        <v>2254</v>
      </c>
    </row>
    <row r="130" spans="1:2" ht="45">
      <c r="A130" s="19">
        <v>181481</v>
      </c>
      <c r="B130" s="18" t="s">
        <v>2678</v>
      </c>
    </row>
    <row r="131" spans="1:2">
      <c r="A131" s="16">
        <v>181980</v>
      </c>
      <c r="B131" s="18" t="s">
        <v>1557</v>
      </c>
    </row>
    <row r="132" spans="1:2">
      <c r="A132" s="31">
        <v>182438</v>
      </c>
      <c r="B132" s="32"/>
    </row>
    <row r="133" spans="1:2">
      <c r="A133" s="31">
        <v>184976</v>
      </c>
      <c r="B133" s="32"/>
    </row>
    <row r="134" spans="1:2" ht="30">
      <c r="A134" s="17">
        <v>188938</v>
      </c>
      <c r="B134" s="18" t="s">
        <v>2209</v>
      </c>
    </row>
    <row r="135" spans="1:2" ht="30">
      <c r="A135" s="17">
        <v>189268</v>
      </c>
      <c r="B135" s="22" t="s">
        <v>2465</v>
      </c>
    </row>
    <row r="136" spans="1:2">
      <c r="A136" s="31">
        <v>194389</v>
      </c>
      <c r="B136" s="32"/>
    </row>
    <row r="137" spans="1:2" ht="30">
      <c r="A137" s="17">
        <v>196323</v>
      </c>
      <c r="B137" s="18" t="s">
        <v>2047</v>
      </c>
    </row>
    <row r="138" spans="1:2">
      <c r="A138" s="31">
        <v>196328</v>
      </c>
      <c r="B138" s="32"/>
    </row>
    <row r="139" spans="1:2">
      <c r="A139" s="31">
        <v>196343</v>
      </c>
      <c r="B139" s="32"/>
    </row>
    <row r="140" spans="1:2" ht="60">
      <c r="A140" s="17">
        <v>196467</v>
      </c>
      <c r="B140" s="18" t="s">
        <v>2195</v>
      </c>
    </row>
    <row r="141" spans="1:2">
      <c r="A141" s="31">
        <v>196515</v>
      </c>
      <c r="B141" s="32"/>
    </row>
    <row r="142" spans="1:2" ht="30">
      <c r="A142" s="17">
        <v>196521</v>
      </c>
      <c r="B142" s="18" t="s">
        <v>2194</v>
      </c>
    </row>
    <row r="143" spans="1:2" ht="45">
      <c r="A143" s="17">
        <v>196524</v>
      </c>
      <c r="B143" s="18" t="s">
        <v>2192</v>
      </c>
    </row>
    <row r="144" spans="1:2" ht="45">
      <c r="A144" s="17">
        <v>196530</v>
      </c>
      <c r="B144" s="18" t="s">
        <v>2191</v>
      </c>
    </row>
    <row r="145" spans="1:2" ht="30">
      <c r="A145" s="17">
        <v>196533</v>
      </c>
      <c r="B145" s="18" t="s">
        <v>2190</v>
      </c>
    </row>
    <row r="146" spans="1:2" ht="45">
      <c r="A146" s="17">
        <v>196544</v>
      </c>
      <c r="B146" s="18" t="s">
        <v>2189</v>
      </c>
    </row>
    <row r="147" spans="1:2" ht="60">
      <c r="A147" s="17">
        <v>196547</v>
      </c>
      <c r="B147" s="18" t="s">
        <v>2188</v>
      </c>
    </row>
    <row r="148" spans="1:2" ht="30">
      <c r="A148" s="17">
        <v>196549</v>
      </c>
      <c r="B148" s="18" t="s">
        <v>2187</v>
      </c>
    </row>
    <row r="149" spans="1:2">
      <c r="A149" s="31">
        <v>196551</v>
      </c>
      <c r="B149" s="32"/>
    </row>
    <row r="150" spans="1:2">
      <c r="A150" s="31">
        <v>196556</v>
      </c>
      <c r="B150" s="32"/>
    </row>
    <row r="151" spans="1:2" ht="45">
      <c r="A151" s="17">
        <v>196558</v>
      </c>
      <c r="B151" s="18" t="s">
        <v>2186</v>
      </c>
    </row>
    <row r="152" spans="1:2" ht="60">
      <c r="A152" s="17">
        <v>196562</v>
      </c>
      <c r="B152" s="18" t="s">
        <v>2184</v>
      </c>
    </row>
    <row r="153" spans="1:2">
      <c r="A153" s="17">
        <v>196747</v>
      </c>
      <c r="B153" s="18"/>
    </row>
    <row r="154" spans="1:2" ht="30">
      <c r="A154" s="17">
        <v>197059</v>
      </c>
      <c r="B154" s="18" t="s">
        <v>2183</v>
      </c>
    </row>
    <row r="155" spans="1:2">
      <c r="A155" s="31">
        <v>197060</v>
      </c>
      <c r="B155" s="32"/>
    </row>
    <row r="156" spans="1:2" ht="60">
      <c r="A156" s="17">
        <v>197068</v>
      </c>
      <c r="B156" s="18" t="s">
        <v>2182</v>
      </c>
    </row>
    <row r="157" spans="1:2" ht="45">
      <c r="A157" s="16">
        <v>197071</v>
      </c>
      <c r="B157" s="18" t="s">
        <v>1558</v>
      </c>
    </row>
    <row r="158" spans="1:2" ht="30">
      <c r="A158" s="16">
        <v>197154</v>
      </c>
      <c r="B158" s="18" t="s">
        <v>1559</v>
      </c>
    </row>
    <row r="159" spans="1:2">
      <c r="A159" s="16">
        <v>197157</v>
      </c>
      <c r="B159" s="18" t="s">
        <v>1560</v>
      </c>
    </row>
    <row r="160" spans="1:2">
      <c r="A160" s="31">
        <v>197158</v>
      </c>
      <c r="B160" s="32"/>
    </row>
    <row r="161" spans="1:2">
      <c r="A161" s="31">
        <v>197506</v>
      </c>
      <c r="B161" s="32"/>
    </row>
    <row r="162" spans="1:2" ht="30">
      <c r="A162" s="31">
        <v>197686</v>
      </c>
      <c r="B162" s="18" t="s">
        <v>2604</v>
      </c>
    </row>
    <row r="163" spans="1:2">
      <c r="A163" s="17">
        <v>197691</v>
      </c>
      <c r="B163" s="20" t="s">
        <v>2175</v>
      </c>
    </row>
    <row r="164" spans="1:2">
      <c r="A164" s="17">
        <v>197848</v>
      </c>
      <c r="B164" s="20" t="s">
        <v>2179</v>
      </c>
    </row>
    <row r="165" spans="1:2">
      <c r="A165" s="31">
        <v>198584</v>
      </c>
      <c r="B165" s="32"/>
    </row>
    <row r="166" spans="1:2">
      <c r="A166" s="31">
        <v>199648</v>
      </c>
      <c r="B166" s="32"/>
    </row>
    <row r="167" spans="1:2">
      <c r="A167" s="31">
        <v>199650</v>
      </c>
      <c r="B167" s="32"/>
    </row>
    <row r="168" spans="1:2">
      <c r="A168" s="31">
        <v>199651</v>
      </c>
      <c r="B168" s="32"/>
    </row>
    <row r="169" spans="1:2">
      <c r="A169" s="31">
        <v>199653</v>
      </c>
      <c r="B169" s="32"/>
    </row>
    <row r="170" spans="1:2">
      <c r="A170" s="31">
        <v>199655</v>
      </c>
      <c r="B170" s="32"/>
    </row>
    <row r="171" spans="1:2">
      <c r="A171" s="31">
        <v>199657</v>
      </c>
      <c r="B171" s="32"/>
    </row>
    <row r="172" spans="1:2">
      <c r="A172" s="31">
        <v>205071</v>
      </c>
      <c r="B172" s="32"/>
    </row>
    <row r="173" spans="1:2">
      <c r="A173" s="31">
        <v>205094</v>
      </c>
      <c r="B173" s="32"/>
    </row>
    <row r="174" spans="1:2">
      <c r="A174" s="31">
        <v>208154</v>
      </c>
      <c r="B174" s="32"/>
    </row>
    <row r="175" spans="1:2">
      <c r="A175" s="31">
        <v>213517</v>
      </c>
      <c r="B175" s="32"/>
    </row>
    <row r="176" spans="1:2">
      <c r="A176" s="31">
        <v>216963</v>
      </c>
      <c r="B176" s="32"/>
    </row>
    <row r="177" spans="1:2">
      <c r="A177" s="16">
        <v>217530</v>
      </c>
      <c r="B177" s="18" t="s">
        <v>1561</v>
      </c>
    </row>
    <row r="178" spans="1:2">
      <c r="A178" s="31">
        <v>218128</v>
      </c>
      <c r="B178" s="18"/>
    </row>
    <row r="179" spans="1:2" ht="60">
      <c r="A179" s="17">
        <v>220128</v>
      </c>
      <c r="B179" s="18" t="s">
        <v>2196</v>
      </c>
    </row>
    <row r="180" spans="1:2">
      <c r="A180" s="31">
        <v>221580</v>
      </c>
      <c r="B180" s="32"/>
    </row>
    <row r="181" spans="1:2">
      <c r="A181" s="31">
        <v>223666</v>
      </c>
      <c r="B181" s="18"/>
    </row>
    <row r="182" spans="1:2">
      <c r="A182" s="31">
        <v>223879</v>
      </c>
      <c r="B182" s="18"/>
    </row>
    <row r="183" spans="1:2" ht="45">
      <c r="A183" s="31">
        <v>224027</v>
      </c>
      <c r="B183" s="18" t="s">
        <v>2475</v>
      </c>
    </row>
    <row r="184" spans="1:2" ht="45">
      <c r="A184" s="35">
        <v>224027</v>
      </c>
      <c r="B184" s="18" t="s">
        <v>2670</v>
      </c>
    </row>
    <row r="185" spans="1:2" ht="90">
      <c r="A185" s="31">
        <v>224029</v>
      </c>
      <c r="B185" s="18" t="s">
        <v>2476</v>
      </c>
    </row>
    <row r="186" spans="1:2" ht="105">
      <c r="A186" s="35">
        <v>224029</v>
      </c>
      <c r="B186" s="18" t="s">
        <v>2669</v>
      </c>
    </row>
    <row r="187" spans="1:2" ht="60">
      <c r="A187" s="31">
        <v>224030</v>
      </c>
      <c r="B187" s="33" t="s">
        <v>2477</v>
      </c>
    </row>
    <row r="188" spans="1:2">
      <c r="A188" s="31">
        <v>227834</v>
      </c>
      <c r="B188" s="32"/>
    </row>
    <row r="189" spans="1:2">
      <c r="A189" s="17">
        <v>232897</v>
      </c>
      <c r="B189" s="18"/>
    </row>
    <row r="190" spans="1:2">
      <c r="A190" s="17">
        <v>238946</v>
      </c>
      <c r="B190" s="30"/>
    </row>
    <row r="191" spans="1:2" ht="120">
      <c r="A191" s="16">
        <v>239134</v>
      </c>
      <c r="B191" s="18" t="s">
        <v>1562</v>
      </c>
    </row>
    <row r="192" spans="1:2">
      <c r="A192" s="31">
        <v>244481</v>
      </c>
      <c r="B192" s="32"/>
    </row>
    <row r="193" spans="1:2">
      <c r="A193" s="31">
        <v>244680</v>
      </c>
      <c r="B193" s="32"/>
    </row>
    <row r="194" spans="1:2" ht="105">
      <c r="A194" s="16">
        <v>246717</v>
      </c>
      <c r="B194" s="18" t="s">
        <v>1563</v>
      </c>
    </row>
    <row r="195" spans="1:2">
      <c r="A195" s="31">
        <v>250851</v>
      </c>
      <c r="B195" s="32"/>
    </row>
    <row r="196" spans="1:2">
      <c r="A196" s="31">
        <v>251280</v>
      </c>
      <c r="B196" s="32"/>
    </row>
    <row r="197" spans="1:2">
      <c r="A197" s="31">
        <v>251594</v>
      </c>
      <c r="B197" s="32"/>
    </row>
    <row r="198" spans="1:2" ht="30">
      <c r="A198" s="31">
        <v>251617</v>
      </c>
      <c r="B198" s="18" t="s">
        <v>2605</v>
      </c>
    </row>
    <row r="199" spans="1:2" ht="90">
      <c r="A199" s="31">
        <v>251864</v>
      </c>
      <c r="B199" s="18" t="s">
        <v>2606</v>
      </c>
    </row>
    <row r="200" spans="1:2" ht="30">
      <c r="A200" s="31">
        <v>251946</v>
      </c>
      <c r="B200" s="18" t="s">
        <v>2607</v>
      </c>
    </row>
    <row r="201" spans="1:2" ht="30">
      <c r="A201" s="31">
        <v>251973</v>
      </c>
      <c r="B201" s="18" t="s">
        <v>2478</v>
      </c>
    </row>
    <row r="202" spans="1:2" ht="30">
      <c r="A202" s="16">
        <v>251998</v>
      </c>
      <c r="B202" s="18" t="s">
        <v>1564</v>
      </c>
    </row>
    <row r="203" spans="1:2">
      <c r="A203" s="31">
        <v>252002</v>
      </c>
      <c r="B203" s="32"/>
    </row>
    <row r="204" spans="1:2">
      <c r="A204" s="17">
        <v>252112</v>
      </c>
      <c r="B204" s="18"/>
    </row>
    <row r="205" spans="1:2" ht="45">
      <c r="A205" s="17">
        <v>252226</v>
      </c>
      <c r="B205" s="18" t="s">
        <v>2266</v>
      </c>
    </row>
    <row r="206" spans="1:2">
      <c r="A206" s="31">
        <v>252254</v>
      </c>
      <c r="B206" s="32"/>
    </row>
    <row r="207" spans="1:2" ht="30">
      <c r="A207" s="17">
        <v>252299</v>
      </c>
      <c r="B207" s="18" t="s">
        <v>2305</v>
      </c>
    </row>
    <row r="208" spans="1:2" ht="90">
      <c r="A208" s="17">
        <v>252303</v>
      </c>
      <c r="B208" s="18" t="s">
        <v>2210</v>
      </c>
    </row>
    <row r="209" spans="1:2">
      <c r="A209" s="31">
        <v>252379</v>
      </c>
      <c r="B209" s="20" t="s">
        <v>2479</v>
      </c>
    </row>
    <row r="210" spans="1:2">
      <c r="A210" s="31">
        <v>252393</v>
      </c>
      <c r="B210" s="32"/>
    </row>
    <row r="211" spans="1:2" ht="75">
      <c r="A211" s="17">
        <v>252438</v>
      </c>
      <c r="B211" s="28" t="s">
        <v>2256</v>
      </c>
    </row>
    <row r="212" spans="1:2" ht="75">
      <c r="A212" s="16">
        <v>252452</v>
      </c>
      <c r="B212" s="18" t="s">
        <v>1565</v>
      </c>
    </row>
    <row r="213" spans="1:2">
      <c r="A213" s="31">
        <v>252523</v>
      </c>
      <c r="B213" s="32"/>
    </row>
    <row r="214" spans="1:2" ht="30">
      <c r="A214" s="16">
        <v>252578</v>
      </c>
      <c r="B214" s="18" t="s">
        <v>1566</v>
      </c>
    </row>
    <row r="215" spans="1:2" ht="45">
      <c r="A215" s="31">
        <v>252584</v>
      </c>
      <c r="B215" s="18" t="s">
        <v>2608</v>
      </c>
    </row>
    <row r="216" spans="1:2" ht="60">
      <c r="A216" s="17">
        <v>252594</v>
      </c>
      <c r="B216" s="18" t="s">
        <v>2259</v>
      </c>
    </row>
    <row r="217" spans="1:2" ht="30">
      <c r="A217" s="31">
        <v>252714</v>
      </c>
      <c r="B217" s="18" t="s">
        <v>2609</v>
      </c>
    </row>
    <row r="218" spans="1:2" ht="60">
      <c r="A218" s="31">
        <v>253094</v>
      </c>
      <c r="B218" s="33" t="s">
        <v>2480</v>
      </c>
    </row>
    <row r="219" spans="1:2" ht="30">
      <c r="A219" s="17">
        <v>253309</v>
      </c>
      <c r="B219" s="18" t="s">
        <v>2013</v>
      </c>
    </row>
    <row r="220" spans="1:2">
      <c r="A220" s="31">
        <v>253718</v>
      </c>
      <c r="B220" s="32"/>
    </row>
    <row r="221" spans="1:2" ht="30">
      <c r="A221" s="17">
        <v>253978</v>
      </c>
      <c r="B221" s="18" t="s">
        <v>2413</v>
      </c>
    </row>
    <row r="222" spans="1:2">
      <c r="A222" s="17">
        <v>254183</v>
      </c>
      <c r="B222" s="18"/>
    </row>
    <row r="223" spans="1:2" ht="60">
      <c r="A223" s="16">
        <v>254758</v>
      </c>
      <c r="B223" s="18" t="s">
        <v>1567</v>
      </c>
    </row>
    <row r="224" spans="1:2">
      <c r="A224" s="31">
        <v>254768</v>
      </c>
      <c r="B224" s="32"/>
    </row>
    <row r="225" spans="1:2">
      <c r="A225" s="31">
        <v>254795</v>
      </c>
      <c r="B225" s="18"/>
    </row>
    <row r="226" spans="1:2" ht="45">
      <c r="A226" s="16">
        <v>254799</v>
      </c>
      <c r="B226" s="18" t="s">
        <v>1568</v>
      </c>
    </row>
    <row r="227" spans="1:2" ht="30">
      <c r="A227" s="31">
        <v>254834</v>
      </c>
      <c r="B227" s="18" t="s">
        <v>2481</v>
      </c>
    </row>
    <row r="228" spans="1:2">
      <c r="A228" s="31">
        <v>254877</v>
      </c>
      <c r="B228" s="32"/>
    </row>
    <row r="229" spans="1:2" ht="120">
      <c r="A229" s="16">
        <v>254896</v>
      </c>
      <c r="B229" s="18" t="s">
        <v>1569</v>
      </c>
    </row>
    <row r="230" spans="1:2" ht="60">
      <c r="A230" s="16">
        <v>254903</v>
      </c>
      <c r="B230" s="18" t="s">
        <v>1570</v>
      </c>
    </row>
    <row r="231" spans="1:2" ht="120">
      <c r="A231" s="16">
        <v>254916</v>
      </c>
      <c r="B231" s="18" t="s">
        <v>1571</v>
      </c>
    </row>
    <row r="232" spans="1:2">
      <c r="A232" s="31">
        <v>254921</v>
      </c>
      <c r="B232" s="32"/>
    </row>
    <row r="233" spans="1:2" ht="120">
      <c r="A233" s="16">
        <v>254962</v>
      </c>
      <c r="B233" s="18" t="s">
        <v>1572</v>
      </c>
    </row>
    <row r="234" spans="1:2" ht="150">
      <c r="A234" s="16">
        <v>254985</v>
      </c>
      <c r="B234" s="18" t="s">
        <v>1573</v>
      </c>
    </row>
    <row r="235" spans="1:2" ht="45">
      <c r="A235" s="17">
        <v>255888</v>
      </c>
      <c r="B235" s="22" t="s">
        <v>2349</v>
      </c>
    </row>
    <row r="236" spans="1:2" ht="60">
      <c r="A236" s="17">
        <v>255920</v>
      </c>
      <c r="B236" s="22" t="s">
        <v>2347</v>
      </c>
    </row>
    <row r="237" spans="1:2" ht="30">
      <c r="A237" s="16">
        <v>255944</v>
      </c>
      <c r="B237" s="18" t="s">
        <v>1574</v>
      </c>
    </row>
    <row r="238" spans="1:2" ht="45">
      <c r="A238" s="16">
        <v>255993</v>
      </c>
      <c r="B238" s="18" t="s">
        <v>1575</v>
      </c>
    </row>
    <row r="239" spans="1:2" ht="30">
      <c r="A239" s="16">
        <v>256071</v>
      </c>
      <c r="B239" s="18" t="s">
        <v>1576</v>
      </c>
    </row>
    <row r="240" spans="1:2" ht="180">
      <c r="A240" s="16">
        <v>256073</v>
      </c>
      <c r="B240" s="18" t="s">
        <v>1577</v>
      </c>
    </row>
    <row r="241" spans="1:2">
      <c r="A241" s="31">
        <v>256082</v>
      </c>
      <c r="B241" s="32"/>
    </row>
    <row r="242" spans="1:2" ht="30">
      <c r="A242" s="16">
        <v>256101</v>
      </c>
      <c r="B242" s="18" t="s">
        <v>1578</v>
      </c>
    </row>
    <row r="243" spans="1:2" ht="45">
      <c r="A243" s="16">
        <v>256114</v>
      </c>
      <c r="B243" s="18" t="s">
        <v>1579</v>
      </c>
    </row>
    <row r="244" spans="1:2" ht="30">
      <c r="A244" s="16">
        <v>256271</v>
      </c>
      <c r="B244" s="18" t="s">
        <v>1580</v>
      </c>
    </row>
    <row r="245" spans="1:2" ht="30">
      <c r="A245" s="17">
        <v>256272</v>
      </c>
      <c r="B245" s="18" t="s">
        <v>2035</v>
      </c>
    </row>
    <row r="246" spans="1:2">
      <c r="A246" s="17">
        <v>256276</v>
      </c>
      <c r="B246" s="18" t="s">
        <v>2042</v>
      </c>
    </row>
    <row r="247" spans="1:2" ht="30">
      <c r="A247" s="16">
        <v>256278</v>
      </c>
      <c r="B247" s="18" t="s">
        <v>1581</v>
      </c>
    </row>
    <row r="248" spans="1:2" ht="30">
      <c r="A248" s="17">
        <v>256279</v>
      </c>
      <c r="B248" s="18" t="s">
        <v>2048</v>
      </c>
    </row>
    <row r="249" spans="1:2" ht="30">
      <c r="A249" s="16">
        <v>256299</v>
      </c>
      <c r="B249" s="18" t="s">
        <v>1582</v>
      </c>
    </row>
    <row r="250" spans="1:2" ht="30">
      <c r="A250" s="17">
        <v>256303</v>
      </c>
      <c r="B250" s="18" t="s">
        <v>2053</v>
      </c>
    </row>
    <row r="251" spans="1:2">
      <c r="A251" s="31">
        <v>256312</v>
      </c>
      <c r="B251" s="32"/>
    </row>
    <row r="252" spans="1:2" ht="45">
      <c r="A252" s="16">
        <v>256319</v>
      </c>
      <c r="B252" s="18" t="s">
        <v>1583</v>
      </c>
    </row>
    <row r="253" spans="1:2" ht="30">
      <c r="A253" s="17">
        <v>256323</v>
      </c>
      <c r="B253" s="18" t="s">
        <v>2055</v>
      </c>
    </row>
    <row r="254" spans="1:2" ht="75">
      <c r="A254" s="17">
        <v>256336</v>
      </c>
      <c r="B254" s="18" t="s">
        <v>2062</v>
      </c>
    </row>
    <row r="255" spans="1:2" ht="30">
      <c r="A255" s="31">
        <v>256351</v>
      </c>
      <c r="B255" s="18" t="s">
        <v>2482</v>
      </c>
    </row>
    <row r="256" spans="1:2" ht="75">
      <c r="A256" s="17">
        <v>256360</v>
      </c>
      <c r="B256" s="18" t="s">
        <v>2082</v>
      </c>
    </row>
    <row r="257" spans="1:2" ht="45">
      <c r="A257" s="17">
        <v>256397</v>
      </c>
      <c r="B257" s="18" t="s">
        <v>2084</v>
      </c>
    </row>
    <row r="258" spans="1:2" ht="30">
      <c r="A258" s="17">
        <v>256400</v>
      </c>
      <c r="B258" s="18" t="s">
        <v>2105</v>
      </c>
    </row>
    <row r="259" spans="1:2" ht="120">
      <c r="A259" s="16">
        <v>256405</v>
      </c>
      <c r="B259" s="18" t="s">
        <v>1584</v>
      </c>
    </row>
    <row r="260" spans="1:2" ht="30">
      <c r="A260" s="17">
        <v>256424</v>
      </c>
      <c r="B260" s="18" t="s">
        <v>2128</v>
      </c>
    </row>
    <row r="261" spans="1:2">
      <c r="A261" s="17">
        <v>256426</v>
      </c>
      <c r="B261" s="20" t="s">
        <v>2144</v>
      </c>
    </row>
    <row r="262" spans="1:2" ht="60">
      <c r="A262" s="16">
        <v>256432</v>
      </c>
      <c r="B262" s="18" t="s">
        <v>1585</v>
      </c>
    </row>
    <row r="263" spans="1:2" ht="30">
      <c r="A263" s="17">
        <v>256437</v>
      </c>
      <c r="B263" s="18" t="s">
        <v>2149</v>
      </c>
    </row>
    <row r="264" spans="1:2" ht="105">
      <c r="A264" s="17">
        <v>256449</v>
      </c>
      <c r="B264" s="18" t="s">
        <v>2152</v>
      </c>
    </row>
    <row r="265" spans="1:2" ht="30">
      <c r="A265" s="17">
        <v>256526</v>
      </c>
      <c r="B265" s="18" t="s">
        <v>2154</v>
      </c>
    </row>
    <row r="266" spans="1:2" ht="30">
      <c r="A266" s="17">
        <v>256539</v>
      </c>
      <c r="B266" s="18" t="s">
        <v>2155</v>
      </c>
    </row>
    <row r="267" spans="1:2" ht="30">
      <c r="A267" s="17">
        <v>256547</v>
      </c>
      <c r="B267" s="18" t="s">
        <v>2157</v>
      </c>
    </row>
    <row r="268" spans="1:2" ht="30">
      <c r="A268" s="17">
        <v>256557</v>
      </c>
      <c r="B268" s="18" t="s">
        <v>2159</v>
      </c>
    </row>
    <row r="269" spans="1:2" ht="60">
      <c r="A269" s="17">
        <v>256560</v>
      </c>
      <c r="B269" s="18" t="s">
        <v>2164</v>
      </c>
    </row>
    <row r="270" spans="1:2" ht="60">
      <c r="A270" s="16">
        <v>256563</v>
      </c>
      <c r="B270" s="18" t="s">
        <v>1586</v>
      </c>
    </row>
    <row r="271" spans="1:2" ht="75">
      <c r="A271" s="17">
        <v>256592</v>
      </c>
      <c r="B271" s="18" t="s">
        <v>2169</v>
      </c>
    </row>
    <row r="272" spans="1:2" ht="60">
      <c r="A272" s="31">
        <v>256593</v>
      </c>
      <c r="B272" s="18" t="s">
        <v>2483</v>
      </c>
    </row>
    <row r="273" spans="1:2" ht="60">
      <c r="A273" s="17">
        <v>256601</v>
      </c>
      <c r="B273" s="18" t="s">
        <v>2446</v>
      </c>
    </row>
    <row r="274" spans="1:2" ht="60">
      <c r="A274" s="17">
        <v>256620</v>
      </c>
      <c r="B274" s="18" t="s">
        <v>2174</v>
      </c>
    </row>
    <row r="275" spans="1:2">
      <c r="A275" s="31">
        <v>256663</v>
      </c>
      <c r="B275" s="32"/>
    </row>
    <row r="276" spans="1:2">
      <c r="A276" s="16">
        <v>257291</v>
      </c>
      <c r="B276" s="18" t="s">
        <v>1587</v>
      </c>
    </row>
    <row r="277" spans="1:2" ht="90">
      <c r="A277" s="16">
        <v>257292</v>
      </c>
      <c r="B277" s="18" t="s">
        <v>1588</v>
      </c>
    </row>
    <row r="278" spans="1:2" ht="90">
      <c r="A278" s="16">
        <v>257302</v>
      </c>
      <c r="B278" s="18" t="s">
        <v>1589</v>
      </c>
    </row>
    <row r="279" spans="1:2" ht="45">
      <c r="A279" s="17">
        <v>257351</v>
      </c>
      <c r="B279" s="18" t="s">
        <v>2337</v>
      </c>
    </row>
    <row r="280" spans="1:2" ht="120">
      <c r="A280" s="17">
        <v>257364</v>
      </c>
      <c r="B280" s="18" t="s">
        <v>2181</v>
      </c>
    </row>
    <row r="281" spans="1:2" ht="60">
      <c r="A281" s="17">
        <v>257368</v>
      </c>
      <c r="B281" s="18" t="s">
        <v>2185</v>
      </c>
    </row>
    <row r="282" spans="1:2" ht="45">
      <c r="A282" s="17">
        <v>257404</v>
      </c>
      <c r="B282" s="18" t="s">
        <v>2193</v>
      </c>
    </row>
    <row r="283" spans="1:2" ht="30">
      <c r="A283" s="17">
        <v>257406</v>
      </c>
      <c r="B283" s="18" t="s">
        <v>2197</v>
      </c>
    </row>
    <row r="284" spans="1:2" ht="90">
      <c r="A284" s="16">
        <v>258367</v>
      </c>
      <c r="B284" s="18" t="s">
        <v>1590</v>
      </c>
    </row>
    <row r="285" spans="1:2" ht="90">
      <c r="A285" s="17">
        <v>258477</v>
      </c>
      <c r="B285" s="18" t="s">
        <v>2202</v>
      </c>
    </row>
    <row r="286" spans="1:2">
      <c r="A286" s="16">
        <v>258484</v>
      </c>
      <c r="B286" s="18" t="s">
        <v>1591</v>
      </c>
    </row>
    <row r="287" spans="1:2" ht="45">
      <c r="A287" s="17">
        <v>258485</v>
      </c>
      <c r="B287" s="18" t="s">
        <v>2205</v>
      </c>
    </row>
    <row r="288" spans="1:2" ht="75">
      <c r="A288" s="17">
        <v>258488</v>
      </c>
      <c r="B288" s="18" t="s">
        <v>2208</v>
      </c>
    </row>
    <row r="289" spans="1:2" ht="60">
      <c r="A289" s="17">
        <v>258492</v>
      </c>
      <c r="B289" s="18" t="s">
        <v>2206</v>
      </c>
    </row>
    <row r="290" spans="1:2" ht="30">
      <c r="A290" s="17">
        <v>258505</v>
      </c>
      <c r="B290" s="18" t="s">
        <v>2211</v>
      </c>
    </row>
    <row r="291" spans="1:2" ht="30">
      <c r="A291" s="16">
        <v>258528</v>
      </c>
      <c r="B291" s="18" t="s">
        <v>1592</v>
      </c>
    </row>
    <row r="292" spans="1:2" ht="105">
      <c r="A292" s="17">
        <v>258529</v>
      </c>
      <c r="B292" s="18" t="s">
        <v>2216</v>
      </c>
    </row>
    <row r="293" spans="1:2" ht="45">
      <c r="A293" s="17">
        <v>258560</v>
      </c>
      <c r="B293" s="18" t="s">
        <v>2385</v>
      </c>
    </row>
    <row r="294" spans="1:2" ht="75">
      <c r="A294" s="17">
        <v>258571</v>
      </c>
      <c r="B294" s="18" t="s">
        <v>2222</v>
      </c>
    </row>
    <row r="295" spans="1:2">
      <c r="A295" s="16">
        <v>258572</v>
      </c>
      <c r="B295" s="18" t="s">
        <v>1593</v>
      </c>
    </row>
    <row r="296" spans="1:2">
      <c r="A296" s="31">
        <v>258606</v>
      </c>
      <c r="B296" s="32"/>
    </row>
    <row r="297" spans="1:2" ht="60">
      <c r="A297" s="17">
        <v>258643</v>
      </c>
      <c r="B297" s="18" t="s">
        <v>2234</v>
      </c>
    </row>
    <row r="298" spans="1:2">
      <c r="A298" s="31">
        <v>258667</v>
      </c>
      <c r="B298" s="32"/>
    </row>
    <row r="299" spans="1:2">
      <c r="A299" s="31">
        <v>258679</v>
      </c>
      <c r="B299" s="32"/>
    </row>
    <row r="300" spans="1:2" ht="75">
      <c r="A300" s="16">
        <v>258720</v>
      </c>
      <c r="B300" s="18" t="s">
        <v>1594</v>
      </c>
    </row>
    <row r="301" spans="1:2" ht="30">
      <c r="A301" s="17">
        <v>258746</v>
      </c>
      <c r="B301" s="18" t="s">
        <v>2386</v>
      </c>
    </row>
    <row r="302" spans="1:2" ht="45">
      <c r="A302" s="17">
        <v>258791</v>
      </c>
      <c r="B302" s="44" t="s">
        <v>2253</v>
      </c>
    </row>
    <row r="303" spans="1:2" ht="45">
      <c r="A303" s="31">
        <v>258798</v>
      </c>
      <c r="B303" s="18" t="s">
        <v>2484</v>
      </c>
    </row>
    <row r="304" spans="1:2" ht="45">
      <c r="A304" s="17">
        <v>258999</v>
      </c>
      <c r="B304" s="18" t="s">
        <v>2273</v>
      </c>
    </row>
    <row r="305" spans="1:2" ht="60">
      <c r="A305" s="31">
        <v>259033</v>
      </c>
      <c r="B305" s="18" t="s">
        <v>2485</v>
      </c>
    </row>
    <row r="306" spans="1:2" ht="45">
      <c r="A306" s="16">
        <v>259051</v>
      </c>
      <c r="B306" s="18" t="s">
        <v>1595</v>
      </c>
    </row>
    <row r="307" spans="1:2" ht="60">
      <c r="A307" s="16">
        <v>259103</v>
      </c>
      <c r="B307" s="18" t="s">
        <v>1596</v>
      </c>
    </row>
    <row r="308" spans="1:2" ht="45">
      <c r="A308" s="17">
        <v>259140</v>
      </c>
      <c r="B308" s="18" t="s">
        <v>2263</v>
      </c>
    </row>
    <row r="309" spans="1:2" ht="60">
      <c r="A309" s="16">
        <v>259145</v>
      </c>
      <c r="B309" s="18" t="s">
        <v>1597</v>
      </c>
    </row>
    <row r="310" spans="1:2" ht="60">
      <c r="A310" s="17">
        <v>259166</v>
      </c>
      <c r="B310" s="18" t="s">
        <v>2272</v>
      </c>
    </row>
    <row r="311" spans="1:2" ht="105">
      <c r="A311" s="17">
        <v>259248</v>
      </c>
      <c r="B311" s="18" t="s">
        <v>2271</v>
      </c>
    </row>
    <row r="312" spans="1:2" ht="30">
      <c r="A312" s="17">
        <v>259273</v>
      </c>
      <c r="B312" s="18" t="s">
        <v>2274</v>
      </c>
    </row>
    <row r="313" spans="1:2" ht="60">
      <c r="A313" s="17">
        <v>259295</v>
      </c>
      <c r="B313" s="18" t="s">
        <v>2275</v>
      </c>
    </row>
    <row r="314" spans="1:2" ht="60">
      <c r="A314" s="31">
        <v>259315</v>
      </c>
      <c r="B314" s="18" t="s">
        <v>2486</v>
      </c>
    </row>
    <row r="315" spans="1:2" ht="30">
      <c r="A315" s="16">
        <v>259407</v>
      </c>
      <c r="B315" s="18" t="s">
        <v>1598</v>
      </c>
    </row>
    <row r="316" spans="1:2" ht="75">
      <c r="A316" s="31">
        <v>259429</v>
      </c>
      <c r="B316" s="18" t="s">
        <v>2487</v>
      </c>
    </row>
    <row r="317" spans="1:2" ht="60">
      <c r="A317" s="17">
        <v>259434</v>
      </c>
      <c r="B317" s="18" t="s">
        <v>2277</v>
      </c>
    </row>
    <row r="318" spans="1:2" ht="30">
      <c r="A318" s="17">
        <v>259482</v>
      </c>
      <c r="B318" s="18" t="s">
        <v>2279</v>
      </c>
    </row>
    <row r="319" spans="1:2" ht="30">
      <c r="A319" s="16">
        <v>259488</v>
      </c>
      <c r="B319" s="18" t="s">
        <v>1599</v>
      </c>
    </row>
    <row r="320" spans="1:2" ht="30">
      <c r="A320" s="16">
        <v>259501</v>
      </c>
      <c r="B320" s="18" t="s">
        <v>1600</v>
      </c>
    </row>
    <row r="321" spans="1:2" ht="45">
      <c r="A321" s="17">
        <v>259505</v>
      </c>
      <c r="B321" s="18" t="s">
        <v>2280</v>
      </c>
    </row>
    <row r="322" spans="1:2" ht="45">
      <c r="A322" s="17">
        <v>259555</v>
      </c>
      <c r="B322" s="22" t="s">
        <v>2065</v>
      </c>
    </row>
    <row r="323" spans="1:2" ht="45">
      <c r="A323" s="16">
        <v>259566</v>
      </c>
      <c r="B323" s="18" t="s">
        <v>1601</v>
      </c>
    </row>
    <row r="324" spans="1:2">
      <c r="A324" s="31">
        <v>259587</v>
      </c>
      <c r="B324" s="32"/>
    </row>
    <row r="325" spans="1:2" ht="60">
      <c r="A325" s="31">
        <v>259593</v>
      </c>
      <c r="B325" s="18" t="s">
        <v>2488</v>
      </c>
    </row>
    <row r="326" spans="1:2" ht="45">
      <c r="A326" s="31">
        <v>259598</v>
      </c>
      <c r="B326" s="18" t="s">
        <v>2489</v>
      </c>
    </row>
    <row r="327" spans="1:2" ht="45">
      <c r="A327" s="17">
        <v>259605</v>
      </c>
      <c r="B327" s="18" t="s">
        <v>2297</v>
      </c>
    </row>
    <row r="328" spans="1:2" ht="30">
      <c r="A328" s="31">
        <v>259610</v>
      </c>
      <c r="B328" s="18" t="s">
        <v>2490</v>
      </c>
    </row>
    <row r="329" spans="1:2" ht="60">
      <c r="A329" s="17">
        <v>259614</v>
      </c>
      <c r="B329" s="18" t="s">
        <v>2298</v>
      </c>
    </row>
    <row r="330" spans="1:2">
      <c r="A330" s="17">
        <v>259721</v>
      </c>
      <c r="B330" s="20" t="s">
        <v>2299</v>
      </c>
    </row>
    <row r="331" spans="1:2" ht="30">
      <c r="A331" s="17">
        <v>259731</v>
      </c>
      <c r="B331" s="18" t="s">
        <v>2302</v>
      </c>
    </row>
    <row r="332" spans="1:2" ht="105">
      <c r="A332" s="16">
        <v>259746</v>
      </c>
      <c r="B332" s="18" t="s">
        <v>1602</v>
      </c>
    </row>
    <row r="333" spans="1:2" ht="30">
      <c r="A333" s="17">
        <v>259774</v>
      </c>
      <c r="B333" s="18" t="s">
        <v>2303</v>
      </c>
    </row>
    <row r="334" spans="1:2" ht="30">
      <c r="A334" s="16">
        <v>259807</v>
      </c>
      <c r="B334" s="18" t="s">
        <v>1603</v>
      </c>
    </row>
    <row r="335" spans="1:2" ht="30">
      <c r="A335" s="31">
        <v>259828</v>
      </c>
      <c r="B335" s="18" t="s">
        <v>2491</v>
      </c>
    </row>
    <row r="336" spans="1:2" ht="45">
      <c r="A336" s="31">
        <v>259850</v>
      </c>
      <c r="B336" s="18" t="s">
        <v>2492</v>
      </c>
    </row>
    <row r="337" spans="1:2" ht="45">
      <c r="A337" s="31">
        <v>259864</v>
      </c>
      <c r="B337" s="18" t="s">
        <v>2493</v>
      </c>
    </row>
    <row r="338" spans="1:2" ht="30">
      <c r="A338" s="31">
        <v>259867</v>
      </c>
      <c r="B338" s="18" t="s">
        <v>2494</v>
      </c>
    </row>
    <row r="339" spans="1:2" ht="30">
      <c r="A339" s="31">
        <v>259877</v>
      </c>
      <c r="B339" s="18" t="s">
        <v>2495</v>
      </c>
    </row>
    <row r="340" spans="1:2">
      <c r="A340" s="17">
        <v>259931</v>
      </c>
      <c r="B340" s="18"/>
    </row>
    <row r="341" spans="1:2" ht="60">
      <c r="A341" s="17">
        <v>259944</v>
      </c>
      <c r="B341" s="18" t="s">
        <v>2307</v>
      </c>
    </row>
    <row r="342" spans="1:2" ht="60">
      <c r="A342" s="31">
        <v>259953</v>
      </c>
      <c r="B342" s="18" t="s">
        <v>2496</v>
      </c>
    </row>
    <row r="343" spans="1:2" ht="45">
      <c r="A343" s="17">
        <v>259972</v>
      </c>
      <c r="B343" s="18" t="s">
        <v>2308</v>
      </c>
    </row>
    <row r="344" spans="1:2">
      <c r="A344" s="17">
        <v>259976</v>
      </c>
      <c r="B344" s="20" t="s">
        <v>2309</v>
      </c>
    </row>
    <row r="345" spans="1:2">
      <c r="A345" s="17">
        <v>259978</v>
      </c>
      <c r="B345" s="20" t="s">
        <v>2310</v>
      </c>
    </row>
    <row r="346" spans="1:2" ht="60">
      <c r="A346" s="17">
        <v>259979</v>
      </c>
      <c r="B346" s="18" t="s">
        <v>2311</v>
      </c>
    </row>
    <row r="347" spans="1:2" ht="30">
      <c r="A347" s="17">
        <v>259984</v>
      </c>
      <c r="B347" s="18" t="s">
        <v>2315</v>
      </c>
    </row>
    <row r="348" spans="1:2" ht="90">
      <c r="A348" s="17">
        <v>259989</v>
      </c>
      <c r="B348" s="18" t="s">
        <v>2316</v>
      </c>
    </row>
    <row r="349" spans="1:2" ht="60">
      <c r="A349" s="17">
        <v>259994</v>
      </c>
      <c r="B349" s="18" t="s">
        <v>2320</v>
      </c>
    </row>
    <row r="350" spans="1:2" ht="60">
      <c r="A350" s="31">
        <v>260046</v>
      </c>
      <c r="B350" s="18" t="s">
        <v>2497</v>
      </c>
    </row>
    <row r="351" spans="1:2">
      <c r="A351" s="17">
        <v>260056</v>
      </c>
      <c r="B351" s="18"/>
    </row>
    <row r="352" spans="1:2" ht="60">
      <c r="A352" s="17">
        <v>260058</v>
      </c>
      <c r="B352" s="18" t="s">
        <v>2326</v>
      </c>
    </row>
    <row r="353" spans="1:2" ht="45">
      <c r="A353" s="17">
        <v>260069</v>
      </c>
      <c r="B353" s="18" t="s">
        <v>2328</v>
      </c>
    </row>
    <row r="354" spans="1:2" ht="60">
      <c r="A354" s="17">
        <v>261532</v>
      </c>
      <c r="B354" s="18" t="s">
        <v>2330</v>
      </c>
    </row>
    <row r="355" spans="1:2">
      <c r="A355" s="17">
        <v>262113</v>
      </c>
      <c r="B355" s="18"/>
    </row>
    <row r="356" spans="1:2" ht="45">
      <c r="A356" s="31">
        <v>262234</v>
      </c>
      <c r="B356" s="32" t="s">
        <v>2498</v>
      </c>
    </row>
    <row r="357" spans="1:2" ht="45">
      <c r="A357" s="17">
        <v>262235</v>
      </c>
      <c r="B357" s="18" t="s">
        <v>2427</v>
      </c>
    </row>
    <row r="358" spans="1:2" ht="30">
      <c r="A358" s="17">
        <v>263699</v>
      </c>
      <c r="B358" s="18" t="s">
        <v>2293</v>
      </c>
    </row>
    <row r="359" spans="1:2" ht="30">
      <c r="A359" s="17">
        <v>263814</v>
      </c>
      <c r="B359" s="18" t="s">
        <v>2331</v>
      </c>
    </row>
    <row r="360" spans="1:2" ht="30">
      <c r="A360" s="16">
        <v>264232</v>
      </c>
      <c r="B360" s="18" t="s">
        <v>1604</v>
      </c>
    </row>
    <row r="361" spans="1:2">
      <c r="A361" s="31">
        <v>264663</v>
      </c>
      <c r="B361" s="32"/>
    </row>
    <row r="362" spans="1:2">
      <c r="A362" s="31">
        <v>265211</v>
      </c>
      <c r="B362" s="32"/>
    </row>
    <row r="363" spans="1:2">
      <c r="A363" s="31">
        <v>267238</v>
      </c>
      <c r="B363" s="32"/>
    </row>
    <row r="364" spans="1:2">
      <c r="A364" s="31">
        <v>267254</v>
      </c>
      <c r="B364" s="32"/>
    </row>
    <row r="365" spans="1:2">
      <c r="A365" s="31">
        <v>271017</v>
      </c>
      <c r="B365" s="32"/>
    </row>
    <row r="366" spans="1:2">
      <c r="A366" s="31">
        <v>271174</v>
      </c>
      <c r="B366" s="32"/>
    </row>
    <row r="367" spans="1:2">
      <c r="A367" s="17">
        <v>272242</v>
      </c>
      <c r="B367" s="20" t="s">
        <v>2390</v>
      </c>
    </row>
    <row r="368" spans="1:2" ht="30">
      <c r="A368" s="17">
        <v>277515</v>
      </c>
      <c r="B368" s="18" t="s">
        <v>2332</v>
      </c>
    </row>
    <row r="369" spans="1:2">
      <c r="A369" s="31">
        <v>278525</v>
      </c>
      <c r="B369" s="32"/>
    </row>
    <row r="370" spans="1:2">
      <c r="A370" s="31">
        <v>280431</v>
      </c>
      <c r="B370" s="32"/>
    </row>
    <row r="371" spans="1:2">
      <c r="A371" s="31">
        <v>280433</v>
      </c>
      <c r="B371" s="32"/>
    </row>
    <row r="372" spans="1:2">
      <c r="A372" s="31">
        <v>281509</v>
      </c>
      <c r="B372" s="32"/>
    </row>
    <row r="373" spans="1:2" ht="165">
      <c r="A373" s="19">
        <v>281733</v>
      </c>
      <c r="B373" s="18" t="s">
        <v>2679</v>
      </c>
    </row>
    <row r="374" spans="1:2">
      <c r="A374" s="16">
        <v>282169</v>
      </c>
      <c r="B374" s="18" t="s">
        <v>1605</v>
      </c>
    </row>
    <row r="375" spans="1:2">
      <c r="A375" s="16">
        <v>285564</v>
      </c>
      <c r="B375" s="18" t="s">
        <v>1606</v>
      </c>
    </row>
    <row r="376" spans="1:2">
      <c r="A376" s="31">
        <v>287597</v>
      </c>
      <c r="B376" s="32"/>
    </row>
    <row r="377" spans="1:2">
      <c r="A377" s="31">
        <v>287708</v>
      </c>
      <c r="B377" s="32"/>
    </row>
    <row r="378" spans="1:2">
      <c r="A378" s="31">
        <v>287990</v>
      </c>
      <c r="B378" s="32"/>
    </row>
    <row r="379" spans="1:2" ht="30">
      <c r="A379" s="19">
        <v>289933</v>
      </c>
      <c r="B379" s="18" t="s">
        <v>2680</v>
      </c>
    </row>
    <row r="380" spans="1:2">
      <c r="A380" s="31">
        <v>289987</v>
      </c>
      <c r="B380" s="32"/>
    </row>
    <row r="381" spans="1:2" ht="45">
      <c r="A381" s="31">
        <v>294237</v>
      </c>
      <c r="B381" s="33" t="s">
        <v>2499</v>
      </c>
    </row>
    <row r="382" spans="1:2">
      <c r="A382" s="31">
        <v>297864</v>
      </c>
      <c r="B382" s="32"/>
    </row>
    <row r="383" spans="1:2">
      <c r="A383" s="31">
        <v>299871</v>
      </c>
      <c r="B383" s="32"/>
    </row>
    <row r="384" spans="1:2">
      <c r="A384" s="31">
        <v>303058</v>
      </c>
      <c r="B384" s="32"/>
    </row>
    <row r="385" spans="1:2">
      <c r="A385" s="31">
        <v>303074</v>
      </c>
      <c r="B385" s="32"/>
    </row>
    <row r="386" spans="1:2">
      <c r="A386" s="31">
        <v>303555</v>
      </c>
      <c r="B386" s="32"/>
    </row>
    <row r="387" spans="1:2">
      <c r="A387" s="31">
        <v>303881</v>
      </c>
      <c r="B387" s="32"/>
    </row>
    <row r="388" spans="1:2">
      <c r="A388" s="31">
        <v>303883</v>
      </c>
      <c r="B388" s="32"/>
    </row>
    <row r="389" spans="1:2">
      <c r="A389" s="31">
        <v>303884</v>
      </c>
      <c r="B389" s="32"/>
    </row>
    <row r="390" spans="1:2">
      <c r="A390" s="31">
        <v>303885</v>
      </c>
      <c r="B390" s="32"/>
    </row>
    <row r="391" spans="1:2">
      <c r="A391" s="31">
        <v>303886</v>
      </c>
      <c r="B391" s="32"/>
    </row>
    <row r="392" spans="1:2" ht="45">
      <c r="A392" s="17">
        <v>303889</v>
      </c>
      <c r="B392" s="18" t="s">
        <v>2045</v>
      </c>
    </row>
    <row r="393" spans="1:2">
      <c r="A393" s="31">
        <v>303890</v>
      </c>
      <c r="B393" s="32"/>
    </row>
    <row r="394" spans="1:2">
      <c r="A394" s="31">
        <v>303894</v>
      </c>
      <c r="B394" s="32"/>
    </row>
    <row r="395" spans="1:2">
      <c r="A395" s="31">
        <v>303895</v>
      </c>
      <c r="B395" s="32"/>
    </row>
    <row r="396" spans="1:2" ht="45">
      <c r="A396" s="16">
        <v>303896</v>
      </c>
      <c r="B396" s="18" t="s">
        <v>1607</v>
      </c>
    </row>
    <row r="397" spans="1:2" ht="30">
      <c r="A397" s="31">
        <v>303898</v>
      </c>
      <c r="B397" s="18" t="s">
        <v>2500</v>
      </c>
    </row>
    <row r="398" spans="1:2" ht="45">
      <c r="A398" s="17">
        <v>303899</v>
      </c>
      <c r="B398" s="18" t="s">
        <v>2046</v>
      </c>
    </row>
    <row r="399" spans="1:2">
      <c r="A399" s="31">
        <v>305625</v>
      </c>
      <c r="B399" s="32"/>
    </row>
    <row r="400" spans="1:2" ht="105">
      <c r="A400" s="19">
        <v>306985</v>
      </c>
      <c r="B400" s="18" t="s">
        <v>2681</v>
      </c>
    </row>
    <row r="401" spans="1:2">
      <c r="A401" s="31">
        <v>317204</v>
      </c>
      <c r="B401" s="32"/>
    </row>
    <row r="402" spans="1:2">
      <c r="A402" s="17">
        <v>319042</v>
      </c>
      <c r="B402" s="18"/>
    </row>
    <row r="403" spans="1:2" ht="30">
      <c r="A403" s="16">
        <v>319801</v>
      </c>
      <c r="B403" s="18" t="s">
        <v>1608</v>
      </c>
    </row>
    <row r="404" spans="1:2">
      <c r="A404" s="17">
        <v>320146</v>
      </c>
      <c r="B404" s="18"/>
    </row>
    <row r="405" spans="1:2">
      <c r="A405" s="17">
        <v>320509</v>
      </c>
      <c r="B405" s="20" t="s">
        <v>2408</v>
      </c>
    </row>
    <row r="406" spans="1:2" ht="45">
      <c r="A406" s="17">
        <v>320515</v>
      </c>
      <c r="B406" s="18" t="s">
        <v>2108</v>
      </c>
    </row>
    <row r="407" spans="1:2" ht="30">
      <c r="A407" s="17">
        <v>320556</v>
      </c>
      <c r="B407" s="18" t="s">
        <v>2333</v>
      </c>
    </row>
    <row r="408" spans="1:2" ht="45">
      <c r="A408" s="17">
        <v>320558</v>
      </c>
      <c r="B408" s="18" t="s">
        <v>2334</v>
      </c>
    </row>
    <row r="409" spans="1:2" ht="30">
      <c r="A409" s="17">
        <v>321750</v>
      </c>
      <c r="B409" s="18" t="s">
        <v>2336</v>
      </c>
    </row>
    <row r="410" spans="1:2" ht="45">
      <c r="A410" s="17">
        <v>321756</v>
      </c>
      <c r="B410" s="18" t="s">
        <v>2338</v>
      </c>
    </row>
    <row r="411" spans="1:2" ht="30">
      <c r="A411" s="19">
        <v>321765</v>
      </c>
      <c r="B411" s="18" t="s">
        <v>2682</v>
      </c>
    </row>
    <row r="412" spans="1:2" ht="30">
      <c r="A412" s="16">
        <v>321887</v>
      </c>
      <c r="B412" s="18" t="s">
        <v>1609</v>
      </c>
    </row>
    <row r="413" spans="1:2" ht="30">
      <c r="A413" s="17">
        <v>321919</v>
      </c>
      <c r="B413" s="18" t="s">
        <v>2341</v>
      </c>
    </row>
    <row r="414" spans="1:2">
      <c r="A414" s="16">
        <v>322001</v>
      </c>
      <c r="B414" s="18" t="s">
        <v>1610</v>
      </c>
    </row>
    <row r="415" spans="1:2" ht="60">
      <c r="A415" s="17">
        <v>322059</v>
      </c>
      <c r="B415" s="18" t="s">
        <v>2342</v>
      </c>
    </row>
    <row r="416" spans="1:2">
      <c r="A416" s="17">
        <v>322212</v>
      </c>
      <c r="B416" s="20" t="s">
        <v>2343</v>
      </c>
    </row>
    <row r="417" spans="1:2" ht="30">
      <c r="A417" s="17">
        <v>322214</v>
      </c>
      <c r="B417" s="22" t="s">
        <v>2344</v>
      </c>
    </row>
    <row r="418" spans="1:2">
      <c r="A418" s="17">
        <v>322260</v>
      </c>
      <c r="B418" s="20" t="s">
        <v>2452</v>
      </c>
    </row>
    <row r="419" spans="1:2" ht="45">
      <c r="A419" s="17">
        <v>322278</v>
      </c>
      <c r="B419" s="18" t="s">
        <v>2345</v>
      </c>
    </row>
    <row r="420" spans="1:2" ht="45">
      <c r="A420" s="17">
        <v>322325</v>
      </c>
      <c r="B420" s="18" t="s">
        <v>2348</v>
      </c>
    </row>
    <row r="421" spans="1:2" ht="45">
      <c r="A421" s="17">
        <v>322463</v>
      </c>
      <c r="B421" s="18" t="s">
        <v>2140</v>
      </c>
    </row>
    <row r="422" spans="1:2" ht="30">
      <c r="A422" s="17">
        <v>322579</v>
      </c>
      <c r="B422" s="22" t="s">
        <v>2346</v>
      </c>
    </row>
    <row r="423" spans="1:2">
      <c r="A423" s="16">
        <v>322581</v>
      </c>
      <c r="B423" s="18" t="s">
        <v>1611</v>
      </c>
    </row>
    <row r="424" spans="1:2" ht="60">
      <c r="A424" s="17">
        <v>322583</v>
      </c>
      <c r="B424" s="18" t="s">
        <v>2012</v>
      </c>
    </row>
    <row r="425" spans="1:2" ht="75">
      <c r="A425" s="17">
        <v>322677</v>
      </c>
      <c r="B425" s="18" t="s">
        <v>2120</v>
      </c>
    </row>
    <row r="426" spans="1:2" ht="30">
      <c r="A426" s="17">
        <v>322729</v>
      </c>
      <c r="B426" s="22" t="s">
        <v>2351</v>
      </c>
    </row>
    <row r="427" spans="1:2">
      <c r="A427" s="16">
        <v>322736</v>
      </c>
      <c r="B427" s="18" t="s">
        <v>1612</v>
      </c>
    </row>
    <row r="428" spans="1:2" ht="45">
      <c r="A428" s="17">
        <v>322747</v>
      </c>
      <c r="B428" s="22" t="s">
        <v>2352</v>
      </c>
    </row>
    <row r="429" spans="1:2">
      <c r="A429" s="16">
        <v>322799</v>
      </c>
      <c r="B429" s="18" t="s">
        <v>1613</v>
      </c>
    </row>
    <row r="430" spans="1:2" ht="30">
      <c r="A430" s="16">
        <v>322887</v>
      </c>
      <c r="B430" s="18" t="s">
        <v>1614</v>
      </c>
    </row>
    <row r="431" spans="1:2">
      <c r="A431" s="17">
        <v>322931</v>
      </c>
      <c r="B431" s="18"/>
    </row>
    <row r="432" spans="1:2">
      <c r="A432" s="16">
        <v>322954</v>
      </c>
      <c r="B432" s="18" t="s">
        <v>1615</v>
      </c>
    </row>
    <row r="433" spans="1:2" ht="30">
      <c r="A433" s="17">
        <v>322981</v>
      </c>
      <c r="B433" s="22" t="s">
        <v>2354</v>
      </c>
    </row>
    <row r="434" spans="1:2" ht="30">
      <c r="A434" s="16">
        <v>322989</v>
      </c>
      <c r="B434" s="18" t="s">
        <v>1616</v>
      </c>
    </row>
    <row r="435" spans="1:2">
      <c r="A435" s="16">
        <v>322999</v>
      </c>
      <c r="B435" s="18"/>
    </row>
    <row r="436" spans="1:2" ht="30">
      <c r="A436" s="17">
        <v>323003</v>
      </c>
      <c r="B436" s="18" t="s">
        <v>2124</v>
      </c>
    </row>
    <row r="437" spans="1:2">
      <c r="A437" s="16">
        <v>323039</v>
      </c>
      <c r="B437" s="18" t="s">
        <v>1617</v>
      </c>
    </row>
    <row r="438" spans="1:2">
      <c r="A438" s="16">
        <v>323043</v>
      </c>
      <c r="B438" s="18" t="s">
        <v>1618</v>
      </c>
    </row>
    <row r="439" spans="1:2">
      <c r="A439" s="16">
        <v>323061</v>
      </c>
      <c r="B439" s="18" t="s">
        <v>1619</v>
      </c>
    </row>
    <row r="440" spans="1:2">
      <c r="A440" s="31">
        <v>323115</v>
      </c>
      <c r="B440" s="32"/>
    </row>
    <row r="441" spans="1:2">
      <c r="A441" s="16">
        <v>323121</v>
      </c>
      <c r="B441" s="18" t="s">
        <v>1620</v>
      </c>
    </row>
    <row r="442" spans="1:2" ht="45">
      <c r="A442" s="17">
        <v>323152</v>
      </c>
      <c r="B442" s="18" t="s">
        <v>2117</v>
      </c>
    </row>
    <row r="443" spans="1:2">
      <c r="A443" s="17">
        <v>323165</v>
      </c>
      <c r="B443" s="18"/>
    </row>
    <row r="444" spans="1:2" ht="30">
      <c r="A444" s="16">
        <v>323222</v>
      </c>
      <c r="B444" s="18" t="s">
        <v>1621</v>
      </c>
    </row>
    <row r="445" spans="1:2">
      <c r="A445" s="16">
        <v>323263</v>
      </c>
      <c r="B445" s="18" t="s">
        <v>1622</v>
      </c>
    </row>
    <row r="446" spans="1:2" ht="30">
      <c r="A446" s="17">
        <v>323266</v>
      </c>
      <c r="B446" s="18" t="s">
        <v>2355</v>
      </c>
    </row>
    <row r="447" spans="1:2">
      <c r="A447" s="31">
        <v>323612</v>
      </c>
      <c r="B447" s="20" t="s">
        <v>2501</v>
      </c>
    </row>
    <row r="448" spans="1:2">
      <c r="A448" s="31">
        <v>323613</v>
      </c>
      <c r="B448" s="20" t="s">
        <v>2502</v>
      </c>
    </row>
    <row r="449" spans="1:2">
      <c r="A449" s="31">
        <v>323614</v>
      </c>
      <c r="B449" s="33" t="s">
        <v>2503</v>
      </c>
    </row>
    <row r="450" spans="1:2" ht="60">
      <c r="A450" s="31">
        <v>323615</v>
      </c>
      <c r="B450" s="18" t="s">
        <v>2504</v>
      </c>
    </row>
    <row r="451" spans="1:2" ht="30">
      <c r="A451" s="31">
        <v>323616</v>
      </c>
      <c r="B451" s="18" t="s">
        <v>2505</v>
      </c>
    </row>
    <row r="452" spans="1:2" ht="75">
      <c r="A452" s="31">
        <v>323617</v>
      </c>
      <c r="B452" s="18" t="s">
        <v>2506</v>
      </c>
    </row>
    <row r="453" spans="1:2" ht="90">
      <c r="A453" s="38">
        <v>323619</v>
      </c>
      <c r="B453" s="18" t="s">
        <v>2683</v>
      </c>
    </row>
    <row r="454" spans="1:2">
      <c r="A454" s="31">
        <v>324110</v>
      </c>
      <c r="B454" s="32"/>
    </row>
    <row r="455" spans="1:2">
      <c r="A455" s="16">
        <v>324256</v>
      </c>
      <c r="B455" s="18" t="s">
        <v>1623</v>
      </c>
    </row>
    <row r="456" spans="1:2">
      <c r="A456" s="31">
        <v>325208</v>
      </c>
      <c r="B456" s="32"/>
    </row>
    <row r="457" spans="1:2">
      <c r="A457" s="17">
        <v>325285</v>
      </c>
      <c r="B457" s="20" t="s">
        <v>2407</v>
      </c>
    </row>
    <row r="458" spans="1:2" ht="45">
      <c r="A458" s="17">
        <v>325307</v>
      </c>
      <c r="B458" s="18" t="s">
        <v>2372</v>
      </c>
    </row>
    <row r="459" spans="1:2">
      <c r="A459" s="31">
        <v>325379</v>
      </c>
      <c r="B459" s="32"/>
    </row>
    <row r="460" spans="1:2">
      <c r="A460" s="31">
        <v>325425</v>
      </c>
      <c r="B460" s="32"/>
    </row>
    <row r="461" spans="1:2">
      <c r="A461" s="31">
        <v>325566</v>
      </c>
      <c r="B461" s="32"/>
    </row>
    <row r="462" spans="1:2" ht="105">
      <c r="A462" s="16">
        <v>328182</v>
      </c>
      <c r="B462" s="18" t="s">
        <v>1624</v>
      </c>
    </row>
    <row r="463" spans="1:2" ht="45">
      <c r="A463" s="17">
        <v>328220</v>
      </c>
      <c r="B463" s="18" t="s">
        <v>2356</v>
      </c>
    </row>
    <row r="464" spans="1:2">
      <c r="A464" s="17">
        <v>328233</v>
      </c>
      <c r="B464" s="20" t="s">
        <v>2357</v>
      </c>
    </row>
    <row r="465" spans="1:2" ht="45">
      <c r="A465" s="17">
        <v>328261</v>
      </c>
      <c r="B465" s="18" t="s">
        <v>2358</v>
      </c>
    </row>
    <row r="466" spans="1:2">
      <c r="A466" s="17">
        <v>328278</v>
      </c>
      <c r="B466" s="20" t="s">
        <v>2359</v>
      </c>
    </row>
    <row r="467" spans="1:2" ht="30">
      <c r="A467" s="17">
        <v>328287</v>
      </c>
      <c r="B467" s="18" t="s">
        <v>2361</v>
      </c>
    </row>
    <row r="468" spans="1:2" ht="45">
      <c r="A468" s="17">
        <v>328366</v>
      </c>
      <c r="B468" s="18" t="s">
        <v>2363</v>
      </c>
    </row>
    <row r="469" spans="1:2" ht="30">
      <c r="A469" s="17">
        <v>328381</v>
      </c>
      <c r="B469" s="18" t="s">
        <v>2362</v>
      </c>
    </row>
    <row r="470" spans="1:2" ht="30">
      <c r="A470" s="17">
        <v>328432</v>
      </c>
      <c r="B470" s="18" t="s">
        <v>2364</v>
      </c>
    </row>
    <row r="471" spans="1:2" ht="30">
      <c r="A471" s="17">
        <v>328453</v>
      </c>
      <c r="B471" s="18" t="s">
        <v>2365</v>
      </c>
    </row>
    <row r="472" spans="1:2" ht="30">
      <c r="A472" s="17">
        <v>328491</v>
      </c>
      <c r="B472" s="18" t="s">
        <v>2366</v>
      </c>
    </row>
    <row r="473" spans="1:2">
      <c r="A473" s="17">
        <v>328855</v>
      </c>
      <c r="B473" s="20" t="s">
        <v>2367</v>
      </c>
    </row>
    <row r="474" spans="1:2" ht="30">
      <c r="A474" s="17">
        <v>328899</v>
      </c>
      <c r="B474" s="22" t="s">
        <v>2360</v>
      </c>
    </row>
    <row r="475" spans="1:2" ht="30">
      <c r="A475" s="17">
        <v>328901</v>
      </c>
      <c r="B475" s="18" t="s">
        <v>2368</v>
      </c>
    </row>
    <row r="476" spans="1:2" ht="30">
      <c r="A476" s="17">
        <v>328922</v>
      </c>
      <c r="B476" s="18" t="s">
        <v>2369</v>
      </c>
    </row>
    <row r="477" spans="1:2">
      <c r="A477" s="17">
        <v>328993</v>
      </c>
      <c r="B477" s="20" t="s">
        <v>2370</v>
      </c>
    </row>
    <row r="478" spans="1:2">
      <c r="A478" s="17">
        <v>329013</v>
      </c>
      <c r="B478" s="20" t="s">
        <v>2371</v>
      </c>
    </row>
    <row r="479" spans="1:2" ht="30">
      <c r="A479" s="17">
        <v>329018</v>
      </c>
      <c r="B479" s="18" t="s">
        <v>2129</v>
      </c>
    </row>
    <row r="480" spans="1:2">
      <c r="A480" s="17">
        <v>329034</v>
      </c>
      <c r="B480" s="20" t="s">
        <v>2373</v>
      </c>
    </row>
    <row r="481" spans="1:2" ht="30">
      <c r="A481" s="17">
        <v>329046</v>
      </c>
      <c r="B481" s="18" t="s">
        <v>2374</v>
      </c>
    </row>
    <row r="482" spans="1:2" ht="60">
      <c r="A482" s="17">
        <v>329068</v>
      </c>
      <c r="B482" s="18" t="s">
        <v>2375</v>
      </c>
    </row>
    <row r="483" spans="1:2" ht="30">
      <c r="A483" s="17">
        <v>329076</v>
      </c>
      <c r="B483" s="18" t="s">
        <v>2382</v>
      </c>
    </row>
    <row r="484" spans="1:2" ht="45">
      <c r="A484" s="17">
        <v>329082</v>
      </c>
      <c r="B484" s="18" t="s">
        <v>2125</v>
      </c>
    </row>
    <row r="485" spans="1:2" ht="30">
      <c r="A485" s="17">
        <v>329092</v>
      </c>
      <c r="B485" s="18" t="s">
        <v>2383</v>
      </c>
    </row>
    <row r="486" spans="1:2" ht="30">
      <c r="A486" s="17">
        <v>329593</v>
      </c>
      <c r="B486" s="18" t="s">
        <v>2387</v>
      </c>
    </row>
    <row r="487" spans="1:2" ht="45">
      <c r="A487" s="17">
        <v>329595</v>
      </c>
      <c r="B487" s="18" t="s">
        <v>2388</v>
      </c>
    </row>
    <row r="488" spans="1:2" ht="30">
      <c r="A488" s="17">
        <v>329607</v>
      </c>
      <c r="B488" s="18" t="s">
        <v>2389</v>
      </c>
    </row>
    <row r="489" spans="1:2">
      <c r="A489" s="17">
        <v>329611</v>
      </c>
      <c r="B489" s="18"/>
    </row>
    <row r="490" spans="1:2">
      <c r="A490" s="17">
        <v>329618</v>
      </c>
      <c r="B490" s="18"/>
    </row>
    <row r="491" spans="1:2" ht="30">
      <c r="A491" s="19">
        <v>329663</v>
      </c>
      <c r="B491" s="18" t="s">
        <v>2684</v>
      </c>
    </row>
    <row r="492" spans="1:2" ht="45">
      <c r="A492" s="17">
        <v>329695</v>
      </c>
      <c r="B492" s="18" t="s">
        <v>2393</v>
      </c>
    </row>
    <row r="493" spans="1:2" ht="75">
      <c r="A493" s="31">
        <v>329698</v>
      </c>
      <c r="B493" s="18" t="s">
        <v>2507</v>
      </c>
    </row>
    <row r="494" spans="1:2" ht="30">
      <c r="A494" s="17">
        <v>329709</v>
      </c>
      <c r="B494" s="18" t="s">
        <v>2212</v>
      </c>
    </row>
    <row r="495" spans="1:2" ht="60">
      <c r="A495" s="17">
        <v>329712</v>
      </c>
      <c r="B495" s="18" t="s">
        <v>2402</v>
      </c>
    </row>
    <row r="496" spans="1:2" ht="30">
      <c r="A496" s="17">
        <v>329970</v>
      </c>
      <c r="B496" s="18" t="s">
        <v>2401</v>
      </c>
    </row>
    <row r="497" spans="1:2" ht="30">
      <c r="A497" s="17">
        <v>330035</v>
      </c>
      <c r="B497" s="18" t="s">
        <v>2134</v>
      </c>
    </row>
    <row r="498" spans="1:2" ht="45">
      <c r="A498" s="17">
        <v>330063</v>
      </c>
      <c r="B498" s="18" t="s">
        <v>2406</v>
      </c>
    </row>
    <row r="499" spans="1:2">
      <c r="A499" s="17">
        <v>330077</v>
      </c>
      <c r="B499" s="18"/>
    </row>
    <row r="500" spans="1:2">
      <c r="A500" s="17">
        <v>330079</v>
      </c>
      <c r="B500" s="20" t="s">
        <v>2403</v>
      </c>
    </row>
    <row r="501" spans="1:2" ht="30">
      <c r="A501" s="17">
        <v>330080</v>
      </c>
      <c r="B501" s="18" t="s">
        <v>2404</v>
      </c>
    </row>
    <row r="502" spans="1:2" ht="30">
      <c r="A502" s="17">
        <v>330132</v>
      </c>
      <c r="B502" s="18" t="s">
        <v>2405</v>
      </c>
    </row>
    <row r="503" spans="1:2" ht="75">
      <c r="A503" s="17">
        <v>330133</v>
      </c>
      <c r="B503" s="18" t="s">
        <v>2409</v>
      </c>
    </row>
    <row r="504" spans="1:2">
      <c r="A504" s="17">
        <v>330193</v>
      </c>
      <c r="B504" s="20" t="s">
        <v>2417</v>
      </c>
    </row>
    <row r="505" spans="1:2" ht="30">
      <c r="A505" s="17">
        <v>330198</v>
      </c>
      <c r="B505" s="18" t="s">
        <v>2418</v>
      </c>
    </row>
    <row r="506" spans="1:2" ht="45">
      <c r="A506" s="17">
        <v>330201</v>
      </c>
      <c r="B506" s="18" t="s">
        <v>2419</v>
      </c>
    </row>
    <row r="507" spans="1:2" ht="45">
      <c r="A507" s="17">
        <v>330207</v>
      </c>
      <c r="B507" s="18" t="s">
        <v>2420</v>
      </c>
    </row>
    <row r="508" spans="1:2" ht="75">
      <c r="A508" s="16">
        <v>330209</v>
      </c>
      <c r="B508" s="18" t="s">
        <v>1625</v>
      </c>
    </row>
    <row r="509" spans="1:2" ht="60">
      <c r="A509" s="17">
        <v>330249</v>
      </c>
      <c r="B509" s="18" t="s">
        <v>2416</v>
      </c>
    </row>
    <row r="510" spans="1:2">
      <c r="A510" s="17">
        <v>330255</v>
      </c>
      <c r="B510" s="20" t="s">
        <v>2414</v>
      </c>
    </row>
    <row r="511" spans="1:2" ht="60">
      <c r="A511" s="17">
        <v>330264</v>
      </c>
      <c r="B511" s="18" t="s">
        <v>2428</v>
      </c>
    </row>
    <row r="512" spans="1:2" ht="30">
      <c r="A512" s="19">
        <v>330274</v>
      </c>
      <c r="B512" s="18" t="s">
        <v>2685</v>
      </c>
    </row>
    <row r="513" spans="1:2">
      <c r="A513" s="31">
        <v>330280</v>
      </c>
      <c r="B513" s="32"/>
    </row>
    <row r="514" spans="1:2">
      <c r="A514" s="17">
        <v>330282</v>
      </c>
      <c r="B514" s="20" t="s">
        <v>2430</v>
      </c>
    </row>
    <row r="515" spans="1:2" ht="60">
      <c r="A515" s="16">
        <v>330294</v>
      </c>
      <c r="B515" s="18" t="s">
        <v>1626</v>
      </c>
    </row>
    <row r="516" spans="1:2" ht="30">
      <c r="A516" s="17">
        <v>330312</v>
      </c>
      <c r="B516" s="18" t="s">
        <v>2431</v>
      </c>
    </row>
    <row r="517" spans="1:2">
      <c r="A517" s="17">
        <v>330320</v>
      </c>
      <c r="B517" s="18"/>
    </row>
    <row r="518" spans="1:2" ht="30">
      <c r="A518" s="17">
        <v>330358</v>
      </c>
      <c r="B518" s="18" t="s">
        <v>2432</v>
      </c>
    </row>
    <row r="519" spans="1:2">
      <c r="A519" s="16">
        <v>330369</v>
      </c>
      <c r="B519" s="18" t="s">
        <v>1627</v>
      </c>
    </row>
    <row r="520" spans="1:2">
      <c r="A520" s="19">
        <v>330401</v>
      </c>
      <c r="B520" s="18" t="s">
        <v>2686</v>
      </c>
    </row>
    <row r="521" spans="1:2" ht="45">
      <c r="A521" s="17">
        <v>330426</v>
      </c>
      <c r="B521" s="18" t="s">
        <v>2433</v>
      </c>
    </row>
    <row r="522" spans="1:2">
      <c r="A522" s="31">
        <v>330427</v>
      </c>
      <c r="B522" s="32"/>
    </row>
    <row r="523" spans="1:2" ht="60">
      <c r="A523" s="17">
        <v>330544</v>
      </c>
      <c r="B523" s="18" t="s">
        <v>2434</v>
      </c>
    </row>
    <row r="524" spans="1:2" ht="45">
      <c r="A524" s="17">
        <v>330555</v>
      </c>
      <c r="B524" s="18" t="s">
        <v>2435</v>
      </c>
    </row>
    <row r="525" spans="1:2" ht="45">
      <c r="A525" s="16">
        <v>330575</v>
      </c>
      <c r="B525" s="18" t="s">
        <v>1628</v>
      </c>
    </row>
    <row r="526" spans="1:2" ht="45">
      <c r="A526" s="31">
        <v>330719</v>
      </c>
      <c r="B526" s="18" t="s">
        <v>2597</v>
      </c>
    </row>
    <row r="527" spans="1:2">
      <c r="A527" s="31">
        <v>330791</v>
      </c>
      <c r="B527" s="32"/>
    </row>
    <row r="528" spans="1:2" ht="30">
      <c r="A528" s="19">
        <v>330864</v>
      </c>
      <c r="B528" s="18" t="s">
        <v>2687</v>
      </c>
    </row>
    <row r="529" spans="1:2" ht="45">
      <c r="A529" s="17">
        <v>330874</v>
      </c>
      <c r="B529" s="18" t="s">
        <v>2022</v>
      </c>
    </row>
    <row r="530" spans="1:2">
      <c r="A530" s="31">
        <v>330939</v>
      </c>
      <c r="B530" s="32"/>
    </row>
    <row r="531" spans="1:2">
      <c r="A531" s="16">
        <v>331035</v>
      </c>
      <c r="B531" s="18" t="s">
        <v>1629</v>
      </c>
    </row>
    <row r="532" spans="1:2" ht="30">
      <c r="A532" s="31">
        <v>331063</v>
      </c>
      <c r="B532" s="18" t="s">
        <v>2610</v>
      </c>
    </row>
    <row r="533" spans="1:2">
      <c r="A533" s="31">
        <v>331239</v>
      </c>
      <c r="B533" s="32"/>
    </row>
    <row r="534" spans="1:2" ht="60">
      <c r="A534" s="16">
        <v>331252</v>
      </c>
      <c r="B534" s="18" t="s">
        <v>1630</v>
      </c>
    </row>
    <row r="535" spans="1:2">
      <c r="A535" s="16">
        <v>331265</v>
      </c>
      <c r="B535" s="18" t="s">
        <v>1631</v>
      </c>
    </row>
    <row r="536" spans="1:2" ht="60">
      <c r="A536" s="31">
        <v>331404</v>
      </c>
      <c r="B536" s="18" t="s">
        <v>2508</v>
      </c>
    </row>
    <row r="537" spans="1:2" ht="75">
      <c r="A537" s="31">
        <v>331411</v>
      </c>
      <c r="B537" s="32" t="s">
        <v>2509</v>
      </c>
    </row>
    <row r="538" spans="1:2" ht="30">
      <c r="A538" s="16">
        <v>331414</v>
      </c>
      <c r="B538" s="18" t="s">
        <v>1632</v>
      </c>
    </row>
    <row r="539" spans="1:2" ht="60">
      <c r="A539" s="17">
        <v>331426</v>
      </c>
      <c r="B539" s="18" t="s">
        <v>2286</v>
      </c>
    </row>
    <row r="540" spans="1:2">
      <c r="A540" s="31">
        <v>331485</v>
      </c>
      <c r="B540" s="32"/>
    </row>
    <row r="541" spans="1:2">
      <c r="A541" s="19">
        <v>331504</v>
      </c>
      <c r="B541" s="18" t="s">
        <v>2688</v>
      </c>
    </row>
    <row r="542" spans="1:2">
      <c r="A542" s="31">
        <v>333038</v>
      </c>
      <c r="B542" s="18"/>
    </row>
    <row r="543" spans="1:2">
      <c r="A543" s="31">
        <v>333077</v>
      </c>
      <c r="B543" s="32"/>
    </row>
    <row r="544" spans="1:2">
      <c r="A544" s="31">
        <v>333079</v>
      </c>
      <c r="B544" s="32"/>
    </row>
    <row r="545" spans="1:2">
      <c r="A545" s="31">
        <v>333100</v>
      </c>
      <c r="B545" s="32"/>
    </row>
    <row r="546" spans="1:2">
      <c r="A546" s="31">
        <v>333136</v>
      </c>
      <c r="B546" s="32"/>
    </row>
    <row r="547" spans="1:2">
      <c r="A547" s="31">
        <v>333139</v>
      </c>
      <c r="B547" s="32"/>
    </row>
    <row r="548" spans="1:2" ht="30">
      <c r="A548" s="17">
        <v>333148</v>
      </c>
      <c r="B548" s="18" t="s">
        <v>2028</v>
      </c>
    </row>
    <row r="549" spans="1:2">
      <c r="A549" s="31">
        <v>333150</v>
      </c>
      <c r="B549" s="32"/>
    </row>
    <row r="550" spans="1:2">
      <c r="A550" s="31">
        <v>333402</v>
      </c>
      <c r="B550" s="32"/>
    </row>
    <row r="551" spans="1:2">
      <c r="A551" s="31">
        <v>333407</v>
      </c>
      <c r="B551" s="32"/>
    </row>
    <row r="552" spans="1:2">
      <c r="A552" s="31">
        <v>333422</v>
      </c>
      <c r="B552" s="32"/>
    </row>
    <row r="553" spans="1:2">
      <c r="A553" s="31">
        <v>333498</v>
      </c>
      <c r="B553" s="32"/>
    </row>
    <row r="554" spans="1:2" ht="45">
      <c r="A554" s="17">
        <v>334008</v>
      </c>
      <c r="B554" s="18" t="s">
        <v>2034</v>
      </c>
    </row>
    <row r="555" spans="1:2" ht="30">
      <c r="A555" s="16">
        <v>334184</v>
      </c>
      <c r="B555" s="18" t="s">
        <v>1633</v>
      </c>
    </row>
    <row r="556" spans="1:2">
      <c r="A556" s="31">
        <v>334395</v>
      </c>
      <c r="B556" s="32"/>
    </row>
    <row r="557" spans="1:2">
      <c r="A557" s="17">
        <v>334405</v>
      </c>
      <c r="B557" s="18"/>
    </row>
    <row r="558" spans="1:2" ht="75">
      <c r="A558" s="17">
        <v>335235</v>
      </c>
      <c r="B558" s="18" t="s">
        <v>2029</v>
      </c>
    </row>
    <row r="559" spans="1:2" ht="45">
      <c r="A559" s="17">
        <v>335266</v>
      </c>
      <c r="B559" s="18" t="s">
        <v>2032</v>
      </c>
    </row>
    <row r="560" spans="1:2" ht="90">
      <c r="A560" s="16">
        <v>335427</v>
      </c>
      <c r="B560" s="18" t="s">
        <v>1634</v>
      </c>
    </row>
    <row r="561" spans="1:2">
      <c r="A561" s="17">
        <v>335452</v>
      </c>
      <c r="B561" s="20" t="s">
        <v>2033</v>
      </c>
    </row>
    <row r="562" spans="1:2" ht="45">
      <c r="A562" s="17">
        <v>335455</v>
      </c>
      <c r="B562" s="18" t="s">
        <v>2037</v>
      </c>
    </row>
    <row r="563" spans="1:2">
      <c r="A563" s="31">
        <v>335478</v>
      </c>
      <c r="B563" s="32"/>
    </row>
    <row r="564" spans="1:2" ht="30">
      <c r="A564" s="17">
        <v>335502</v>
      </c>
      <c r="B564" s="18" t="s">
        <v>2038</v>
      </c>
    </row>
    <row r="565" spans="1:2">
      <c r="A565" s="31">
        <v>335519</v>
      </c>
      <c r="B565" s="32"/>
    </row>
    <row r="566" spans="1:2">
      <c r="A566" s="31">
        <v>335521</v>
      </c>
      <c r="B566" s="32"/>
    </row>
    <row r="567" spans="1:2">
      <c r="A567" s="31">
        <v>335542</v>
      </c>
      <c r="B567" s="32"/>
    </row>
    <row r="568" spans="1:2" ht="90">
      <c r="A568" s="16">
        <v>335758</v>
      </c>
      <c r="B568" s="18" t="s">
        <v>1635</v>
      </c>
    </row>
    <row r="569" spans="1:2">
      <c r="A569" s="17">
        <v>335781</v>
      </c>
      <c r="B569" s="18"/>
    </row>
    <row r="570" spans="1:2">
      <c r="A570" s="31">
        <v>336211</v>
      </c>
      <c r="B570" s="32"/>
    </row>
    <row r="571" spans="1:2">
      <c r="A571" s="31">
        <v>336265</v>
      </c>
      <c r="B571" s="32"/>
    </row>
    <row r="572" spans="1:2" ht="45">
      <c r="A572" s="17">
        <v>336377</v>
      </c>
      <c r="B572" s="18" t="s">
        <v>2050</v>
      </c>
    </row>
    <row r="573" spans="1:2" ht="30">
      <c r="A573" s="16">
        <v>336429</v>
      </c>
      <c r="B573" s="18" t="s">
        <v>1636</v>
      </c>
    </row>
    <row r="574" spans="1:2">
      <c r="A574" s="31">
        <v>336865</v>
      </c>
      <c r="B574" s="32"/>
    </row>
    <row r="575" spans="1:2" ht="45">
      <c r="A575" s="17">
        <v>338426</v>
      </c>
      <c r="B575" s="18" t="s">
        <v>2054</v>
      </c>
    </row>
    <row r="576" spans="1:2">
      <c r="A576" s="31">
        <v>339611</v>
      </c>
      <c r="B576" s="32"/>
    </row>
    <row r="577" spans="1:2">
      <c r="A577" s="31">
        <v>340270</v>
      </c>
      <c r="B577" s="32"/>
    </row>
    <row r="578" spans="1:2">
      <c r="A578" s="31">
        <v>341096</v>
      </c>
      <c r="B578" s="32"/>
    </row>
    <row r="579" spans="1:2" ht="30">
      <c r="A579" s="16">
        <v>341197</v>
      </c>
      <c r="B579" s="18" t="s">
        <v>1637</v>
      </c>
    </row>
    <row r="580" spans="1:2">
      <c r="A580" s="31">
        <v>341265</v>
      </c>
      <c r="B580" s="32"/>
    </row>
    <row r="581" spans="1:2">
      <c r="A581" s="31">
        <v>341883</v>
      </c>
      <c r="B581" s="32"/>
    </row>
    <row r="582" spans="1:2">
      <c r="A582" s="31">
        <v>342558</v>
      </c>
      <c r="B582" s="32"/>
    </row>
    <row r="583" spans="1:2">
      <c r="A583" s="31">
        <v>342847</v>
      </c>
      <c r="B583" s="32"/>
    </row>
    <row r="584" spans="1:2">
      <c r="A584" s="31">
        <v>344037</v>
      </c>
      <c r="B584" s="32"/>
    </row>
    <row r="585" spans="1:2">
      <c r="A585" s="31">
        <v>344039</v>
      </c>
      <c r="B585" s="32"/>
    </row>
    <row r="586" spans="1:2">
      <c r="A586" s="31">
        <v>344396</v>
      </c>
      <c r="B586" s="18"/>
    </row>
    <row r="587" spans="1:2">
      <c r="A587" s="17">
        <v>344400</v>
      </c>
      <c r="B587" s="44"/>
    </row>
    <row r="588" spans="1:2" ht="45">
      <c r="A588" s="19">
        <v>347365</v>
      </c>
      <c r="B588" s="18" t="s">
        <v>2689</v>
      </c>
    </row>
    <row r="589" spans="1:2">
      <c r="A589" s="31">
        <v>347909</v>
      </c>
      <c r="B589" s="32"/>
    </row>
    <row r="590" spans="1:2" ht="30">
      <c r="A590" s="31">
        <v>352383</v>
      </c>
      <c r="B590" s="18" t="s">
        <v>2510</v>
      </c>
    </row>
    <row r="591" spans="1:2" ht="45">
      <c r="A591" s="25">
        <v>352640</v>
      </c>
      <c r="B591" s="26" t="s">
        <v>2107</v>
      </c>
    </row>
    <row r="592" spans="1:2" ht="75">
      <c r="A592" s="19">
        <v>353083</v>
      </c>
      <c r="B592" s="18" t="s">
        <v>2690</v>
      </c>
    </row>
    <row r="593" spans="1:2">
      <c r="A593" s="31">
        <v>353098</v>
      </c>
      <c r="B593" s="32"/>
    </row>
    <row r="594" spans="1:2" ht="45">
      <c r="A594" s="31">
        <v>353828</v>
      </c>
      <c r="B594" s="18" t="s">
        <v>2511</v>
      </c>
    </row>
    <row r="595" spans="1:2" ht="75">
      <c r="A595" s="19">
        <v>354066</v>
      </c>
      <c r="B595" s="18" t="s">
        <v>2691</v>
      </c>
    </row>
    <row r="596" spans="1:2" ht="135">
      <c r="A596" s="31">
        <v>354067</v>
      </c>
      <c r="B596" s="18" t="s">
        <v>2512</v>
      </c>
    </row>
    <row r="597" spans="1:2" ht="135">
      <c r="A597" s="19">
        <v>354068</v>
      </c>
      <c r="B597" s="18" t="s">
        <v>2692</v>
      </c>
    </row>
    <row r="598" spans="1:2" ht="90">
      <c r="A598" s="19">
        <v>354069</v>
      </c>
      <c r="B598" s="18" t="s">
        <v>2693</v>
      </c>
    </row>
    <row r="599" spans="1:2" ht="90">
      <c r="A599" s="19">
        <v>354070</v>
      </c>
      <c r="B599" s="18" t="s">
        <v>2694</v>
      </c>
    </row>
    <row r="600" spans="1:2" ht="90">
      <c r="A600" s="31">
        <v>354071</v>
      </c>
      <c r="B600" s="18" t="s">
        <v>2513</v>
      </c>
    </row>
    <row r="601" spans="1:2" ht="90">
      <c r="A601" s="19">
        <v>354072</v>
      </c>
      <c r="B601" s="18" t="s">
        <v>2695</v>
      </c>
    </row>
    <row r="602" spans="1:2" ht="45">
      <c r="A602" s="16">
        <v>357080</v>
      </c>
      <c r="B602" s="18" t="s">
        <v>1638</v>
      </c>
    </row>
    <row r="603" spans="1:2" ht="60">
      <c r="A603" s="17">
        <v>357115</v>
      </c>
      <c r="B603" s="18" t="s">
        <v>2132</v>
      </c>
    </row>
    <row r="604" spans="1:2" ht="30">
      <c r="A604" s="16">
        <v>357297</v>
      </c>
      <c r="B604" s="18" t="s">
        <v>1639</v>
      </c>
    </row>
    <row r="605" spans="1:2">
      <c r="A605" s="31">
        <v>357302</v>
      </c>
      <c r="B605" s="32"/>
    </row>
    <row r="606" spans="1:2" ht="60">
      <c r="A606" s="16">
        <v>359987</v>
      </c>
      <c r="B606" s="18" t="s">
        <v>1640</v>
      </c>
    </row>
    <row r="607" spans="1:2">
      <c r="A607" s="31">
        <v>362775</v>
      </c>
      <c r="B607" s="32"/>
    </row>
    <row r="608" spans="1:2">
      <c r="A608" s="31">
        <v>363775</v>
      </c>
      <c r="B608" s="32"/>
    </row>
    <row r="609" spans="1:2">
      <c r="A609" s="31">
        <v>364155</v>
      </c>
      <c r="B609" s="32"/>
    </row>
    <row r="610" spans="1:2">
      <c r="A610" s="17">
        <v>367114</v>
      </c>
      <c r="B610" s="20" t="s">
        <v>2436</v>
      </c>
    </row>
    <row r="611" spans="1:2" ht="30">
      <c r="A611" s="17">
        <v>367193</v>
      </c>
      <c r="B611" s="18" t="s">
        <v>2421</v>
      </c>
    </row>
    <row r="612" spans="1:2" ht="90">
      <c r="A612" s="16">
        <v>367255</v>
      </c>
      <c r="B612" s="18" t="s">
        <v>1641</v>
      </c>
    </row>
    <row r="613" spans="1:2" ht="30">
      <c r="A613" s="17">
        <v>367256</v>
      </c>
      <c r="B613" s="18" t="s">
        <v>2438</v>
      </c>
    </row>
    <row r="614" spans="1:2" ht="60">
      <c r="A614" s="17">
        <v>367269</v>
      </c>
      <c r="B614" s="18" t="s">
        <v>2439</v>
      </c>
    </row>
    <row r="615" spans="1:2" ht="30">
      <c r="A615" s="17">
        <v>367270</v>
      </c>
      <c r="B615" s="18" t="s">
        <v>2440</v>
      </c>
    </row>
    <row r="616" spans="1:2">
      <c r="A616" s="31">
        <v>367288</v>
      </c>
      <c r="B616" s="32"/>
    </row>
    <row r="617" spans="1:2">
      <c r="A617" s="31">
        <v>367291</v>
      </c>
      <c r="B617" s="32"/>
    </row>
    <row r="618" spans="1:2" ht="45">
      <c r="A618" s="17">
        <v>367311</v>
      </c>
      <c r="B618" s="18" t="s">
        <v>2441</v>
      </c>
    </row>
    <row r="619" spans="1:2" ht="45">
      <c r="A619" s="17">
        <v>367315</v>
      </c>
      <c r="B619" s="18" t="s">
        <v>2443</v>
      </c>
    </row>
    <row r="620" spans="1:2" ht="45">
      <c r="A620" s="17">
        <v>367321</v>
      </c>
      <c r="B620" s="18" t="s">
        <v>2442</v>
      </c>
    </row>
    <row r="621" spans="1:2">
      <c r="A621" s="31">
        <v>367383</v>
      </c>
      <c r="B621" s="32"/>
    </row>
    <row r="622" spans="1:2">
      <c r="A622" s="31">
        <v>367414</v>
      </c>
      <c r="B622" s="32"/>
    </row>
    <row r="623" spans="1:2" ht="30">
      <c r="A623" s="19">
        <v>367425</v>
      </c>
      <c r="B623" s="18" t="s">
        <v>2696</v>
      </c>
    </row>
    <row r="624" spans="1:2" ht="30">
      <c r="A624" s="16">
        <v>367428</v>
      </c>
      <c r="B624" s="18" t="s">
        <v>1642</v>
      </c>
    </row>
    <row r="625" spans="1:2">
      <c r="A625" s="31">
        <v>368805</v>
      </c>
      <c r="B625" s="32"/>
    </row>
    <row r="626" spans="1:2">
      <c r="A626" s="17">
        <v>369057</v>
      </c>
      <c r="B626" s="18"/>
    </row>
    <row r="627" spans="1:2" ht="90">
      <c r="A627" s="19">
        <v>369070</v>
      </c>
      <c r="B627" s="18" t="s">
        <v>2697</v>
      </c>
    </row>
    <row r="628" spans="1:2" ht="45">
      <c r="A628" s="17">
        <v>369142</v>
      </c>
      <c r="B628" s="18" t="s">
        <v>2449</v>
      </c>
    </row>
    <row r="629" spans="1:2" ht="30">
      <c r="A629" s="17">
        <v>369151</v>
      </c>
      <c r="B629" s="18" t="s">
        <v>2451</v>
      </c>
    </row>
    <row r="630" spans="1:2" ht="45">
      <c r="A630" s="17">
        <v>369515</v>
      </c>
      <c r="B630" s="18" t="s">
        <v>2454</v>
      </c>
    </row>
    <row r="631" spans="1:2">
      <c r="A631" s="31">
        <v>369705</v>
      </c>
      <c r="B631" s="32"/>
    </row>
    <row r="632" spans="1:2">
      <c r="A632" s="17">
        <v>369913</v>
      </c>
      <c r="B632" s="20" t="s">
        <v>2463</v>
      </c>
    </row>
    <row r="633" spans="1:2">
      <c r="A633" s="19">
        <v>369916</v>
      </c>
      <c r="B633" s="18"/>
    </row>
    <row r="634" spans="1:2" ht="45">
      <c r="A634" s="17">
        <v>369991</v>
      </c>
      <c r="B634" s="18" t="s">
        <v>3132</v>
      </c>
    </row>
    <row r="635" spans="1:2">
      <c r="A635" s="17">
        <v>369992</v>
      </c>
      <c r="B635" s="18"/>
    </row>
    <row r="636" spans="1:2" ht="45">
      <c r="A636" s="17">
        <v>369996</v>
      </c>
      <c r="B636" s="18" t="s">
        <v>2462</v>
      </c>
    </row>
    <row r="637" spans="1:2">
      <c r="A637" s="31">
        <v>370049</v>
      </c>
      <c r="B637" s="32"/>
    </row>
    <row r="638" spans="1:2" ht="60">
      <c r="A638" s="19">
        <v>370411</v>
      </c>
      <c r="B638" s="18" t="s">
        <v>2698</v>
      </c>
    </row>
    <row r="639" spans="1:2">
      <c r="A639" s="31">
        <v>370424</v>
      </c>
      <c r="B639" s="32"/>
    </row>
    <row r="640" spans="1:2" ht="45">
      <c r="A640" s="31">
        <v>370691</v>
      </c>
      <c r="B640" s="18" t="s">
        <v>2611</v>
      </c>
    </row>
    <row r="641" spans="1:2">
      <c r="A641" s="31">
        <v>370694</v>
      </c>
      <c r="B641" s="18" t="s">
        <v>2612</v>
      </c>
    </row>
    <row r="642" spans="1:2" ht="75">
      <c r="A642" s="31">
        <v>371524</v>
      </c>
      <c r="B642" s="18" t="s">
        <v>2613</v>
      </c>
    </row>
    <row r="643" spans="1:2" ht="45">
      <c r="A643" s="19">
        <v>371694</v>
      </c>
      <c r="B643" s="18" t="s">
        <v>2699</v>
      </c>
    </row>
    <row r="644" spans="1:2" ht="30">
      <c r="A644" s="17">
        <v>372105</v>
      </c>
      <c r="B644" s="18" t="s">
        <v>2122</v>
      </c>
    </row>
    <row r="645" spans="1:2">
      <c r="A645" s="17">
        <v>374548</v>
      </c>
      <c r="B645" s="18"/>
    </row>
    <row r="646" spans="1:2">
      <c r="A646" s="31">
        <v>374572</v>
      </c>
      <c r="B646" s="18"/>
    </row>
    <row r="647" spans="1:2" ht="30">
      <c r="A647" s="31">
        <v>374705</v>
      </c>
      <c r="B647" s="18" t="s">
        <v>2514</v>
      </c>
    </row>
    <row r="648" spans="1:2" ht="30">
      <c r="A648" s="31">
        <v>380158</v>
      </c>
      <c r="B648" s="18" t="s">
        <v>2515</v>
      </c>
    </row>
    <row r="649" spans="1:2" ht="75">
      <c r="A649" s="17">
        <v>380827</v>
      </c>
      <c r="B649" s="18" t="s">
        <v>2123</v>
      </c>
    </row>
    <row r="650" spans="1:2" ht="75">
      <c r="A650" s="17">
        <v>380833</v>
      </c>
      <c r="B650" s="18" t="s">
        <v>2141</v>
      </c>
    </row>
    <row r="651" spans="1:2" ht="45">
      <c r="A651" s="31">
        <v>380835</v>
      </c>
      <c r="B651" s="18" t="s">
        <v>2516</v>
      </c>
    </row>
    <row r="652" spans="1:2" ht="30">
      <c r="A652" s="31">
        <v>380837</v>
      </c>
      <c r="B652" s="18" t="s">
        <v>2614</v>
      </c>
    </row>
    <row r="653" spans="1:2" ht="45">
      <c r="A653" s="19">
        <v>380896</v>
      </c>
      <c r="B653" s="18" t="s">
        <v>2700</v>
      </c>
    </row>
    <row r="654" spans="1:2">
      <c r="A654" s="16">
        <v>381074</v>
      </c>
      <c r="B654" s="18" t="s">
        <v>1643</v>
      </c>
    </row>
    <row r="655" spans="1:2" ht="90">
      <c r="A655" s="19">
        <v>381189</v>
      </c>
      <c r="B655" s="18" t="s">
        <v>2701</v>
      </c>
    </row>
    <row r="656" spans="1:2" ht="60">
      <c r="A656" s="31">
        <v>381202</v>
      </c>
      <c r="B656" s="18" t="s">
        <v>2517</v>
      </c>
    </row>
    <row r="657" spans="1:2" ht="135">
      <c r="A657" s="17">
        <v>381260</v>
      </c>
      <c r="B657" s="18" t="s">
        <v>2150</v>
      </c>
    </row>
    <row r="658" spans="1:2" ht="75">
      <c r="A658" s="19">
        <v>381297</v>
      </c>
      <c r="B658" s="18" t="s">
        <v>2702</v>
      </c>
    </row>
    <row r="659" spans="1:2" ht="30">
      <c r="A659" s="17">
        <v>381381</v>
      </c>
      <c r="B659" s="18" t="s">
        <v>2276</v>
      </c>
    </row>
    <row r="660" spans="1:2">
      <c r="A660" s="17">
        <v>381385</v>
      </c>
      <c r="B660" s="18"/>
    </row>
    <row r="661" spans="1:2" ht="120">
      <c r="A661" s="17">
        <v>381386</v>
      </c>
      <c r="B661" s="18" t="s">
        <v>2300</v>
      </c>
    </row>
    <row r="662" spans="1:2">
      <c r="A662" s="17">
        <v>381435</v>
      </c>
      <c r="B662" s="18"/>
    </row>
    <row r="663" spans="1:2" ht="45">
      <c r="A663" s="31">
        <v>381444</v>
      </c>
      <c r="B663" s="18" t="s">
        <v>2518</v>
      </c>
    </row>
    <row r="664" spans="1:2" ht="30">
      <c r="A664" s="16">
        <v>381465</v>
      </c>
      <c r="B664" s="18" t="s">
        <v>1644</v>
      </c>
    </row>
    <row r="665" spans="1:2" ht="30">
      <c r="A665" s="16">
        <v>381468</v>
      </c>
      <c r="B665" s="18" t="s">
        <v>1645</v>
      </c>
    </row>
    <row r="666" spans="1:2" ht="75">
      <c r="A666" s="19">
        <v>381496</v>
      </c>
      <c r="B666" s="18" t="s">
        <v>2703</v>
      </c>
    </row>
    <row r="667" spans="1:2" ht="60">
      <c r="A667" s="31">
        <v>381504</v>
      </c>
      <c r="B667" s="18" t="s">
        <v>2519</v>
      </c>
    </row>
    <row r="668" spans="1:2" ht="45">
      <c r="A668" s="31">
        <v>381585</v>
      </c>
      <c r="B668" s="18" t="s">
        <v>2520</v>
      </c>
    </row>
    <row r="669" spans="1:2" ht="60">
      <c r="A669" s="31">
        <v>381588</v>
      </c>
      <c r="B669" s="18" t="s">
        <v>2521</v>
      </c>
    </row>
    <row r="670" spans="1:2" ht="30">
      <c r="A670" s="16">
        <v>381701</v>
      </c>
      <c r="B670" s="18" t="s">
        <v>1646</v>
      </c>
    </row>
    <row r="671" spans="1:2" ht="30">
      <c r="A671" s="16">
        <v>381714</v>
      </c>
      <c r="B671" s="18" t="s">
        <v>1647</v>
      </c>
    </row>
    <row r="672" spans="1:2">
      <c r="A672" s="17">
        <v>381717</v>
      </c>
      <c r="B672" s="18"/>
    </row>
    <row r="673" spans="1:2" ht="60">
      <c r="A673" s="16">
        <v>381809</v>
      </c>
      <c r="B673" s="18" t="s">
        <v>1648</v>
      </c>
    </row>
    <row r="674" spans="1:2" ht="30">
      <c r="A674" s="16">
        <v>381889</v>
      </c>
      <c r="B674" s="18" t="s">
        <v>1649</v>
      </c>
    </row>
    <row r="675" spans="1:2" ht="30">
      <c r="A675" s="16">
        <v>381903</v>
      </c>
      <c r="B675" s="18" t="s">
        <v>1650</v>
      </c>
    </row>
    <row r="676" spans="1:2" ht="75">
      <c r="A676" s="16">
        <v>382749</v>
      </c>
      <c r="B676" s="18" t="s">
        <v>1651</v>
      </c>
    </row>
    <row r="677" spans="1:2" ht="30">
      <c r="A677" s="16">
        <v>382751</v>
      </c>
      <c r="B677" s="18" t="s">
        <v>1652</v>
      </c>
    </row>
    <row r="678" spans="1:2" ht="60">
      <c r="A678" s="16">
        <v>382832</v>
      </c>
      <c r="B678" s="18" t="s">
        <v>1653</v>
      </c>
    </row>
    <row r="679" spans="1:2">
      <c r="A679" s="16">
        <v>382834</v>
      </c>
      <c r="B679" s="18" t="s">
        <v>1654</v>
      </c>
    </row>
    <row r="680" spans="1:2" ht="30">
      <c r="A680" s="16">
        <v>382844</v>
      </c>
      <c r="B680" s="18" t="s">
        <v>1655</v>
      </c>
    </row>
    <row r="681" spans="1:2" ht="60">
      <c r="A681" s="17">
        <v>382847</v>
      </c>
      <c r="B681" s="18" t="s">
        <v>3131</v>
      </c>
    </row>
    <row r="682" spans="1:2" ht="45">
      <c r="A682" s="17">
        <v>382849</v>
      </c>
      <c r="B682" s="18" t="s">
        <v>2207</v>
      </c>
    </row>
    <row r="683" spans="1:2">
      <c r="A683" s="17">
        <v>382851</v>
      </c>
      <c r="B683" s="20" t="s">
        <v>2327</v>
      </c>
    </row>
    <row r="684" spans="1:2" ht="30">
      <c r="A684" s="16">
        <v>382955</v>
      </c>
      <c r="B684" s="18" t="s">
        <v>1656</v>
      </c>
    </row>
    <row r="685" spans="1:2" ht="30">
      <c r="A685" s="17">
        <v>382967</v>
      </c>
      <c r="B685" s="18" t="s">
        <v>2007</v>
      </c>
    </row>
    <row r="686" spans="1:2">
      <c r="A686" s="16">
        <v>382969</v>
      </c>
      <c r="B686" s="18" t="s">
        <v>1657</v>
      </c>
    </row>
    <row r="687" spans="1:2">
      <c r="A687" s="16">
        <v>382972</v>
      </c>
      <c r="B687" s="18" t="s">
        <v>1658</v>
      </c>
    </row>
    <row r="688" spans="1:2">
      <c r="A688" s="16">
        <v>382978</v>
      </c>
      <c r="B688" s="18" t="s">
        <v>1659</v>
      </c>
    </row>
    <row r="689" spans="1:2" ht="75">
      <c r="A689" s="16">
        <v>382981</v>
      </c>
      <c r="B689" s="18" t="s">
        <v>1660</v>
      </c>
    </row>
    <row r="690" spans="1:2" ht="30">
      <c r="A690" s="16">
        <v>382988</v>
      </c>
      <c r="B690" s="18" t="s">
        <v>1661</v>
      </c>
    </row>
    <row r="691" spans="1:2" ht="60">
      <c r="A691" s="19">
        <v>384309</v>
      </c>
      <c r="B691" s="18" t="s">
        <v>2704</v>
      </c>
    </row>
    <row r="692" spans="1:2" ht="60">
      <c r="A692" s="16">
        <v>385945</v>
      </c>
      <c r="B692" s="18" t="s">
        <v>1662</v>
      </c>
    </row>
    <row r="693" spans="1:2">
      <c r="A693" s="16">
        <v>385949</v>
      </c>
      <c r="B693" s="18" t="s">
        <v>1663</v>
      </c>
    </row>
    <row r="694" spans="1:2" ht="45">
      <c r="A694" s="16">
        <v>386935</v>
      </c>
      <c r="B694" s="18" t="s">
        <v>1664</v>
      </c>
    </row>
    <row r="695" spans="1:2" ht="30">
      <c r="A695" s="16">
        <v>386992</v>
      </c>
      <c r="B695" s="18" t="s">
        <v>1665</v>
      </c>
    </row>
    <row r="696" spans="1:2" ht="30">
      <c r="A696" s="16">
        <v>387528</v>
      </c>
      <c r="B696" s="18" t="s">
        <v>1666</v>
      </c>
    </row>
    <row r="697" spans="1:2" ht="60">
      <c r="A697" s="17">
        <v>388329</v>
      </c>
      <c r="B697" s="44" t="s">
        <v>2252</v>
      </c>
    </row>
    <row r="698" spans="1:2">
      <c r="A698" s="31">
        <v>388381</v>
      </c>
      <c r="B698" s="18"/>
    </row>
    <row r="699" spans="1:2" ht="45">
      <c r="A699" s="16">
        <v>389121</v>
      </c>
      <c r="B699" s="18" t="s">
        <v>1667</v>
      </c>
    </row>
    <row r="700" spans="1:2" ht="45">
      <c r="A700" s="17">
        <v>389124</v>
      </c>
      <c r="B700" s="18" t="s">
        <v>2238</v>
      </c>
    </row>
    <row r="701" spans="1:2">
      <c r="A701" s="31">
        <v>391128</v>
      </c>
      <c r="B701" s="32"/>
    </row>
    <row r="702" spans="1:2">
      <c r="A702" s="31">
        <v>392173</v>
      </c>
      <c r="B702" s="32"/>
    </row>
    <row r="703" spans="1:2">
      <c r="A703" s="31">
        <v>392193</v>
      </c>
      <c r="B703" s="32"/>
    </row>
    <row r="704" spans="1:2" ht="30">
      <c r="A704" s="16">
        <v>396405</v>
      </c>
      <c r="B704" s="18" t="s">
        <v>1668</v>
      </c>
    </row>
    <row r="705" spans="1:2">
      <c r="A705" s="16">
        <v>397483</v>
      </c>
      <c r="B705" s="18" t="s">
        <v>1669</v>
      </c>
    </row>
    <row r="706" spans="1:2" ht="60">
      <c r="A706" s="19">
        <v>397485</v>
      </c>
      <c r="B706" s="18" t="s">
        <v>2705</v>
      </c>
    </row>
    <row r="707" spans="1:2" ht="45">
      <c r="A707" s="17">
        <v>397552</v>
      </c>
      <c r="B707" s="18" t="s">
        <v>2075</v>
      </c>
    </row>
    <row r="708" spans="1:2" ht="90">
      <c r="A708" s="31">
        <v>397656</v>
      </c>
      <c r="B708" s="18" t="s">
        <v>2601</v>
      </c>
    </row>
    <row r="709" spans="1:2" ht="30">
      <c r="A709" s="16">
        <v>397670</v>
      </c>
      <c r="B709" s="18" t="s">
        <v>1670</v>
      </c>
    </row>
    <row r="710" spans="1:2" ht="30">
      <c r="A710" s="17">
        <v>397710</v>
      </c>
      <c r="B710" s="18" t="s">
        <v>2469</v>
      </c>
    </row>
    <row r="711" spans="1:2" ht="45">
      <c r="A711" s="17">
        <v>397714</v>
      </c>
      <c r="B711" s="22" t="s">
        <v>2115</v>
      </c>
    </row>
    <row r="712" spans="1:2" ht="30">
      <c r="A712" s="17">
        <v>397738</v>
      </c>
      <c r="B712" s="18" t="s">
        <v>2467</v>
      </c>
    </row>
    <row r="713" spans="1:2" ht="105">
      <c r="A713" s="17">
        <v>397743</v>
      </c>
      <c r="B713" s="18" t="s">
        <v>2471</v>
      </c>
    </row>
    <row r="714" spans="1:2" ht="60">
      <c r="A714" s="17">
        <v>397744</v>
      </c>
      <c r="B714" s="18" t="s">
        <v>2224</v>
      </c>
    </row>
    <row r="715" spans="1:2" ht="45">
      <c r="A715" s="25">
        <v>397749</v>
      </c>
      <c r="B715" s="26" t="s">
        <v>2227</v>
      </c>
    </row>
    <row r="716" spans="1:2" ht="45">
      <c r="A716" s="16">
        <v>397751</v>
      </c>
      <c r="B716" s="18" t="s">
        <v>1671</v>
      </c>
    </row>
    <row r="717" spans="1:2">
      <c r="A717" s="31">
        <v>397752</v>
      </c>
      <c r="B717" s="32"/>
    </row>
    <row r="718" spans="1:2" ht="60">
      <c r="A718" s="31">
        <v>397754</v>
      </c>
      <c r="B718" s="18" t="s">
        <v>2522</v>
      </c>
    </row>
    <row r="719" spans="1:2" ht="60">
      <c r="A719" s="17">
        <v>397762</v>
      </c>
      <c r="B719" s="18" t="s">
        <v>2218</v>
      </c>
    </row>
    <row r="720" spans="1:2" ht="60">
      <c r="A720" s="31">
        <v>397763</v>
      </c>
      <c r="B720" s="18" t="s">
        <v>2523</v>
      </c>
    </row>
    <row r="721" spans="1:2" ht="30">
      <c r="A721" s="19">
        <v>397764</v>
      </c>
      <c r="B721" s="18" t="s">
        <v>2706</v>
      </c>
    </row>
    <row r="722" spans="1:2">
      <c r="A722" s="17">
        <v>397774</v>
      </c>
      <c r="B722" s="18"/>
    </row>
    <row r="723" spans="1:2" ht="45">
      <c r="A723" s="17">
        <v>397785</v>
      </c>
      <c r="B723" s="18" t="s">
        <v>2339</v>
      </c>
    </row>
    <row r="724" spans="1:2" ht="75">
      <c r="A724" s="31">
        <v>397796</v>
      </c>
      <c r="B724" s="18" t="s">
        <v>2615</v>
      </c>
    </row>
    <row r="725" spans="1:2" ht="60">
      <c r="A725" s="31">
        <v>397797</v>
      </c>
      <c r="B725" s="18" t="s">
        <v>2616</v>
      </c>
    </row>
    <row r="726" spans="1:2">
      <c r="A726" s="17">
        <v>397799</v>
      </c>
      <c r="B726" s="29"/>
    </row>
    <row r="727" spans="1:2" ht="45">
      <c r="A727" s="16">
        <v>397814</v>
      </c>
      <c r="B727" s="18" t="s">
        <v>1672</v>
      </c>
    </row>
    <row r="728" spans="1:2" ht="30">
      <c r="A728" s="16">
        <v>397818</v>
      </c>
      <c r="B728" s="18" t="s">
        <v>1673</v>
      </c>
    </row>
    <row r="729" spans="1:2">
      <c r="A729" s="16">
        <v>397819</v>
      </c>
      <c r="B729" s="18" t="s">
        <v>1674</v>
      </c>
    </row>
    <row r="730" spans="1:2" ht="75">
      <c r="A730" s="17">
        <v>397821</v>
      </c>
      <c r="B730" s="18" t="s">
        <v>2151</v>
      </c>
    </row>
    <row r="731" spans="1:2">
      <c r="A731" s="16">
        <v>397822</v>
      </c>
      <c r="B731" s="18" t="s">
        <v>1675</v>
      </c>
    </row>
    <row r="732" spans="1:2">
      <c r="A732" s="31">
        <v>397831</v>
      </c>
      <c r="B732" s="32"/>
    </row>
    <row r="733" spans="1:2" ht="45">
      <c r="A733" s="17">
        <v>397837</v>
      </c>
      <c r="B733" s="18" t="s">
        <v>2329</v>
      </c>
    </row>
    <row r="734" spans="1:2" ht="30">
      <c r="A734" s="16">
        <v>397847</v>
      </c>
      <c r="B734" s="18" t="s">
        <v>1676</v>
      </c>
    </row>
    <row r="735" spans="1:2" ht="30">
      <c r="A735" s="16">
        <v>397849</v>
      </c>
      <c r="B735" s="18" t="s">
        <v>1677</v>
      </c>
    </row>
    <row r="736" spans="1:2" ht="30">
      <c r="A736" s="16">
        <v>397850</v>
      </c>
      <c r="B736" s="18" t="s">
        <v>1678</v>
      </c>
    </row>
    <row r="737" spans="1:2" ht="45">
      <c r="A737" s="16">
        <v>397852</v>
      </c>
      <c r="B737" s="18" t="s">
        <v>1679</v>
      </c>
    </row>
    <row r="738" spans="1:2">
      <c r="A738" s="31">
        <v>397853</v>
      </c>
      <c r="B738" s="32"/>
    </row>
    <row r="739" spans="1:2" ht="30">
      <c r="A739" s="31">
        <v>397855</v>
      </c>
      <c r="B739" s="18" t="s">
        <v>2617</v>
      </c>
    </row>
    <row r="740" spans="1:2">
      <c r="A740" s="16">
        <v>397863</v>
      </c>
      <c r="B740" s="18" t="s">
        <v>1680</v>
      </c>
    </row>
    <row r="741" spans="1:2" ht="45">
      <c r="A741" s="17">
        <v>397864</v>
      </c>
      <c r="B741" s="45" t="s">
        <v>2133</v>
      </c>
    </row>
    <row r="742" spans="1:2" ht="30">
      <c r="A742" s="16">
        <v>397867</v>
      </c>
      <c r="B742" s="45" t="s">
        <v>1681</v>
      </c>
    </row>
    <row r="743" spans="1:2" ht="45">
      <c r="A743" s="31">
        <v>397874</v>
      </c>
      <c r="B743" s="45" t="s">
        <v>2618</v>
      </c>
    </row>
    <row r="744" spans="1:2">
      <c r="A744" s="16">
        <v>397876</v>
      </c>
      <c r="B744" s="18" t="s">
        <v>1682</v>
      </c>
    </row>
    <row r="745" spans="1:2">
      <c r="A745" s="16">
        <v>397877</v>
      </c>
      <c r="B745" s="18" t="s">
        <v>1683</v>
      </c>
    </row>
    <row r="746" spans="1:2" ht="45">
      <c r="A746" s="31">
        <v>397878</v>
      </c>
      <c r="B746" s="18" t="s">
        <v>2619</v>
      </c>
    </row>
    <row r="747" spans="1:2" ht="30">
      <c r="A747" s="31">
        <v>397880</v>
      </c>
      <c r="B747" s="18" t="s">
        <v>2620</v>
      </c>
    </row>
    <row r="748" spans="1:2" ht="45">
      <c r="A748" s="31">
        <v>397884</v>
      </c>
      <c r="B748" s="18" t="s">
        <v>2524</v>
      </c>
    </row>
    <row r="749" spans="1:2">
      <c r="A749" s="16">
        <v>401648</v>
      </c>
      <c r="B749" s="18" t="s">
        <v>1684</v>
      </c>
    </row>
    <row r="750" spans="1:2">
      <c r="A750" s="16">
        <v>401651</v>
      </c>
      <c r="B750" s="18" t="s">
        <v>1685</v>
      </c>
    </row>
    <row r="751" spans="1:2" ht="30">
      <c r="A751" s="16">
        <v>401652</v>
      </c>
      <c r="B751" s="18" t="s">
        <v>1686</v>
      </c>
    </row>
    <row r="752" spans="1:2">
      <c r="A752" s="16">
        <v>401658</v>
      </c>
      <c r="B752" s="18" t="s">
        <v>1687</v>
      </c>
    </row>
    <row r="753" spans="1:2">
      <c r="A753" s="16">
        <v>401731</v>
      </c>
      <c r="B753" s="45" t="s">
        <v>1688</v>
      </c>
    </row>
    <row r="754" spans="1:2">
      <c r="A754" s="16">
        <v>401739</v>
      </c>
      <c r="B754" s="45" t="s">
        <v>1689</v>
      </c>
    </row>
    <row r="755" spans="1:2">
      <c r="A755" s="31">
        <v>401879</v>
      </c>
      <c r="B755" s="20" t="s">
        <v>2525</v>
      </c>
    </row>
    <row r="756" spans="1:2">
      <c r="A756" s="16">
        <v>401894</v>
      </c>
      <c r="B756" s="18" t="s">
        <v>1690</v>
      </c>
    </row>
    <row r="757" spans="1:2">
      <c r="A757" s="16">
        <v>401895</v>
      </c>
      <c r="B757" s="18" t="s">
        <v>1691</v>
      </c>
    </row>
    <row r="758" spans="1:2" ht="30">
      <c r="A758" s="16">
        <v>401898</v>
      </c>
      <c r="B758" s="18" t="s">
        <v>1692</v>
      </c>
    </row>
    <row r="759" spans="1:2" ht="30">
      <c r="A759" s="16">
        <v>401900</v>
      </c>
      <c r="B759" s="18" t="s">
        <v>1693</v>
      </c>
    </row>
    <row r="760" spans="1:2" ht="60">
      <c r="A760" s="16">
        <v>401902</v>
      </c>
      <c r="B760" s="18" t="s">
        <v>1694</v>
      </c>
    </row>
    <row r="761" spans="1:2">
      <c r="A761" s="31">
        <v>401905</v>
      </c>
      <c r="B761" s="18"/>
    </row>
    <row r="762" spans="1:2" ht="60">
      <c r="A762" s="16">
        <v>401948</v>
      </c>
      <c r="B762" s="18" t="s">
        <v>1695</v>
      </c>
    </row>
    <row r="763" spans="1:2">
      <c r="A763" s="16">
        <v>401949</v>
      </c>
      <c r="B763" s="18" t="s">
        <v>1696</v>
      </c>
    </row>
    <row r="764" spans="1:2">
      <c r="A764" s="16">
        <v>402086</v>
      </c>
      <c r="B764" s="18" t="s">
        <v>1697</v>
      </c>
    </row>
    <row r="765" spans="1:2" ht="30">
      <c r="A765" s="16">
        <v>402917</v>
      </c>
      <c r="B765" s="18" t="s">
        <v>1698</v>
      </c>
    </row>
    <row r="766" spans="1:2" ht="90">
      <c r="A766" s="16">
        <v>403174</v>
      </c>
      <c r="B766" s="18" t="s">
        <v>1699</v>
      </c>
    </row>
    <row r="767" spans="1:2" ht="45">
      <c r="A767" s="31">
        <v>403411</v>
      </c>
      <c r="B767" s="18" t="s">
        <v>2621</v>
      </c>
    </row>
    <row r="768" spans="1:2" ht="30">
      <c r="A768" s="16">
        <v>403842</v>
      </c>
      <c r="B768" s="18" t="s">
        <v>1700</v>
      </c>
    </row>
    <row r="769" spans="1:2">
      <c r="A769" s="16">
        <v>403843</v>
      </c>
      <c r="B769" s="18" t="s">
        <v>1701</v>
      </c>
    </row>
    <row r="770" spans="1:2" ht="45">
      <c r="A770" s="17">
        <v>403852</v>
      </c>
      <c r="B770" s="18" t="s">
        <v>2220</v>
      </c>
    </row>
    <row r="771" spans="1:2">
      <c r="A771" s="31">
        <v>404101</v>
      </c>
      <c r="B771" s="32"/>
    </row>
    <row r="772" spans="1:2" ht="45">
      <c r="A772" s="16">
        <v>404543</v>
      </c>
      <c r="B772" s="18" t="s">
        <v>1702</v>
      </c>
    </row>
    <row r="773" spans="1:2" ht="30">
      <c r="A773" s="16">
        <v>404800</v>
      </c>
      <c r="B773" s="18" t="s">
        <v>1703</v>
      </c>
    </row>
    <row r="774" spans="1:2">
      <c r="A774" s="31">
        <v>406812</v>
      </c>
      <c r="B774" s="18"/>
    </row>
    <row r="775" spans="1:2" ht="45">
      <c r="A775" s="19">
        <v>409017</v>
      </c>
      <c r="B775" s="18" t="s">
        <v>2707</v>
      </c>
    </row>
    <row r="776" spans="1:2" ht="30">
      <c r="A776" s="16">
        <v>410449</v>
      </c>
      <c r="B776" s="18" t="s">
        <v>1704</v>
      </c>
    </row>
    <row r="777" spans="1:2" ht="30">
      <c r="A777" s="19">
        <v>410603</v>
      </c>
      <c r="B777" s="18" t="s">
        <v>2708</v>
      </c>
    </row>
    <row r="778" spans="1:2">
      <c r="A778" s="16">
        <v>411542</v>
      </c>
      <c r="B778" s="18" t="s">
        <v>1705</v>
      </c>
    </row>
    <row r="779" spans="1:2" ht="45">
      <c r="A779" s="17">
        <v>411545</v>
      </c>
      <c r="B779" s="18" t="s">
        <v>2239</v>
      </c>
    </row>
    <row r="780" spans="1:2">
      <c r="A780" s="17">
        <v>411997</v>
      </c>
      <c r="B780" s="18"/>
    </row>
    <row r="781" spans="1:2" ht="60">
      <c r="A781" s="17">
        <v>412780</v>
      </c>
      <c r="B781" s="21" t="s">
        <v>2470</v>
      </c>
    </row>
    <row r="782" spans="1:2" ht="45">
      <c r="A782" s="31">
        <v>412796</v>
      </c>
      <c r="B782" s="18" t="s">
        <v>2600</v>
      </c>
    </row>
    <row r="783" spans="1:2">
      <c r="A783" s="31">
        <v>413585</v>
      </c>
      <c r="B783" s="32"/>
    </row>
    <row r="784" spans="1:2">
      <c r="A784" s="31">
        <v>413633</v>
      </c>
      <c r="B784" s="32"/>
    </row>
    <row r="785" spans="1:2" ht="60">
      <c r="A785" s="16">
        <v>415845</v>
      </c>
      <c r="B785" s="18" t="s">
        <v>1706</v>
      </c>
    </row>
    <row r="786" spans="1:2">
      <c r="A786" s="31">
        <v>417399</v>
      </c>
      <c r="B786" s="33" t="s">
        <v>2526</v>
      </c>
    </row>
    <row r="787" spans="1:2" ht="45">
      <c r="A787" s="19">
        <v>418131</v>
      </c>
      <c r="B787" s="18" t="s">
        <v>2709</v>
      </c>
    </row>
    <row r="788" spans="1:2">
      <c r="A788" s="16">
        <v>422161</v>
      </c>
      <c r="B788" s="18" t="s">
        <v>1707</v>
      </c>
    </row>
    <row r="789" spans="1:2">
      <c r="A789" s="31">
        <v>425047</v>
      </c>
      <c r="B789" s="32"/>
    </row>
    <row r="790" spans="1:2" ht="30">
      <c r="A790" s="16">
        <v>426508</v>
      </c>
      <c r="B790" s="18" t="s">
        <v>1708</v>
      </c>
    </row>
    <row r="791" spans="1:2">
      <c r="A791" s="16">
        <v>426512</v>
      </c>
      <c r="B791" s="18" t="s">
        <v>1709</v>
      </c>
    </row>
    <row r="792" spans="1:2">
      <c r="A792" s="31">
        <v>431017</v>
      </c>
      <c r="B792" s="18" t="s">
        <v>2622</v>
      </c>
    </row>
    <row r="793" spans="1:2">
      <c r="A793" s="16">
        <v>446302</v>
      </c>
      <c r="B793" s="18" t="s">
        <v>1710</v>
      </c>
    </row>
    <row r="794" spans="1:2">
      <c r="A794" s="31">
        <v>447220</v>
      </c>
      <c r="B794" s="32"/>
    </row>
    <row r="795" spans="1:2" ht="30">
      <c r="A795" s="31">
        <v>452326</v>
      </c>
      <c r="B795" s="18" t="s">
        <v>2527</v>
      </c>
    </row>
    <row r="796" spans="1:2">
      <c r="A796" s="16">
        <v>452363</v>
      </c>
      <c r="B796" s="18" t="s">
        <v>1711</v>
      </c>
    </row>
    <row r="797" spans="1:2">
      <c r="A797" s="31">
        <v>452510</v>
      </c>
      <c r="B797" s="20" t="s">
        <v>2528</v>
      </c>
    </row>
    <row r="798" spans="1:2">
      <c r="A798" s="31">
        <v>452847</v>
      </c>
      <c r="B798" s="32"/>
    </row>
    <row r="799" spans="1:2">
      <c r="A799" s="31">
        <v>452972</v>
      </c>
      <c r="B799" s="32"/>
    </row>
    <row r="800" spans="1:2" ht="30">
      <c r="A800" s="19">
        <v>452977</v>
      </c>
      <c r="B800" s="18" t="s">
        <v>2710</v>
      </c>
    </row>
    <row r="801" spans="1:2">
      <c r="A801" s="31">
        <v>453054</v>
      </c>
      <c r="B801" s="32"/>
    </row>
    <row r="802" spans="1:2" ht="90">
      <c r="A802" s="17">
        <v>453095</v>
      </c>
      <c r="B802" s="18" t="s">
        <v>2201</v>
      </c>
    </row>
    <row r="803" spans="1:2">
      <c r="A803" s="16">
        <v>453311</v>
      </c>
      <c r="B803" s="18" t="s">
        <v>1712</v>
      </c>
    </row>
    <row r="804" spans="1:2">
      <c r="A804" s="16">
        <v>453315</v>
      </c>
      <c r="B804" s="18" t="s">
        <v>1713</v>
      </c>
    </row>
    <row r="805" spans="1:2">
      <c r="A805" s="16">
        <v>453324</v>
      </c>
      <c r="B805" s="18" t="s">
        <v>1714</v>
      </c>
    </row>
    <row r="806" spans="1:2">
      <c r="A806" s="31">
        <v>453330</v>
      </c>
      <c r="B806" s="32"/>
    </row>
    <row r="807" spans="1:2" ht="30">
      <c r="A807" s="19">
        <v>453338</v>
      </c>
      <c r="B807" s="18" t="s">
        <v>2711</v>
      </c>
    </row>
    <row r="808" spans="1:2">
      <c r="A808" s="17">
        <v>453341</v>
      </c>
      <c r="B808" s="18"/>
    </row>
    <row r="809" spans="1:2" ht="180">
      <c r="A809" s="16">
        <v>453566</v>
      </c>
      <c r="B809" s="18" t="s">
        <v>1715</v>
      </c>
    </row>
    <row r="810" spans="1:2">
      <c r="A810" s="16">
        <v>453573</v>
      </c>
      <c r="B810" s="18" t="s">
        <v>1716</v>
      </c>
    </row>
    <row r="811" spans="1:2" ht="75">
      <c r="A811" s="17">
        <v>453580</v>
      </c>
      <c r="B811" s="18" t="s">
        <v>2380</v>
      </c>
    </row>
    <row r="812" spans="1:2" ht="30">
      <c r="A812" s="17">
        <v>453589</v>
      </c>
      <c r="B812" s="18" t="s">
        <v>2376</v>
      </c>
    </row>
    <row r="813" spans="1:2" ht="30">
      <c r="A813" s="17">
        <v>453594</v>
      </c>
      <c r="B813" s="18" t="s">
        <v>2396</v>
      </c>
    </row>
    <row r="814" spans="1:2" ht="60">
      <c r="A814" s="17">
        <v>453682</v>
      </c>
      <c r="B814" s="44" t="s">
        <v>2377</v>
      </c>
    </row>
    <row r="815" spans="1:2" ht="30">
      <c r="A815" s="17">
        <v>453684</v>
      </c>
      <c r="B815" s="18" t="s">
        <v>2379</v>
      </c>
    </row>
    <row r="816" spans="1:2" ht="30">
      <c r="A816" s="31">
        <v>453696</v>
      </c>
      <c r="B816" s="18" t="s">
        <v>2623</v>
      </c>
    </row>
    <row r="817" spans="1:2" ht="30">
      <c r="A817" s="16">
        <v>453714</v>
      </c>
      <c r="B817" s="18" t="s">
        <v>1717</v>
      </c>
    </row>
    <row r="818" spans="1:2">
      <c r="A818" s="16">
        <v>453756</v>
      </c>
      <c r="B818" s="18" t="s">
        <v>1718</v>
      </c>
    </row>
    <row r="819" spans="1:2" ht="30">
      <c r="A819" s="17">
        <v>453764</v>
      </c>
      <c r="B819" s="18" t="s">
        <v>2214</v>
      </c>
    </row>
    <row r="820" spans="1:2">
      <c r="A820" s="16">
        <v>453889</v>
      </c>
      <c r="B820" s="18" t="s">
        <v>1719</v>
      </c>
    </row>
    <row r="821" spans="1:2" ht="45">
      <c r="A821" s="17">
        <v>453894</v>
      </c>
      <c r="B821" s="18" t="s">
        <v>2391</v>
      </c>
    </row>
    <row r="822" spans="1:2" ht="30">
      <c r="A822" s="16">
        <v>453897</v>
      </c>
      <c r="B822" s="18" t="s">
        <v>1720</v>
      </c>
    </row>
    <row r="823" spans="1:2">
      <c r="A823" s="17">
        <v>453900</v>
      </c>
      <c r="B823" s="18"/>
    </row>
    <row r="824" spans="1:2" ht="30">
      <c r="A824" s="16">
        <v>453908</v>
      </c>
      <c r="B824" s="18" t="s">
        <v>1721</v>
      </c>
    </row>
    <row r="825" spans="1:2">
      <c r="A825" s="16">
        <v>454218</v>
      </c>
      <c r="B825" s="18" t="s">
        <v>1722</v>
      </c>
    </row>
    <row r="826" spans="1:2" ht="60">
      <c r="A826" s="31">
        <v>454223</v>
      </c>
      <c r="B826" s="18" t="s">
        <v>2529</v>
      </c>
    </row>
    <row r="827" spans="1:2">
      <c r="A827" s="17">
        <v>454227</v>
      </c>
      <c r="B827" s="20" t="s">
        <v>2392</v>
      </c>
    </row>
    <row r="828" spans="1:2" ht="60">
      <c r="A828" s="17">
        <v>454231</v>
      </c>
      <c r="B828" s="18" t="s">
        <v>2394</v>
      </c>
    </row>
    <row r="829" spans="1:2" ht="30">
      <c r="A829" s="17">
        <v>454234</v>
      </c>
      <c r="B829" s="18" t="s">
        <v>2395</v>
      </c>
    </row>
    <row r="830" spans="1:2" ht="90">
      <c r="A830" s="17">
        <v>454241</v>
      </c>
      <c r="B830" s="18" t="s">
        <v>2397</v>
      </c>
    </row>
    <row r="831" spans="1:2" ht="45">
      <c r="A831" s="17">
        <v>454246</v>
      </c>
      <c r="B831" s="18" t="s">
        <v>2398</v>
      </c>
    </row>
    <row r="832" spans="1:2" ht="30">
      <c r="A832" s="17">
        <v>454251</v>
      </c>
      <c r="B832" s="18" t="s">
        <v>2399</v>
      </c>
    </row>
    <row r="833" spans="1:2" ht="30">
      <c r="A833" s="17">
        <v>454252</v>
      </c>
      <c r="B833" s="18" t="s">
        <v>2400</v>
      </c>
    </row>
    <row r="834" spans="1:2">
      <c r="A834" s="31">
        <v>454450</v>
      </c>
      <c r="B834" s="32"/>
    </row>
    <row r="835" spans="1:2" ht="30">
      <c r="A835" s="16">
        <v>454461</v>
      </c>
      <c r="B835" s="18" t="s">
        <v>1723</v>
      </c>
    </row>
    <row r="836" spans="1:2">
      <c r="A836" s="16">
        <v>454462</v>
      </c>
      <c r="B836" s="18" t="s">
        <v>1724</v>
      </c>
    </row>
    <row r="837" spans="1:2" ht="30">
      <c r="A837" s="16">
        <v>454827</v>
      </c>
      <c r="B837" s="18" t="s">
        <v>1725</v>
      </c>
    </row>
    <row r="838" spans="1:2" ht="30">
      <c r="A838" s="31">
        <v>454832</v>
      </c>
      <c r="B838" s="18" t="s">
        <v>2530</v>
      </c>
    </row>
    <row r="839" spans="1:2" ht="30">
      <c r="A839" s="19">
        <v>454847</v>
      </c>
      <c r="B839" s="18" t="s">
        <v>2712</v>
      </c>
    </row>
    <row r="840" spans="1:2">
      <c r="A840" s="16">
        <v>454853</v>
      </c>
      <c r="B840" s="18" t="s">
        <v>1726</v>
      </c>
    </row>
    <row r="841" spans="1:2">
      <c r="A841" s="16">
        <v>454888</v>
      </c>
      <c r="B841" s="18" t="s">
        <v>1727</v>
      </c>
    </row>
    <row r="842" spans="1:2" ht="30">
      <c r="A842" s="16">
        <v>454890</v>
      </c>
      <c r="B842" s="18" t="s">
        <v>1728</v>
      </c>
    </row>
    <row r="843" spans="1:2" ht="30">
      <c r="A843" s="19">
        <v>454895</v>
      </c>
      <c r="B843" s="18" t="s">
        <v>2713</v>
      </c>
    </row>
    <row r="844" spans="1:2" ht="30">
      <c r="A844" s="16">
        <v>454900</v>
      </c>
      <c r="B844" s="18" t="s">
        <v>1729</v>
      </c>
    </row>
    <row r="845" spans="1:2" ht="30">
      <c r="A845" s="16">
        <v>454903</v>
      </c>
      <c r="B845" s="18" t="s">
        <v>1730</v>
      </c>
    </row>
    <row r="846" spans="1:2" ht="90">
      <c r="A846" s="41">
        <v>454907</v>
      </c>
      <c r="B846" s="18" t="s">
        <v>2415</v>
      </c>
    </row>
    <row r="847" spans="1:2">
      <c r="A847" s="16">
        <v>455031</v>
      </c>
      <c r="B847" s="18" t="s">
        <v>1731</v>
      </c>
    </row>
    <row r="848" spans="1:2">
      <c r="A848" s="17">
        <v>455153</v>
      </c>
      <c r="B848" s="18"/>
    </row>
    <row r="849" spans="1:2">
      <c r="A849" s="16">
        <v>455157</v>
      </c>
      <c r="B849" s="18" t="s">
        <v>1732</v>
      </c>
    </row>
    <row r="850" spans="1:2">
      <c r="A850" s="16">
        <v>455161</v>
      </c>
      <c r="B850" s="18"/>
    </row>
    <row r="851" spans="1:2" ht="30">
      <c r="A851" s="16">
        <v>455171</v>
      </c>
      <c r="B851" s="18" t="s">
        <v>1733</v>
      </c>
    </row>
    <row r="852" spans="1:2">
      <c r="A852" s="31">
        <v>455182</v>
      </c>
      <c r="B852" s="32"/>
    </row>
    <row r="853" spans="1:2">
      <c r="A853" s="31">
        <v>455184</v>
      </c>
      <c r="B853" s="32"/>
    </row>
    <row r="854" spans="1:2" ht="45">
      <c r="A854" s="16">
        <v>455268</v>
      </c>
      <c r="B854" s="45" t="s">
        <v>1734</v>
      </c>
    </row>
    <row r="855" spans="1:2" ht="75">
      <c r="A855" s="16">
        <v>455275</v>
      </c>
      <c r="B855" s="18" t="s">
        <v>1735</v>
      </c>
    </row>
    <row r="856" spans="1:2">
      <c r="A856" s="17">
        <v>455278</v>
      </c>
      <c r="B856" s="20" t="s">
        <v>2429</v>
      </c>
    </row>
    <row r="857" spans="1:2">
      <c r="A857" s="16">
        <v>455281</v>
      </c>
      <c r="B857" s="18" t="s">
        <v>1736</v>
      </c>
    </row>
    <row r="858" spans="1:2">
      <c r="A858" s="31">
        <v>455284</v>
      </c>
      <c r="B858" s="32"/>
    </row>
    <row r="859" spans="1:2" ht="45">
      <c r="A859" s="19">
        <v>455285</v>
      </c>
      <c r="B859" s="18" t="s">
        <v>2714</v>
      </c>
    </row>
    <row r="860" spans="1:2" ht="60">
      <c r="A860" s="19">
        <v>455286</v>
      </c>
      <c r="B860" s="18" t="s">
        <v>2715</v>
      </c>
    </row>
    <row r="861" spans="1:2" ht="45">
      <c r="A861" s="16">
        <v>455353</v>
      </c>
      <c r="B861" s="18" t="s">
        <v>1737</v>
      </c>
    </row>
    <row r="862" spans="1:2">
      <c r="A862" s="17">
        <v>455450</v>
      </c>
      <c r="B862" s="18"/>
    </row>
    <row r="863" spans="1:2">
      <c r="A863" s="31">
        <v>455453</v>
      </c>
      <c r="B863" s="32"/>
    </row>
    <row r="864" spans="1:2" ht="30">
      <c r="A864" s="16">
        <v>455455</v>
      </c>
      <c r="B864" s="18" t="s">
        <v>1738</v>
      </c>
    </row>
    <row r="865" spans="1:2" ht="30">
      <c r="A865" s="16">
        <v>455649</v>
      </c>
      <c r="B865" s="18" t="s">
        <v>1739</v>
      </c>
    </row>
    <row r="866" spans="1:2">
      <c r="A866" s="31">
        <v>455655</v>
      </c>
      <c r="B866" s="32"/>
    </row>
    <row r="867" spans="1:2">
      <c r="A867" s="31">
        <v>455658</v>
      </c>
      <c r="B867" s="32"/>
    </row>
    <row r="868" spans="1:2">
      <c r="A868" s="31">
        <v>456336</v>
      </c>
      <c r="B868" s="32"/>
    </row>
    <row r="869" spans="1:2">
      <c r="A869" s="31">
        <v>457680</v>
      </c>
      <c r="B869" s="32"/>
    </row>
    <row r="870" spans="1:2" ht="30">
      <c r="A870" s="17">
        <v>457931</v>
      </c>
      <c r="B870" s="18" t="s">
        <v>2450</v>
      </c>
    </row>
    <row r="871" spans="1:2" ht="45">
      <c r="A871" s="17">
        <v>457999</v>
      </c>
      <c r="B871" s="18" t="s">
        <v>2447</v>
      </c>
    </row>
    <row r="872" spans="1:2" ht="60">
      <c r="A872" s="17">
        <v>458002</v>
      </c>
      <c r="B872" s="18" t="s">
        <v>2448</v>
      </c>
    </row>
    <row r="873" spans="1:2" ht="60">
      <c r="A873" s="16">
        <v>458050</v>
      </c>
      <c r="B873" s="18" t="s">
        <v>1740</v>
      </c>
    </row>
    <row r="874" spans="1:2">
      <c r="A874" s="31">
        <v>458051</v>
      </c>
      <c r="B874" s="18"/>
    </row>
    <row r="875" spans="1:2" ht="30">
      <c r="A875" s="17">
        <v>458062</v>
      </c>
      <c r="B875" s="18" t="s">
        <v>2457</v>
      </c>
    </row>
    <row r="876" spans="1:2" ht="45">
      <c r="A876" s="17">
        <v>458231</v>
      </c>
      <c r="B876" s="18" t="s">
        <v>2453</v>
      </c>
    </row>
    <row r="877" spans="1:2" ht="30">
      <c r="A877" s="17">
        <v>458233</v>
      </c>
      <c r="B877" s="18" t="s">
        <v>2455</v>
      </c>
    </row>
    <row r="878" spans="1:2" ht="30">
      <c r="A878" s="17">
        <v>458241</v>
      </c>
      <c r="B878" s="18" t="s">
        <v>2456</v>
      </c>
    </row>
    <row r="879" spans="1:2" ht="45">
      <c r="A879" s="17">
        <v>458243</v>
      </c>
      <c r="B879" s="18" t="s">
        <v>2026</v>
      </c>
    </row>
    <row r="880" spans="1:2" ht="60">
      <c r="A880" s="17">
        <v>458252</v>
      </c>
      <c r="B880" s="18" t="s">
        <v>2458</v>
      </c>
    </row>
    <row r="881" spans="1:2">
      <c r="A881" s="31">
        <v>458258</v>
      </c>
      <c r="B881" s="32"/>
    </row>
    <row r="882" spans="1:2">
      <c r="A882" s="17">
        <v>458260</v>
      </c>
      <c r="B882" s="18" t="s">
        <v>2041</v>
      </c>
    </row>
    <row r="883" spans="1:2" ht="45">
      <c r="A883" s="17">
        <v>458267</v>
      </c>
      <c r="B883" s="18" t="s">
        <v>2039</v>
      </c>
    </row>
    <row r="884" spans="1:2" ht="45">
      <c r="A884" s="16">
        <v>458290</v>
      </c>
      <c r="B884" s="18" t="s">
        <v>1741</v>
      </c>
    </row>
    <row r="885" spans="1:2">
      <c r="A885" s="31">
        <v>458365</v>
      </c>
      <c r="B885" s="32"/>
    </row>
    <row r="886" spans="1:2">
      <c r="A886" s="31">
        <v>458369</v>
      </c>
      <c r="B886" s="18"/>
    </row>
    <row r="887" spans="1:2">
      <c r="A887" s="31">
        <v>458373</v>
      </c>
      <c r="B887" s="18"/>
    </row>
    <row r="888" spans="1:2">
      <c r="A888" s="31">
        <v>458379</v>
      </c>
      <c r="B888" s="32"/>
    </row>
    <row r="889" spans="1:2" ht="60">
      <c r="A889" s="31">
        <v>458381</v>
      </c>
      <c r="B889" s="18" t="s">
        <v>2624</v>
      </c>
    </row>
    <row r="890" spans="1:2" ht="45">
      <c r="A890" s="17">
        <v>458462</v>
      </c>
      <c r="B890" s="45" t="s">
        <v>2077</v>
      </c>
    </row>
    <row r="891" spans="1:2" ht="60">
      <c r="A891" s="17">
        <v>458465</v>
      </c>
      <c r="B891" s="22" t="s">
        <v>2078</v>
      </c>
    </row>
    <row r="892" spans="1:2" ht="30">
      <c r="A892" s="17">
        <v>458467</v>
      </c>
      <c r="B892" s="18" t="s">
        <v>2079</v>
      </c>
    </row>
    <row r="893" spans="1:2" ht="30">
      <c r="A893" s="31">
        <v>458536</v>
      </c>
      <c r="B893" s="18" t="s">
        <v>2625</v>
      </c>
    </row>
    <row r="894" spans="1:2">
      <c r="A894" s="16">
        <v>458538</v>
      </c>
      <c r="B894" s="18" t="s">
        <v>1742</v>
      </c>
    </row>
    <row r="895" spans="1:2" ht="75">
      <c r="A895" s="17">
        <v>458542</v>
      </c>
      <c r="B895" s="22" t="s">
        <v>2080</v>
      </c>
    </row>
    <row r="896" spans="1:2" ht="30">
      <c r="A896" s="17">
        <v>458545</v>
      </c>
      <c r="B896" s="22" t="s">
        <v>2081</v>
      </c>
    </row>
    <row r="897" spans="1:2">
      <c r="A897" s="42">
        <v>458547</v>
      </c>
      <c r="B897" s="18" t="s">
        <v>1743</v>
      </c>
    </row>
    <row r="898" spans="1:2" ht="30">
      <c r="A898" s="31">
        <v>458550</v>
      </c>
      <c r="B898" s="18" t="s">
        <v>2626</v>
      </c>
    </row>
    <row r="899" spans="1:2">
      <c r="A899" s="17">
        <v>458552</v>
      </c>
      <c r="B899" s="18"/>
    </row>
    <row r="900" spans="1:2" ht="45">
      <c r="A900" s="19">
        <v>458554</v>
      </c>
      <c r="B900" s="18" t="s">
        <v>2716</v>
      </c>
    </row>
    <row r="901" spans="1:2">
      <c r="A901" s="31">
        <v>458556</v>
      </c>
      <c r="B901" s="18" t="s">
        <v>2627</v>
      </c>
    </row>
    <row r="902" spans="1:2" ht="30">
      <c r="A902" s="17">
        <v>458601</v>
      </c>
      <c r="B902" s="22" t="s">
        <v>2086</v>
      </c>
    </row>
    <row r="903" spans="1:2" ht="45">
      <c r="A903" s="17">
        <v>458605</v>
      </c>
      <c r="B903" s="21" t="s">
        <v>2095</v>
      </c>
    </row>
    <row r="904" spans="1:2">
      <c r="A904" s="17">
        <v>458607</v>
      </c>
      <c r="B904" s="24" t="s">
        <v>2096</v>
      </c>
    </row>
    <row r="905" spans="1:2" ht="30">
      <c r="A905" s="17">
        <v>458609</v>
      </c>
      <c r="B905" s="18" t="s">
        <v>2098</v>
      </c>
    </row>
    <row r="906" spans="1:2" ht="30">
      <c r="A906" s="17">
        <v>458610</v>
      </c>
      <c r="B906" s="22" t="s">
        <v>2099</v>
      </c>
    </row>
    <row r="907" spans="1:2" ht="30">
      <c r="A907" s="17">
        <v>458612</v>
      </c>
      <c r="B907" s="18" t="s">
        <v>2100</v>
      </c>
    </row>
    <row r="908" spans="1:2" ht="30">
      <c r="A908" s="17">
        <v>458614</v>
      </c>
      <c r="B908" s="18" t="s">
        <v>2101</v>
      </c>
    </row>
    <row r="909" spans="1:2" ht="30">
      <c r="A909" s="17">
        <v>458616</v>
      </c>
      <c r="B909" s="18" t="s">
        <v>2087</v>
      </c>
    </row>
    <row r="910" spans="1:2" ht="45">
      <c r="A910" s="17">
        <v>458619</v>
      </c>
      <c r="B910" s="18" t="s">
        <v>2088</v>
      </c>
    </row>
    <row r="911" spans="1:2">
      <c r="A911" s="17">
        <v>458620</v>
      </c>
      <c r="B911" s="20" t="s">
        <v>2089</v>
      </c>
    </row>
    <row r="912" spans="1:2" ht="30">
      <c r="A912" s="17">
        <v>458621</v>
      </c>
      <c r="B912" s="18" t="s">
        <v>2090</v>
      </c>
    </row>
    <row r="913" spans="1:2" ht="45">
      <c r="A913" s="17">
        <v>458625</v>
      </c>
      <c r="B913" s="22" t="s">
        <v>2091</v>
      </c>
    </row>
    <row r="914" spans="1:2" ht="45">
      <c r="A914" s="17">
        <v>458629</v>
      </c>
      <c r="B914" s="18" t="s">
        <v>2092</v>
      </c>
    </row>
    <row r="915" spans="1:2" ht="45">
      <c r="A915" s="17">
        <v>458630</v>
      </c>
      <c r="B915" s="18" t="s">
        <v>2093</v>
      </c>
    </row>
    <row r="916" spans="1:2" ht="45">
      <c r="A916" s="17">
        <v>458633</v>
      </c>
      <c r="B916" s="18" t="s">
        <v>2094</v>
      </c>
    </row>
    <row r="917" spans="1:2">
      <c r="A917" s="17">
        <v>458635</v>
      </c>
      <c r="B917" s="18"/>
    </row>
    <row r="918" spans="1:2" ht="60">
      <c r="A918" s="31">
        <v>458654</v>
      </c>
      <c r="B918" s="18" t="s">
        <v>2531</v>
      </c>
    </row>
    <row r="919" spans="1:2" ht="255">
      <c r="A919" s="16">
        <v>458655</v>
      </c>
      <c r="B919" s="18" t="s">
        <v>1744</v>
      </c>
    </row>
    <row r="920" spans="1:2" ht="30">
      <c r="A920" s="17">
        <v>458658</v>
      </c>
      <c r="B920" s="22" t="s">
        <v>2171</v>
      </c>
    </row>
    <row r="921" spans="1:2" ht="45">
      <c r="A921" s="31">
        <v>458660</v>
      </c>
      <c r="B921" s="18" t="s">
        <v>2628</v>
      </c>
    </row>
    <row r="922" spans="1:2" ht="60">
      <c r="A922" s="31">
        <v>458661</v>
      </c>
      <c r="B922" s="18" t="s">
        <v>2629</v>
      </c>
    </row>
    <row r="923" spans="1:2" ht="60">
      <c r="A923" s="31">
        <v>458662</v>
      </c>
      <c r="B923" s="18" t="s">
        <v>2630</v>
      </c>
    </row>
    <row r="924" spans="1:2" ht="45">
      <c r="A924" s="31">
        <v>458663</v>
      </c>
      <c r="B924" s="18" t="s">
        <v>2532</v>
      </c>
    </row>
    <row r="925" spans="1:2" ht="45">
      <c r="A925" s="31">
        <v>458664</v>
      </c>
      <c r="B925" s="18" t="s">
        <v>2631</v>
      </c>
    </row>
    <row r="926" spans="1:2" ht="60">
      <c r="A926" s="31">
        <v>458668</v>
      </c>
      <c r="B926" s="18" t="s">
        <v>2632</v>
      </c>
    </row>
    <row r="927" spans="1:2">
      <c r="A927" s="31">
        <v>458669</v>
      </c>
      <c r="B927" s="32"/>
    </row>
    <row r="928" spans="1:2" ht="30">
      <c r="A928" s="31">
        <v>458670</v>
      </c>
      <c r="B928" s="18" t="s">
        <v>2633</v>
      </c>
    </row>
    <row r="929" spans="1:2">
      <c r="A929" s="31">
        <v>458727</v>
      </c>
      <c r="B929" s="32"/>
    </row>
    <row r="930" spans="1:2">
      <c r="A930" s="31">
        <v>458750</v>
      </c>
      <c r="B930" s="32"/>
    </row>
    <row r="931" spans="1:2" ht="45">
      <c r="A931" s="17">
        <v>458756</v>
      </c>
      <c r="B931" s="18" t="s">
        <v>2173</v>
      </c>
    </row>
    <row r="932" spans="1:2">
      <c r="A932" s="16">
        <v>458763</v>
      </c>
      <c r="B932" s="18" t="s">
        <v>1745</v>
      </c>
    </row>
    <row r="933" spans="1:2" ht="90">
      <c r="A933" s="31">
        <v>458778</v>
      </c>
      <c r="B933" s="18" t="s">
        <v>2634</v>
      </c>
    </row>
    <row r="934" spans="1:2">
      <c r="A934" s="31">
        <v>458781</v>
      </c>
      <c r="B934" s="32"/>
    </row>
    <row r="935" spans="1:2">
      <c r="A935" s="31">
        <v>458785</v>
      </c>
      <c r="B935" s="32"/>
    </row>
    <row r="936" spans="1:2">
      <c r="A936" s="43">
        <v>458919</v>
      </c>
      <c r="B936" s="18"/>
    </row>
    <row r="937" spans="1:2" ht="45">
      <c r="A937" s="17">
        <v>458959</v>
      </c>
      <c r="B937" s="21" t="s">
        <v>2102</v>
      </c>
    </row>
    <row r="938" spans="1:2" ht="60">
      <c r="A938" s="31">
        <v>459245</v>
      </c>
      <c r="B938" s="18" t="s">
        <v>2635</v>
      </c>
    </row>
    <row r="939" spans="1:2" ht="45">
      <c r="A939" s="31">
        <v>459269</v>
      </c>
      <c r="B939" s="18" t="s">
        <v>2636</v>
      </c>
    </row>
    <row r="940" spans="1:2" ht="45">
      <c r="A940" s="31">
        <v>459275</v>
      </c>
      <c r="B940" s="18" t="s">
        <v>2637</v>
      </c>
    </row>
    <row r="941" spans="1:2" ht="30">
      <c r="A941" s="31">
        <v>459279</v>
      </c>
      <c r="B941" s="18" t="s">
        <v>2638</v>
      </c>
    </row>
    <row r="942" spans="1:2" ht="45">
      <c r="A942" s="31">
        <v>459285</v>
      </c>
      <c r="B942" s="18" t="s">
        <v>2639</v>
      </c>
    </row>
    <row r="943" spans="1:2">
      <c r="A943" s="31">
        <v>460033</v>
      </c>
      <c r="B943" s="18"/>
    </row>
    <row r="944" spans="1:2">
      <c r="A944" s="31">
        <v>461857</v>
      </c>
      <c r="B944" s="18"/>
    </row>
    <row r="945" spans="1:2">
      <c r="A945" s="31">
        <v>462669</v>
      </c>
      <c r="B945" s="18"/>
    </row>
    <row r="946" spans="1:2" ht="30">
      <c r="A946" s="31">
        <v>464797</v>
      </c>
      <c r="B946" s="18" t="s">
        <v>2640</v>
      </c>
    </row>
    <row r="947" spans="1:2" ht="30">
      <c r="A947" s="31">
        <v>464811</v>
      </c>
      <c r="B947" s="18" t="s">
        <v>2641</v>
      </c>
    </row>
    <row r="948" spans="1:2">
      <c r="A948" s="31">
        <v>464823</v>
      </c>
      <c r="B948" s="20" t="s">
        <v>2533</v>
      </c>
    </row>
    <row r="949" spans="1:2" ht="30">
      <c r="A949" s="31">
        <v>464833</v>
      </c>
      <c r="B949" s="18" t="s">
        <v>2642</v>
      </c>
    </row>
    <row r="950" spans="1:2" ht="45">
      <c r="A950" s="31">
        <v>464840</v>
      </c>
      <c r="B950" s="18" t="s">
        <v>2534</v>
      </c>
    </row>
    <row r="951" spans="1:2" ht="30">
      <c r="A951" s="19">
        <v>464848</v>
      </c>
      <c r="B951" s="18" t="s">
        <v>2717</v>
      </c>
    </row>
    <row r="952" spans="1:2">
      <c r="A952" s="31">
        <v>464849</v>
      </c>
      <c r="B952" s="20" t="s">
        <v>2535</v>
      </c>
    </row>
    <row r="953" spans="1:2" ht="60">
      <c r="A953" s="31">
        <v>464965</v>
      </c>
      <c r="B953" s="18" t="s">
        <v>2643</v>
      </c>
    </row>
    <row r="954" spans="1:2" ht="30">
      <c r="A954" s="31">
        <v>464971</v>
      </c>
      <c r="B954" s="18" t="s">
        <v>2536</v>
      </c>
    </row>
    <row r="955" spans="1:2" ht="30">
      <c r="A955" s="31">
        <v>464977</v>
      </c>
      <c r="B955" s="18" t="s">
        <v>2644</v>
      </c>
    </row>
    <row r="956" spans="1:2" ht="30">
      <c r="A956" s="31">
        <v>465127</v>
      </c>
      <c r="B956" s="18" t="s">
        <v>2645</v>
      </c>
    </row>
    <row r="957" spans="1:2" ht="75">
      <c r="A957" s="31">
        <v>465130</v>
      </c>
      <c r="B957" s="18" t="s">
        <v>2646</v>
      </c>
    </row>
    <row r="958" spans="1:2" ht="30">
      <c r="A958" s="31">
        <v>465150</v>
      </c>
      <c r="B958" s="18" t="s">
        <v>2647</v>
      </c>
    </row>
    <row r="959" spans="1:2" ht="45">
      <c r="A959" s="31">
        <v>465155</v>
      </c>
      <c r="B959" s="18" t="s">
        <v>2648</v>
      </c>
    </row>
    <row r="960" spans="1:2" ht="30">
      <c r="A960" s="31">
        <v>465156</v>
      </c>
      <c r="B960" s="18" t="s">
        <v>2537</v>
      </c>
    </row>
    <row r="961" spans="1:2" ht="60">
      <c r="A961" s="31">
        <v>465372</v>
      </c>
      <c r="B961" s="18" t="s">
        <v>2649</v>
      </c>
    </row>
    <row r="962" spans="1:2" ht="30">
      <c r="A962" s="31">
        <v>465375</v>
      </c>
      <c r="B962" s="18" t="s">
        <v>2650</v>
      </c>
    </row>
    <row r="963" spans="1:2" ht="30">
      <c r="A963" s="19">
        <v>465383</v>
      </c>
      <c r="B963" s="18" t="s">
        <v>2718</v>
      </c>
    </row>
    <row r="964" spans="1:2">
      <c r="A964" s="31">
        <v>465386</v>
      </c>
      <c r="B964" s="20" t="s">
        <v>2538</v>
      </c>
    </row>
    <row r="965" spans="1:2">
      <c r="A965" s="31">
        <v>465390</v>
      </c>
      <c r="B965" s="18"/>
    </row>
    <row r="966" spans="1:2">
      <c r="A966" s="31">
        <v>465391</v>
      </c>
      <c r="B966" s="32"/>
    </row>
    <row r="967" spans="1:2">
      <c r="A967" s="31">
        <v>465600</v>
      </c>
      <c r="B967" s="32"/>
    </row>
    <row r="968" spans="1:2">
      <c r="A968" s="16">
        <v>465606</v>
      </c>
      <c r="B968" s="18" t="s">
        <v>1746</v>
      </c>
    </row>
    <row r="969" spans="1:2">
      <c r="A969" s="31">
        <v>465612</v>
      </c>
      <c r="B969" s="32"/>
    </row>
    <row r="970" spans="1:2" ht="30">
      <c r="A970" s="31">
        <v>465618</v>
      </c>
      <c r="B970" s="32" t="s">
        <v>2539</v>
      </c>
    </row>
    <row r="971" spans="1:2">
      <c r="A971" s="31">
        <v>465848</v>
      </c>
      <c r="B971" s="32"/>
    </row>
    <row r="972" spans="1:2">
      <c r="A972" s="31">
        <v>465876</v>
      </c>
      <c r="B972" s="32"/>
    </row>
    <row r="973" spans="1:2">
      <c r="A973" s="31">
        <v>466140</v>
      </c>
      <c r="B973" s="18"/>
    </row>
    <row r="974" spans="1:2">
      <c r="A974" s="16">
        <v>466471</v>
      </c>
      <c r="B974" s="18" t="s">
        <v>1747</v>
      </c>
    </row>
    <row r="975" spans="1:2">
      <c r="A975" s="31">
        <v>466591</v>
      </c>
      <c r="B975" s="32"/>
    </row>
    <row r="976" spans="1:2">
      <c r="A976" s="31">
        <v>466613</v>
      </c>
      <c r="B976" s="32"/>
    </row>
    <row r="977" spans="1:2">
      <c r="A977" s="31">
        <v>466621</v>
      </c>
      <c r="B977" s="32"/>
    </row>
    <row r="978" spans="1:2">
      <c r="A978" s="31">
        <v>466624</v>
      </c>
      <c r="B978" s="32"/>
    </row>
    <row r="979" spans="1:2">
      <c r="A979" s="31">
        <v>466637</v>
      </c>
      <c r="B979" s="18"/>
    </row>
    <row r="980" spans="1:2">
      <c r="A980" s="31">
        <v>466658</v>
      </c>
      <c r="B980" s="18"/>
    </row>
    <row r="981" spans="1:2" ht="75">
      <c r="A981" s="19">
        <v>466734</v>
      </c>
      <c r="B981" s="18" t="s">
        <v>2719</v>
      </c>
    </row>
    <row r="982" spans="1:2">
      <c r="A982" s="31">
        <v>466850</v>
      </c>
      <c r="B982" s="32"/>
    </row>
    <row r="983" spans="1:2" ht="30">
      <c r="A983" s="17">
        <v>466860</v>
      </c>
      <c r="B983" s="18" t="s">
        <v>2113</v>
      </c>
    </row>
    <row r="984" spans="1:2">
      <c r="A984" s="31">
        <v>466984</v>
      </c>
      <c r="B984" s="18"/>
    </row>
    <row r="985" spans="1:2">
      <c r="A985" s="16">
        <v>467078</v>
      </c>
      <c r="B985" s="18" t="s">
        <v>1748</v>
      </c>
    </row>
    <row r="986" spans="1:2">
      <c r="A986" s="40">
        <v>467086</v>
      </c>
      <c r="B986" s="26"/>
    </row>
    <row r="987" spans="1:2">
      <c r="A987" s="16">
        <v>467102</v>
      </c>
      <c r="B987" s="18" t="s">
        <v>1749</v>
      </c>
    </row>
    <row r="988" spans="1:2">
      <c r="A988" s="31">
        <v>467568</v>
      </c>
      <c r="B988" s="18"/>
    </row>
    <row r="989" spans="1:2">
      <c r="A989" s="31">
        <v>467942</v>
      </c>
      <c r="B989" s="32"/>
    </row>
    <row r="990" spans="1:2" ht="45">
      <c r="A990" s="31">
        <v>468395</v>
      </c>
      <c r="B990" s="18" t="s">
        <v>2540</v>
      </c>
    </row>
    <row r="991" spans="1:2" ht="30">
      <c r="A991" s="19">
        <v>468416</v>
      </c>
      <c r="B991" s="18" t="s">
        <v>2720</v>
      </c>
    </row>
    <row r="992" spans="1:2">
      <c r="A992" s="31">
        <v>468641</v>
      </c>
      <c r="B992" s="32"/>
    </row>
    <row r="993" spans="1:2">
      <c r="A993" s="31">
        <v>468731</v>
      </c>
      <c r="B993" s="32"/>
    </row>
    <row r="994" spans="1:2">
      <c r="A994" s="31">
        <v>468736</v>
      </c>
      <c r="B994" s="18"/>
    </row>
    <row r="995" spans="1:2">
      <c r="A995" s="31">
        <v>468752</v>
      </c>
      <c r="B995" s="32"/>
    </row>
    <row r="996" spans="1:2">
      <c r="A996" s="31">
        <v>469522</v>
      </c>
      <c r="B996" s="32"/>
    </row>
    <row r="997" spans="1:2">
      <c r="A997" s="31">
        <v>470085</v>
      </c>
      <c r="B997" s="32"/>
    </row>
    <row r="998" spans="1:2">
      <c r="A998" s="31">
        <v>470095</v>
      </c>
      <c r="B998" s="32"/>
    </row>
    <row r="999" spans="1:2">
      <c r="A999" s="31">
        <v>470100</v>
      </c>
      <c r="B999" s="32"/>
    </row>
    <row r="1000" spans="1:2">
      <c r="A1000" s="31">
        <v>470126</v>
      </c>
      <c r="B1000" s="32"/>
    </row>
    <row r="1001" spans="1:2">
      <c r="A1001" s="31">
        <v>470144</v>
      </c>
      <c r="B1001" s="32"/>
    </row>
    <row r="1002" spans="1:2">
      <c r="A1002" s="31">
        <v>470165</v>
      </c>
      <c r="B1002" s="32"/>
    </row>
    <row r="1003" spans="1:2">
      <c r="A1003" s="31">
        <v>470322</v>
      </c>
      <c r="B1003" s="32"/>
    </row>
    <row r="1004" spans="1:2">
      <c r="A1004" s="31">
        <v>470384</v>
      </c>
      <c r="B1004" s="32"/>
    </row>
    <row r="1005" spans="1:2">
      <c r="A1005" s="16">
        <v>470616</v>
      </c>
      <c r="B1005" s="18" t="s">
        <v>1750</v>
      </c>
    </row>
    <row r="1006" spans="1:2">
      <c r="A1006" s="31">
        <v>471146</v>
      </c>
      <c r="B1006" s="32"/>
    </row>
    <row r="1007" spans="1:2">
      <c r="A1007" s="16">
        <v>471392</v>
      </c>
      <c r="B1007" s="18" t="s">
        <v>1751</v>
      </c>
    </row>
    <row r="1008" spans="1:2">
      <c r="A1008" s="31">
        <v>471499</v>
      </c>
      <c r="B1008" s="32"/>
    </row>
    <row r="1009" spans="1:2">
      <c r="A1009" s="31">
        <v>471642</v>
      </c>
      <c r="B1009" s="32"/>
    </row>
    <row r="1010" spans="1:2">
      <c r="A1010" s="31">
        <v>471645</v>
      </c>
      <c r="B1010" s="32"/>
    </row>
    <row r="1011" spans="1:2">
      <c r="A1011" s="17">
        <v>473316</v>
      </c>
      <c r="B1011" s="18" t="s">
        <v>2423</v>
      </c>
    </row>
    <row r="1012" spans="1:2" ht="60">
      <c r="A1012" s="17">
        <v>473332</v>
      </c>
      <c r="B1012" s="18" t="s">
        <v>2422</v>
      </c>
    </row>
    <row r="1013" spans="1:2">
      <c r="A1013" s="17">
        <v>473341</v>
      </c>
      <c r="B1013" s="20" t="s">
        <v>2424</v>
      </c>
    </row>
    <row r="1014" spans="1:2" ht="30">
      <c r="A1014" s="17">
        <v>473348</v>
      </c>
      <c r="B1014" s="18" t="s">
        <v>2425</v>
      </c>
    </row>
    <row r="1015" spans="1:2">
      <c r="A1015" s="17">
        <v>473352</v>
      </c>
      <c r="B1015" s="20" t="s">
        <v>2426</v>
      </c>
    </row>
    <row r="1016" spans="1:2" ht="30">
      <c r="A1016" s="17">
        <v>473474</v>
      </c>
      <c r="B1016" s="18" t="s">
        <v>2410</v>
      </c>
    </row>
    <row r="1017" spans="1:2" ht="45">
      <c r="A1017" s="17">
        <v>473486</v>
      </c>
      <c r="B1017" s="18" t="s">
        <v>2411</v>
      </c>
    </row>
    <row r="1018" spans="1:2" ht="30">
      <c r="A1018" s="17">
        <v>473496</v>
      </c>
      <c r="B1018" s="18" t="s">
        <v>2412</v>
      </c>
    </row>
    <row r="1019" spans="1:2" ht="45">
      <c r="A1019" s="17">
        <v>473530</v>
      </c>
      <c r="B1019" s="18" t="s">
        <v>2445</v>
      </c>
    </row>
    <row r="1020" spans="1:2">
      <c r="A1020" s="31">
        <v>473537</v>
      </c>
      <c r="B1020" s="32"/>
    </row>
    <row r="1021" spans="1:2">
      <c r="A1021" s="31">
        <v>473551</v>
      </c>
      <c r="B1021" s="32"/>
    </row>
    <row r="1022" spans="1:2">
      <c r="A1022" s="31">
        <v>475027</v>
      </c>
      <c r="B1022" s="32"/>
    </row>
    <row r="1023" spans="1:2">
      <c r="A1023" s="31">
        <v>475114</v>
      </c>
      <c r="B1023" s="18"/>
    </row>
    <row r="1024" spans="1:2" ht="30">
      <c r="A1024" s="16">
        <v>475171</v>
      </c>
      <c r="B1024" s="18" t="s">
        <v>1752</v>
      </c>
    </row>
    <row r="1025" spans="1:2">
      <c r="A1025" s="31">
        <v>475180</v>
      </c>
      <c r="B1025" s="20" t="s">
        <v>2541</v>
      </c>
    </row>
    <row r="1026" spans="1:2" ht="45">
      <c r="A1026" s="19">
        <v>475192</v>
      </c>
      <c r="B1026" s="18" t="s">
        <v>2721</v>
      </c>
    </row>
    <row r="1027" spans="1:2" ht="30">
      <c r="A1027" s="31">
        <v>475197</v>
      </c>
      <c r="B1027" s="18" t="s">
        <v>2542</v>
      </c>
    </row>
    <row r="1028" spans="1:2" ht="30">
      <c r="A1028" s="16">
        <v>475201</v>
      </c>
      <c r="B1028" s="18" t="s">
        <v>1753</v>
      </c>
    </row>
    <row r="1029" spans="1:2">
      <c r="A1029" s="31">
        <v>475205</v>
      </c>
      <c r="B1029" s="18"/>
    </row>
    <row r="1030" spans="1:2" ht="165">
      <c r="A1030" s="17">
        <v>475209</v>
      </c>
      <c r="B1030" s="18" t="s">
        <v>2219</v>
      </c>
    </row>
    <row r="1031" spans="1:2" ht="30">
      <c r="A1031" s="16">
        <v>475211</v>
      </c>
      <c r="B1031" s="18" t="s">
        <v>1754</v>
      </c>
    </row>
    <row r="1032" spans="1:2" ht="45">
      <c r="A1032" s="16">
        <v>475214</v>
      </c>
      <c r="B1032" s="18" t="s">
        <v>1755</v>
      </c>
    </row>
    <row r="1033" spans="1:2" ht="60">
      <c r="A1033" s="16">
        <v>475295</v>
      </c>
      <c r="B1033" s="18" t="s">
        <v>1756</v>
      </c>
    </row>
    <row r="1034" spans="1:2" ht="30">
      <c r="A1034" s="17">
        <v>475369</v>
      </c>
      <c r="B1034" s="18" t="s">
        <v>2235</v>
      </c>
    </row>
    <row r="1035" spans="1:2" ht="30">
      <c r="A1035" s="19">
        <v>475373</v>
      </c>
      <c r="B1035" s="18" t="s">
        <v>2722</v>
      </c>
    </row>
    <row r="1036" spans="1:2" ht="30">
      <c r="A1036" s="19">
        <v>475377</v>
      </c>
      <c r="B1036" s="18" t="s">
        <v>2723</v>
      </c>
    </row>
    <row r="1037" spans="1:2" ht="30">
      <c r="A1037" s="19">
        <v>475379</v>
      </c>
      <c r="B1037" s="18" t="s">
        <v>2724</v>
      </c>
    </row>
    <row r="1038" spans="1:2" ht="30">
      <c r="A1038" s="19">
        <v>475380</v>
      </c>
      <c r="B1038" s="18" t="s">
        <v>2725</v>
      </c>
    </row>
    <row r="1039" spans="1:2" ht="30">
      <c r="A1039" s="19">
        <v>475383</v>
      </c>
      <c r="B1039" s="18" t="s">
        <v>2726</v>
      </c>
    </row>
    <row r="1040" spans="1:2" ht="30">
      <c r="A1040" s="19">
        <v>475384</v>
      </c>
      <c r="B1040" s="18" t="s">
        <v>2727</v>
      </c>
    </row>
    <row r="1041" spans="1:2" ht="30">
      <c r="A1041" s="19">
        <v>475385</v>
      </c>
      <c r="B1041" s="18" t="s">
        <v>2728</v>
      </c>
    </row>
    <row r="1042" spans="1:2" ht="45">
      <c r="A1042" s="31">
        <v>475386</v>
      </c>
      <c r="B1042" s="18" t="s">
        <v>2543</v>
      </c>
    </row>
    <row r="1043" spans="1:2" ht="30">
      <c r="A1043" s="19">
        <v>475387</v>
      </c>
      <c r="B1043" s="18" t="s">
        <v>2729</v>
      </c>
    </row>
    <row r="1044" spans="1:2" ht="30">
      <c r="A1044" s="19">
        <v>475425</v>
      </c>
      <c r="B1044" s="18" t="s">
        <v>2730</v>
      </c>
    </row>
    <row r="1045" spans="1:2" ht="30">
      <c r="A1045" s="19">
        <v>475428</v>
      </c>
      <c r="B1045" s="18" t="s">
        <v>2731</v>
      </c>
    </row>
    <row r="1046" spans="1:2" ht="30">
      <c r="A1046" s="16">
        <v>475441</v>
      </c>
      <c r="B1046" s="18" t="s">
        <v>1757</v>
      </c>
    </row>
    <row r="1047" spans="1:2" ht="30">
      <c r="A1047" s="16">
        <v>475453</v>
      </c>
      <c r="B1047" s="18" t="s">
        <v>1758</v>
      </c>
    </row>
    <row r="1048" spans="1:2">
      <c r="A1048" s="16">
        <v>475458</v>
      </c>
      <c r="B1048" s="18" t="s">
        <v>1759</v>
      </c>
    </row>
    <row r="1049" spans="1:2" ht="30">
      <c r="A1049" s="19">
        <v>475467</v>
      </c>
      <c r="B1049" s="18" t="s">
        <v>2732</v>
      </c>
    </row>
    <row r="1050" spans="1:2" ht="45">
      <c r="A1050" s="31">
        <v>475558</v>
      </c>
      <c r="B1050" s="18" t="s">
        <v>2544</v>
      </c>
    </row>
    <row r="1051" spans="1:2">
      <c r="A1051" s="31">
        <v>476116</v>
      </c>
      <c r="B1051" s="18"/>
    </row>
    <row r="1052" spans="1:2">
      <c r="A1052" s="16">
        <v>476957</v>
      </c>
      <c r="B1052" s="18" t="s">
        <v>1760</v>
      </c>
    </row>
    <row r="1053" spans="1:2">
      <c r="A1053" s="31">
        <v>476962</v>
      </c>
      <c r="B1053" s="18"/>
    </row>
    <row r="1054" spans="1:2" ht="60">
      <c r="A1054" s="17">
        <v>476969</v>
      </c>
      <c r="B1054" s="18" t="s">
        <v>2178</v>
      </c>
    </row>
    <row r="1055" spans="1:2">
      <c r="A1055" s="31">
        <v>477108</v>
      </c>
      <c r="B1055" s="18"/>
    </row>
    <row r="1056" spans="1:2">
      <c r="A1056" s="31">
        <v>477136</v>
      </c>
      <c r="B1056" s="18"/>
    </row>
    <row r="1057" spans="1:2">
      <c r="A1057" s="31">
        <v>477140</v>
      </c>
      <c r="B1057" s="18"/>
    </row>
    <row r="1058" spans="1:2" ht="30">
      <c r="A1058" s="31">
        <v>478151</v>
      </c>
      <c r="B1058" s="18" t="s">
        <v>2602</v>
      </c>
    </row>
    <row r="1059" spans="1:2" ht="45">
      <c r="A1059" s="31">
        <v>478277</v>
      </c>
      <c r="B1059" s="18" t="s">
        <v>2545</v>
      </c>
    </row>
    <row r="1060" spans="1:2">
      <c r="A1060" s="16">
        <v>478282</v>
      </c>
      <c r="B1060" s="18" t="s">
        <v>1761</v>
      </c>
    </row>
    <row r="1061" spans="1:2" ht="30">
      <c r="A1061" s="16">
        <v>478371</v>
      </c>
      <c r="B1061" s="18" t="s">
        <v>1762</v>
      </c>
    </row>
    <row r="1062" spans="1:2">
      <c r="A1062" s="31">
        <v>478457</v>
      </c>
      <c r="B1062" s="18"/>
    </row>
    <row r="1063" spans="1:2" ht="60">
      <c r="A1063" s="16">
        <v>478466</v>
      </c>
      <c r="B1063" s="18" t="s">
        <v>1763</v>
      </c>
    </row>
    <row r="1064" spans="1:2" ht="45">
      <c r="A1064" s="16">
        <v>478469</v>
      </c>
      <c r="B1064" s="18" t="s">
        <v>1764</v>
      </c>
    </row>
    <row r="1065" spans="1:2" ht="60">
      <c r="A1065" s="16">
        <v>478634</v>
      </c>
      <c r="B1065" s="18" t="s">
        <v>1765</v>
      </c>
    </row>
    <row r="1066" spans="1:2" ht="45">
      <c r="A1066" s="16">
        <v>478646</v>
      </c>
      <c r="B1066" s="18" t="s">
        <v>1766</v>
      </c>
    </row>
    <row r="1067" spans="1:2" ht="30">
      <c r="A1067" s="16">
        <v>478882</v>
      </c>
      <c r="B1067" s="18" t="s">
        <v>1767</v>
      </c>
    </row>
    <row r="1068" spans="1:2" ht="60">
      <c r="A1068" s="16">
        <v>478908</v>
      </c>
      <c r="B1068" s="18" t="s">
        <v>1768</v>
      </c>
    </row>
    <row r="1069" spans="1:2" ht="60">
      <c r="A1069" s="16">
        <v>479055</v>
      </c>
      <c r="B1069" s="18" t="s">
        <v>1769</v>
      </c>
    </row>
    <row r="1070" spans="1:2">
      <c r="A1070" s="16">
        <v>479057</v>
      </c>
      <c r="B1070" s="18" t="s">
        <v>1770</v>
      </c>
    </row>
    <row r="1071" spans="1:2" ht="45">
      <c r="A1071" s="16">
        <v>479059</v>
      </c>
      <c r="B1071" s="18" t="s">
        <v>1771</v>
      </c>
    </row>
    <row r="1072" spans="1:2" ht="45">
      <c r="A1072" s="16">
        <v>479061</v>
      </c>
      <c r="B1072" s="18" t="s">
        <v>1772</v>
      </c>
    </row>
    <row r="1073" spans="1:2">
      <c r="A1073" s="16">
        <v>479062</v>
      </c>
      <c r="B1073" s="18" t="s">
        <v>1773</v>
      </c>
    </row>
    <row r="1074" spans="1:2">
      <c r="A1074" s="16">
        <v>479066</v>
      </c>
      <c r="B1074" s="18" t="s">
        <v>1774</v>
      </c>
    </row>
    <row r="1075" spans="1:2" ht="30">
      <c r="A1075" s="16">
        <v>479068</v>
      </c>
      <c r="B1075" s="18" t="s">
        <v>1775</v>
      </c>
    </row>
    <row r="1076" spans="1:2">
      <c r="A1076" s="16">
        <v>479072</v>
      </c>
      <c r="B1076" s="20" t="s">
        <v>1776</v>
      </c>
    </row>
    <row r="1077" spans="1:2" ht="30">
      <c r="A1077" s="16">
        <v>479076</v>
      </c>
      <c r="B1077" s="18" t="s">
        <v>1777</v>
      </c>
    </row>
    <row r="1078" spans="1:2" ht="30">
      <c r="A1078" s="16">
        <v>479079</v>
      </c>
      <c r="B1078" s="18" t="s">
        <v>1778</v>
      </c>
    </row>
    <row r="1079" spans="1:2" ht="45">
      <c r="A1079" s="16">
        <v>479557</v>
      </c>
      <c r="B1079" s="18" t="s">
        <v>1779</v>
      </c>
    </row>
    <row r="1080" spans="1:2" ht="30">
      <c r="A1080" s="16">
        <v>480058</v>
      </c>
      <c r="B1080" s="18" t="s">
        <v>1780</v>
      </c>
    </row>
    <row r="1081" spans="1:2" ht="30">
      <c r="A1081" s="16">
        <v>480066</v>
      </c>
      <c r="B1081" s="18" t="s">
        <v>1781</v>
      </c>
    </row>
    <row r="1082" spans="1:2">
      <c r="A1082" s="17">
        <v>487078</v>
      </c>
      <c r="B1082" s="18"/>
    </row>
    <row r="1083" spans="1:2" ht="45">
      <c r="A1083" s="19">
        <v>490174</v>
      </c>
      <c r="B1083" s="18" t="s">
        <v>2733</v>
      </c>
    </row>
    <row r="1084" spans="1:2">
      <c r="A1084" s="31">
        <v>502555</v>
      </c>
      <c r="B1084" s="32"/>
    </row>
    <row r="1085" spans="1:2" ht="75">
      <c r="A1085" s="17">
        <v>506797</v>
      </c>
      <c r="B1085" s="18" t="s">
        <v>2444</v>
      </c>
    </row>
    <row r="1086" spans="1:2">
      <c r="A1086" s="31">
        <v>511757</v>
      </c>
      <c r="B1086" s="32"/>
    </row>
    <row r="1087" spans="1:2">
      <c r="A1087" s="31">
        <v>512516</v>
      </c>
      <c r="B1087" s="18"/>
    </row>
    <row r="1088" spans="1:2">
      <c r="A1088" s="16">
        <v>517373</v>
      </c>
      <c r="B1088" s="18" t="s">
        <v>1782</v>
      </c>
    </row>
    <row r="1089" spans="1:2">
      <c r="A1089" s="16">
        <v>517897</v>
      </c>
      <c r="B1089" s="18" t="s">
        <v>1783</v>
      </c>
    </row>
    <row r="1090" spans="1:2">
      <c r="A1090" s="31">
        <v>521103</v>
      </c>
      <c r="B1090" s="32"/>
    </row>
    <row r="1091" spans="1:2">
      <c r="A1091" s="31">
        <v>522518</v>
      </c>
      <c r="B1091" s="32"/>
    </row>
    <row r="1092" spans="1:2" ht="45">
      <c r="A1092" s="19">
        <v>523218</v>
      </c>
      <c r="B1092" s="18" t="s">
        <v>2734</v>
      </c>
    </row>
    <row r="1093" spans="1:2" ht="30">
      <c r="A1093" s="17">
        <v>526556</v>
      </c>
      <c r="B1093" s="18" t="s">
        <v>2074</v>
      </c>
    </row>
    <row r="1094" spans="1:2">
      <c r="A1094" s="31">
        <v>528370</v>
      </c>
      <c r="B1094" s="32"/>
    </row>
    <row r="1095" spans="1:2" ht="30">
      <c r="A1095" s="17">
        <v>528994</v>
      </c>
      <c r="B1095" s="18" t="s">
        <v>2061</v>
      </c>
    </row>
    <row r="1096" spans="1:2">
      <c r="A1096" s="31">
        <v>529458</v>
      </c>
      <c r="B1096" s="32"/>
    </row>
    <row r="1097" spans="1:2">
      <c r="A1097" s="31">
        <v>533863</v>
      </c>
      <c r="B1097" s="32"/>
    </row>
    <row r="1098" spans="1:2">
      <c r="A1098" s="31">
        <v>535080</v>
      </c>
      <c r="B1098" s="32"/>
    </row>
    <row r="1099" spans="1:2">
      <c r="A1099" s="31">
        <v>536809</v>
      </c>
      <c r="B1099" s="18"/>
    </row>
    <row r="1100" spans="1:2">
      <c r="A1100" s="31">
        <v>538798</v>
      </c>
      <c r="B1100" s="32"/>
    </row>
    <row r="1101" spans="1:2">
      <c r="A1101" s="31">
        <v>539000</v>
      </c>
      <c r="B1101" s="18"/>
    </row>
    <row r="1102" spans="1:2">
      <c r="A1102" s="31">
        <v>542298</v>
      </c>
      <c r="B1102" s="32"/>
    </row>
    <row r="1103" spans="1:2">
      <c r="A1103" s="31">
        <v>543768</v>
      </c>
      <c r="B1103" s="32"/>
    </row>
    <row r="1104" spans="1:2">
      <c r="A1104" s="31">
        <v>544549</v>
      </c>
      <c r="B1104" s="32"/>
    </row>
    <row r="1105" spans="1:2">
      <c r="A1105" s="31">
        <v>545357</v>
      </c>
      <c r="B1105" s="18"/>
    </row>
    <row r="1106" spans="1:2">
      <c r="A1106" s="31">
        <v>548167</v>
      </c>
      <c r="B1106" s="32"/>
    </row>
    <row r="1107" spans="1:2">
      <c r="A1107" s="31">
        <v>549978</v>
      </c>
      <c r="B1107" s="32"/>
    </row>
    <row r="1108" spans="1:2">
      <c r="A1108" s="31">
        <v>561147</v>
      </c>
      <c r="B1108" s="32"/>
    </row>
    <row r="1109" spans="1:2">
      <c r="A1109" s="31">
        <v>567803</v>
      </c>
      <c r="B1109" s="32"/>
    </row>
    <row r="1110" spans="1:2">
      <c r="A1110" s="16">
        <v>567856</v>
      </c>
      <c r="B1110" s="18" t="s">
        <v>1784</v>
      </c>
    </row>
    <row r="1111" spans="1:2">
      <c r="A1111" s="16">
        <v>569438</v>
      </c>
      <c r="B1111" s="18" t="s">
        <v>1785</v>
      </c>
    </row>
    <row r="1112" spans="1:2">
      <c r="A1112" s="17">
        <v>569912</v>
      </c>
      <c r="B1112" s="18"/>
    </row>
    <row r="1113" spans="1:2">
      <c r="A1113" s="17">
        <v>570053</v>
      </c>
      <c r="B1113" s="18"/>
    </row>
    <row r="1114" spans="1:2">
      <c r="A1114" s="17">
        <v>570068</v>
      </c>
      <c r="B1114" s="18"/>
    </row>
    <row r="1115" spans="1:2">
      <c r="A1115" s="17">
        <v>570139</v>
      </c>
      <c r="B1115" s="18"/>
    </row>
    <row r="1116" spans="1:2">
      <c r="A1116" s="17">
        <v>570144</v>
      </c>
      <c r="B1116" s="18"/>
    </row>
    <row r="1117" spans="1:2">
      <c r="A1117" s="17">
        <v>585227</v>
      </c>
      <c r="B1117" s="18"/>
    </row>
    <row r="1118" spans="1:2">
      <c r="A1118" s="17">
        <v>585340</v>
      </c>
      <c r="B1118" s="18"/>
    </row>
    <row r="1119" spans="1:2">
      <c r="A1119" s="17">
        <v>585697</v>
      </c>
      <c r="B1119" s="18"/>
    </row>
    <row r="1120" spans="1:2">
      <c r="A1120" s="17">
        <v>586166</v>
      </c>
      <c r="B1120" s="18"/>
    </row>
    <row r="1121" spans="1:2">
      <c r="A1121" s="17">
        <v>586409</v>
      </c>
      <c r="B1121" s="18" t="s">
        <v>2002</v>
      </c>
    </row>
    <row r="1122" spans="1:2" ht="105">
      <c r="A1122" s="17">
        <v>589426</v>
      </c>
      <c r="B1122" s="18" t="s">
        <v>2044</v>
      </c>
    </row>
    <row r="1123" spans="1:2">
      <c r="A1123" s="17">
        <v>592633</v>
      </c>
      <c r="B1123" s="24" t="s">
        <v>2278</v>
      </c>
    </row>
    <row r="1124" spans="1:2">
      <c r="A1124" s="17">
        <v>598101</v>
      </c>
      <c r="B1124" s="18"/>
    </row>
    <row r="1125" spans="1:2" ht="120">
      <c r="A1125" s="16">
        <v>599364</v>
      </c>
      <c r="B1125" s="18" t="s">
        <v>1786</v>
      </c>
    </row>
    <row r="1126" spans="1:2">
      <c r="A1126" s="31">
        <v>601136</v>
      </c>
      <c r="B1126" s="32"/>
    </row>
    <row r="1127" spans="1:2">
      <c r="A1127" s="16">
        <v>601741</v>
      </c>
      <c r="B1127" s="18" t="s">
        <v>1787</v>
      </c>
    </row>
    <row r="1128" spans="1:2">
      <c r="A1128" s="17">
        <v>602022</v>
      </c>
      <c r="B1128" s="18"/>
    </row>
    <row r="1129" spans="1:2">
      <c r="A1129" s="16">
        <v>604127</v>
      </c>
      <c r="B1129" s="18" t="s">
        <v>1788</v>
      </c>
    </row>
    <row r="1130" spans="1:2">
      <c r="A1130" s="31">
        <v>608593</v>
      </c>
      <c r="B1130" s="32"/>
    </row>
    <row r="1131" spans="1:2">
      <c r="A1131" s="16">
        <v>613457</v>
      </c>
      <c r="B1131" s="18" t="s">
        <v>1789</v>
      </c>
    </row>
    <row r="1132" spans="1:2">
      <c r="A1132" s="31">
        <v>614031</v>
      </c>
      <c r="B1132" s="18"/>
    </row>
    <row r="1133" spans="1:2">
      <c r="A1133" s="16">
        <v>614521</v>
      </c>
      <c r="B1133" s="18" t="s">
        <v>1790</v>
      </c>
    </row>
    <row r="1134" spans="1:2">
      <c r="A1134" s="31">
        <v>620674</v>
      </c>
      <c r="B1134" s="18"/>
    </row>
    <row r="1135" spans="1:2">
      <c r="A1135" s="31">
        <v>621769</v>
      </c>
      <c r="B1135" s="32"/>
    </row>
    <row r="1136" spans="1:2">
      <c r="A1136" s="31">
        <v>621786</v>
      </c>
      <c r="B1136" s="32"/>
    </row>
    <row r="1137" spans="1:2">
      <c r="A1137" s="31">
        <v>622422</v>
      </c>
      <c r="B1137" s="18"/>
    </row>
    <row r="1138" spans="1:2">
      <c r="A1138" s="31">
        <v>623010</v>
      </c>
      <c r="B1138" s="32"/>
    </row>
    <row r="1139" spans="1:2">
      <c r="A1139" s="16">
        <v>626460</v>
      </c>
      <c r="B1139" s="18" t="s">
        <v>1791</v>
      </c>
    </row>
    <row r="1140" spans="1:2">
      <c r="A1140" s="16">
        <v>626703</v>
      </c>
      <c r="B1140" s="18" t="s">
        <v>1792</v>
      </c>
    </row>
    <row r="1141" spans="1:2">
      <c r="A1141" s="31">
        <v>628182</v>
      </c>
      <c r="B1141" s="32"/>
    </row>
    <row r="1142" spans="1:2">
      <c r="A1142" s="31">
        <v>636023</v>
      </c>
      <c r="B1142" s="32"/>
    </row>
    <row r="1143" spans="1:2">
      <c r="A1143" s="16">
        <v>636335</v>
      </c>
      <c r="B1143" s="18" t="s">
        <v>1793</v>
      </c>
    </row>
    <row r="1144" spans="1:2">
      <c r="A1144" s="16">
        <v>636337</v>
      </c>
      <c r="B1144" s="18" t="s">
        <v>1794</v>
      </c>
    </row>
    <row r="1145" spans="1:2">
      <c r="A1145" s="16">
        <v>636371</v>
      </c>
      <c r="B1145" s="18" t="s">
        <v>1795</v>
      </c>
    </row>
    <row r="1146" spans="1:2">
      <c r="A1146" s="16">
        <v>636385</v>
      </c>
      <c r="B1146" s="18" t="s">
        <v>1796</v>
      </c>
    </row>
    <row r="1147" spans="1:2">
      <c r="A1147" s="16">
        <v>636389</v>
      </c>
      <c r="B1147" s="18" t="s">
        <v>1797</v>
      </c>
    </row>
    <row r="1148" spans="1:2">
      <c r="A1148" s="16">
        <v>637133</v>
      </c>
      <c r="B1148" s="18" t="s">
        <v>1798</v>
      </c>
    </row>
    <row r="1149" spans="1:2">
      <c r="A1149" s="16">
        <v>637139</v>
      </c>
      <c r="B1149" s="18" t="s">
        <v>1799</v>
      </c>
    </row>
    <row r="1150" spans="1:2">
      <c r="A1150" s="16">
        <v>637243</v>
      </c>
      <c r="B1150" s="18" t="s">
        <v>1800</v>
      </c>
    </row>
    <row r="1151" spans="1:2" ht="30">
      <c r="A1151" s="19">
        <v>640093</v>
      </c>
      <c r="B1151" s="18" t="s">
        <v>2735</v>
      </c>
    </row>
    <row r="1152" spans="1:2">
      <c r="A1152" s="31">
        <v>644191</v>
      </c>
      <c r="B1152" s="32"/>
    </row>
    <row r="1153" spans="1:2">
      <c r="A1153" s="31">
        <v>657005</v>
      </c>
      <c r="B1153" s="32"/>
    </row>
    <row r="1154" spans="1:2">
      <c r="A1154" s="16">
        <v>665442</v>
      </c>
      <c r="B1154" s="18" t="s">
        <v>1801</v>
      </c>
    </row>
    <row r="1155" spans="1:2">
      <c r="A1155" s="31">
        <v>682510</v>
      </c>
      <c r="B1155" s="32"/>
    </row>
    <row r="1156" spans="1:2">
      <c r="A1156" s="31">
        <v>692172</v>
      </c>
      <c r="B1156" s="32"/>
    </row>
    <row r="1157" spans="1:2">
      <c r="A1157" s="16">
        <v>700486</v>
      </c>
      <c r="B1157" s="18" t="s">
        <v>1802</v>
      </c>
    </row>
    <row r="1158" spans="1:2">
      <c r="A1158" s="16">
        <v>700487</v>
      </c>
      <c r="B1158" s="18" t="s">
        <v>1803</v>
      </c>
    </row>
    <row r="1159" spans="1:2" ht="30">
      <c r="A1159" s="16">
        <v>704429</v>
      </c>
      <c r="B1159" s="18" t="s">
        <v>1804</v>
      </c>
    </row>
    <row r="1160" spans="1:2">
      <c r="A1160" s="16">
        <v>709106</v>
      </c>
      <c r="B1160" s="18" t="s">
        <v>1805</v>
      </c>
    </row>
    <row r="1161" spans="1:2" ht="45">
      <c r="A1161" s="31">
        <v>709123</v>
      </c>
      <c r="B1161" s="34" t="s">
        <v>2546</v>
      </c>
    </row>
    <row r="1162" spans="1:2">
      <c r="A1162" s="16">
        <v>709129</v>
      </c>
      <c r="B1162" s="18" t="s">
        <v>1806</v>
      </c>
    </row>
    <row r="1163" spans="1:2">
      <c r="A1163" s="31">
        <v>710503</v>
      </c>
      <c r="B1163" s="32"/>
    </row>
    <row r="1164" spans="1:2">
      <c r="A1164" s="31">
        <v>716969</v>
      </c>
      <c r="B1164" s="32"/>
    </row>
    <row r="1165" spans="1:2" ht="45">
      <c r="A1165" s="17">
        <v>718172</v>
      </c>
      <c r="B1165" s="18" t="s">
        <v>2258</v>
      </c>
    </row>
    <row r="1166" spans="1:2" ht="60">
      <c r="A1166" s="17">
        <v>718199</v>
      </c>
      <c r="B1166" s="18" t="s">
        <v>2257</v>
      </c>
    </row>
    <row r="1167" spans="1:2">
      <c r="A1167" s="31">
        <v>720680</v>
      </c>
      <c r="B1167" s="32"/>
    </row>
    <row r="1168" spans="1:2">
      <c r="A1168" s="16">
        <v>721508</v>
      </c>
      <c r="B1168" s="18" t="s">
        <v>1807</v>
      </c>
    </row>
    <row r="1169" spans="1:2">
      <c r="A1169" s="31">
        <v>727440</v>
      </c>
      <c r="B1169" s="32"/>
    </row>
    <row r="1170" spans="1:2">
      <c r="A1170" s="16">
        <v>729122</v>
      </c>
      <c r="B1170" s="18" t="s">
        <v>1808</v>
      </c>
    </row>
    <row r="1171" spans="1:2">
      <c r="A1171" s="31">
        <v>729942</v>
      </c>
      <c r="B1171" s="32"/>
    </row>
    <row r="1172" spans="1:2">
      <c r="A1172" s="16">
        <v>730341</v>
      </c>
      <c r="B1172" s="18" t="s">
        <v>1809</v>
      </c>
    </row>
    <row r="1173" spans="1:2">
      <c r="A1173" s="31">
        <v>730952</v>
      </c>
      <c r="B1173" s="32"/>
    </row>
    <row r="1174" spans="1:2">
      <c r="A1174" s="31">
        <v>731286</v>
      </c>
      <c r="B1174" s="32"/>
    </row>
    <row r="1175" spans="1:2">
      <c r="A1175" s="16">
        <v>733501</v>
      </c>
      <c r="B1175" s="18" t="s">
        <v>1810</v>
      </c>
    </row>
    <row r="1176" spans="1:2">
      <c r="A1176" s="31">
        <v>737167</v>
      </c>
      <c r="B1176" s="32"/>
    </row>
    <row r="1177" spans="1:2">
      <c r="A1177" s="31">
        <v>741382</v>
      </c>
      <c r="B1177" s="32"/>
    </row>
    <row r="1178" spans="1:2" ht="30">
      <c r="A1178" s="16">
        <v>742171</v>
      </c>
      <c r="B1178" s="18" t="s">
        <v>1811</v>
      </c>
    </row>
    <row r="1179" spans="1:2">
      <c r="A1179" s="16">
        <v>742173</v>
      </c>
      <c r="B1179" s="18" t="s">
        <v>1812</v>
      </c>
    </row>
    <row r="1180" spans="1:2" ht="45">
      <c r="A1180" s="17">
        <v>742174</v>
      </c>
      <c r="B1180" s="18" t="s">
        <v>2015</v>
      </c>
    </row>
    <row r="1181" spans="1:2" ht="45">
      <c r="A1181" s="17">
        <v>742175</v>
      </c>
      <c r="B1181" s="21" t="s">
        <v>2016</v>
      </c>
    </row>
    <row r="1182" spans="1:2" ht="30">
      <c r="A1182" s="17">
        <v>742176</v>
      </c>
      <c r="B1182" s="21" t="s">
        <v>2017</v>
      </c>
    </row>
    <row r="1183" spans="1:2" ht="30">
      <c r="A1183" s="17">
        <v>742177</v>
      </c>
      <c r="B1183" s="18" t="s">
        <v>2018</v>
      </c>
    </row>
    <row r="1184" spans="1:2">
      <c r="A1184" s="31">
        <v>742178</v>
      </c>
      <c r="B1184" s="32"/>
    </row>
    <row r="1185" spans="1:2" ht="30">
      <c r="A1185" s="19">
        <v>742179</v>
      </c>
      <c r="B1185" s="18" t="s">
        <v>2736</v>
      </c>
    </row>
    <row r="1186" spans="1:2" ht="30">
      <c r="A1186" s="17">
        <v>742180</v>
      </c>
      <c r="B1186" s="18" t="s">
        <v>2019</v>
      </c>
    </row>
    <row r="1187" spans="1:2" ht="45">
      <c r="A1187" s="17">
        <v>742182</v>
      </c>
      <c r="B1187" s="21" t="s">
        <v>2097</v>
      </c>
    </row>
    <row r="1188" spans="1:2">
      <c r="A1188" s="31">
        <v>742183</v>
      </c>
      <c r="B1188" s="32"/>
    </row>
    <row r="1189" spans="1:2">
      <c r="A1189" s="17">
        <v>743575</v>
      </c>
      <c r="B1189" s="44"/>
    </row>
    <row r="1190" spans="1:2">
      <c r="A1190" s="31">
        <v>745348</v>
      </c>
      <c r="B1190" s="32"/>
    </row>
    <row r="1191" spans="1:2">
      <c r="A1191" s="31">
        <v>745976</v>
      </c>
      <c r="B1191" s="32"/>
    </row>
    <row r="1192" spans="1:2">
      <c r="A1192" s="31">
        <v>746956</v>
      </c>
      <c r="B1192" s="32"/>
    </row>
    <row r="1193" spans="1:2">
      <c r="A1193" s="31">
        <v>750231</v>
      </c>
      <c r="B1193" s="32"/>
    </row>
    <row r="1194" spans="1:2">
      <c r="A1194" s="31">
        <v>752989</v>
      </c>
      <c r="B1194" s="32"/>
    </row>
    <row r="1195" spans="1:2">
      <c r="A1195" s="31">
        <v>754808</v>
      </c>
      <c r="B1195" s="32"/>
    </row>
    <row r="1196" spans="1:2" ht="30">
      <c r="A1196" s="17">
        <v>755713</v>
      </c>
      <c r="B1196" s="18" t="s">
        <v>2198</v>
      </c>
    </row>
    <row r="1197" spans="1:2">
      <c r="A1197" s="31">
        <v>758832</v>
      </c>
      <c r="B1197" s="32"/>
    </row>
    <row r="1198" spans="1:2">
      <c r="A1198" s="31">
        <v>761283</v>
      </c>
      <c r="B1198" s="32"/>
    </row>
    <row r="1199" spans="1:2">
      <c r="A1199" s="31">
        <v>761372</v>
      </c>
      <c r="B1199" s="32"/>
    </row>
    <row r="1200" spans="1:2" ht="45">
      <c r="A1200" s="17">
        <v>761882</v>
      </c>
      <c r="B1200" s="18" t="s">
        <v>2071</v>
      </c>
    </row>
    <row r="1201" spans="1:2" ht="90">
      <c r="A1201" s="19">
        <v>764114</v>
      </c>
      <c r="B1201" s="18" t="s">
        <v>2737</v>
      </c>
    </row>
    <row r="1202" spans="1:2" ht="75">
      <c r="A1202" s="31">
        <v>764124</v>
      </c>
      <c r="B1202" s="18" t="s">
        <v>2547</v>
      </c>
    </row>
    <row r="1203" spans="1:2">
      <c r="A1203" s="16">
        <v>764770</v>
      </c>
      <c r="B1203" s="18" t="s">
        <v>1813</v>
      </c>
    </row>
    <row r="1204" spans="1:2" ht="60">
      <c r="A1204" s="31">
        <v>764789</v>
      </c>
      <c r="B1204" s="18" t="s">
        <v>2548</v>
      </c>
    </row>
    <row r="1205" spans="1:2" ht="60">
      <c r="A1205" s="19">
        <v>764841</v>
      </c>
      <c r="B1205" s="18" t="s">
        <v>2738</v>
      </c>
    </row>
    <row r="1206" spans="1:2" ht="90">
      <c r="A1206" s="19">
        <v>764871</v>
      </c>
      <c r="B1206" s="18" t="s">
        <v>2739</v>
      </c>
    </row>
    <row r="1207" spans="1:2" ht="30">
      <c r="A1207" s="19">
        <v>765042</v>
      </c>
      <c r="B1207" s="18" t="s">
        <v>2740</v>
      </c>
    </row>
    <row r="1208" spans="1:2" ht="45">
      <c r="A1208" s="17">
        <v>765088</v>
      </c>
      <c r="B1208" s="18" t="s">
        <v>2353</v>
      </c>
    </row>
    <row r="1209" spans="1:2">
      <c r="A1209" s="17">
        <v>765243</v>
      </c>
      <c r="B1209" s="44"/>
    </row>
    <row r="1210" spans="1:2" ht="135">
      <c r="A1210" s="31">
        <v>765273</v>
      </c>
      <c r="B1210" s="18" t="s">
        <v>2549</v>
      </c>
    </row>
    <row r="1211" spans="1:2" ht="105">
      <c r="A1211" s="19">
        <v>765278</v>
      </c>
      <c r="B1211" s="18" t="s">
        <v>2741</v>
      </c>
    </row>
    <row r="1212" spans="1:2" ht="60">
      <c r="A1212" s="16">
        <v>765471</v>
      </c>
      <c r="B1212" s="18" t="s">
        <v>1814</v>
      </c>
    </row>
    <row r="1213" spans="1:2" ht="60">
      <c r="A1213" s="19">
        <v>765475</v>
      </c>
      <c r="B1213" s="18" t="s">
        <v>2742</v>
      </c>
    </row>
    <row r="1214" spans="1:2" ht="105">
      <c r="A1214" s="19">
        <v>765479</v>
      </c>
      <c r="B1214" s="18" t="s">
        <v>2743</v>
      </c>
    </row>
    <row r="1215" spans="1:2" ht="30">
      <c r="A1215" s="19">
        <v>765481</v>
      </c>
      <c r="B1215" s="18" t="s">
        <v>2744</v>
      </c>
    </row>
    <row r="1216" spans="1:2" ht="165">
      <c r="A1216" s="19">
        <v>765484</v>
      </c>
      <c r="B1216" s="18" t="s">
        <v>2745</v>
      </c>
    </row>
    <row r="1217" spans="1:2" ht="30">
      <c r="A1217" s="19">
        <v>765489</v>
      </c>
      <c r="B1217" s="18" t="s">
        <v>2746</v>
      </c>
    </row>
    <row r="1218" spans="1:2" ht="30">
      <c r="A1218" s="31">
        <v>766189</v>
      </c>
      <c r="B1218" s="18" t="s">
        <v>2550</v>
      </c>
    </row>
    <row r="1219" spans="1:2" ht="105">
      <c r="A1219" s="19">
        <v>766192</v>
      </c>
      <c r="B1219" s="18" t="s">
        <v>2747</v>
      </c>
    </row>
    <row r="1220" spans="1:2" ht="45">
      <c r="A1220" s="19">
        <v>766195</v>
      </c>
      <c r="B1220" s="18" t="s">
        <v>2748</v>
      </c>
    </row>
    <row r="1221" spans="1:2" ht="105">
      <c r="A1221" s="19">
        <v>766200</v>
      </c>
      <c r="B1221" s="18" t="s">
        <v>2749</v>
      </c>
    </row>
    <row r="1222" spans="1:2" ht="30">
      <c r="A1222" s="16">
        <v>766296</v>
      </c>
      <c r="B1222" s="18" t="s">
        <v>1815</v>
      </c>
    </row>
    <row r="1223" spans="1:2" ht="30">
      <c r="A1223" s="16">
        <v>766871</v>
      </c>
      <c r="B1223" s="18" t="s">
        <v>1816</v>
      </c>
    </row>
    <row r="1224" spans="1:2">
      <c r="A1224" s="31">
        <v>766881</v>
      </c>
      <c r="B1224" s="18"/>
    </row>
    <row r="1225" spans="1:2" ht="45">
      <c r="A1225" s="17">
        <v>766885</v>
      </c>
      <c r="B1225" s="18" t="s">
        <v>2104</v>
      </c>
    </row>
    <row r="1226" spans="1:2" ht="30">
      <c r="A1226" s="31">
        <v>766896</v>
      </c>
      <c r="B1226" s="18" t="s">
        <v>2651</v>
      </c>
    </row>
    <row r="1227" spans="1:2">
      <c r="A1227" s="31">
        <v>766899</v>
      </c>
      <c r="B1227" s="18"/>
    </row>
    <row r="1228" spans="1:2">
      <c r="A1228" s="31">
        <v>766903</v>
      </c>
      <c r="B1228" s="18"/>
    </row>
    <row r="1229" spans="1:2" ht="45">
      <c r="A1229" s="17">
        <v>766917</v>
      </c>
      <c r="B1229" s="18" t="s">
        <v>2119</v>
      </c>
    </row>
    <row r="1230" spans="1:2">
      <c r="A1230" s="31">
        <v>766922</v>
      </c>
      <c r="B1230" s="18"/>
    </row>
    <row r="1231" spans="1:2">
      <c r="A1231" s="31">
        <v>766932</v>
      </c>
      <c r="B1231" s="18"/>
    </row>
    <row r="1232" spans="1:2">
      <c r="A1232" s="31">
        <v>766934</v>
      </c>
      <c r="B1232" s="32"/>
    </row>
    <row r="1233" spans="1:2" ht="45">
      <c r="A1233" s="31">
        <v>767013</v>
      </c>
      <c r="B1233" s="18" t="s">
        <v>2652</v>
      </c>
    </row>
    <row r="1234" spans="1:2" ht="45">
      <c r="A1234" s="31">
        <v>767023</v>
      </c>
      <c r="B1234" s="18" t="s">
        <v>2653</v>
      </c>
    </row>
    <row r="1235" spans="1:2">
      <c r="A1235" s="31">
        <v>767033</v>
      </c>
      <c r="B1235" s="18"/>
    </row>
    <row r="1236" spans="1:2">
      <c r="A1236" s="31">
        <v>767213</v>
      </c>
      <c r="B1236" s="32"/>
    </row>
    <row r="1237" spans="1:2">
      <c r="A1237" s="16">
        <v>767226</v>
      </c>
      <c r="B1237" s="18" t="s">
        <v>1817</v>
      </c>
    </row>
    <row r="1238" spans="1:2">
      <c r="A1238" s="31">
        <v>767263</v>
      </c>
      <c r="B1238" s="32"/>
    </row>
    <row r="1239" spans="1:2" ht="30">
      <c r="A1239" s="16">
        <v>767279</v>
      </c>
      <c r="B1239" s="18" t="s">
        <v>1818</v>
      </c>
    </row>
    <row r="1240" spans="1:2">
      <c r="A1240" s="31">
        <v>767284</v>
      </c>
      <c r="B1240" s="32"/>
    </row>
    <row r="1241" spans="1:2" ht="45">
      <c r="A1241" s="17">
        <v>767291</v>
      </c>
      <c r="B1241" s="18" t="s">
        <v>2020</v>
      </c>
    </row>
    <row r="1242" spans="1:2">
      <c r="A1242" s="31">
        <v>767297</v>
      </c>
      <c r="B1242" s="18"/>
    </row>
    <row r="1243" spans="1:2">
      <c r="A1243" s="31">
        <v>767370</v>
      </c>
      <c r="B1243" s="32"/>
    </row>
    <row r="1244" spans="1:2">
      <c r="A1244" s="31">
        <v>767375</v>
      </c>
      <c r="B1244" s="32"/>
    </row>
    <row r="1245" spans="1:2">
      <c r="A1245" s="31">
        <v>767377</v>
      </c>
      <c r="B1245" s="32"/>
    </row>
    <row r="1246" spans="1:2">
      <c r="A1246" s="31">
        <v>767512</v>
      </c>
      <c r="B1246" s="32"/>
    </row>
    <row r="1247" spans="1:2">
      <c r="A1247" s="31">
        <v>767518</v>
      </c>
      <c r="B1247" s="32"/>
    </row>
    <row r="1248" spans="1:2" ht="30">
      <c r="A1248" s="16">
        <v>767525</v>
      </c>
      <c r="B1248" s="18" t="s">
        <v>1819</v>
      </c>
    </row>
    <row r="1249" spans="1:2">
      <c r="A1249" s="31">
        <v>768427</v>
      </c>
      <c r="B1249" s="32"/>
    </row>
    <row r="1250" spans="1:2" ht="105">
      <c r="A1250" s="31">
        <v>769535</v>
      </c>
      <c r="B1250" s="18" t="s">
        <v>2551</v>
      </c>
    </row>
    <row r="1251" spans="1:2">
      <c r="A1251" s="16">
        <v>769738</v>
      </c>
      <c r="B1251" s="18" t="s">
        <v>1820</v>
      </c>
    </row>
    <row r="1252" spans="1:2">
      <c r="A1252" s="31">
        <v>769772</v>
      </c>
      <c r="B1252" s="32"/>
    </row>
    <row r="1253" spans="1:2">
      <c r="A1253" s="31">
        <v>769783</v>
      </c>
      <c r="B1253" s="32"/>
    </row>
    <row r="1254" spans="1:2">
      <c r="A1254" s="31">
        <v>769815</v>
      </c>
      <c r="B1254" s="32"/>
    </row>
    <row r="1255" spans="1:2">
      <c r="A1255" s="31">
        <v>770244</v>
      </c>
      <c r="B1255" s="32"/>
    </row>
    <row r="1256" spans="1:2" ht="60">
      <c r="A1256" s="19">
        <v>770257</v>
      </c>
      <c r="B1256" s="18" t="s">
        <v>2750</v>
      </c>
    </row>
    <row r="1257" spans="1:2">
      <c r="A1257" s="16">
        <v>770260</v>
      </c>
      <c r="B1257" s="18" t="s">
        <v>1821</v>
      </c>
    </row>
    <row r="1258" spans="1:2">
      <c r="A1258" s="16">
        <v>770300</v>
      </c>
      <c r="B1258" s="18" t="s">
        <v>1822</v>
      </c>
    </row>
    <row r="1259" spans="1:2">
      <c r="A1259" s="31">
        <v>770305</v>
      </c>
      <c r="B1259" s="32"/>
    </row>
    <row r="1260" spans="1:2">
      <c r="A1260" s="16">
        <v>771040</v>
      </c>
      <c r="B1260" s="18" t="s">
        <v>1823</v>
      </c>
    </row>
    <row r="1261" spans="1:2" ht="45">
      <c r="A1261" s="31">
        <v>773912</v>
      </c>
      <c r="B1261" s="18" t="s">
        <v>2598</v>
      </c>
    </row>
    <row r="1262" spans="1:2" ht="45">
      <c r="A1262" s="31">
        <v>773993</v>
      </c>
      <c r="B1262" s="18" t="s">
        <v>2654</v>
      </c>
    </row>
    <row r="1263" spans="1:2">
      <c r="A1263" s="31">
        <v>774714</v>
      </c>
      <c r="B1263" s="32"/>
    </row>
    <row r="1264" spans="1:2">
      <c r="A1264" s="31">
        <v>774898</v>
      </c>
      <c r="B1264" s="32"/>
    </row>
    <row r="1265" spans="1:2">
      <c r="A1265" s="31">
        <v>775019</v>
      </c>
      <c r="B1265" s="32"/>
    </row>
    <row r="1266" spans="1:2">
      <c r="A1266" s="31">
        <v>775517</v>
      </c>
      <c r="B1266" s="32"/>
    </row>
    <row r="1267" spans="1:2" ht="30">
      <c r="A1267" s="17">
        <v>775708</v>
      </c>
      <c r="B1267" s="18" t="s">
        <v>2116</v>
      </c>
    </row>
    <row r="1268" spans="1:2">
      <c r="A1268" s="31">
        <v>775777</v>
      </c>
      <c r="B1268" s="18"/>
    </row>
    <row r="1269" spans="1:2">
      <c r="A1269" s="31">
        <v>776922</v>
      </c>
      <c r="B1269" s="32"/>
    </row>
    <row r="1270" spans="1:2" ht="30">
      <c r="A1270" s="16">
        <v>780275</v>
      </c>
      <c r="B1270" s="18" t="s">
        <v>1824</v>
      </c>
    </row>
    <row r="1271" spans="1:2" ht="30">
      <c r="A1271" s="17">
        <v>780308</v>
      </c>
      <c r="B1271" s="18" t="s">
        <v>2060</v>
      </c>
    </row>
    <row r="1272" spans="1:2">
      <c r="A1272" s="31">
        <v>780391</v>
      </c>
      <c r="B1272" s="18"/>
    </row>
    <row r="1273" spans="1:2" ht="60">
      <c r="A1273" s="31">
        <v>780537</v>
      </c>
      <c r="B1273" s="18" t="s">
        <v>2552</v>
      </c>
    </row>
    <row r="1274" spans="1:2" ht="45">
      <c r="A1274" s="31">
        <v>780599</v>
      </c>
      <c r="B1274" s="18" t="s">
        <v>2655</v>
      </c>
    </row>
    <row r="1275" spans="1:2" ht="60">
      <c r="A1275" s="31">
        <v>782735</v>
      </c>
      <c r="B1275" s="32" t="s">
        <v>2553</v>
      </c>
    </row>
    <row r="1276" spans="1:2" ht="60">
      <c r="A1276" s="31">
        <v>782738</v>
      </c>
      <c r="B1276" s="18" t="s">
        <v>2656</v>
      </c>
    </row>
    <row r="1277" spans="1:2" ht="30">
      <c r="A1277" s="31">
        <v>782740</v>
      </c>
      <c r="B1277" s="18" t="s">
        <v>2554</v>
      </c>
    </row>
    <row r="1278" spans="1:2" ht="75">
      <c r="A1278" s="31">
        <v>782742</v>
      </c>
      <c r="B1278" s="18" t="s">
        <v>2555</v>
      </c>
    </row>
    <row r="1279" spans="1:2" ht="45">
      <c r="A1279" s="31">
        <v>782743</v>
      </c>
      <c r="B1279" s="18" t="s">
        <v>2556</v>
      </c>
    </row>
    <row r="1280" spans="1:2">
      <c r="A1280" s="16">
        <v>782745</v>
      </c>
      <c r="B1280" s="18" t="s">
        <v>1825</v>
      </c>
    </row>
    <row r="1281" spans="1:2" ht="45">
      <c r="A1281" s="31">
        <v>782747</v>
      </c>
      <c r="B1281" s="18" t="s">
        <v>2557</v>
      </c>
    </row>
    <row r="1282" spans="1:2" ht="75">
      <c r="A1282" s="31">
        <v>783484</v>
      </c>
      <c r="B1282" s="18" t="s">
        <v>2558</v>
      </c>
    </row>
    <row r="1283" spans="1:2" ht="75">
      <c r="A1283" s="31">
        <v>783488</v>
      </c>
      <c r="B1283" s="18" t="s">
        <v>2559</v>
      </c>
    </row>
    <row r="1284" spans="1:2" ht="105">
      <c r="A1284" s="31">
        <v>784526</v>
      </c>
      <c r="B1284" s="18" t="s">
        <v>2560</v>
      </c>
    </row>
    <row r="1285" spans="1:2" ht="45">
      <c r="A1285" s="31">
        <v>784562</v>
      </c>
      <c r="B1285" s="18" t="s">
        <v>2561</v>
      </c>
    </row>
    <row r="1286" spans="1:2" ht="45">
      <c r="A1286" s="31">
        <v>784624</v>
      </c>
      <c r="B1286" s="18" t="s">
        <v>2657</v>
      </c>
    </row>
    <row r="1287" spans="1:2" ht="45">
      <c r="A1287" s="31">
        <v>784628</v>
      </c>
      <c r="B1287" s="33" t="s">
        <v>2562</v>
      </c>
    </row>
    <row r="1288" spans="1:2" ht="30">
      <c r="A1288" s="31">
        <v>784630</v>
      </c>
      <c r="B1288" s="18" t="s">
        <v>2563</v>
      </c>
    </row>
    <row r="1289" spans="1:2">
      <c r="A1289" s="31">
        <v>784634</v>
      </c>
      <c r="B1289" s="20" t="s">
        <v>2564</v>
      </c>
    </row>
    <row r="1290" spans="1:2">
      <c r="A1290" s="31">
        <v>784637</v>
      </c>
      <c r="B1290" s="32"/>
    </row>
    <row r="1291" spans="1:2" ht="60">
      <c r="A1291" s="16">
        <v>784666</v>
      </c>
      <c r="B1291" s="18" t="s">
        <v>1826</v>
      </c>
    </row>
    <row r="1292" spans="1:2" ht="45">
      <c r="A1292" s="16">
        <v>784746</v>
      </c>
      <c r="B1292" s="18" t="s">
        <v>1827</v>
      </c>
    </row>
    <row r="1293" spans="1:2">
      <c r="A1293" s="31">
        <v>784902</v>
      </c>
      <c r="B1293" s="32"/>
    </row>
    <row r="1294" spans="1:2">
      <c r="A1294" s="16">
        <v>784905</v>
      </c>
      <c r="B1294" s="18" t="s">
        <v>1828</v>
      </c>
    </row>
    <row r="1295" spans="1:2" ht="30">
      <c r="A1295" s="16">
        <v>784907</v>
      </c>
      <c r="B1295" s="18" t="s">
        <v>1829</v>
      </c>
    </row>
    <row r="1296" spans="1:2" ht="30">
      <c r="A1296" s="16">
        <v>784910</v>
      </c>
      <c r="B1296" s="18" t="s">
        <v>1830</v>
      </c>
    </row>
    <row r="1297" spans="1:2">
      <c r="A1297" s="31">
        <v>784912</v>
      </c>
      <c r="B1297" s="18"/>
    </row>
    <row r="1298" spans="1:2">
      <c r="A1298" s="31">
        <v>784926</v>
      </c>
      <c r="B1298" s="32"/>
    </row>
    <row r="1299" spans="1:2">
      <c r="A1299" s="31">
        <v>785028</v>
      </c>
      <c r="B1299" s="32"/>
    </row>
    <row r="1300" spans="1:2" ht="60">
      <c r="A1300" s="16">
        <v>785080</v>
      </c>
      <c r="B1300" s="18" t="s">
        <v>1831</v>
      </c>
    </row>
    <row r="1301" spans="1:2">
      <c r="A1301" s="31">
        <v>785228</v>
      </c>
      <c r="B1301" s="32"/>
    </row>
    <row r="1302" spans="1:2">
      <c r="A1302" s="31">
        <v>785361</v>
      </c>
      <c r="B1302" s="32"/>
    </row>
    <row r="1303" spans="1:2">
      <c r="A1303" s="31">
        <v>785366</v>
      </c>
      <c r="B1303" s="32"/>
    </row>
    <row r="1304" spans="1:2">
      <c r="A1304" s="17">
        <v>786059</v>
      </c>
      <c r="B1304" s="18"/>
    </row>
    <row r="1305" spans="1:2">
      <c r="A1305" s="31">
        <v>786497</v>
      </c>
      <c r="B1305" s="32"/>
    </row>
    <row r="1306" spans="1:2">
      <c r="A1306" s="31">
        <v>786500</v>
      </c>
      <c r="B1306" s="32"/>
    </row>
    <row r="1307" spans="1:2">
      <c r="A1307" s="31">
        <v>786504</v>
      </c>
      <c r="B1307" s="32"/>
    </row>
    <row r="1308" spans="1:2">
      <c r="A1308" s="31">
        <v>786507</v>
      </c>
      <c r="B1308" s="32"/>
    </row>
    <row r="1309" spans="1:2">
      <c r="A1309" s="31">
        <v>786510</v>
      </c>
      <c r="B1309" s="32"/>
    </row>
    <row r="1310" spans="1:2">
      <c r="A1310" s="31">
        <v>786794</v>
      </c>
      <c r="B1310" s="32"/>
    </row>
    <row r="1311" spans="1:2">
      <c r="A1311" s="31">
        <v>786799</v>
      </c>
      <c r="B1311" s="32"/>
    </row>
    <row r="1312" spans="1:2">
      <c r="A1312" s="31">
        <v>786803</v>
      </c>
      <c r="B1312" s="32"/>
    </row>
    <row r="1313" spans="1:2">
      <c r="A1313" s="31">
        <v>786995</v>
      </c>
      <c r="B1313" s="32"/>
    </row>
    <row r="1314" spans="1:2" ht="45">
      <c r="A1314" s="17">
        <v>787869</v>
      </c>
      <c r="B1314" s="18" t="s">
        <v>2052</v>
      </c>
    </row>
    <row r="1315" spans="1:2" ht="30">
      <c r="A1315" s="31">
        <v>788400</v>
      </c>
      <c r="B1315" s="18" t="s">
        <v>2565</v>
      </c>
    </row>
    <row r="1316" spans="1:2">
      <c r="A1316" s="31">
        <v>788401</v>
      </c>
      <c r="B1316" s="20" t="s">
        <v>2566</v>
      </c>
    </row>
    <row r="1317" spans="1:2" ht="165">
      <c r="A1317" s="16">
        <v>788411</v>
      </c>
      <c r="B1317" s="18" t="s">
        <v>1832</v>
      </c>
    </row>
    <row r="1318" spans="1:2">
      <c r="A1318" s="31">
        <v>788434</v>
      </c>
      <c r="B1318" s="32"/>
    </row>
    <row r="1319" spans="1:2">
      <c r="A1319" s="31">
        <v>788498</v>
      </c>
      <c r="B1319" s="32"/>
    </row>
    <row r="1320" spans="1:2">
      <c r="A1320" s="31">
        <v>788583</v>
      </c>
      <c r="B1320" s="32"/>
    </row>
    <row r="1321" spans="1:2" ht="45">
      <c r="A1321" s="31">
        <v>788695</v>
      </c>
      <c r="B1321" s="18" t="s">
        <v>2658</v>
      </c>
    </row>
    <row r="1322" spans="1:2">
      <c r="A1322" s="31">
        <v>788834</v>
      </c>
      <c r="B1322" s="32"/>
    </row>
    <row r="1323" spans="1:2" ht="45">
      <c r="A1323" s="31">
        <v>788846</v>
      </c>
      <c r="B1323" s="18" t="s">
        <v>2659</v>
      </c>
    </row>
    <row r="1324" spans="1:2" ht="30">
      <c r="A1324" s="31">
        <v>788847</v>
      </c>
      <c r="B1324" s="18" t="s">
        <v>2660</v>
      </c>
    </row>
    <row r="1325" spans="1:2" ht="45">
      <c r="A1325" s="31">
        <v>788849</v>
      </c>
      <c r="B1325" s="18" t="s">
        <v>2567</v>
      </c>
    </row>
    <row r="1326" spans="1:2" ht="45">
      <c r="A1326" s="16">
        <v>788850</v>
      </c>
      <c r="B1326" s="18" t="s">
        <v>1833</v>
      </c>
    </row>
    <row r="1327" spans="1:2" ht="30">
      <c r="A1327" s="16">
        <v>788899</v>
      </c>
      <c r="B1327" s="18" t="s">
        <v>1834</v>
      </c>
    </row>
    <row r="1328" spans="1:2" ht="60">
      <c r="A1328" s="31">
        <v>788999</v>
      </c>
      <c r="B1328" s="33" t="s">
        <v>2568</v>
      </c>
    </row>
    <row r="1329" spans="1:2">
      <c r="A1329" s="31">
        <v>789108</v>
      </c>
      <c r="B1329" s="32"/>
    </row>
    <row r="1330" spans="1:2" ht="30">
      <c r="A1330" s="16">
        <v>789166</v>
      </c>
      <c r="B1330" s="18" t="s">
        <v>1835</v>
      </c>
    </row>
    <row r="1331" spans="1:2" ht="30">
      <c r="A1331" s="16">
        <v>789211</v>
      </c>
      <c r="B1331" s="18" t="s">
        <v>1836</v>
      </c>
    </row>
    <row r="1332" spans="1:2" ht="45">
      <c r="A1332" s="16">
        <v>789234</v>
      </c>
      <c r="B1332" s="18" t="s">
        <v>1837</v>
      </c>
    </row>
    <row r="1333" spans="1:2" ht="30">
      <c r="A1333" s="16">
        <v>789258</v>
      </c>
      <c r="B1333" s="18" t="s">
        <v>1838</v>
      </c>
    </row>
    <row r="1334" spans="1:2" ht="30">
      <c r="A1334" s="31">
        <v>789259</v>
      </c>
      <c r="B1334" s="18" t="s">
        <v>2569</v>
      </c>
    </row>
    <row r="1335" spans="1:2" ht="30">
      <c r="A1335" s="31">
        <v>789260</v>
      </c>
      <c r="B1335" s="18" t="s">
        <v>2570</v>
      </c>
    </row>
    <row r="1336" spans="1:2" ht="60">
      <c r="A1336" s="19">
        <v>789263</v>
      </c>
      <c r="B1336" s="18" t="s">
        <v>2751</v>
      </c>
    </row>
    <row r="1337" spans="1:2" ht="60">
      <c r="A1337" s="31">
        <v>789264</v>
      </c>
      <c r="B1337" s="18" t="s">
        <v>2661</v>
      </c>
    </row>
    <row r="1338" spans="1:2">
      <c r="A1338" s="31">
        <v>789267</v>
      </c>
      <c r="B1338" s="32"/>
    </row>
    <row r="1339" spans="1:2" ht="30">
      <c r="A1339" s="31">
        <v>790143</v>
      </c>
      <c r="B1339" s="18" t="s">
        <v>2662</v>
      </c>
    </row>
    <row r="1340" spans="1:2" ht="45">
      <c r="A1340" s="31">
        <v>790145</v>
      </c>
      <c r="B1340" s="18" t="s">
        <v>2571</v>
      </c>
    </row>
    <row r="1341" spans="1:2" ht="45">
      <c r="A1341" s="31">
        <v>790177</v>
      </c>
      <c r="B1341" s="18" t="s">
        <v>2572</v>
      </c>
    </row>
    <row r="1342" spans="1:2" ht="45">
      <c r="A1342" s="31">
        <v>790266</v>
      </c>
      <c r="B1342" s="18" t="s">
        <v>2573</v>
      </c>
    </row>
    <row r="1343" spans="1:2">
      <c r="A1343" s="31">
        <v>790689</v>
      </c>
      <c r="B1343" s="32"/>
    </row>
    <row r="1344" spans="1:2">
      <c r="A1344" s="31">
        <v>796042</v>
      </c>
      <c r="B1344" s="20" t="s">
        <v>2574</v>
      </c>
    </row>
    <row r="1345" spans="1:2">
      <c r="A1345" s="31">
        <v>796045</v>
      </c>
      <c r="B1345" s="20" t="s">
        <v>2575</v>
      </c>
    </row>
    <row r="1346" spans="1:2" ht="30">
      <c r="A1346" s="31">
        <v>798610</v>
      </c>
      <c r="B1346" s="18" t="s">
        <v>2576</v>
      </c>
    </row>
    <row r="1347" spans="1:2" ht="30">
      <c r="A1347" s="16">
        <v>798614</v>
      </c>
      <c r="B1347" s="18" t="s">
        <v>1839</v>
      </c>
    </row>
    <row r="1348" spans="1:2" ht="45">
      <c r="A1348" s="31">
        <v>798620</v>
      </c>
      <c r="B1348" s="18" t="s">
        <v>2577</v>
      </c>
    </row>
    <row r="1349" spans="1:2" ht="45">
      <c r="A1349" s="16">
        <v>798623</v>
      </c>
      <c r="B1349" s="18" t="s">
        <v>1840</v>
      </c>
    </row>
    <row r="1350" spans="1:2" ht="60">
      <c r="A1350" s="31">
        <v>798858</v>
      </c>
      <c r="B1350" s="18" t="s">
        <v>2578</v>
      </c>
    </row>
    <row r="1351" spans="1:2" ht="30">
      <c r="A1351" s="16">
        <v>798859</v>
      </c>
      <c r="B1351" s="18" t="s">
        <v>1841</v>
      </c>
    </row>
    <row r="1352" spans="1:2" ht="75">
      <c r="A1352" s="31">
        <v>798861</v>
      </c>
      <c r="B1352" s="18" t="s">
        <v>2663</v>
      </c>
    </row>
    <row r="1353" spans="1:2" ht="45">
      <c r="A1353" s="16">
        <v>798862</v>
      </c>
      <c r="B1353" s="18" t="s">
        <v>1842</v>
      </c>
    </row>
    <row r="1354" spans="1:2">
      <c r="A1354" s="16">
        <v>798863</v>
      </c>
      <c r="B1354" s="18" t="s">
        <v>1843</v>
      </c>
    </row>
    <row r="1355" spans="1:2">
      <c r="A1355" s="16">
        <v>798864</v>
      </c>
      <c r="B1355" s="18" t="s">
        <v>1844</v>
      </c>
    </row>
    <row r="1356" spans="1:2" ht="60">
      <c r="A1356" s="31">
        <v>798865</v>
      </c>
      <c r="B1356" s="18" t="s">
        <v>2579</v>
      </c>
    </row>
    <row r="1357" spans="1:2" ht="90">
      <c r="A1357" s="31">
        <v>798866</v>
      </c>
      <c r="B1357" s="18" t="s">
        <v>2580</v>
      </c>
    </row>
    <row r="1358" spans="1:2" ht="45">
      <c r="A1358" s="31">
        <v>798867</v>
      </c>
      <c r="B1358" s="18" t="s">
        <v>2581</v>
      </c>
    </row>
    <row r="1359" spans="1:2" ht="45">
      <c r="A1359" s="31">
        <v>798869</v>
      </c>
      <c r="B1359" s="18" t="s">
        <v>2582</v>
      </c>
    </row>
    <row r="1360" spans="1:2" ht="30">
      <c r="A1360" s="31">
        <v>798873</v>
      </c>
      <c r="B1360" s="18" t="s">
        <v>2664</v>
      </c>
    </row>
    <row r="1361" spans="1:2">
      <c r="A1361" s="16">
        <v>798879</v>
      </c>
      <c r="B1361" s="18" t="s">
        <v>1845</v>
      </c>
    </row>
    <row r="1362" spans="1:2">
      <c r="A1362" s="16">
        <v>798881</v>
      </c>
      <c r="B1362" s="18" t="s">
        <v>1846</v>
      </c>
    </row>
    <row r="1363" spans="1:2" ht="30">
      <c r="A1363" s="16">
        <v>798883</v>
      </c>
      <c r="B1363" s="18" t="s">
        <v>1847</v>
      </c>
    </row>
    <row r="1364" spans="1:2" ht="30">
      <c r="A1364" s="16">
        <v>798885</v>
      </c>
      <c r="B1364" s="18" t="s">
        <v>1848</v>
      </c>
    </row>
    <row r="1365" spans="1:2" ht="45">
      <c r="A1365" s="31">
        <v>798887</v>
      </c>
      <c r="B1365" s="18" t="s">
        <v>2583</v>
      </c>
    </row>
    <row r="1366" spans="1:2">
      <c r="A1366" s="16">
        <v>798888</v>
      </c>
      <c r="B1366" s="18" t="s">
        <v>1849</v>
      </c>
    </row>
    <row r="1367" spans="1:2">
      <c r="A1367" s="16">
        <v>798890</v>
      </c>
      <c r="B1367" s="18" t="s">
        <v>1850</v>
      </c>
    </row>
    <row r="1368" spans="1:2">
      <c r="A1368" s="16">
        <v>798891</v>
      </c>
      <c r="B1368" s="18" t="s">
        <v>1851</v>
      </c>
    </row>
    <row r="1369" spans="1:2" ht="30">
      <c r="A1369" s="17">
        <v>798894</v>
      </c>
      <c r="B1369" s="18" t="s">
        <v>2003</v>
      </c>
    </row>
    <row r="1370" spans="1:2">
      <c r="A1370" s="31">
        <v>798896</v>
      </c>
      <c r="B1370" s="32"/>
    </row>
    <row r="1371" spans="1:2">
      <c r="A1371" s="16">
        <v>798906</v>
      </c>
      <c r="B1371" s="18" t="s">
        <v>1852</v>
      </c>
    </row>
    <row r="1372" spans="1:2">
      <c r="A1372" s="31">
        <v>798917</v>
      </c>
      <c r="B1372" s="32"/>
    </row>
    <row r="1373" spans="1:2">
      <c r="A1373" s="17">
        <v>798920</v>
      </c>
      <c r="B1373" s="18"/>
    </row>
    <row r="1374" spans="1:2">
      <c r="A1374" s="31">
        <v>799041</v>
      </c>
      <c r="B1374" s="32"/>
    </row>
    <row r="1375" spans="1:2">
      <c r="A1375" s="31">
        <v>800722</v>
      </c>
      <c r="B1375" s="32"/>
    </row>
    <row r="1376" spans="1:2" ht="30">
      <c r="A1376" s="16">
        <v>800848</v>
      </c>
      <c r="B1376" s="18" t="s">
        <v>1853</v>
      </c>
    </row>
    <row r="1377" spans="1:2">
      <c r="A1377" s="31">
        <v>800849</v>
      </c>
      <c r="B1377" s="32"/>
    </row>
    <row r="1378" spans="1:2" ht="75">
      <c r="A1378" s="16">
        <v>800863</v>
      </c>
      <c r="B1378" s="18" t="s">
        <v>1854</v>
      </c>
    </row>
    <row r="1379" spans="1:2">
      <c r="A1379" s="16">
        <v>800870</v>
      </c>
      <c r="B1379" s="18" t="s">
        <v>1855</v>
      </c>
    </row>
    <row r="1380" spans="1:2" ht="90">
      <c r="A1380" s="17">
        <v>800872</v>
      </c>
      <c r="B1380" s="18" t="s">
        <v>2008</v>
      </c>
    </row>
    <row r="1381" spans="1:2" ht="45">
      <c r="A1381" s="17">
        <v>800879</v>
      </c>
      <c r="B1381" s="18" t="s">
        <v>2009</v>
      </c>
    </row>
    <row r="1382" spans="1:2" ht="30">
      <c r="A1382" s="17">
        <v>800889</v>
      </c>
      <c r="B1382" s="18" t="s">
        <v>2010</v>
      </c>
    </row>
    <row r="1383" spans="1:2">
      <c r="A1383" s="16">
        <v>800895</v>
      </c>
      <c r="B1383" s="18" t="s">
        <v>1856</v>
      </c>
    </row>
    <row r="1384" spans="1:2">
      <c r="A1384" s="16">
        <v>801047</v>
      </c>
      <c r="B1384" s="18" t="s">
        <v>1857</v>
      </c>
    </row>
    <row r="1385" spans="1:2">
      <c r="A1385" s="31">
        <v>801212</v>
      </c>
      <c r="B1385" s="32"/>
    </row>
    <row r="1386" spans="1:2">
      <c r="A1386" s="31">
        <v>801384</v>
      </c>
      <c r="B1386" s="32"/>
    </row>
    <row r="1387" spans="1:2" ht="30">
      <c r="A1387" s="16">
        <v>801387</v>
      </c>
      <c r="B1387" s="18" t="s">
        <v>1858</v>
      </c>
    </row>
    <row r="1388" spans="1:2">
      <c r="A1388" s="31">
        <v>804232</v>
      </c>
      <c r="B1388" s="32"/>
    </row>
    <row r="1389" spans="1:2" ht="75">
      <c r="A1389" s="19">
        <v>804502</v>
      </c>
      <c r="B1389" s="18" t="s">
        <v>2752</v>
      </c>
    </row>
    <row r="1390" spans="1:2" ht="30">
      <c r="A1390" s="16">
        <v>804699</v>
      </c>
      <c r="B1390" s="18" t="s">
        <v>1859</v>
      </c>
    </row>
    <row r="1391" spans="1:2" ht="30">
      <c r="A1391" s="16">
        <v>804707</v>
      </c>
      <c r="B1391" s="18" t="s">
        <v>1860</v>
      </c>
    </row>
    <row r="1392" spans="1:2" ht="345">
      <c r="A1392" s="16">
        <v>804731</v>
      </c>
      <c r="B1392" s="18" t="s">
        <v>1861</v>
      </c>
    </row>
    <row r="1393" spans="1:2">
      <c r="A1393" s="17">
        <v>804858</v>
      </c>
      <c r="B1393" s="18"/>
    </row>
    <row r="1394" spans="1:2" ht="75">
      <c r="A1394" s="17">
        <v>804973</v>
      </c>
      <c r="B1394" s="18" t="s">
        <v>2301</v>
      </c>
    </row>
    <row r="1395" spans="1:2" ht="30">
      <c r="A1395" s="16">
        <v>805036</v>
      </c>
      <c r="B1395" s="18" t="s">
        <v>1862</v>
      </c>
    </row>
    <row r="1396" spans="1:2" ht="45">
      <c r="A1396" s="16">
        <v>807289</v>
      </c>
      <c r="B1396" s="18" t="s">
        <v>1863</v>
      </c>
    </row>
    <row r="1397" spans="1:2" ht="60">
      <c r="A1397" s="16">
        <v>807427</v>
      </c>
      <c r="B1397" s="18" t="s">
        <v>1864</v>
      </c>
    </row>
    <row r="1398" spans="1:2" ht="30">
      <c r="A1398" s="16">
        <v>807561</v>
      </c>
      <c r="B1398" s="18" t="s">
        <v>1865</v>
      </c>
    </row>
    <row r="1399" spans="1:2" ht="75">
      <c r="A1399" s="16">
        <v>807567</v>
      </c>
      <c r="B1399" s="18" t="s">
        <v>1866</v>
      </c>
    </row>
    <row r="1400" spans="1:2">
      <c r="A1400" s="16">
        <v>807656</v>
      </c>
      <c r="B1400" s="18" t="s">
        <v>1867</v>
      </c>
    </row>
    <row r="1401" spans="1:2" ht="75">
      <c r="A1401" s="16">
        <v>807668</v>
      </c>
      <c r="B1401" s="18" t="s">
        <v>1868</v>
      </c>
    </row>
    <row r="1402" spans="1:2" ht="90">
      <c r="A1402" s="16">
        <v>807675</v>
      </c>
      <c r="B1402" s="18" t="s">
        <v>1869</v>
      </c>
    </row>
    <row r="1403" spans="1:2" ht="30">
      <c r="A1403" s="16">
        <v>808481</v>
      </c>
      <c r="B1403" s="18" t="s">
        <v>1870</v>
      </c>
    </row>
    <row r="1404" spans="1:2" ht="45">
      <c r="A1404" s="17">
        <v>808484</v>
      </c>
      <c r="B1404" s="18" t="s">
        <v>2464</v>
      </c>
    </row>
    <row r="1405" spans="1:2">
      <c r="A1405" s="17">
        <v>808486</v>
      </c>
      <c r="B1405" s="24" t="s">
        <v>2466</v>
      </c>
    </row>
    <row r="1406" spans="1:2" ht="165">
      <c r="A1406" s="31">
        <v>808488</v>
      </c>
      <c r="B1406" s="18" t="s">
        <v>2599</v>
      </c>
    </row>
    <row r="1407" spans="1:2">
      <c r="A1407" s="16">
        <v>808492</v>
      </c>
      <c r="B1407" s="18" t="s">
        <v>1871</v>
      </c>
    </row>
    <row r="1408" spans="1:2">
      <c r="A1408" s="16">
        <v>808497</v>
      </c>
      <c r="B1408" s="18" t="s">
        <v>1872</v>
      </c>
    </row>
    <row r="1409" spans="1:2" ht="60">
      <c r="A1409" s="16">
        <v>808502</v>
      </c>
      <c r="B1409" s="18" t="s">
        <v>1873</v>
      </c>
    </row>
    <row r="1410" spans="1:2">
      <c r="A1410" s="31">
        <v>808505</v>
      </c>
      <c r="B1410" s="32"/>
    </row>
    <row r="1411" spans="1:2" ht="45">
      <c r="A1411" s="16">
        <v>808536</v>
      </c>
      <c r="B1411" s="18" t="s">
        <v>1874</v>
      </c>
    </row>
    <row r="1412" spans="1:2">
      <c r="A1412" s="31">
        <v>808711</v>
      </c>
      <c r="B1412" s="32"/>
    </row>
    <row r="1413" spans="1:2" ht="30">
      <c r="A1413" s="16">
        <v>808766</v>
      </c>
      <c r="B1413" s="18" t="s">
        <v>1875</v>
      </c>
    </row>
    <row r="1414" spans="1:2" ht="45">
      <c r="A1414" s="19">
        <v>808818</v>
      </c>
      <c r="B1414" s="18" t="s">
        <v>2753</v>
      </c>
    </row>
    <row r="1415" spans="1:2" ht="30">
      <c r="A1415" s="17">
        <v>808900</v>
      </c>
      <c r="B1415" s="18" t="s">
        <v>2004</v>
      </c>
    </row>
    <row r="1416" spans="1:2">
      <c r="A1416" s="16">
        <v>809345</v>
      </c>
      <c r="B1416" s="18" t="s">
        <v>1876</v>
      </c>
    </row>
    <row r="1417" spans="1:2">
      <c r="A1417" s="16">
        <v>810040</v>
      </c>
      <c r="B1417" s="18" t="s">
        <v>1877</v>
      </c>
    </row>
    <row r="1418" spans="1:2">
      <c r="A1418" s="17">
        <v>810044</v>
      </c>
      <c r="B1418" s="20" t="s">
        <v>2468</v>
      </c>
    </row>
    <row r="1419" spans="1:2" ht="30">
      <c r="A1419" s="16">
        <v>810055</v>
      </c>
      <c r="B1419" s="18" t="s">
        <v>1878</v>
      </c>
    </row>
    <row r="1420" spans="1:2" ht="30">
      <c r="A1420" s="16">
        <v>810381</v>
      </c>
      <c r="B1420" s="18" t="s">
        <v>1879</v>
      </c>
    </row>
    <row r="1421" spans="1:2" ht="30">
      <c r="A1421" s="16">
        <v>810486</v>
      </c>
      <c r="B1421" s="18" t="s">
        <v>1880</v>
      </c>
    </row>
    <row r="1422" spans="1:2">
      <c r="A1422" s="16">
        <v>810880</v>
      </c>
      <c r="B1422" s="18" t="s">
        <v>1881</v>
      </c>
    </row>
    <row r="1423" spans="1:2" ht="30">
      <c r="A1423" s="17">
        <v>810933</v>
      </c>
      <c r="B1423" s="18" t="s">
        <v>2005</v>
      </c>
    </row>
    <row r="1424" spans="1:2" ht="45">
      <c r="A1424" s="17">
        <v>811136</v>
      </c>
      <c r="B1424" s="18" t="s">
        <v>2006</v>
      </c>
    </row>
    <row r="1425" spans="1:2" ht="30">
      <c r="A1425" s="17">
        <v>811200</v>
      </c>
      <c r="B1425" s="18" t="s">
        <v>2011</v>
      </c>
    </row>
    <row r="1426" spans="1:2">
      <c r="A1426" s="16">
        <v>811201</v>
      </c>
      <c r="B1426" s="18" t="s">
        <v>1882</v>
      </c>
    </row>
    <row r="1427" spans="1:2">
      <c r="A1427" s="31">
        <v>811421</v>
      </c>
      <c r="B1427" s="32"/>
    </row>
    <row r="1428" spans="1:2" ht="45">
      <c r="A1428" s="17">
        <v>811645</v>
      </c>
      <c r="B1428" s="18" t="s">
        <v>2014</v>
      </c>
    </row>
    <row r="1429" spans="1:2" ht="45">
      <c r="A1429" s="17">
        <v>811649</v>
      </c>
      <c r="B1429" s="18" t="s">
        <v>2111</v>
      </c>
    </row>
    <row r="1430" spans="1:2">
      <c r="A1430" s="16">
        <v>814311</v>
      </c>
      <c r="B1430" s="18" t="s">
        <v>1883</v>
      </c>
    </row>
    <row r="1431" spans="1:2" ht="45">
      <c r="A1431" s="16">
        <v>821978</v>
      </c>
      <c r="B1431" s="18" t="s">
        <v>1884</v>
      </c>
    </row>
    <row r="1432" spans="1:2" ht="45">
      <c r="A1432" s="19">
        <v>823010</v>
      </c>
      <c r="B1432" s="18" t="s">
        <v>2754</v>
      </c>
    </row>
    <row r="1433" spans="1:2">
      <c r="A1433" s="31">
        <v>827523</v>
      </c>
      <c r="B1433" s="32"/>
    </row>
    <row r="1434" spans="1:2" ht="90">
      <c r="A1434" s="19">
        <v>831967</v>
      </c>
      <c r="B1434" s="18" t="s">
        <v>2755</v>
      </c>
    </row>
    <row r="1435" spans="1:2">
      <c r="A1435" s="17">
        <v>837037</v>
      </c>
      <c r="B1435" s="18"/>
    </row>
    <row r="1436" spans="1:2">
      <c r="A1436" s="31">
        <v>841448</v>
      </c>
      <c r="B1436" s="32"/>
    </row>
    <row r="1437" spans="1:2">
      <c r="A1437" s="31">
        <v>844027</v>
      </c>
      <c r="B1437" s="32"/>
    </row>
    <row r="1438" spans="1:2">
      <c r="A1438" s="16">
        <v>845014</v>
      </c>
      <c r="B1438" s="18" t="s">
        <v>1885</v>
      </c>
    </row>
    <row r="1439" spans="1:2" ht="30">
      <c r="A1439" s="19">
        <v>845518</v>
      </c>
      <c r="B1439" s="18" t="s">
        <v>2756</v>
      </c>
    </row>
    <row r="1440" spans="1:2" ht="75">
      <c r="A1440" s="16">
        <v>846006</v>
      </c>
      <c r="B1440" s="18" t="s">
        <v>1886</v>
      </c>
    </row>
    <row r="1441" spans="1:2">
      <c r="A1441" s="31">
        <v>846007</v>
      </c>
      <c r="B1441" s="32"/>
    </row>
    <row r="1442" spans="1:2" ht="60">
      <c r="A1442" s="19">
        <v>846012</v>
      </c>
      <c r="B1442" s="18" t="s">
        <v>2757</v>
      </c>
    </row>
    <row r="1443" spans="1:2" ht="30">
      <c r="A1443" s="17">
        <v>846541</v>
      </c>
      <c r="B1443" s="18" t="s">
        <v>2021</v>
      </c>
    </row>
    <row r="1444" spans="1:2" ht="30">
      <c r="A1444" s="16">
        <v>847196</v>
      </c>
      <c r="B1444" s="18" t="s">
        <v>1887</v>
      </c>
    </row>
    <row r="1445" spans="1:2">
      <c r="A1445" s="16">
        <v>847198</v>
      </c>
      <c r="B1445" s="18" t="s">
        <v>1888</v>
      </c>
    </row>
    <row r="1446" spans="1:2">
      <c r="A1446" s="17">
        <v>847201</v>
      </c>
      <c r="B1446" s="18"/>
    </row>
    <row r="1447" spans="1:2">
      <c r="A1447" s="16">
        <v>847205</v>
      </c>
      <c r="B1447" s="18" t="s">
        <v>1889</v>
      </c>
    </row>
    <row r="1448" spans="1:2" ht="30">
      <c r="A1448" s="16">
        <v>847207</v>
      </c>
      <c r="B1448" s="18" t="s">
        <v>1890</v>
      </c>
    </row>
    <row r="1449" spans="1:2" ht="30">
      <c r="A1449" s="17">
        <v>847323</v>
      </c>
      <c r="B1449" s="22" t="s">
        <v>2023</v>
      </c>
    </row>
    <row r="1450" spans="1:2" ht="45">
      <c r="A1450" s="16">
        <v>847329</v>
      </c>
      <c r="B1450" s="18" t="s">
        <v>1891</v>
      </c>
    </row>
    <row r="1451" spans="1:2" ht="60">
      <c r="A1451" s="17">
        <v>847335</v>
      </c>
      <c r="B1451" s="18" t="s">
        <v>2381</v>
      </c>
    </row>
    <row r="1452" spans="1:2" ht="285">
      <c r="A1452" s="16">
        <v>848096</v>
      </c>
      <c r="B1452" s="18" t="s">
        <v>1892</v>
      </c>
    </row>
    <row r="1453" spans="1:2">
      <c r="A1453" s="16">
        <v>848098</v>
      </c>
      <c r="B1453" s="18" t="s">
        <v>1893</v>
      </c>
    </row>
    <row r="1454" spans="1:2" ht="30">
      <c r="A1454" s="16">
        <v>848103</v>
      </c>
      <c r="B1454" s="18" t="s">
        <v>1894</v>
      </c>
    </row>
    <row r="1455" spans="1:2">
      <c r="A1455" s="16">
        <v>848108</v>
      </c>
      <c r="B1455" s="18" t="s">
        <v>1895</v>
      </c>
    </row>
    <row r="1456" spans="1:2">
      <c r="A1456" s="16">
        <v>848111</v>
      </c>
      <c r="B1456" s="18" t="s">
        <v>1896</v>
      </c>
    </row>
    <row r="1457" spans="1:2" ht="30">
      <c r="A1457" s="17">
        <v>848115</v>
      </c>
      <c r="B1457" s="22" t="s">
        <v>2024</v>
      </c>
    </row>
    <row r="1458" spans="1:2">
      <c r="A1458" s="16">
        <v>848118</v>
      </c>
      <c r="B1458" s="18" t="s">
        <v>1897</v>
      </c>
    </row>
    <row r="1459" spans="1:2" ht="30">
      <c r="A1459" s="17">
        <v>848120</v>
      </c>
      <c r="B1459" s="18" t="s">
        <v>2027</v>
      </c>
    </row>
    <row r="1460" spans="1:2">
      <c r="A1460" s="17">
        <v>849057</v>
      </c>
      <c r="B1460" s="18"/>
    </row>
    <row r="1461" spans="1:2" ht="30">
      <c r="A1461" s="17">
        <v>849560</v>
      </c>
      <c r="B1461" s="22" t="s">
        <v>2030</v>
      </c>
    </row>
    <row r="1462" spans="1:2" ht="45">
      <c r="A1462" s="19">
        <v>849665</v>
      </c>
      <c r="B1462" s="18" t="s">
        <v>2758</v>
      </c>
    </row>
    <row r="1463" spans="1:2" ht="45">
      <c r="A1463" s="19">
        <v>849972</v>
      </c>
      <c r="B1463" s="18" t="s">
        <v>2759</v>
      </c>
    </row>
    <row r="1464" spans="1:2">
      <c r="A1464" s="17">
        <v>849973</v>
      </c>
      <c r="B1464" s="20" t="s">
        <v>2221</v>
      </c>
    </row>
    <row r="1465" spans="1:2" ht="30">
      <c r="A1465" s="17">
        <v>849975</v>
      </c>
      <c r="B1465" s="18" t="s">
        <v>2031</v>
      </c>
    </row>
    <row r="1466" spans="1:2" ht="45">
      <c r="A1466" s="17">
        <v>849977</v>
      </c>
      <c r="B1466" s="18" t="s">
        <v>2036</v>
      </c>
    </row>
    <row r="1467" spans="1:2" ht="30">
      <c r="A1467" s="17">
        <v>849980</v>
      </c>
      <c r="B1467" s="18" t="s">
        <v>2040</v>
      </c>
    </row>
    <row r="1468" spans="1:2">
      <c r="A1468" s="17">
        <v>849984</v>
      </c>
      <c r="B1468" s="20" t="s">
        <v>2043</v>
      </c>
    </row>
    <row r="1469" spans="1:2">
      <c r="A1469" s="16">
        <v>849987</v>
      </c>
      <c r="B1469" s="18" t="s">
        <v>1898</v>
      </c>
    </row>
    <row r="1470" spans="1:2" ht="30">
      <c r="A1470" s="17">
        <v>849990</v>
      </c>
      <c r="B1470" s="22" t="s">
        <v>2049</v>
      </c>
    </row>
    <row r="1471" spans="1:2" ht="30">
      <c r="A1471" s="16">
        <v>851346</v>
      </c>
      <c r="B1471" s="18" t="s">
        <v>1899</v>
      </c>
    </row>
    <row r="1472" spans="1:2" ht="30">
      <c r="A1472" s="16">
        <v>851350</v>
      </c>
      <c r="B1472" s="18" t="s">
        <v>1900</v>
      </c>
    </row>
    <row r="1473" spans="1:2" ht="30">
      <c r="A1473" s="16">
        <v>851352</v>
      </c>
      <c r="B1473" s="18" t="s">
        <v>1901</v>
      </c>
    </row>
    <row r="1474" spans="1:2" ht="34.5">
      <c r="A1474" s="17">
        <v>851358</v>
      </c>
      <c r="B1474" s="23" t="s">
        <v>2051</v>
      </c>
    </row>
    <row r="1475" spans="1:2" ht="30">
      <c r="A1475" s="16">
        <v>851361</v>
      </c>
      <c r="B1475" s="18" t="s">
        <v>1902</v>
      </c>
    </row>
    <row r="1476" spans="1:2" ht="30">
      <c r="A1476" s="31">
        <v>851954</v>
      </c>
      <c r="B1476" s="18" t="s">
        <v>2665</v>
      </c>
    </row>
    <row r="1477" spans="1:2">
      <c r="A1477" s="16">
        <v>851955</v>
      </c>
      <c r="B1477" s="18" t="s">
        <v>1903</v>
      </c>
    </row>
    <row r="1478" spans="1:2" ht="30">
      <c r="A1478" s="16">
        <v>851956</v>
      </c>
      <c r="B1478" s="18" t="s">
        <v>1904</v>
      </c>
    </row>
    <row r="1479" spans="1:2" ht="30">
      <c r="A1479" s="17">
        <v>851957</v>
      </c>
      <c r="B1479" s="18" t="s">
        <v>2056</v>
      </c>
    </row>
    <row r="1480" spans="1:2">
      <c r="A1480" s="17">
        <v>851958</v>
      </c>
      <c r="B1480" s="18"/>
    </row>
    <row r="1481" spans="1:2">
      <c r="A1481" s="17">
        <v>851962</v>
      </c>
      <c r="B1481" s="18"/>
    </row>
    <row r="1482" spans="1:2">
      <c r="A1482" s="17">
        <v>852000</v>
      </c>
      <c r="B1482" s="18"/>
    </row>
    <row r="1483" spans="1:2">
      <c r="A1483" s="17">
        <v>852004</v>
      </c>
      <c r="B1483" s="18"/>
    </row>
    <row r="1484" spans="1:2" ht="45">
      <c r="A1484" s="17">
        <v>852023</v>
      </c>
      <c r="B1484" s="18" t="s">
        <v>2118</v>
      </c>
    </row>
    <row r="1485" spans="1:2" ht="45">
      <c r="A1485" s="17">
        <v>852037</v>
      </c>
      <c r="B1485" s="18" t="s">
        <v>2057</v>
      </c>
    </row>
    <row r="1486" spans="1:2" ht="30">
      <c r="A1486" s="17">
        <v>852042</v>
      </c>
      <c r="B1486" s="22" t="s">
        <v>2058</v>
      </c>
    </row>
    <row r="1487" spans="1:2" ht="45">
      <c r="A1487" s="17">
        <v>852054</v>
      </c>
      <c r="B1487" s="22" t="s">
        <v>2059</v>
      </c>
    </row>
    <row r="1488" spans="1:2" ht="45">
      <c r="A1488" s="17">
        <v>852059</v>
      </c>
      <c r="B1488" s="22" t="s">
        <v>2063</v>
      </c>
    </row>
    <row r="1489" spans="1:2" ht="45">
      <c r="A1489" s="17">
        <v>852064</v>
      </c>
      <c r="B1489" s="18" t="s">
        <v>2064</v>
      </c>
    </row>
    <row r="1490" spans="1:2" ht="30">
      <c r="A1490" s="17">
        <v>852067</v>
      </c>
      <c r="B1490" s="22" t="s">
        <v>2066</v>
      </c>
    </row>
    <row r="1491" spans="1:2" ht="30">
      <c r="A1491" s="17">
        <v>852070</v>
      </c>
      <c r="B1491" s="18" t="s">
        <v>2067</v>
      </c>
    </row>
    <row r="1492" spans="1:2" ht="45">
      <c r="A1492" s="17">
        <v>852073</v>
      </c>
      <c r="B1492" s="18" t="s">
        <v>2068</v>
      </c>
    </row>
    <row r="1493" spans="1:2" ht="30">
      <c r="A1493" s="17">
        <v>852078</v>
      </c>
      <c r="B1493" s="22" t="s">
        <v>2069</v>
      </c>
    </row>
    <row r="1494" spans="1:2" ht="30">
      <c r="A1494" s="17">
        <v>852081</v>
      </c>
      <c r="B1494" s="22" t="s">
        <v>2070</v>
      </c>
    </row>
    <row r="1495" spans="1:2" ht="60">
      <c r="A1495" s="17">
        <v>852088</v>
      </c>
      <c r="B1495" s="18" t="s">
        <v>2076</v>
      </c>
    </row>
    <row r="1496" spans="1:2" ht="45">
      <c r="A1496" s="17">
        <v>852089</v>
      </c>
      <c r="B1496" s="18" t="s">
        <v>2083</v>
      </c>
    </row>
    <row r="1497" spans="1:2" ht="60">
      <c r="A1497" s="17">
        <v>852090</v>
      </c>
      <c r="B1497" s="22" t="s">
        <v>2085</v>
      </c>
    </row>
    <row r="1498" spans="1:2" ht="30">
      <c r="A1498" s="17">
        <v>852092</v>
      </c>
      <c r="B1498" s="18" t="s">
        <v>2106</v>
      </c>
    </row>
    <row r="1499" spans="1:2">
      <c r="A1499" s="17">
        <v>852095</v>
      </c>
      <c r="B1499" s="24" t="s">
        <v>2135</v>
      </c>
    </row>
    <row r="1500" spans="1:2">
      <c r="A1500" s="17">
        <v>852098</v>
      </c>
      <c r="B1500" s="18" t="s">
        <v>2136</v>
      </c>
    </row>
    <row r="1501" spans="1:2">
      <c r="A1501" s="17">
        <v>852100</v>
      </c>
      <c r="B1501" s="18" t="s">
        <v>2145</v>
      </c>
    </row>
    <row r="1502" spans="1:2" ht="30">
      <c r="A1502" s="17">
        <v>852104</v>
      </c>
      <c r="B1502" s="18" t="s">
        <v>2156</v>
      </c>
    </row>
    <row r="1503" spans="1:2">
      <c r="A1503" s="16">
        <v>852108</v>
      </c>
      <c r="B1503" s="18" t="s">
        <v>1905</v>
      </c>
    </row>
    <row r="1504" spans="1:2" ht="45">
      <c r="A1504" s="17">
        <v>852113</v>
      </c>
      <c r="B1504" s="18" t="s">
        <v>2158</v>
      </c>
    </row>
    <row r="1505" spans="1:2">
      <c r="A1505" s="17">
        <v>852115</v>
      </c>
      <c r="B1505" s="18"/>
    </row>
    <row r="1506" spans="1:2">
      <c r="A1506" s="17">
        <v>852118</v>
      </c>
      <c r="B1506" s="18" t="s">
        <v>2072</v>
      </c>
    </row>
    <row r="1507" spans="1:2" ht="45">
      <c r="A1507" s="17">
        <v>852123</v>
      </c>
      <c r="B1507" s="18" t="s">
        <v>2161</v>
      </c>
    </row>
    <row r="1508" spans="1:2">
      <c r="A1508" s="17">
        <v>852124</v>
      </c>
      <c r="B1508" s="18" t="s">
        <v>2165</v>
      </c>
    </row>
    <row r="1509" spans="1:2">
      <c r="A1509" s="17">
        <v>852125</v>
      </c>
      <c r="B1509" s="24" t="s">
        <v>2166</v>
      </c>
    </row>
    <row r="1510" spans="1:2" ht="30">
      <c r="A1510" s="17">
        <v>852127</v>
      </c>
      <c r="B1510" s="18" t="s">
        <v>2167</v>
      </c>
    </row>
    <row r="1511" spans="1:2">
      <c r="A1511" s="17">
        <v>852129</v>
      </c>
      <c r="B1511" s="18"/>
    </row>
    <row r="1512" spans="1:2">
      <c r="A1512" s="17">
        <v>852132</v>
      </c>
      <c r="B1512" s="18"/>
    </row>
    <row r="1513" spans="1:2" ht="120">
      <c r="A1513" s="17">
        <v>852135</v>
      </c>
      <c r="B1513" s="22" t="s">
        <v>2170</v>
      </c>
    </row>
    <row r="1514" spans="1:2" ht="75">
      <c r="A1514" s="19">
        <v>852138</v>
      </c>
      <c r="B1514" s="18" t="s">
        <v>2760</v>
      </c>
    </row>
    <row r="1515" spans="1:2" ht="45">
      <c r="A1515" s="17">
        <v>852140</v>
      </c>
      <c r="B1515" s="18" t="s">
        <v>2172</v>
      </c>
    </row>
    <row r="1516" spans="1:2" ht="105">
      <c r="A1516" s="17">
        <v>852143</v>
      </c>
      <c r="B1516" s="27" t="s">
        <v>2176</v>
      </c>
    </row>
    <row r="1517" spans="1:2">
      <c r="A1517" s="31">
        <v>852145</v>
      </c>
      <c r="B1517" s="32"/>
    </row>
    <row r="1518" spans="1:2" ht="45">
      <c r="A1518" s="17">
        <v>852160</v>
      </c>
      <c r="B1518" s="18" t="s">
        <v>2180</v>
      </c>
    </row>
    <row r="1519" spans="1:2">
      <c r="A1519" s="17">
        <v>852162</v>
      </c>
      <c r="B1519" s="18"/>
    </row>
    <row r="1520" spans="1:2">
      <c r="A1520" s="31">
        <v>852163</v>
      </c>
      <c r="B1520" s="32"/>
    </row>
    <row r="1521" spans="1:2">
      <c r="A1521" s="31">
        <v>852164</v>
      </c>
      <c r="B1521" s="32"/>
    </row>
    <row r="1522" spans="1:2" ht="30">
      <c r="A1522" s="17">
        <v>852330</v>
      </c>
      <c r="B1522" s="18" t="s">
        <v>2160</v>
      </c>
    </row>
    <row r="1523" spans="1:2" ht="60">
      <c r="A1523" s="17">
        <v>852331</v>
      </c>
      <c r="B1523" s="18" t="s">
        <v>2168</v>
      </c>
    </row>
    <row r="1524" spans="1:2">
      <c r="A1524" s="17">
        <v>852474</v>
      </c>
      <c r="B1524" s="18"/>
    </row>
    <row r="1525" spans="1:2">
      <c r="A1525" s="31">
        <v>852521</v>
      </c>
      <c r="B1525" s="32"/>
    </row>
    <row r="1526" spans="1:2">
      <c r="A1526" s="16">
        <v>852530</v>
      </c>
      <c r="B1526" s="18" t="s">
        <v>1906</v>
      </c>
    </row>
    <row r="1527" spans="1:2" ht="30">
      <c r="A1527" s="17">
        <v>852531</v>
      </c>
      <c r="B1527" s="18" t="s">
        <v>2199</v>
      </c>
    </row>
    <row r="1528" spans="1:2" ht="30">
      <c r="A1528" s="16">
        <v>852826</v>
      </c>
      <c r="B1528" s="18" t="s">
        <v>1907</v>
      </c>
    </row>
    <row r="1529" spans="1:2" ht="30">
      <c r="A1529" s="17">
        <v>852829</v>
      </c>
      <c r="B1529" s="21" t="s">
        <v>2203</v>
      </c>
    </row>
    <row r="1530" spans="1:2">
      <c r="A1530" s="31">
        <v>852831</v>
      </c>
      <c r="B1530" s="32"/>
    </row>
    <row r="1531" spans="1:2">
      <c r="A1531" s="16">
        <v>852833</v>
      </c>
      <c r="B1531" s="18" t="s">
        <v>1908</v>
      </c>
    </row>
    <row r="1532" spans="1:2">
      <c r="A1532" s="31">
        <v>852951</v>
      </c>
      <c r="B1532" s="32"/>
    </row>
    <row r="1533" spans="1:2">
      <c r="A1533" s="17">
        <v>854013</v>
      </c>
      <c r="B1533" s="20" t="s">
        <v>2200</v>
      </c>
    </row>
    <row r="1534" spans="1:2" ht="45">
      <c r="A1534" s="17">
        <v>854034</v>
      </c>
      <c r="B1534" s="18" t="s">
        <v>2237</v>
      </c>
    </row>
    <row r="1535" spans="1:2" ht="30">
      <c r="A1535" s="17">
        <v>854137</v>
      </c>
      <c r="B1535" s="18" t="s">
        <v>2260</v>
      </c>
    </row>
    <row r="1536" spans="1:2" ht="45">
      <c r="A1536" s="17">
        <v>854974</v>
      </c>
      <c r="B1536" s="44" t="s">
        <v>2262</v>
      </c>
    </row>
    <row r="1537" spans="1:2" ht="45">
      <c r="A1537" s="17">
        <v>855339</v>
      </c>
      <c r="B1537" s="18" t="s">
        <v>2264</v>
      </c>
    </row>
    <row r="1538" spans="1:2" ht="90">
      <c r="A1538" s="17">
        <v>855528</v>
      </c>
      <c r="B1538" s="18" t="s">
        <v>2265</v>
      </c>
    </row>
    <row r="1539" spans="1:2">
      <c r="A1539" s="16">
        <v>855879</v>
      </c>
      <c r="B1539" s="18" t="s">
        <v>1909</v>
      </c>
    </row>
    <row r="1540" spans="1:2" ht="45">
      <c r="A1540" s="17">
        <v>855880</v>
      </c>
      <c r="B1540" s="18" t="s">
        <v>2268</v>
      </c>
    </row>
    <row r="1541" spans="1:2">
      <c r="A1541" s="31">
        <v>856459</v>
      </c>
      <c r="B1541" s="32"/>
    </row>
    <row r="1542" spans="1:2" ht="45">
      <c r="A1542" s="17">
        <v>856591</v>
      </c>
      <c r="B1542" s="18" t="s">
        <v>2073</v>
      </c>
    </row>
    <row r="1543" spans="1:2" ht="75">
      <c r="A1543" s="17">
        <v>856594</v>
      </c>
      <c r="B1543" s="18" t="s">
        <v>2290</v>
      </c>
    </row>
    <row r="1544" spans="1:2" ht="45">
      <c r="A1544" s="17">
        <v>856599</v>
      </c>
      <c r="B1544" s="18" t="s">
        <v>2295</v>
      </c>
    </row>
    <row r="1545" spans="1:2">
      <c r="A1545" s="17">
        <v>856602</v>
      </c>
      <c r="B1545" s="18"/>
    </row>
    <row r="1546" spans="1:2">
      <c r="A1546" s="17">
        <v>856606</v>
      </c>
      <c r="B1546" s="18"/>
    </row>
    <row r="1547" spans="1:2" ht="60">
      <c r="A1547" s="17">
        <v>856610</v>
      </c>
      <c r="B1547" s="18" t="s">
        <v>2289</v>
      </c>
    </row>
    <row r="1548" spans="1:2" ht="30">
      <c r="A1548" s="17">
        <v>857274</v>
      </c>
      <c r="B1548" s="18" t="s">
        <v>2282</v>
      </c>
    </row>
    <row r="1549" spans="1:2">
      <c r="A1549" s="17">
        <v>857875</v>
      </c>
      <c r="B1549" s="20" t="s">
        <v>2294</v>
      </c>
    </row>
    <row r="1550" spans="1:2">
      <c r="A1550" s="17">
        <v>857878</v>
      </c>
      <c r="B1550" s="18"/>
    </row>
    <row r="1551" spans="1:2" ht="45">
      <c r="A1551" s="31">
        <v>857882</v>
      </c>
      <c r="B1551" s="18" t="s">
        <v>2584</v>
      </c>
    </row>
    <row r="1552" spans="1:2" ht="45">
      <c r="A1552" s="17">
        <v>857883</v>
      </c>
      <c r="B1552" s="18" t="s">
        <v>2287</v>
      </c>
    </row>
    <row r="1553" spans="1:2">
      <c r="A1553" s="17">
        <v>857884</v>
      </c>
      <c r="B1553" s="20" t="s">
        <v>2288</v>
      </c>
    </row>
    <row r="1554" spans="1:2" ht="45">
      <c r="A1554" s="17">
        <v>858437</v>
      </c>
      <c r="B1554" s="18" t="s">
        <v>2296</v>
      </c>
    </row>
    <row r="1555" spans="1:2">
      <c r="A1555" s="17">
        <v>859017</v>
      </c>
      <c r="B1555" s="18"/>
    </row>
    <row r="1556" spans="1:2" ht="30">
      <c r="A1556" s="17">
        <v>859029</v>
      </c>
      <c r="B1556" s="18" t="s">
        <v>2304</v>
      </c>
    </row>
    <row r="1557" spans="1:2">
      <c r="A1557" s="16">
        <v>859037</v>
      </c>
      <c r="B1557" s="18" t="s">
        <v>1910</v>
      </c>
    </row>
    <row r="1558" spans="1:2">
      <c r="A1558" s="31">
        <v>859051</v>
      </c>
      <c r="B1558" s="32"/>
    </row>
    <row r="1559" spans="1:2">
      <c r="A1559" s="31">
        <v>859512</v>
      </c>
      <c r="B1559" s="32"/>
    </row>
    <row r="1560" spans="1:2">
      <c r="A1560" s="31">
        <v>859766</v>
      </c>
      <c r="B1560" s="32"/>
    </row>
    <row r="1561" spans="1:2" ht="60">
      <c r="A1561" s="17">
        <v>860111</v>
      </c>
      <c r="B1561" s="18" t="s">
        <v>2306</v>
      </c>
    </row>
    <row r="1562" spans="1:2" ht="45">
      <c r="A1562" s="17">
        <v>862035</v>
      </c>
      <c r="B1562" s="18" t="s">
        <v>2314</v>
      </c>
    </row>
    <row r="1563" spans="1:2" ht="45">
      <c r="A1563" s="31">
        <v>862043</v>
      </c>
      <c r="B1563" s="18" t="s">
        <v>2666</v>
      </c>
    </row>
    <row r="1564" spans="1:2" ht="30">
      <c r="A1564" s="17">
        <v>862113</v>
      </c>
      <c r="B1564" s="18" t="s">
        <v>2312</v>
      </c>
    </row>
    <row r="1565" spans="1:2" ht="45">
      <c r="A1565" s="17">
        <v>862117</v>
      </c>
      <c r="B1565" s="18" t="s">
        <v>2313</v>
      </c>
    </row>
    <row r="1566" spans="1:2" ht="45">
      <c r="A1566" s="19">
        <v>862634</v>
      </c>
      <c r="B1566" s="18" t="s">
        <v>2761</v>
      </c>
    </row>
    <row r="1567" spans="1:2">
      <c r="A1567" s="31">
        <v>862711</v>
      </c>
      <c r="B1567" s="32"/>
    </row>
    <row r="1568" spans="1:2">
      <c r="A1568" s="31">
        <v>862905</v>
      </c>
      <c r="B1568" s="18"/>
    </row>
    <row r="1569" spans="1:2">
      <c r="A1569" s="31">
        <v>864814</v>
      </c>
      <c r="B1569" s="32"/>
    </row>
    <row r="1570" spans="1:2" ht="30">
      <c r="A1570" s="17">
        <v>865245</v>
      </c>
      <c r="B1570" s="18" t="s">
        <v>2318</v>
      </c>
    </row>
    <row r="1571" spans="1:2">
      <c r="A1571" s="17">
        <v>865247</v>
      </c>
      <c r="B1571" s="20" t="s">
        <v>2319</v>
      </c>
    </row>
    <row r="1572" spans="1:2" ht="30">
      <c r="A1572" s="17">
        <v>865296</v>
      </c>
      <c r="B1572" s="18" t="s">
        <v>2317</v>
      </c>
    </row>
    <row r="1573" spans="1:2" ht="45">
      <c r="A1573" s="17">
        <v>865315</v>
      </c>
      <c r="B1573" s="18" t="s">
        <v>2321</v>
      </c>
    </row>
    <row r="1574" spans="1:2" ht="30">
      <c r="A1574" s="19">
        <v>865321</v>
      </c>
      <c r="B1574" s="18" t="s">
        <v>2762</v>
      </c>
    </row>
    <row r="1575" spans="1:2" ht="60">
      <c r="A1575" s="17">
        <v>865324</v>
      </c>
      <c r="B1575" s="18" t="s">
        <v>2236</v>
      </c>
    </row>
    <row r="1576" spans="1:2" ht="30">
      <c r="A1576" s="17">
        <v>865326</v>
      </c>
      <c r="B1576" s="18" t="s">
        <v>2215</v>
      </c>
    </row>
    <row r="1577" spans="1:2" ht="45">
      <c r="A1577" s="17">
        <v>865336</v>
      </c>
      <c r="B1577" s="18" t="s">
        <v>2322</v>
      </c>
    </row>
    <row r="1578" spans="1:2" ht="60">
      <c r="A1578" s="19">
        <v>865343</v>
      </c>
      <c r="B1578" s="18" t="s">
        <v>2763</v>
      </c>
    </row>
    <row r="1579" spans="1:2" ht="45">
      <c r="A1579" s="17">
        <v>865344</v>
      </c>
      <c r="B1579" s="18" t="s">
        <v>2323</v>
      </c>
    </row>
    <row r="1580" spans="1:2" ht="30">
      <c r="A1580" s="19">
        <v>865402</v>
      </c>
      <c r="B1580" s="18" t="s">
        <v>2764</v>
      </c>
    </row>
    <row r="1581" spans="1:2">
      <c r="A1581" s="17">
        <v>865405</v>
      </c>
      <c r="B1581" s="20" t="s">
        <v>2324</v>
      </c>
    </row>
    <row r="1582" spans="1:2">
      <c r="A1582" s="17">
        <v>865408</v>
      </c>
      <c r="B1582" s="20" t="s">
        <v>2325</v>
      </c>
    </row>
    <row r="1583" spans="1:2">
      <c r="A1583" s="16">
        <v>865410</v>
      </c>
      <c r="B1583" s="18" t="s">
        <v>1911</v>
      </c>
    </row>
    <row r="1584" spans="1:2">
      <c r="A1584" s="31">
        <v>865413</v>
      </c>
      <c r="B1584" s="32"/>
    </row>
    <row r="1585" spans="1:2" ht="45">
      <c r="A1585" s="19">
        <v>865416</v>
      </c>
      <c r="B1585" s="18" t="s">
        <v>2765</v>
      </c>
    </row>
    <row r="1586" spans="1:2" ht="60">
      <c r="A1586" s="17">
        <v>865420</v>
      </c>
      <c r="B1586" s="18" t="s">
        <v>2335</v>
      </c>
    </row>
    <row r="1587" spans="1:2">
      <c r="A1587" s="31">
        <v>865429</v>
      </c>
      <c r="B1587" s="32"/>
    </row>
    <row r="1588" spans="1:2" ht="60">
      <c r="A1588" s="17">
        <v>865431</v>
      </c>
      <c r="B1588" s="18" t="s">
        <v>2340</v>
      </c>
    </row>
    <row r="1589" spans="1:2">
      <c r="A1589" s="17">
        <v>865432</v>
      </c>
      <c r="B1589" s="18"/>
    </row>
    <row r="1590" spans="1:2" ht="165">
      <c r="A1590" s="17">
        <v>865534</v>
      </c>
      <c r="B1590" s="18" t="s">
        <v>2472</v>
      </c>
    </row>
    <row r="1591" spans="1:2">
      <c r="A1591" s="17">
        <v>865714</v>
      </c>
      <c r="B1591" s="18"/>
    </row>
    <row r="1592" spans="1:2" ht="60">
      <c r="A1592" s="17">
        <v>866522</v>
      </c>
      <c r="B1592" s="18" t="s">
        <v>2350</v>
      </c>
    </row>
    <row r="1593" spans="1:2">
      <c r="A1593" s="31">
        <v>867759</v>
      </c>
      <c r="B1593" s="32"/>
    </row>
    <row r="1594" spans="1:2" ht="30">
      <c r="A1594" s="16">
        <v>869394</v>
      </c>
      <c r="B1594" s="18" t="s">
        <v>1912</v>
      </c>
    </row>
    <row r="1595" spans="1:2" ht="30">
      <c r="A1595" s="17">
        <v>869409</v>
      </c>
      <c r="B1595" s="18" t="s">
        <v>2223</v>
      </c>
    </row>
    <row r="1596" spans="1:2">
      <c r="A1596" s="31">
        <v>870206</v>
      </c>
      <c r="B1596" s="32"/>
    </row>
    <row r="1597" spans="1:2">
      <c r="A1597" s="31">
        <v>872605</v>
      </c>
      <c r="B1597" s="32"/>
    </row>
    <row r="1598" spans="1:2">
      <c r="A1598" s="17">
        <v>874174</v>
      </c>
      <c r="B1598" s="20" t="s">
        <v>2459</v>
      </c>
    </row>
    <row r="1599" spans="1:2" ht="30">
      <c r="A1599" s="31">
        <v>874176</v>
      </c>
      <c r="B1599" s="18" t="s">
        <v>2585</v>
      </c>
    </row>
    <row r="1600" spans="1:2">
      <c r="A1600" s="31">
        <v>874177</v>
      </c>
      <c r="B1600" s="32"/>
    </row>
    <row r="1601" spans="1:2" ht="30">
      <c r="A1601" s="17">
        <v>874179</v>
      </c>
      <c r="B1601" s="18" t="s">
        <v>2378</v>
      </c>
    </row>
    <row r="1602" spans="1:2">
      <c r="A1602" s="31">
        <v>874181</v>
      </c>
      <c r="B1602" s="32"/>
    </row>
    <row r="1603" spans="1:2">
      <c r="A1603" s="31">
        <v>874182</v>
      </c>
      <c r="B1603" s="32"/>
    </row>
    <row r="1604" spans="1:2" ht="30">
      <c r="A1604" s="17">
        <v>874186</v>
      </c>
      <c r="B1604" s="18" t="s">
        <v>2213</v>
      </c>
    </row>
    <row r="1605" spans="1:2" ht="30">
      <c r="A1605" s="16">
        <v>874190</v>
      </c>
      <c r="B1605" s="18" t="s">
        <v>1913</v>
      </c>
    </row>
    <row r="1606" spans="1:2" ht="30">
      <c r="A1606" s="31">
        <v>874191</v>
      </c>
      <c r="B1606" s="18" t="s">
        <v>2667</v>
      </c>
    </row>
    <row r="1607" spans="1:2" ht="30">
      <c r="A1607" s="31">
        <v>874197</v>
      </c>
      <c r="B1607" s="18" t="s">
        <v>2668</v>
      </c>
    </row>
    <row r="1608" spans="1:2">
      <c r="A1608" s="31">
        <v>874200</v>
      </c>
      <c r="B1608" s="32"/>
    </row>
    <row r="1609" spans="1:2">
      <c r="A1609" s="31">
        <v>874210</v>
      </c>
      <c r="B1609" s="32"/>
    </row>
    <row r="1610" spans="1:2" ht="30">
      <c r="A1610" s="16">
        <v>874327</v>
      </c>
      <c r="B1610" s="18" t="s">
        <v>1914</v>
      </c>
    </row>
    <row r="1611" spans="1:2" ht="45">
      <c r="A1611" s="19">
        <v>874437</v>
      </c>
      <c r="B1611" s="18" t="s">
        <v>2766</v>
      </c>
    </row>
    <row r="1612" spans="1:2">
      <c r="A1612" s="31">
        <v>874481</v>
      </c>
      <c r="B1612" s="32"/>
    </row>
    <row r="1613" spans="1:2">
      <c r="A1613" s="31">
        <v>876492</v>
      </c>
      <c r="B1613" s="32"/>
    </row>
    <row r="1614" spans="1:2">
      <c r="A1614" s="31">
        <v>877713</v>
      </c>
      <c r="B1614" s="32"/>
    </row>
    <row r="1615" spans="1:2">
      <c r="A1615" s="31">
        <v>881881</v>
      </c>
      <c r="B1615" s="32"/>
    </row>
    <row r="1616" spans="1:2">
      <c r="A1616" s="31">
        <v>908959</v>
      </c>
      <c r="B1616" s="32"/>
    </row>
    <row r="1617" spans="1:2" ht="30">
      <c r="A1617" s="17">
        <v>913393</v>
      </c>
      <c r="B1617" s="22" t="s">
        <v>2281</v>
      </c>
    </row>
    <row r="1618" spans="1:2" ht="75">
      <c r="A1618" s="31">
        <v>913711</v>
      </c>
      <c r="B1618" s="18" t="s">
        <v>2586</v>
      </c>
    </row>
    <row r="1619" spans="1:2" ht="30">
      <c r="A1619" s="16">
        <v>917387</v>
      </c>
      <c r="B1619" s="18" t="s">
        <v>1915</v>
      </c>
    </row>
    <row r="1620" spans="1:2">
      <c r="A1620" s="31">
        <v>919964</v>
      </c>
      <c r="B1620" s="32"/>
    </row>
    <row r="1621" spans="1:2">
      <c r="A1621" s="16">
        <v>931586</v>
      </c>
      <c r="B1621" s="18" t="s">
        <v>1916</v>
      </c>
    </row>
    <row r="1622" spans="1:2">
      <c r="A1622" s="31">
        <v>937855</v>
      </c>
      <c r="B1622" s="32"/>
    </row>
    <row r="1623" spans="1:2">
      <c r="A1623" s="31">
        <v>942155</v>
      </c>
      <c r="B1623" s="32"/>
    </row>
    <row r="1624" spans="1:2">
      <c r="A1624" s="31">
        <v>942933</v>
      </c>
      <c r="B1624" s="32"/>
    </row>
    <row r="1625" spans="1:2">
      <c r="A1625" s="17">
        <v>943524</v>
      </c>
      <c r="B1625" s="20" t="s">
        <v>2112</v>
      </c>
    </row>
    <row r="1626" spans="1:2">
      <c r="A1626" s="31">
        <v>950110</v>
      </c>
      <c r="B1626" s="32"/>
    </row>
    <row r="1627" spans="1:2">
      <c r="A1627" s="16">
        <v>950676</v>
      </c>
      <c r="B1627" s="18" t="s">
        <v>1917</v>
      </c>
    </row>
    <row r="1628" spans="1:2">
      <c r="A1628" s="16">
        <v>950691</v>
      </c>
      <c r="B1628" s="18" t="s">
        <v>1918</v>
      </c>
    </row>
    <row r="1629" spans="1:2" ht="45">
      <c r="A1629" s="17">
        <v>950716</v>
      </c>
      <c r="B1629" s="18" t="s">
        <v>2204</v>
      </c>
    </row>
    <row r="1630" spans="1:2">
      <c r="A1630" s="31">
        <v>950844</v>
      </c>
      <c r="B1630" s="32"/>
    </row>
    <row r="1631" spans="1:2">
      <c r="A1631" s="16">
        <v>959409</v>
      </c>
      <c r="B1631" s="18" t="s">
        <v>1919</v>
      </c>
    </row>
    <row r="1632" spans="1:2">
      <c r="A1632" s="31">
        <v>959842</v>
      </c>
      <c r="B1632" s="32"/>
    </row>
    <row r="1633" spans="1:2" ht="30">
      <c r="A1633" s="19">
        <v>960015</v>
      </c>
      <c r="B1633" s="18" t="s">
        <v>2767</v>
      </c>
    </row>
    <row r="1634" spans="1:2">
      <c r="A1634" s="31">
        <v>967034</v>
      </c>
      <c r="B1634" s="32"/>
    </row>
    <row r="1635" spans="1:2">
      <c r="A1635" s="17">
        <v>988375</v>
      </c>
      <c r="B1635" s="18"/>
    </row>
    <row r="1636" spans="1:2">
      <c r="A1636" s="17">
        <v>989905</v>
      </c>
      <c r="B1636" s="18"/>
    </row>
    <row r="1637" spans="1:2">
      <c r="A1637" s="17">
        <v>990768</v>
      </c>
      <c r="B1637" s="18"/>
    </row>
    <row r="1638" spans="1:2" ht="45">
      <c r="A1638" s="31">
        <v>993818</v>
      </c>
      <c r="B1638" s="18" t="s">
        <v>2587</v>
      </c>
    </row>
    <row r="1639" spans="1:2">
      <c r="A1639" s="31">
        <v>998299</v>
      </c>
      <c r="B1639" s="32"/>
    </row>
    <row r="1640" spans="1:2" ht="30">
      <c r="A1640" s="31">
        <v>1001679</v>
      </c>
      <c r="B1640" s="18" t="s">
        <v>2588</v>
      </c>
    </row>
    <row r="1641" spans="1:2">
      <c r="A1641" s="31">
        <v>1004163</v>
      </c>
      <c r="B1641" s="32"/>
    </row>
    <row r="1642" spans="1:2">
      <c r="A1642" s="31">
        <v>1009121</v>
      </c>
      <c r="B1642" s="32"/>
    </row>
    <row r="1643" spans="1:2">
      <c r="A1643" s="31">
        <v>1010449</v>
      </c>
      <c r="B1643" s="32"/>
    </row>
    <row r="1644" spans="1:2">
      <c r="A1644" s="31">
        <v>1016029</v>
      </c>
      <c r="B1644" s="32"/>
    </row>
    <row r="1645" spans="1:2">
      <c r="A1645" s="31">
        <v>1021576</v>
      </c>
      <c r="B1645" s="32"/>
    </row>
    <row r="1646" spans="1:2">
      <c r="A1646" s="31">
        <v>1024401</v>
      </c>
      <c r="B1646" s="32"/>
    </row>
    <row r="1647" spans="1:2" ht="30">
      <c r="A1647" s="16">
        <v>1025381</v>
      </c>
      <c r="B1647" s="18" t="s">
        <v>1920</v>
      </c>
    </row>
    <row r="1648" spans="1:2">
      <c r="A1648" s="31">
        <v>1028908</v>
      </c>
      <c r="B1648" s="32"/>
    </row>
    <row r="1649" spans="1:2" ht="30">
      <c r="A1649" s="17">
        <v>1030655</v>
      </c>
      <c r="B1649" s="22" t="s">
        <v>2283</v>
      </c>
    </row>
    <row r="1650" spans="1:2">
      <c r="A1650" s="31">
        <v>1034675</v>
      </c>
      <c r="B1650" s="32"/>
    </row>
    <row r="1651" spans="1:2" ht="90">
      <c r="A1651" s="16">
        <v>1036431</v>
      </c>
      <c r="B1651" s="18" t="s">
        <v>1921</v>
      </c>
    </row>
    <row r="1652" spans="1:2" ht="30">
      <c r="A1652" s="17">
        <v>1042996</v>
      </c>
      <c r="B1652" s="18" t="s">
        <v>2103</v>
      </c>
    </row>
    <row r="1653" spans="1:2" ht="30">
      <c r="A1653" s="16">
        <v>1044776</v>
      </c>
      <c r="B1653" s="18" t="s">
        <v>1922</v>
      </c>
    </row>
    <row r="1654" spans="1:2">
      <c r="A1654" s="31">
        <v>1055714</v>
      </c>
      <c r="B1654" s="32"/>
    </row>
    <row r="1655" spans="1:2">
      <c r="A1655" s="17">
        <v>1056188</v>
      </c>
      <c r="B1655" s="24" t="s">
        <v>2284</v>
      </c>
    </row>
    <row r="1656" spans="1:2">
      <c r="A1656" s="16">
        <v>1056196</v>
      </c>
      <c r="B1656" s="18" t="s">
        <v>1923</v>
      </c>
    </row>
    <row r="1657" spans="1:2">
      <c r="A1657" s="17">
        <v>1056197</v>
      </c>
      <c r="B1657" s="24" t="s">
        <v>2285</v>
      </c>
    </row>
    <row r="1658" spans="1:2">
      <c r="A1658" s="31">
        <v>1058430</v>
      </c>
      <c r="B1658" s="32"/>
    </row>
    <row r="1659" spans="1:2">
      <c r="A1659" s="31">
        <v>1059590</v>
      </c>
      <c r="B1659" s="32"/>
    </row>
    <row r="1660" spans="1:2">
      <c r="A1660" s="31">
        <v>1060009</v>
      </c>
      <c r="B1660" s="32"/>
    </row>
    <row r="1661" spans="1:2">
      <c r="A1661" s="31">
        <v>1063532</v>
      </c>
      <c r="B1661" s="32"/>
    </row>
    <row r="1662" spans="1:2" ht="90">
      <c r="A1662" s="19">
        <v>1066416</v>
      </c>
      <c r="B1662" s="18" t="s">
        <v>2768</v>
      </c>
    </row>
    <row r="1663" spans="1:2" ht="90">
      <c r="A1663" s="16">
        <v>1066418</v>
      </c>
      <c r="B1663" s="18" t="s">
        <v>1924</v>
      </c>
    </row>
    <row r="1664" spans="1:2">
      <c r="A1664" s="31">
        <v>1070229</v>
      </c>
      <c r="B1664" s="32"/>
    </row>
    <row r="1665" spans="1:2">
      <c r="A1665" s="31">
        <v>1072815</v>
      </c>
      <c r="B1665" s="18"/>
    </row>
    <row r="1666" spans="1:2">
      <c r="A1666" s="17">
        <v>1072941</v>
      </c>
      <c r="B1666" s="20" t="s">
        <v>2229</v>
      </c>
    </row>
    <row r="1667" spans="1:2" ht="30">
      <c r="A1667" s="19">
        <v>1072997</v>
      </c>
      <c r="B1667" s="18" t="s">
        <v>2769</v>
      </c>
    </row>
    <row r="1668" spans="1:2" ht="60">
      <c r="A1668" s="17">
        <v>1073796</v>
      </c>
      <c r="B1668" s="18" t="s">
        <v>3130</v>
      </c>
    </row>
    <row r="1669" spans="1:2">
      <c r="A1669" s="16">
        <v>1073898</v>
      </c>
      <c r="B1669" s="18" t="s">
        <v>1925</v>
      </c>
    </row>
    <row r="1670" spans="1:2">
      <c r="A1670" s="16">
        <v>1073960</v>
      </c>
      <c r="B1670" s="18" t="s">
        <v>1926</v>
      </c>
    </row>
    <row r="1671" spans="1:2" ht="45">
      <c r="A1671" s="17">
        <v>1073961</v>
      </c>
      <c r="B1671" s="18" t="s">
        <v>2148</v>
      </c>
    </row>
    <row r="1672" spans="1:2">
      <c r="A1672" s="31">
        <v>1073962</v>
      </c>
      <c r="B1672" s="32"/>
    </row>
    <row r="1673" spans="1:2" ht="45">
      <c r="A1673" s="17">
        <v>1073963</v>
      </c>
      <c r="B1673" s="18" t="s">
        <v>2146</v>
      </c>
    </row>
    <row r="1674" spans="1:2" ht="45">
      <c r="A1674" s="16">
        <v>1073966</v>
      </c>
      <c r="B1674" s="18" t="s">
        <v>1927</v>
      </c>
    </row>
    <row r="1675" spans="1:2" ht="45">
      <c r="A1675" s="17">
        <v>1073967</v>
      </c>
      <c r="B1675" s="18" t="s">
        <v>2121</v>
      </c>
    </row>
    <row r="1676" spans="1:2" ht="60">
      <c r="A1676" s="17">
        <v>1073970</v>
      </c>
      <c r="B1676" s="18" t="s">
        <v>2231</v>
      </c>
    </row>
    <row r="1677" spans="1:2" ht="45">
      <c r="A1677" s="17">
        <v>1073971</v>
      </c>
      <c r="B1677" s="18" t="s">
        <v>2230</v>
      </c>
    </row>
    <row r="1678" spans="1:2">
      <c r="A1678" s="17">
        <v>1074122</v>
      </c>
      <c r="B1678" s="20" t="s">
        <v>2232</v>
      </c>
    </row>
    <row r="1679" spans="1:2" ht="30">
      <c r="A1679" s="17">
        <v>1074123</v>
      </c>
      <c r="B1679" s="18" t="s">
        <v>2233</v>
      </c>
    </row>
    <row r="1680" spans="1:2" ht="30">
      <c r="A1680" s="17">
        <v>1074512</v>
      </c>
      <c r="B1680" s="18" t="s">
        <v>2126</v>
      </c>
    </row>
    <row r="1681" spans="1:2" ht="30">
      <c r="A1681" s="19">
        <v>1075528</v>
      </c>
      <c r="B1681" s="18" t="s">
        <v>2770</v>
      </c>
    </row>
    <row r="1682" spans="1:2" ht="45">
      <c r="A1682" s="17">
        <v>1075673</v>
      </c>
      <c r="B1682" s="18" t="s">
        <v>2147</v>
      </c>
    </row>
    <row r="1683" spans="1:2" ht="45">
      <c r="A1683" s="17">
        <v>1075889</v>
      </c>
      <c r="B1683" s="18" t="s">
        <v>2228</v>
      </c>
    </row>
    <row r="1684" spans="1:2">
      <c r="A1684" s="16">
        <v>1075896</v>
      </c>
      <c r="B1684" s="18" t="s">
        <v>1928</v>
      </c>
    </row>
    <row r="1685" spans="1:2" ht="30">
      <c r="A1685" s="16">
        <v>1075909</v>
      </c>
      <c r="B1685" s="18" t="s">
        <v>1929</v>
      </c>
    </row>
    <row r="1686" spans="1:2" ht="45">
      <c r="A1686" s="17">
        <v>1076059</v>
      </c>
      <c r="B1686" s="18" t="s">
        <v>2130</v>
      </c>
    </row>
    <row r="1687" spans="1:2" ht="60">
      <c r="A1687" s="17">
        <v>1076082</v>
      </c>
      <c r="B1687" s="18" t="s">
        <v>2143</v>
      </c>
    </row>
    <row r="1688" spans="1:2" ht="45">
      <c r="A1688" s="17">
        <v>1076114</v>
      </c>
      <c r="B1688" s="18" t="s">
        <v>2142</v>
      </c>
    </row>
    <row r="1689" spans="1:2" ht="30">
      <c r="A1689" s="17">
        <v>1076121</v>
      </c>
      <c r="B1689" s="18" t="s">
        <v>2127</v>
      </c>
    </row>
    <row r="1690" spans="1:2" ht="30">
      <c r="A1690" s="16">
        <v>1076406</v>
      </c>
      <c r="B1690" s="18" t="s">
        <v>1930</v>
      </c>
    </row>
    <row r="1691" spans="1:2">
      <c r="A1691" s="17">
        <v>1076409</v>
      </c>
      <c r="B1691" s="20" t="s">
        <v>2131</v>
      </c>
    </row>
    <row r="1692" spans="1:2" ht="270">
      <c r="A1692" s="16">
        <v>1076546</v>
      </c>
      <c r="B1692" s="18" t="s">
        <v>1931</v>
      </c>
    </row>
    <row r="1693" spans="1:2">
      <c r="A1693" s="31">
        <v>1080203</v>
      </c>
      <c r="B1693" s="32"/>
    </row>
    <row r="1694" spans="1:2">
      <c r="A1694" s="31">
        <v>1080206</v>
      </c>
      <c r="B1694" s="32"/>
    </row>
    <row r="1695" spans="1:2">
      <c r="A1695" s="31">
        <v>1084768</v>
      </c>
      <c r="B1695" s="32"/>
    </row>
    <row r="1696" spans="1:2">
      <c r="A1696" s="31">
        <v>1086558</v>
      </c>
      <c r="B1696" s="32"/>
    </row>
    <row r="1697" spans="1:2">
      <c r="A1697" s="31">
        <v>1087213</v>
      </c>
      <c r="B1697" s="32"/>
    </row>
    <row r="1698" spans="1:2">
      <c r="A1698" s="31">
        <v>1088975</v>
      </c>
      <c r="B1698" s="32"/>
    </row>
    <row r="1699" spans="1:2">
      <c r="A1699" s="31">
        <v>1099525</v>
      </c>
      <c r="B1699" s="32"/>
    </row>
    <row r="1700" spans="1:2">
      <c r="A1700" s="31">
        <v>1159027</v>
      </c>
      <c r="B1700" s="32"/>
    </row>
    <row r="1701" spans="1:2">
      <c r="A1701" s="31">
        <v>1159310</v>
      </c>
      <c r="B1701" s="32"/>
    </row>
    <row r="1702" spans="1:2">
      <c r="A1702" s="31">
        <v>1159506</v>
      </c>
      <c r="B1702" s="32"/>
    </row>
    <row r="1703" spans="1:2">
      <c r="A1703" s="31">
        <v>1159949</v>
      </c>
      <c r="B1703" s="32"/>
    </row>
    <row r="1704" spans="1:2">
      <c r="A1704" s="31">
        <v>1194476</v>
      </c>
      <c r="B1704" s="32"/>
    </row>
    <row r="1705" spans="1:2">
      <c r="A1705" s="31">
        <v>1196783</v>
      </c>
      <c r="B1705" s="32"/>
    </row>
    <row r="1706" spans="1:2">
      <c r="A1706" s="31">
        <v>1222051</v>
      </c>
      <c r="B1706" s="32"/>
    </row>
    <row r="1707" spans="1:2">
      <c r="A1707" s="31">
        <v>1230805</v>
      </c>
      <c r="B1707" s="32"/>
    </row>
    <row r="1708" spans="1:2">
      <c r="A1708" s="31">
        <v>1231086</v>
      </c>
      <c r="B1708" s="32"/>
    </row>
    <row r="1709" spans="1:2">
      <c r="A1709" s="31">
        <v>1233592</v>
      </c>
      <c r="B1709" s="18"/>
    </row>
    <row r="1710" spans="1:2">
      <c r="A1710" s="31">
        <v>1234377</v>
      </c>
      <c r="B1710" s="18"/>
    </row>
    <row r="1711" spans="1:2">
      <c r="A1711" s="31">
        <v>1244861</v>
      </c>
      <c r="B1711" s="32"/>
    </row>
    <row r="1712" spans="1:2">
      <c r="A1712" s="31">
        <v>1247686</v>
      </c>
      <c r="B1712" s="32"/>
    </row>
    <row r="1713" spans="1:2">
      <c r="A1713" s="31">
        <v>1247734</v>
      </c>
      <c r="B1713" s="32"/>
    </row>
    <row r="1714" spans="1:2">
      <c r="A1714" s="31">
        <v>1248115</v>
      </c>
      <c r="B1714" s="32"/>
    </row>
    <row r="1715" spans="1:2">
      <c r="A1715" s="31">
        <v>1248952</v>
      </c>
      <c r="B1715" s="32"/>
    </row>
    <row r="1716" spans="1:2">
      <c r="A1716" s="31">
        <v>1249176</v>
      </c>
      <c r="B1716" s="32"/>
    </row>
    <row r="1717" spans="1:2">
      <c r="A1717" s="31">
        <v>1253910</v>
      </c>
      <c r="B1717" s="32"/>
    </row>
    <row r="1718" spans="1:2">
      <c r="A1718" s="31">
        <v>1254010</v>
      </c>
      <c r="B1718" s="32"/>
    </row>
    <row r="1719" spans="1:2">
      <c r="A1719" s="31">
        <v>1254062</v>
      </c>
      <c r="B1719" s="32"/>
    </row>
    <row r="1720" spans="1:2">
      <c r="A1720" s="31">
        <v>1256093</v>
      </c>
      <c r="B1720" s="32"/>
    </row>
    <row r="1721" spans="1:2">
      <c r="A1721" s="31">
        <v>1259433</v>
      </c>
      <c r="B1721" s="32"/>
    </row>
    <row r="1722" spans="1:2">
      <c r="A1722" s="31">
        <v>1260467</v>
      </c>
      <c r="B1722" s="32"/>
    </row>
    <row r="1723" spans="1:2">
      <c r="A1723" s="31">
        <v>1261382</v>
      </c>
      <c r="B1723" s="32"/>
    </row>
    <row r="1724" spans="1:2">
      <c r="A1724" s="31">
        <v>1262655</v>
      </c>
      <c r="B1724" s="32"/>
    </row>
    <row r="1725" spans="1:2">
      <c r="A1725" s="31">
        <v>1265019</v>
      </c>
      <c r="B1725" s="32"/>
    </row>
    <row r="1726" spans="1:2">
      <c r="A1726" s="31">
        <v>1271878</v>
      </c>
      <c r="B1726" s="32"/>
    </row>
    <row r="1727" spans="1:2">
      <c r="A1727" s="31">
        <v>1277129</v>
      </c>
      <c r="B1727" s="32"/>
    </row>
    <row r="1728" spans="1:2">
      <c r="A1728" s="31">
        <v>1284207</v>
      </c>
      <c r="B1728" s="32"/>
    </row>
    <row r="1729" spans="1:2">
      <c r="A1729" s="31">
        <v>1289171</v>
      </c>
      <c r="B1729" s="32"/>
    </row>
    <row r="1730" spans="1:2">
      <c r="A1730" s="31">
        <v>1289994</v>
      </c>
      <c r="B1730" s="32"/>
    </row>
    <row r="1731" spans="1:2">
      <c r="A1731" s="31">
        <v>1294936</v>
      </c>
      <c r="B1731" s="32"/>
    </row>
    <row r="1732" spans="1:2">
      <c r="A1732" s="31">
        <v>1306767</v>
      </c>
      <c r="B1732" s="32"/>
    </row>
    <row r="1733" spans="1:2">
      <c r="A1733" s="16">
        <v>1306834</v>
      </c>
      <c r="B1733" s="18" t="s">
        <v>1932</v>
      </c>
    </row>
    <row r="1734" spans="1:2">
      <c r="A1734" s="16">
        <v>1313328</v>
      </c>
      <c r="B1734" s="18" t="s">
        <v>1933</v>
      </c>
    </row>
    <row r="1735" spans="1:2">
      <c r="A1735" s="31">
        <v>1319577</v>
      </c>
      <c r="B1735" s="32"/>
    </row>
    <row r="1736" spans="1:2">
      <c r="A1736" s="31">
        <v>1323146</v>
      </c>
      <c r="B1736" s="32"/>
    </row>
    <row r="1737" spans="1:2">
      <c r="A1737" s="31">
        <v>1326104</v>
      </c>
      <c r="B1737" s="32"/>
    </row>
    <row r="1738" spans="1:2">
      <c r="A1738" s="31">
        <v>1327489</v>
      </c>
      <c r="B1738" s="32"/>
    </row>
    <row r="1739" spans="1:2">
      <c r="A1739" s="31">
        <v>1332623</v>
      </c>
      <c r="B1739" s="32"/>
    </row>
    <row r="1740" spans="1:2">
      <c r="A1740" s="31">
        <v>1332918</v>
      </c>
      <c r="B1740" s="32"/>
    </row>
    <row r="1741" spans="1:2">
      <c r="A1741" s="31">
        <v>1361661</v>
      </c>
      <c r="B1741" s="32"/>
    </row>
    <row r="1742" spans="1:2" ht="30">
      <c r="A1742" s="31">
        <v>1363233</v>
      </c>
      <c r="B1742" s="18" t="s">
        <v>2589</v>
      </c>
    </row>
    <row r="1743" spans="1:2" ht="30">
      <c r="A1743" s="16">
        <v>1364753</v>
      </c>
      <c r="B1743" s="18" t="s">
        <v>1934</v>
      </c>
    </row>
    <row r="1744" spans="1:2">
      <c r="A1744" s="31">
        <v>1364801</v>
      </c>
      <c r="B1744" s="18"/>
    </row>
    <row r="1745" spans="1:2" ht="30">
      <c r="A1745" s="16">
        <v>1364953</v>
      </c>
      <c r="B1745" s="18" t="s">
        <v>1935</v>
      </c>
    </row>
    <row r="1746" spans="1:2" ht="45">
      <c r="A1746" s="31">
        <v>1366577</v>
      </c>
      <c r="B1746" s="18" t="s">
        <v>2590</v>
      </c>
    </row>
    <row r="1747" spans="1:2" ht="30">
      <c r="A1747" s="16">
        <v>1366602</v>
      </c>
      <c r="B1747" s="18" t="s">
        <v>1936</v>
      </c>
    </row>
    <row r="1748" spans="1:2" ht="60">
      <c r="A1748" s="16">
        <v>1373463</v>
      </c>
      <c r="B1748" s="18" t="s">
        <v>1937</v>
      </c>
    </row>
    <row r="1749" spans="1:2">
      <c r="A1749" s="31">
        <v>1373567</v>
      </c>
      <c r="B1749" s="32"/>
    </row>
    <row r="1750" spans="1:2">
      <c r="A1750" s="31">
        <v>1374526</v>
      </c>
      <c r="B1750" s="32"/>
    </row>
    <row r="1751" spans="1:2">
      <c r="A1751" s="16">
        <v>1376687</v>
      </c>
      <c r="B1751" s="18" t="s">
        <v>1938</v>
      </c>
    </row>
    <row r="1752" spans="1:2">
      <c r="A1752" s="16">
        <v>1376717</v>
      </c>
      <c r="B1752" s="18" t="s">
        <v>1939</v>
      </c>
    </row>
    <row r="1753" spans="1:2">
      <c r="A1753" s="16">
        <v>1380949</v>
      </c>
      <c r="B1753" s="18" t="s">
        <v>1940</v>
      </c>
    </row>
    <row r="1754" spans="1:2">
      <c r="A1754" s="16">
        <v>1381028</v>
      </c>
      <c r="B1754" s="18" t="s">
        <v>1941</v>
      </c>
    </row>
    <row r="1755" spans="1:2">
      <c r="A1755" s="31">
        <v>1381079</v>
      </c>
      <c r="B1755" s="32"/>
    </row>
    <row r="1756" spans="1:2">
      <c r="A1756" s="16">
        <v>1381084</v>
      </c>
      <c r="B1756" s="18" t="s">
        <v>1942</v>
      </c>
    </row>
    <row r="1757" spans="1:2">
      <c r="A1757" s="16">
        <v>1381142</v>
      </c>
      <c r="B1757" s="18" t="s">
        <v>1943</v>
      </c>
    </row>
    <row r="1758" spans="1:2">
      <c r="A1758" s="16">
        <v>1381247</v>
      </c>
      <c r="B1758" s="18" t="s">
        <v>1944</v>
      </c>
    </row>
    <row r="1759" spans="1:2">
      <c r="A1759" s="31">
        <v>1382805</v>
      </c>
      <c r="B1759" s="32"/>
    </row>
    <row r="1760" spans="1:2">
      <c r="A1760" s="31">
        <v>1382973</v>
      </c>
      <c r="B1760" s="32"/>
    </row>
    <row r="1761" spans="1:2">
      <c r="A1761" s="16">
        <v>1384320</v>
      </c>
      <c r="B1761" s="18" t="s">
        <v>1945</v>
      </c>
    </row>
    <row r="1762" spans="1:2">
      <c r="A1762" s="31">
        <v>1444921</v>
      </c>
      <c r="B1762" s="32"/>
    </row>
    <row r="1763" spans="1:2">
      <c r="A1763" s="31">
        <v>1507662</v>
      </c>
      <c r="B1763" s="32"/>
    </row>
    <row r="1764" spans="1:2">
      <c r="A1764" s="31">
        <v>1562575</v>
      </c>
      <c r="B1764" s="32"/>
    </row>
    <row r="1765" spans="1:2">
      <c r="A1765" s="31">
        <v>1563041</v>
      </c>
      <c r="B1765" s="32"/>
    </row>
    <row r="1766" spans="1:2">
      <c r="A1766" s="16">
        <v>1578552</v>
      </c>
      <c r="B1766" s="18" t="s">
        <v>1946</v>
      </c>
    </row>
    <row r="1767" spans="1:2" ht="30">
      <c r="A1767" s="16">
        <v>1650766</v>
      </c>
      <c r="B1767" s="18" t="s">
        <v>1947</v>
      </c>
    </row>
    <row r="1768" spans="1:2">
      <c r="A1768" s="16">
        <v>1650797</v>
      </c>
      <c r="B1768" s="18" t="s">
        <v>1948</v>
      </c>
    </row>
    <row r="1769" spans="1:2" ht="45">
      <c r="A1769" s="16">
        <v>1650800</v>
      </c>
      <c r="B1769" s="18" t="s">
        <v>1949</v>
      </c>
    </row>
    <row r="1770" spans="1:2">
      <c r="A1770" s="16">
        <v>1651190</v>
      </c>
      <c r="B1770" s="18" t="s">
        <v>1950</v>
      </c>
    </row>
    <row r="1771" spans="1:2">
      <c r="A1771" s="31">
        <v>1652706</v>
      </c>
      <c r="B1771" s="32"/>
    </row>
    <row r="1772" spans="1:2">
      <c r="A1772" s="17">
        <v>1661369</v>
      </c>
      <c r="B1772" s="18"/>
    </row>
    <row r="1773" spans="1:2" ht="30">
      <c r="A1773" s="16">
        <v>1661419</v>
      </c>
      <c r="B1773" s="18" t="s">
        <v>1951</v>
      </c>
    </row>
    <row r="1774" spans="1:2" ht="30">
      <c r="A1774" s="16">
        <v>1669786</v>
      </c>
      <c r="B1774" s="18" t="s">
        <v>1952</v>
      </c>
    </row>
    <row r="1775" spans="1:2">
      <c r="A1775" s="31">
        <v>1670334</v>
      </c>
      <c r="B1775" s="32"/>
    </row>
    <row r="1776" spans="1:2">
      <c r="A1776" s="16">
        <v>1671826</v>
      </c>
      <c r="B1776" s="18" t="s">
        <v>1953</v>
      </c>
    </row>
    <row r="1777" spans="1:2" ht="30">
      <c r="A1777" s="16">
        <v>1673940</v>
      </c>
      <c r="B1777" s="18" t="s">
        <v>1954</v>
      </c>
    </row>
    <row r="1778" spans="1:2">
      <c r="A1778" s="16">
        <v>1684166</v>
      </c>
      <c r="B1778" s="18" t="s">
        <v>1955</v>
      </c>
    </row>
    <row r="1779" spans="1:2">
      <c r="A1779" s="31">
        <v>1684874</v>
      </c>
      <c r="B1779" s="32"/>
    </row>
    <row r="1780" spans="1:2" ht="30">
      <c r="A1780" s="16">
        <v>1693675</v>
      </c>
      <c r="B1780" s="18" t="s">
        <v>1956</v>
      </c>
    </row>
    <row r="1781" spans="1:2" ht="30">
      <c r="A1781" s="16">
        <v>1703453</v>
      </c>
      <c r="B1781" s="18" t="s">
        <v>1957</v>
      </c>
    </row>
    <row r="1782" spans="1:2">
      <c r="A1782" s="31">
        <v>1704048</v>
      </c>
      <c r="B1782" s="18"/>
    </row>
    <row r="1783" spans="1:2">
      <c r="A1783" s="31">
        <v>1709697</v>
      </c>
      <c r="B1783" s="32"/>
    </row>
    <row r="1784" spans="1:2">
      <c r="A1784" s="31">
        <v>1712892</v>
      </c>
      <c r="B1784" s="32"/>
    </row>
    <row r="1785" spans="1:2">
      <c r="A1785" s="31">
        <v>1715441</v>
      </c>
      <c r="B1785" s="32"/>
    </row>
    <row r="1786" spans="1:2">
      <c r="A1786" s="16">
        <v>1718418</v>
      </c>
      <c r="B1786" s="18" t="s">
        <v>1958</v>
      </c>
    </row>
    <row r="1787" spans="1:2">
      <c r="A1787" s="31">
        <v>1719185</v>
      </c>
      <c r="B1787" s="32"/>
    </row>
    <row r="1788" spans="1:2" ht="30">
      <c r="A1788" s="16">
        <v>1721598</v>
      </c>
      <c r="B1788" s="18" t="s">
        <v>1959</v>
      </c>
    </row>
    <row r="1789" spans="1:2" ht="30">
      <c r="A1789" s="16">
        <v>1721870</v>
      </c>
      <c r="B1789" s="18" t="s">
        <v>1960</v>
      </c>
    </row>
    <row r="1790" spans="1:2">
      <c r="A1790" s="16">
        <v>1721873</v>
      </c>
      <c r="B1790" s="18" t="s">
        <v>1961</v>
      </c>
    </row>
    <row r="1791" spans="1:2">
      <c r="A1791" s="16">
        <v>1721885</v>
      </c>
      <c r="B1791" s="18" t="s">
        <v>1962</v>
      </c>
    </row>
    <row r="1792" spans="1:2">
      <c r="A1792" s="31">
        <v>1722371</v>
      </c>
      <c r="B1792" s="32"/>
    </row>
    <row r="1793" spans="1:2">
      <c r="A1793" s="31">
        <v>1722761</v>
      </c>
      <c r="B1793" s="32"/>
    </row>
    <row r="1794" spans="1:2">
      <c r="A1794" s="31">
        <v>1723771</v>
      </c>
      <c r="B1794" s="32"/>
    </row>
    <row r="1795" spans="1:2">
      <c r="A1795" s="16">
        <v>1724855</v>
      </c>
      <c r="B1795" s="18" t="s">
        <v>1963</v>
      </c>
    </row>
    <row r="1796" spans="1:2" ht="45">
      <c r="A1796" s="17">
        <v>1725124</v>
      </c>
      <c r="B1796" s="18" t="s">
        <v>2242</v>
      </c>
    </row>
    <row r="1797" spans="1:2" ht="30">
      <c r="A1797" s="17">
        <v>1725128</v>
      </c>
      <c r="B1797" s="18" t="s">
        <v>2247</v>
      </c>
    </row>
    <row r="1798" spans="1:2" ht="45">
      <c r="A1798" s="17">
        <v>1725320</v>
      </c>
      <c r="B1798" s="18" t="s">
        <v>2241</v>
      </c>
    </row>
    <row r="1799" spans="1:2" ht="45">
      <c r="A1799" s="17">
        <v>1725322</v>
      </c>
      <c r="B1799" s="18" t="s">
        <v>2240</v>
      </c>
    </row>
    <row r="1800" spans="1:2" ht="30">
      <c r="A1800" s="17">
        <v>1725323</v>
      </c>
      <c r="B1800" s="18" t="s">
        <v>2248</v>
      </c>
    </row>
    <row r="1801" spans="1:2" ht="30">
      <c r="A1801" s="17">
        <v>1725326</v>
      </c>
      <c r="B1801" s="18" t="s">
        <v>2243</v>
      </c>
    </row>
    <row r="1802" spans="1:2">
      <c r="A1802" s="17">
        <v>1725327</v>
      </c>
      <c r="B1802" s="24" t="s">
        <v>2246</v>
      </c>
    </row>
    <row r="1803" spans="1:2" ht="120">
      <c r="A1803" s="17">
        <v>1725340</v>
      </c>
      <c r="B1803" s="18" t="s">
        <v>2162</v>
      </c>
    </row>
    <row r="1804" spans="1:2" ht="30">
      <c r="A1804" s="16">
        <v>1725343</v>
      </c>
      <c r="B1804" s="18" t="s">
        <v>1964</v>
      </c>
    </row>
    <row r="1805" spans="1:2" ht="45">
      <c r="A1805" s="17">
        <v>1725344</v>
      </c>
      <c r="B1805" s="18" t="s">
        <v>2244</v>
      </c>
    </row>
    <row r="1806" spans="1:2">
      <c r="A1806" s="16">
        <v>1725362</v>
      </c>
      <c r="B1806" s="18" t="s">
        <v>1965</v>
      </c>
    </row>
    <row r="1807" spans="1:2" ht="30">
      <c r="A1807" s="17">
        <v>1725363</v>
      </c>
      <c r="B1807" s="18" t="s">
        <v>2245</v>
      </c>
    </row>
    <row r="1808" spans="1:2">
      <c r="A1808" s="16">
        <v>1726958</v>
      </c>
      <c r="B1808" s="18" t="s">
        <v>1966</v>
      </c>
    </row>
    <row r="1809" spans="1:2" ht="45">
      <c r="A1809" s="17">
        <v>1729552</v>
      </c>
      <c r="B1809" s="18" t="s">
        <v>2163</v>
      </c>
    </row>
    <row r="1810" spans="1:2" ht="30">
      <c r="A1810" s="17">
        <v>1729556</v>
      </c>
      <c r="B1810" s="18" t="s">
        <v>2250</v>
      </c>
    </row>
    <row r="1811" spans="1:2" ht="30">
      <c r="A1811" s="16">
        <v>1730019</v>
      </c>
      <c r="B1811" s="18" t="s">
        <v>1967</v>
      </c>
    </row>
    <row r="1812" spans="1:2" ht="60">
      <c r="A1812" s="17">
        <v>1730024</v>
      </c>
      <c r="B1812" s="18" t="s">
        <v>2251</v>
      </c>
    </row>
    <row r="1813" spans="1:2" ht="30">
      <c r="A1813" s="19">
        <v>1730027</v>
      </c>
      <c r="B1813" s="18" t="s">
        <v>2771</v>
      </c>
    </row>
    <row r="1814" spans="1:2">
      <c r="A1814" s="16">
        <v>1732668</v>
      </c>
      <c r="B1814" s="18" t="s">
        <v>1968</v>
      </c>
    </row>
    <row r="1815" spans="1:2">
      <c r="A1815" s="16">
        <v>1732784</v>
      </c>
      <c r="B1815" s="18" t="s">
        <v>1969</v>
      </c>
    </row>
    <row r="1816" spans="1:2">
      <c r="A1816" s="31">
        <v>1733146</v>
      </c>
      <c r="B1816" s="32"/>
    </row>
    <row r="1817" spans="1:2" ht="60">
      <c r="A1817" s="17">
        <v>1734387</v>
      </c>
      <c r="B1817" s="22" t="s">
        <v>2249</v>
      </c>
    </row>
    <row r="1818" spans="1:2">
      <c r="A1818" s="31">
        <v>1734393</v>
      </c>
      <c r="B1818" s="32"/>
    </row>
    <row r="1819" spans="1:2">
      <c r="A1819" s="31">
        <v>1735530</v>
      </c>
      <c r="B1819" s="32"/>
    </row>
    <row r="1820" spans="1:2">
      <c r="A1820" s="31">
        <v>1735737</v>
      </c>
      <c r="B1820" s="32"/>
    </row>
    <row r="1821" spans="1:2">
      <c r="A1821" s="31">
        <v>1736213</v>
      </c>
      <c r="B1821" s="32"/>
    </row>
    <row r="1822" spans="1:2">
      <c r="A1822" s="31">
        <v>1741359</v>
      </c>
      <c r="B1822" s="32"/>
    </row>
    <row r="1823" spans="1:2">
      <c r="A1823" s="31">
        <v>1742771</v>
      </c>
      <c r="B1823" s="32"/>
    </row>
    <row r="1824" spans="1:2">
      <c r="A1824" s="16">
        <v>1752559</v>
      </c>
      <c r="B1824" s="18" t="s">
        <v>1970</v>
      </c>
    </row>
    <row r="1825" spans="1:2">
      <c r="A1825" s="31">
        <v>1762644</v>
      </c>
      <c r="B1825" s="32"/>
    </row>
    <row r="1826" spans="1:2">
      <c r="A1826" s="31">
        <v>1766174</v>
      </c>
      <c r="B1826" s="32"/>
    </row>
    <row r="1827" spans="1:2">
      <c r="A1827" s="16">
        <v>1766960</v>
      </c>
      <c r="B1827" s="18" t="s">
        <v>1971</v>
      </c>
    </row>
    <row r="1828" spans="1:2">
      <c r="A1828" s="31">
        <v>1777767</v>
      </c>
      <c r="B1828" s="32"/>
    </row>
    <row r="1829" spans="1:2">
      <c r="A1829" s="31">
        <v>1778880</v>
      </c>
      <c r="B1829" s="32"/>
    </row>
    <row r="1830" spans="1:2">
      <c r="A1830" s="16">
        <v>1779910</v>
      </c>
      <c r="B1830" s="18" t="s">
        <v>1972</v>
      </c>
    </row>
    <row r="1831" spans="1:2">
      <c r="A1831" s="16">
        <v>1784317</v>
      </c>
      <c r="B1831" s="18" t="s">
        <v>1973</v>
      </c>
    </row>
    <row r="1832" spans="1:2">
      <c r="A1832" s="31">
        <v>1787614</v>
      </c>
      <c r="B1832" s="32"/>
    </row>
    <row r="1833" spans="1:2">
      <c r="A1833" s="16">
        <v>1790475</v>
      </c>
      <c r="B1833" s="18" t="s">
        <v>1974</v>
      </c>
    </row>
    <row r="1834" spans="1:2">
      <c r="A1834" s="31">
        <v>1805180</v>
      </c>
      <c r="B1834" s="32"/>
    </row>
    <row r="1835" spans="1:2">
      <c r="A1835" s="31">
        <v>1811995</v>
      </c>
      <c r="B1835" s="32"/>
    </row>
    <row r="1836" spans="1:2">
      <c r="A1836" s="31">
        <v>1814123</v>
      </c>
      <c r="B1836" s="32"/>
    </row>
    <row r="1837" spans="1:2">
      <c r="A1837" s="31">
        <v>1814647</v>
      </c>
      <c r="B1837" s="32"/>
    </row>
    <row r="1838" spans="1:2">
      <c r="A1838" s="31">
        <v>1817909</v>
      </c>
      <c r="B1838" s="32"/>
    </row>
    <row r="1839" spans="1:2">
      <c r="A1839" s="31">
        <v>1818101</v>
      </c>
      <c r="B1839" s="32"/>
    </row>
    <row r="1840" spans="1:2">
      <c r="A1840" s="31">
        <v>1818163</v>
      </c>
      <c r="B1840" s="32"/>
    </row>
    <row r="1841" spans="1:2">
      <c r="A1841" s="31">
        <v>1819049</v>
      </c>
      <c r="B1841" s="18"/>
    </row>
    <row r="1842" spans="1:2">
      <c r="A1842" s="31">
        <v>1819353</v>
      </c>
      <c r="B1842" s="18"/>
    </row>
    <row r="1843" spans="1:2">
      <c r="A1843" s="31">
        <v>1819565</v>
      </c>
      <c r="B1843" s="32"/>
    </row>
    <row r="1844" spans="1:2">
      <c r="A1844" s="31">
        <v>1819639</v>
      </c>
      <c r="B1844" s="18"/>
    </row>
    <row r="1845" spans="1:2">
      <c r="A1845" s="31">
        <v>1820431</v>
      </c>
      <c r="B1845" s="18"/>
    </row>
    <row r="1846" spans="1:2">
      <c r="A1846" s="31">
        <v>1830964</v>
      </c>
      <c r="B1846" s="18"/>
    </row>
    <row r="1847" spans="1:2">
      <c r="A1847" s="31">
        <v>1831263</v>
      </c>
      <c r="B1847" s="32"/>
    </row>
    <row r="1848" spans="1:2">
      <c r="A1848" s="31">
        <v>1835970</v>
      </c>
      <c r="B1848" s="32"/>
    </row>
    <row r="1849" spans="1:2">
      <c r="A1849" s="31">
        <v>1836396</v>
      </c>
      <c r="B1849" s="32"/>
    </row>
    <row r="1850" spans="1:2">
      <c r="A1850" s="31">
        <v>1836400</v>
      </c>
      <c r="B1850" s="32"/>
    </row>
    <row r="1851" spans="1:2">
      <c r="A1851" s="31">
        <v>1838450</v>
      </c>
      <c r="B1851" s="32"/>
    </row>
    <row r="1852" spans="1:2">
      <c r="A1852" s="31">
        <v>1840828</v>
      </c>
      <c r="B1852" s="32"/>
    </row>
    <row r="1853" spans="1:2">
      <c r="A1853" s="31">
        <v>1843673</v>
      </c>
      <c r="B1853" s="32"/>
    </row>
    <row r="1854" spans="1:2">
      <c r="A1854" s="31">
        <v>1851352</v>
      </c>
      <c r="B1854" s="32"/>
    </row>
    <row r="1855" spans="1:2">
      <c r="A1855" s="31">
        <v>1857363</v>
      </c>
      <c r="B1855" s="32"/>
    </row>
    <row r="1856" spans="1:2">
      <c r="A1856" s="31">
        <v>1863560</v>
      </c>
      <c r="B1856" s="32"/>
    </row>
    <row r="1857" spans="1:2" ht="45">
      <c r="A1857" s="16">
        <v>1888900</v>
      </c>
      <c r="B1857" s="18" t="s">
        <v>1975</v>
      </c>
    </row>
    <row r="1858" spans="1:2">
      <c r="A1858" s="16">
        <v>1891325</v>
      </c>
      <c r="B1858" s="18" t="s">
        <v>1976</v>
      </c>
    </row>
    <row r="1859" spans="1:2">
      <c r="A1859" s="31">
        <v>1895394</v>
      </c>
      <c r="B1859" s="32"/>
    </row>
    <row r="1860" spans="1:2">
      <c r="A1860" s="31">
        <v>1897558</v>
      </c>
      <c r="B1860" s="18"/>
    </row>
    <row r="1861" spans="1:2">
      <c r="A1861" s="31">
        <v>1900457</v>
      </c>
      <c r="B1861" s="32"/>
    </row>
    <row r="1862" spans="1:2">
      <c r="A1862" s="16">
        <v>1902471</v>
      </c>
      <c r="B1862" s="18" t="s">
        <v>1977</v>
      </c>
    </row>
    <row r="1863" spans="1:2">
      <c r="A1863" s="16">
        <v>1902499</v>
      </c>
      <c r="B1863" s="18" t="s">
        <v>1978</v>
      </c>
    </row>
    <row r="1864" spans="1:2">
      <c r="A1864" s="31">
        <v>1902666</v>
      </c>
      <c r="B1864" s="18"/>
    </row>
    <row r="1865" spans="1:2" ht="30">
      <c r="A1865" s="16">
        <v>1915110</v>
      </c>
      <c r="B1865" s="18" t="s">
        <v>1979</v>
      </c>
    </row>
    <row r="1866" spans="1:2">
      <c r="A1866" s="31">
        <v>1917811</v>
      </c>
      <c r="B1866" s="20" t="s">
        <v>2591</v>
      </c>
    </row>
    <row r="1867" spans="1:2">
      <c r="A1867" s="31">
        <v>1919618</v>
      </c>
      <c r="B1867" s="32"/>
    </row>
    <row r="1868" spans="1:2" ht="45">
      <c r="A1868" s="17">
        <v>1919670</v>
      </c>
      <c r="B1868" s="18" t="s">
        <v>2025</v>
      </c>
    </row>
    <row r="1869" spans="1:2">
      <c r="A1869" s="31">
        <v>1919748</v>
      </c>
      <c r="B1869" s="32"/>
    </row>
    <row r="1870" spans="1:2" ht="45">
      <c r="A1870" s="17">
        <v>1919817</v>
      </c>
      <c r="B1870" s="18" t="s">
        <v>2261</v>
      </c>
    </row>
    <row r="1871" spans="1:2">
      <c r="A1871" s="31">
        <v>1920698</v>
      </c>
      <c r="B1871" s="32"/>
    </row>
    <row r="1872" spans="1:2">
      <c r="A1872" s="31">
        <v>1920714</v>
      </c>
      <c r="B1872" s="32"/>
    </row>
    <row r="1873" spans="1:2">
      <c r="A1873" s="31">
        <v>1922630</v>
      </c>
      <c r="B1873" s="32"/>
    </row>
    <row r="1874" spans="1:2">
      <c r="A1874" s="31">
        <v>1938582</v>
      </c>
      <c r="B1874" s="32"/>
    </row>
    <row r="1875" spans="1:2">
      <c r="A1875" s="31">
        <v>1951180</v>
      </c>
      <c r="B1875" s="32"/>
    </row>
    <row r="1876" spans="1:2">
      <c r="A1876" s="31">
        <v>1951712</v>
      </c>
      <c r="B1876" s="32"/>
    </row>
    <row r="1877" spans="1:2" ht="60">
      <c r="A1877" s="17">
        <v>1951715</v>
      </c>
      <c r="B1877" s="18" t="s">
        <v>2255</v>
      </c>
    </row>
    <row r="1878" spans="1:2">
      <c r="A1878" s="31">
        <v>1951719</v>
      </c>
      <c r="B1878" s="32"/>
    </row>
    <row r="1879" spans="1:2" ht="45">
      <c r="A1879" s="16">
        <v>1952352</v>
      </c>
      <c r="B1879" s="18" t="s">
        <v>1980</v>
      </c>
    </row>
    <row r="1880" spans="1:2">
      <c r="A1880" s="31">
        <v>1968405</v>
      </c>
      <c r="B1880" s="32"/>
    </row>
    <row r="1881" spans="1:2" ht="30">
      <c r="A1881" s="16">
        <v>1972246</v>
      </c>
      <c r="B1881" s="18" t="s">
        <v>1981</v>
      </c>
    </row>
    <row r="1882" spans="1:2">
      <c r="A1882" s="16">
        <v>1976927</v>
      </c>
      <c r="B1882" s="18" t="s">
        <v>1982</v>
      </c>
    </row>
    <row r="1883" spans="1:2">
      <c r="A1883" s="16">
        <v>1979399</v>
      </c>
      <c r="B1883" s="18" t="s">
        <v>1983</v>
      </c>
    </row>
    <row r="1884" spans="1:2">
      <c r="A1884" s="16">
        <v>1979400</v>
      </c>
      <c r="B1884" s="18" t="s">
        <v>1983</v>
      </c>
    </row>
    <row r="1885" spans="1:2" ht="210">
      <c r="A1885" s="16">
        <v>1981475</v>
      </c>
      <c r="B1885" s="18" t="s">
        <v>1984</v>
      </c>
    </row>
    <row r="1886" spans="1:2">
      <c r="A1886" s="31">
        <v>1994014</v>
      </c>
      <c r="B1886" s="32"/>
    </row>
    <row r="1887" spans="1:2" ht="90">
      <c r="A1887" s="16">
        <v>1997012</v>
      </c>
      <c r="B1887" s="18" t="s">
        <v>1985</v>
      </c>
    </row>
    <row r="1888" spans="1:2">
      <c r="A1888" s="31">
        <v>2005158</v>
      </c>
      <c r="B1888" s="32"/>
    </row>
    <row r="1889" spans="1:2">
      <c r="A1889" s="31">
        <v>2005161</v>
      </c>
      <c r="B1889" s="32"/>
    </row>
    <row r="1890" spans="1:2">
      <c r="A1890" s="31">
        <v>2005603</v>
      </c>
      <c r="B1890" s="32"/>
    </row>
    <row r="1891" spans="1:2">
      <c r="A1891" s="16">
        <v>2011941</v>
      </c>
      <c r="B1891" s="18" t="s">
        <v>1986</v>
      </c>
    </row>
    <row r="1892" spans="1:2" ht="30">
      <c r="A1892" s="16">
        <v>2012073</v>
      </c>
      <c r="B1892" s="18" t="s">
        <v>1987</v>
      </c>
    </row>
    <row r="1893" spans="1:2" ht="45">
      <c r="A1893" s="16">
        <v>2012326</v>
      </c>
      <c r="B1893" s="18" t="s">
        <v>1988</v>
      </c>
    </row>
    <row r="1894" spans="1:2">
      <c r="A1894" s="16">
        <v>2012422</v>
      </c>
      <c r="B1894" s="18" t="s">
        <v>1989</v>
      </c>
    </row>
    <row r="1895" spans="1:2" ht="30">
      <c r="A1895" s="16">
        <v>2012523</v>
      </c>
      <c r="B1895" s="18" t="s">
        <v>1990</v>
      </c>
    </row>
    <row r="1896" spans="1:2" ht="30">
      <c r="A1896" s="16">
        <v>2012872</v>
      </c>
      <c r="B1896" s="18" t="s">
        <v>1991</v>
      </c>
    </row>
    <row r="1897" spans="1:2" ht="30">
      <c r="A1897" s="39">
        <v>2013223</v>
      </c>
      <c r="B1897" s="18" t="s">
        <v>1992</v>
      </c>
    </row>
    <row r="1898" spans="1:2">
      <c r="A1898" s="31">
        <v>2013397</v>
      </c>
      <c r="B1898" s="32"/>
    </row>
    <row r="1899" spans="1:2">
      <c r="A1899" s="31">
        <v>2018584</v>
      </c>
      <c r="B1899" s="32"/>
    </row>
    <row r="1900" spans="1:2">
      <c r="A1900" s="31">
        <v>2023160</v>
      </c>
      <c r="B1900" s="32"/>
    </row>
    <row r="1901" spans="1:2">
      <c r="A1901" s="31">
        <v>2023859</v>
      </c>
      <c r="B1901" s="32"/>
    </row>
    <row r="1902" spans="1:2">
      <c r="A1902" s="31">
        <v>2029433</v>
      </c>
      <c r="B1902" s="32"/>
    </row>
    <row r="1903" spans="1:2">
      <c r="A1903" s="16">
        <v>2035379</v>
      </c>
      <c r="B1903" s="18" t="s">
        <v>1993</v>
      </c>
    </row>
    <row r="1904" spans="1:2">
      <c r="A1904" s="31">
        <v>2044103</v>
      </c>
      <c r="B1904" s="32"/>
    </row>
    <row r="1905" spans="1:2">
      <c r="A1905" s="31">
        <v>2045874</v>
      </c>
      <c r="B1905" s="32"/>
    </row>
    <row r="1906" spans="1:2">
      <c r="A1906" s="31">
        <v>2045920</v>
      </c>
      <c r="B1906" s="32"/>
    </row>
    <row r="1907" spans="1:2">
      <c r="A1907" s="31">
        <v>2059584</v>
      </c>
      <c r="B1907" s="18"/>
    </row>
    <row r="1908" spans="1:2">
      <c r="A1908" s="31">
        <v>2059586</v>
      </c>
      <c r="B1908" s="18"/>
    </row>
    <row r="1909" spans="1:2">
      <c r="A1909" s="31">
        <v>2059810</v>
      </c>
      <c r="B1909" s="18"/>
    </row>
    <row r="1910" spans="1:2">
      <c r="A1910" s="31">
        <v>2060581</v>
      </c>
      <c r="B1910" s="18"/>
    </row>
    <row r="1911" spans="1:2">
      <c r="A1911" s="31">
        <v>2060590</v>
      </c>
      <c r="B1911" s="18"/>
    </row>
    <row r="1912" spans="1:2">
      <c r="A1912" s="31">
        <v>2060692</v>
      </c>
      <c r="B1912" s="18"/>
    </row>
    <row r="1913" spans="1:2">
      <c r="A1913" s="31">
        <v>2060697</v>
      </c>
      <c r="B1913" s="18"/>
    </row>
    <row r="1914" spans="1:2">
      <c r="A1914" s="31">
        <v>2060699</v>
      </c>
      <c r="B1914" s="18"/>
    </row>
    <row r="1915" spans="1:2">
      <c r="A1915" s="31">
        <v>2060926</v>
      </c>
      <c r="B1915" s="18"/>
    </row>
    <row r="1916" spans="1:2">
      <c r="A1916" s="31">
        <v>2060938</v>
      </c>
      <c r="B1916" s="18"/>
    </row>
    <row r="1917" spans="1:2">
      <c r="A1917" s="31">
        <v>2060945</v>
      </c>
      <c r="B1917" s="18"/>
    </row>
    <row r="1918" spans="1:2">
      <c r="A1918" s="31">
        <v>2060948</v>
      </c>
      <c r="B1918" s="18"/>
    </row>
    <row r="1919" spans="1:2">
      <c r="A1919" s="16">
        <v>2064124</v>
      </c>
      <c r="B1919" s="18" t="s">
        <v>1994</v>
      </c>
    </row>
    <row r="1920" spans="1:2">
      <c r="A1920" s="16">
        <v>2064126</v>
      </c>
      <c r="B1920" s="18" t="s">
        <v>1995</v>
      </c>
    </row>
    <row r="1921" spans="1:2">
      <c r="A1921" s="16">
        <v>2064263</v>
      </c>
      <c r="B1921" s="18" t="s">
        <v>1996</v>
      </c>
    </row>
    <row r="1922" spans="1:2">
      <c r="A1922" s="16">
        <v>2064274</v>
      </c>
      <c r="B1922" s="18" t="s">
        <v>1997</v>
      </c>
    </row>
    <row r="1923" spans="1:2">
      <c r="A1923" s="31">
        <v>2065034</v>
      </c>
      <c r="B1923" s="32"/>
    </row>
    <row r="1924" spans="1:2">
      <c r="A1924" s="31">
        <v>2066280</v>
      </c>
      <c r="B1924" s="18"/>
    </row>
    <row r="1925" spans="1:2">
      <c r="A1925" s="31">
        <v>2067447</v>
      </c>
      <c r="B1925" s="32"/>
    </row>
    <row r="1926" spans="1:2">
      <c r="A1926" s="31">
        <v>2070316</v>
      </c>
      <c r="B1926" s="32"/>
    </row>
    <row r="1927" spans="1:2">
      <c r="A1927" s="31">
        <v>2079819</v>
      </c>
      <c r="B1927" s="32"/>
    </row>
    <row r="1928" spans="1:2">
      <c r="A1928" s="31">
        <v>2092031</v>
      </c>
      <c r="B1928" s="32"/>
    </row>
    <row r="1929" spans="1:2">
      <c r="A1929" s="31">
        <v>2093477</v>
      </c>
      <c r="B1929" s="32"/>
    </row>
    <row r="1930" spans="1:2">
      <c r="A1930" s="31">
        <v>2101296</v>
      </c>
      <c r="B1930" s="18"/>
    </row>
    <row r="1931" spans="1:2">
      <c r="A1931" s="31">
        <v>2105554</v>
      </c>
      <c r="B1931" s="32"/>
    </row>
    <row r="1932" spans="1:2">
      <c r="A1932" s="16">
        <v>2105702</v>
      </c>
      <c r="B1932" s="18" t="s">
        <v>1998</v>
      </c>
    </row>
    <row r="1933" spans="1:2">
      <c r="A1933" s="16">
        <v>2106442</v>
      </c>
      <c r="B1933" s="18" t="s">
        <v>1999</v>
      </c>
    </row>
    <row r="1934" spans="1:2">
      <c r="A1934" s="31">
        <v>2109201</v>
      </c>
      <c r="B1934" s="32"/>
    </row>
    <row r="1935" spans="1:2">
      <c r="A1935" s="31">
        <v>2113787</v>
      </c>
      <c r="B1935" s="18"/>
    </row>
    <row r="1936" spans="1:2">
      <c r="A1936" s="31">
        <v>2120685</v>
      </c>
      <c r="B1936" s="18"/>
    </row>
    <row r="1937" spans="1:2">
      <c r="A1937" s="31">
        <v>2126223</v>
      </c>
      <c r="B1937" s="32"/>
    </row>
    <row r="1938" spans="1:2">
      <c r="A1938" s="31">
        <v>2129264</v>
      </c>
      <c r="B1938" s="32"/>
    </row>
    <row r="1939" spans="1:2" ht="135">
      <c r="A1939" s="16">
        <v>2129622</v>
      </c>
      <c r="B1939" s="18" t="s">
        <v>2000</v>
      </c>
    </row>
    <row r="1940" spans="1:2">
      <c r="A1940" s="31">
        <v>2135237</v>
      </c>
      <c r="B1940" s="32"/>
    </row>
    <row r="1941" spans="1:2">
      <c r="A1941" s="31">
        <v>2139498</v>
      </c>
      <c r="B1941" s="32"/>
    </row>
    <row r="1942" spans="1:2" ht="45">
      <c r="A1942" s="16">
        <v>2146321</v>
      </c>
      <c r="B1942" s="18" t="s">
        <v>2001</v>
      </c>
    </row>
    <row r="1943" spans="1:2">
      <c r="A1943" s="31">
        <v>2146941</v>
      </c>
      <c r="B1943" s="32"/>
    </row>
    <row r="1944" spans="1:2">
      <c r="A1944" s="31">
        <v>2148654</v>
      </c>
      <c r="B1944" s="32"/>
    </row>
    <row r="1945" spans="1:2">
      <c r="A1945" s="31">
        <v>2148707</v>
      </c>
      <c r="B1945" s="32"/>
    </row>
    <row r="1946" spans="1:2">
      <c r="A1946" s="31">
        <v>2148955</v>
      </c>
      <c r="B1946" s="32"/>
    </row>
    <row r="1947" spans="1:2">
      <c r="A1947" s="31">
        <v>2149138</v>
      </c>
      <c r="B1947" s="18"/>
    </row>
    <row r="1948" spans="1:2">
      <c r="A1948" s="31">
        <v>2149149</v>
      </c>
      <c r="B1948" s="18"/>
    </row>
    <row r="1949" spans="1:2">
      <c r="A1949" s="31">
        <v>2149155</v>
      </c>
      <c r="B1949" s="18"/>
    </row>
    <row r="1950" spans="1:2">
      <c r="A1950" s="31">
        <v>2149198</v>
      </c>
      <c r="B1950" s="18"/>
    </row>
    <row r="1951" spans="1:2">
      <c r="A1951" s="31">
        <v>2149235</v>
      </c>
      <c r="B1951" s="18"/>
    </row>
    <row r="1952" spans="1:2">
      <c r="A1952" s="31">
        <v>2149342</v>
      </c>
      <c r="B1952" s="18"/>
    </row>
    <row r="1953" spans="1:2">
      <c r="A1953" s="31">
        <v>2149384</v>
      </c>
      <c r="B1953" s="18"/>
    </row>
    <row r="1954" spans="1:2">
      <c r="A1954" s="31">
        <v>2149390</v>
      </c>
      <c r="B1954" s="18"/>
    </row>
    <row r="1955" spans="1:2">
      <c r="A1955" s="31">
        <v>2151807</v>
      </c>
      <c r="B1955" s="32"/>
    </row>
    <row r="1956" spans="1:2">
      <c r="A1956" s="31">
        <v>2152989</v>
      </c>
      <c r="B1956" s="18"/>
    </row>
    <row r="1957" spans="1:2">
      <c r="A1957" s="31">
        <v>2152993</v>
      </c>
      <c r="B1957" s="18"/>
    </row>
    <row r="1958" spans="1:2">
      <c r="A1958" s="31">
        <v>2154571</v>
      </c>
      <c r="B1958" s="18"/>
    </row>
    <row r="1959" spans="1:2">
      <c r="A1959" s="31">
        <v>2155700</v>
      </c>
      <c r="B1959" s="18"/>
    </row>
    <row r="1960" spans="1:2">
      <c r="A1960" s="31">
        <v>2155783</v>
      </c>
      <c r="B1960" s="18"/>
    </row>
    <row r="1961" spans="1:2">
      <c r="A1961" s="31">
        <v>2155787</v>
      </c>
      <c r="B1961" s="18"/>
    </row>
    <row r="1962" spans="1:2">
      <c r="A1962" s="31">
        <v>2157128</v>
      </c>
      <c r="B1962" s="18"/>
    </row>
    <row r="1963" spans="1:2">
      <c r="A1963" s="31">
        <v>2157138</v>
      </c>
      <c r="B1963" s="18"/>
    </row>
    <row r="1964" spans="1:2">
      <c r="A1964" s="31">
        <v>2157141</v>
      </c>
      <c r="B1964" s="18"/>
    </row>
    <row r="1965" spans="1:2">
      <c r="A1965" s="31">
        <v>2157958</v>
      </c>
      <c r="B1965" s="32"/>
    </row>
    <row r="1966" spans="1:2">
      <c r="A1966" s="31">
        <v>2157961</v>
      </c>
      <c r="B1966" s="32"/>
    </row>
    <row r="1967" spans="1:2">
      <c r="A1967" s="31">
        <v>2158666</v>
      </c>
      <c r="B1967" s="32"/>
    </row>
    <row r="1968" spans="1:2">
      <c r="A1968" s="31">
        <v>2164968</v>
      </c>
      <c r="B1968" s="32"/>
    </row>
    <row r="1969" spans="1:2">
      <c r="A1969" s="31">
        <v>2166427</v>
      </c>
      <c r="B1969" s="32"/>
    </row>
    <row r="1970" spans="1:2">
      <c r="A1970" s="31">
        <v>2178310</v>
      </c>
      <c r="B1970" s="32"/>
    </row>
    <row r="1971" spans="1:2" ht="60">
      <c r="A1971" s="31">
        <v>2186705</v>
      </c>
      <c r="B1971" s="18" t="s">
        <v>2592</v>
      </c>
    </row>
    <row r="1972" spans="1:2">
      <c r="A1972" s="31">
        <v>2186710</v>
      </c>
      <c r="B1972" s="32"/>
    </row>
    <row r="1973" spans="1:2" ht="60">
      <c r="A1973" s="31">
        <v>2186716</v>
      </c>
      <c r="B1973" s="18" t="s">
        <v>2593</v>
      </c>
    </row>
    <row r="1974" spans="1:2">
      <c r="A1974" s="31">
        <v>2190213</v>
      </c>
      <c r="B1974" s="32"/>
    </row>
    <row r="1975" spans="1:2">
      <c r="A1975" s="31">
        <v>2191419</v>
      </c>
      <c r="B1975" s="32"/>
    </row>
    <row r="1976" spans="1:2" ht="60">
      <c r="A1976" s="19">
        <v>2194758</v>
      </c>
      <c r="B1976" s="18" t="s">
        <v>2772</v>
      </c>
    </row>
    <row r="1977" spans="1:2" ht="45">
      <c r="A1977" s="19">
        <v>2194769</v>
      </c>
      <c r="B1977" s="18" t="s">
        <v>2773</v>
      </c>
    </row>
    <row r="1978" spans="1:2" ht="60">
      <c r="A1978" s="19">
        <v>2194786</v>
      </c>
      <c r="B1978" s="18" t="s">
        <v>2774</v>
      </c>
    </row>
    <row r="1979" spans="1:2" ht="30">
      <c r="A1979" s="31">
        <v>2194813</v>
      </c>
      <c r="B1979" s="18" t="s">
        <v>2594</v>
      </c>
    </row>
    <row r="1980" spans="1:2" ht="30">
      <c r="A1980" s="19">
        <v>2194827</v>
      </c>
      <c r="B1980" s="18" t="s">
        <v>2775</v>
      </c>
    </row>
    <row r="1981" spans="1:2" ht="45">
      <c r="A1981" s="19">
        <v>2194832</v>
      </c>
      <c r="B1981" s="18" t="s">
        <v>2776</v>
      </c>
    </row>
    <row r="1982" spans="1:2" ht="45">
      <c r="A1982" s="19">
        <v>2194842</v>
      </c>
      <c r="B1982" s="18" t="s">
        <v>2777</v>
      </c>
    </row>
    <row r="1983" spans="1:2" ht="45">
      <c r="A1983" s="19">
        <v>2194846</v>
      </c>
      <c r="B1983" s="18" t="s">
        <v>2778</v>
      </c>
    </row>
    <row r="1984" spans="1:2" ht="30">
      <c r="A1984" s="19">
        <v>2194848</v>
      </c>
      <c r="B1984" s="18" t="s">
        <v>2779</v>
      </c>
    </row>
    <row r="1985" spans="1:2" ht="60">
      <c r="A1985" s="19">
        <v>2194855</v>
      </c>
      <c r="B1985" s="18" t="s">
        <v>2780</v>
      </c>
    </row>
    <row r="1986" spans="1:2" ht="75">
      <c r="A1986" s="19">
        <v>2194859</v>
      </c>
      <c r="B1986" s="18" t="s">
        <v>2781</v>
      </c>
    </row>
    <row r="1987" spans="1:2" ht="60">
      <c r="A1987" s="19">
        <v>2194870</v>
      </c>
      <c r="B1987" s="18" t="s">
        <v>2782</v>
      </c>
    </row>
    <row r="1988" spans="1:2" ht="75">
      <c r="A1988" s="19">
        <v>2194873</v>
      </c>
      <c r="B1988" s="18" t="s">
        <v>2783</v>
      </c>
    </row>
    <row r="1989" spans="1:2" ht="45">
      <c r="A1989" s="19">
        <v>2194875</v>
      </c>
      <c r="B1989" s="18" t="s">
        <v>2784</v>
      </c>
    </row>
    <row r="1990" spans="1:2" ht="45">
      <c r="A1990" s="19">
        <v>2194878</v>
      </c>
      <c r="B1990" s="18" t="s">
        <v>2785</v>
      </c>
    </row>
    <row r="1991" spans="1:2" ht="45">
      <c r="A1991" s="19">
        <v>2194879</v>
      </c>
      <c r="B1991" s="18" t="s">
        <v>2786</v>
      </c>
    </row>
    <row r="1992" spans="1:2" ht="45">
      <c r="A1992" s="31">
        <v>2195036</v>
      </c>
      <c r="B1992" s="18" t="s">
        <v>2595</v>
      </c>
    </row>
    <row r="1993" spans="1:2" ht="45">
      <c r="A1993" s="31">
        <v>2195040</v>
      </c>
      <c r="B1993" s="18" t="s">
        <v>2596</v>
      </c>
    </row>
    <row r="1994" spans="1:2" ht="45">
      <c r="A1994" s="19">
        <v>2195048</v>
      </c>
      <c r="B1994" s="18" t="s">
        <v>2787</v>
      </c>
    </row>
    <row r="1995" spans="1:2" ht="60">
      <c r="A1995" s="19">
        <v>2195057</v>
      </c>
      <c r="B1995" s="18" t="s">
        <v>2788</v>
      </c>
    </row>
    <row r="1996" spans="1:2">
      <c r="A1996" s="31">
        <v>2195060</v>
      </c>
      <c r="B1996" s="32"/>
    </row>
    <row r="1997" spans="1:2">
      <c r="A1997" s="31">
        <v>2195067</v>
      </c>
      <c r="B1997" s="32"/>
    </row>
    <row r="1998" spans="1:2" ht="60">
      <c r="A1998" s="19">
        <v>2195072</v>
      </c>
      <c r="B1998" s="18" t="s">
        <v>2789</v>
      </c>
    </row>
    <row r="1999" spans="1:2" ht="45">
      <c r="A1999" s="19">
        <v>2195077</v>
      </c>
      <c r="B1999" s="18" t="s">
        <v>2790</v>
      </c>
    </row>
    <row r="2000" spans="1:2" ht="45">
      <c r="A2000" s="19">
        <v>2195081</v>
      </c>
      <c r="B2000" s="18" t="s">
        <v>2791</v>
      </c>
    </row>
    <row r="2001" spans="1:2" ht="45">
      <c r="A2001" s="19">
        <v>2195084</v>
      </c>
      <c r="B2001" s="18" t="s">
        <v>2792</v>
      </c>
    </row>
    <row r="2002" spans="1:2">
      <c r="A2002" s="19">
        <v>2195085</v>
      </c>
      <c r="B2002" s="18" t="s">
        <v>2793</v>
      </c>
    </row>
    <row r="2003" spans="1:2" ht="30">
      <c r="A2003" s="19">
        <v>2195086</v>
      </c>
      <c r="B2003" s="18" t="s">
        <v>2794</v>
      </c>
    </row>
    <row r="2004" spans="1:2" ht="45">
      <c r="A2004" s="19">
        <v>2195087</v>
      </c>
      <c r="B2004" s="18" t="s">
        <v>2795</v>
      </c>
    </row>
    <row r="2005" spans="1:2" ht="30">
      <c r="A2005" s="19">
        <v>2195088</v>
      </c>
      <c r="B2005" s="18" t="s">
        <v>2796</v>
      </c>
    </row>
    <row r="2006" spans="1:2" ht="30">
      <c r="A2006" s="19">
        <v>2195089</v>
      </c>
      <c r="B2006" s="18" t="s">
        <v>2797</v>
      </c>
    </row>
    <row r="2007" spans="1:2" ht="60">
      <c r="A2007" s="19">
        <v>2195090</v>
      </c>
      <c r="B2007" s="18" t="s">
        <v>2798</v>
      </c>
    </row>
    <row r="2008" spans="1:2" ht="60">
      <c r="A2008" s="19">
        <v>2195091</v>
      </c>
      <c r="B2008" s="18" t="s">
        <v>2799</v>
      </c>
    </row>
    <row r="2009" spans="1:2">
      <c r="A2009" s="31">
        <v>2195153</v>
      </c>
      <c r="B2009" s="32"/>
    </row>
    <row r="2010" spans="1:2" ht="90">
      <c r="A2010" s="19">
        <v>2195173</v>
      </c>
      <c r="B2010" s="18" t="s">
        <v>2800</v>
      </c>
    </row>
    <row r="2011" spans="1:2" ht="45">
      <c r="A2011" s="19">
        <v>2195186</v>
      </c>
      <c r="B2011" s="18" t="s">
        <v>2801</v>
      </c>
    </row>
    <row r="2012" spans="1:2" ht="45">
      <c r="A2012" s="19">
        <v>2195195</v>
      </c>
      <c r="B2012" s="18" t="s">
        <v>2802</v>
      </c>
    </row>
    <row r="2013" spans="1:2" ht="75">
      <c r="A2013" s="19">
        <v>2195202</v>
      </c>
      <c r="B2013" s="18" t="s">
        <v>2803</v>
      </c>
    </row>
    <row r="2014" spans="1:2" ht="60">
      <c r="A2014" s="19">
        <v>2195211</v>
      </c>
      <c r="B2014" s="18" t="s">
        <v>2804</v>
      </c>
    </row>
    <row r="2015" spans="1:2" ht="150">
      <c r="A2015" s="19">
        <v>2195231</v>
      </c>
      <c r="B2015" s="18" t="s">
        <v>2805</v>
      </c>
    </row>
    <row r="2016" spans="1:2">
      <c r="A2016" s="31">
        <v>2195858</v>
      </c>
      <c r="B2016" s="32"/>
    </row>
    <row r="2017" spans="1:2">
      <c r="A2017" s="31">
        <v>2199247</v>
      </c>
      <c r="B2017" s="32"/>
    </row>
    <row r="2018" spans="1:2">
      <c r="A2018" s="31">
        <v>2205433</v>
      </c>
      <c r="B2018" s="32"/>
    </row>
    <row r="2019" spans="1:2">
      <c r="A2019" s="31">
        <v>2206053</v>
      </c>
      <c r="B2019" s="32"/>
    </row>
  </sheetData>
  <sortState xmlns:xlrd2="http://schemas.microsoft.com/office/spreadsheetml/2017/richdata2" ref="A2:B2019">
    <sortCondition ref="A2:A201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C6C5-2C23-4D31-B1BA-3F6E0B341EE8}">
  <dimension ref="A1:B2022"/>
  <sheetViews>
    <sheetView workbookViewId="0"/>
  </sheetViews>
  <sheetFormatPr defaultRowHeight="15"/>
  <cols>
    <col min="2" max="2" width="255.7109375" bestFit="1" customWidth="1"/>
  </cols>
  <sheetData>
    <row r="1" spans="1:2">
      <c r="A1" t="s">
        <v>1550</v>
      </c>
      <c r="B1" t="s">
        <v>1551</v>
      </c>
    </row>
    <row r="2" spans="1:2">
      <c r="A2">
        <v>13270</v>
      </c>
    </row>
    <row r="3" spans="1:2">
      <c r="A3">
        <v>26169</v>
      </c>
      <c r="B3" t="s">
        <v>1552</v>
      </c>
    </row>
    <row r="4" spans="1:2">
      <c r="A4">
        <v>36470</v>
      </c>
      <c r="B4" t="s">
        <v>1553</v>
      </c>
    </row>
    <row r="5" spans="1:2">
      <c r="A5">
        <v>87568</v>
      </c>
      <c r="B5" t="s">
        <v>1554</v>
      </c>
    </row>
    <row r="6" spans="1:2">
      <c r="A6">
        <v>98263</v>
      </c>
      <c r="B6" t="s">
        <v>2806</v>
      </c>
    </row>
    <row r="7" spans="1:2">
      <c r="A7">
        <v>174420</v>
      </c>
      <c r="B7" t="s">
        <v>1556</v>
      </c>
    </row>
    <row r="8" spans="1:2">
      <c r="A8">
        <v>181980</v>
      </c>
      <c r="B8" t="s">
        <v>2807</v>
      </c>
    </row>
    <row r="9" spans="1:2">
      <c r="A9">
        <v>196323</v>
      </c>
      <c r="B9" t="s">
        <v>2047</v>
      </c>
    </row>
    <row r="10" spans="1:2">
      <c r="A10">
        <v>196747</v>
      </c>
    </row>
    <row r="11" spans="1:2">
      <c r="A11">
        <v>197071</v>
      </c>
      <c r="B11" t="s">
        <v>1558</v>
      </c>
    </row>
    <row r="12" spans="1:2">
      <c r="A12">
        <v>197154</v>
      </c>
      <c r="B12" t="s">
        <v>1559</v>
      </c>
    </row>
    <row r="13" spans="1:2">
      <c r="A13">
        <v>197157</v>
      </c>
      <c r="B13" t="s">
        <v>1560</v>
      </c>
    </row>
    <row r="14" spans="1:2">
      <c r="A14">
        <v>217530</v>
      </c>
      <c r="B14" t="s">
        <v>1561</v>
      </c>
    </row>
    <row r="15" spans="1:2">
      <c r="A15">
        <v>232897</v>
      </c>
    </row>
    <row r="16" spans="1:2">
      <c r="A16">
        <v>239134</v>
      </c>
      <c r="B16" t="s">
        <v>2808</v>
      </c>
    </row>
    <row r="17" spans="1:2">
      <c r="A17">
        <v>246717</v>
      </c>
      <c r="B17" t="s">
        <v>2809</v>
      </c>
    </row>
    <row r="18" spans="1:2">
      <c r="A18">
        <v>251998</v>
      </c>
      <c r="B18" t="s">
        <v>2810</v>
      </c>
    </row>
    <row r="19" spans="1:2">
      <c r="A19">
        <v>252452</v>
      </c>
      <c r="B19" t="s">
        <v>1565</v>
      </c>
    </row>
    <row r="20" spans="1:2">
      <c r="A20">
        <v>252578</v>
      </c>
      <c r="B20" t="s">
        <v>1566</v>
      </c>
    </row>
    <row r="21" spans="1:2">
      <c r="A21">
        <v>253309</v>
      </c>
      <c r="B21" t="s">
        <v>2013</v>
      </c>
    </row>
    <row r="22" spans="1:2">
      <c r="A22">
        <v>254758</v>
      </c>
      <c r="B22" t="s">
        <v>1567</v>
      </c>
    </row>
    <row r="23" spans="1:2">
      <c r="A23">
        <v>254799</v>
      </c>
      <c r="B23" t="s">
        <v>1568</v>
      </c>
    </row>
    <row r="24" spans="1:2">
      <c r="A24">
        <v>254896</v>
      </c>
      <c r="B24" t="s">
        <v>2811</v>
      </c>
    </row>
    <row r="25" spans="1:2">
      <c r="A25">
        <v>254903</v>
      </c>
      <c r="B25" t="s">
        <v>2812</v>
      </c>
    </row>
    <row r="26" spans="1:2">
      <c r="A26">
        <v>254916</v>
      </c>
      <c r="B26" t="s">
        <v>2813</v>
      </c>
    </row>
    <row r="27" spans="1:2">
      <c r="A27">
        <v>254962</v>
      </c>
      <c r="B27" t="s">
        <v>2814</v>
      </c>
    </row>
    <row r="28" spans="1:2">
      <c r="A28">
        <v>254985</v>
      </c>
      <c r="B28" t="s">
        <v>2815</v>
      </c>
    </row>
    <row r="29" spans="1:2">
      <c r="A29">
        <v>255944</v>
      </c>
      <c r="B29" t="s">
        <v>2816</v>
      </c>
    </row>
    <row r="30" spans="1:2">
      <c r="A30">
        <v>255993</v>
      </c>
      <c r="B30" t="s">
        <v>1575</v>
      </c>
    </row>
    <row r="31" spans="1:2">
      <c r="A31">
        <v>256071</v>
      </c>
      <c r="B31" t="s">
        <v>2817</v>
      </c>
    </row>
    <row r="32" spans="1:2">
      <c r="A32">
        <v>256073</v>
      </c>
      <c r="B32" t="s">
        <v>2818</v>
      </c>
    </row>
    <row r="33" spans="1:2">
      <c r="A33">
        <v>256101</v>
      </c>
      <c r="B33" t="s">
        <v>1578</v>
      </c>
    </row>
    <row r="34" spans="1:2">
      <c r="A34">
        <v>256114</v>
      </c>
      <c r="B34" t="s">
        <v>2819</v>
      </c>
    </row>
    <row r="35" spans="1:2">
      <c r="A35">
        <v>256271</v>
      </c>
      <c r="B35" t="s">
        <v>1580</v>
      </c>
    </row>
    <row r="36" spans="1:2">
      <c r="A36">
        <v>256272</v>
      </c>
      <c r="B36" t="s">
        <v>2035</v>
      </c>
    </row>
    <row r="37" spans="1:2">
      <c r="A37">
        <v>256276</v>
      </c>
      <c r="B37" t="s">
        <v>2042</v>
      </c>
    </row>
    <row r="38" spans="1:2">
      <c r="A38">
        <v>256278</v>
      </c>
      <c r="B38" t="s">
        <v>2820</v>
      </c>
    </row>
    <row r="39" spans="1:2">
      <c r="A39">
        <v>256279</v>
      </c>
      <c r="B39" t="s">
        <v>2048</v>
      </c>
    </row>
    <row r="40" spans="1:2">
      <c r="A40">
        <v>256299</v>
      </c>
      <c r="B40" t="s">
        <v>1582</v>
      </c>
    </row>
    <row r="41" spans="1:2">
      <c r="A41">
        <v>256303</v>
      </c>
      <c r="B41" t="s">
        <v>2053</v>
      </c>
    </row>
    <row r="42" spans="1:2">
      <c r="A42">
        <v>256319</v>
      </c>
      <c r="B42" t="s">
        <v>1583</v>
      </c>
    </row>
    <row r="43" spans="1:2">
      <c r="A43">
        <v>256323</v>
      </c>
      <c r="B43" t="s">
        <v>2909</v>
      </c>
    </row>
    <row r="44" spans="1:2">
      <c r="A44">
        <v>256336</v>
      </c>
      <c r="B44" t="s">
        <v>2912</v>
      </c>
    </row>
    <row r="45" spans="1:2">
      <c r="A45">
        <v>256360</v>
      </c>
      <c r="B45" t="s">
        <v>2082</v>
      </c>
    </row>
    <row r="46" spans="1:2">
      <c r="A46">
        <v>256397</v>
      </c>
      <c r="B46" t="s">
        <v>2084</v>
      </c>
    </row>
    <row r="47" spans="1:2">
      <c r="A47">
        <v>256400</v>
      </c>
      <c r="B47" t="s">
        <v>2925</v>
      </c>
    </row>
    <row r="48" spans="1:2">
      <c r="A48">
        <v>256405</v>
      </c>
      <c r="B48" t="s">
        <v>1584</v>
      </c>
    </row>
    <row r="49" spans="1:2">
      <c r="A49">
        <v>256432</v>
      </c>
      <c r="B49" t="s">
        <v>1585</v>
      </c>
    </row>
    <row r="50" spans="1:2">
      <c r="A50">
        <v>256563</v>
      </c>
      <c r="B50" t="s">
        <v>1586</v>
      </c>
    </row>
    <row r="51" spans="1:2">
      <c r="A51">
        <v>257291</v>
      </c>
      <c r="B51" t="s">
        <v>1587</v>
      </c>
    </row>
    <row r="52" spans="1:2">
      <c r="A52">
        <v>257292</v>
      </c>
      <c r="B52" t="s">
        <v>1588</v>
      </c>
    </row>
    <row r="53" spans="1:2">
      <c r="A53">
        <v>257302</v>
      </c>
      <c r="B53" t="s">
        <v>1589</v>
      </c>
    </row>
    <row r="54" spans="1:2">
      <c r="A54">
        <v>258367</v>
      </c>
      <c r="B54" t="s">
        <v>1590</v>
      </c>
    </row>
    <row r="55" spans="1:2">
      <c r="A55">
        <v>258484</v>
      </c>
      <c r="B55" t="s">
        <v>1591</v>
      </c>
    </row>
    <row r="56" spans="1:2">
      <c r="A56">
        <v>258528</v>
      </c>
      <c r="B56" t="s">
        <v>1592</v>
      </c>
    </row>
    <row r="57" spans="1:2">
      <c r="A57">
        <v>258572</v>
      </c>
      <c r="B57" t="s">
        <v>1593</v>
      </c>
    </row>
    <row r="58" spans="1:2">
      <c r="A58">
        <v>258720</v>
      </c>
      <c r="B58" t="s">
        <v>2821</v>
      </c>
    </row>
    <row r="59" spans="1:2">
      <c r="A59">
        <v>259051</v>
      </c>
      <c r="B59" t="s">
        <v>2822</v>
      </c>
    </row>
    <row r="60" spans="1:2">
      <c r="A60">
        <v>259103</v>
      </c>
      <c r="B60" t="s">
        <v>2823</v>
      </c>
    </row>
    <row r="61" spans="1:2">
      <c r="A61">
        <v>259145</v>
      </c>
      <c r="B61" t="s">
        <v>1597</v>
      </c>
    </row>
    <row r="62" spans="1:2">
      <c r="A62">
        <v>259407</v>
      </c>
      <c r="B62" t="s">
        <v>1598</v>
      </c>
    </row>
    <row r="63" spans="1:2">
      <c r="A63">
        <v>259488</v>
      </c>
      <c r="B63" t="s">
        <v>1599</v>
      </c>
    </row>
    <row r="64" spans="1:2">
      <c r="A64">
        <v>259501</v>
      </c>
      <c r="B64" t="s">
        <v>1600</v>
      </c>
    </row>
    <row r="65" spans="1:2">
      <c r="A65">
        <v>259555</v>
      </c>
      <c r="B65" t="s">
        <v>2065</v>
      </c>
    </row>
    <row r="66" spans="1:2">
      <c r="A66">
        <v>259566</v>
      </c>
      <c r="B66" t="s">
        <v>2824</v>
      </c>
    </row>
    <row r="67" spans="1:2">
      <c r="A67">
        <v>259746</v>
      </c>
      <c r="B67" t="s">
        <v>2825</v>
      </c>
    </row>
    <row r="68" spans="1:2">
      <c r="A68">
        <v>259807</v>
      </c>
      <c r="B68" t="s">
        <v>1603</v>
      </c>
    </row>
    <row r="69" spans="1:2">
      <c r="A69">
        <v>264232</v>
      </c>
      <c r="B69" t="s">
        <v>1604</v>
      </c>
    </row>
    <row r="70" spans="1:2">
      <c r="A70">
        <v>282169</v>
      </c>
      <c r="B70" t="s">
        <v>1605</v>
      </c>
    </row>
    <row r="71" spans="1:2">
      <c r="A71">
        <v>285564</v>
      </c>
      <c r="B71" t="s">
        <v>1606</v>
      </c>
    </row>
    <row r="72" spans="1:2">
      <c r="A72">
        <v>303889</v>
      </c>
      <c r="B72" t="s">
        <v>2045</v>
      </c>
    </row>
    <row r="73" spans="1:2">
      <c r="A73">
        <v>303896</v>
      </c>
      <c r="B73" t="s">
        <v>2826</v>
      </c>
    </row>
    <row r="74" spans="1:2">
      <c r="A74">
        <v>303899</v>
      </c>
      <c r="B74" t="s">
        <v>2046</v>
      </c>
    </row>
    <row r="75" spans="1:2">
      <c r="A75">
        <v>319801</v>
      </c>
      <c r="B75" t="s">
        <v>2827</v>
      </c>
    </row>
    <row r="76" spans="1:2">
      <c r="A76">
        <v>320515</v>
      </c>
      <c r="B76" t="s">
        <v>2108</v>
      </c>
    </row>
    <row r="77" spans="1:2">
      <c r="A77">
        <v>321887</v>
      </c>
      <c r="B77" t="s">
        <v>1609</v>
      </c>
    </row>
    <row r="78" spans="1:2">
      <c r="A78">
        <v>322001</v>
      </c>
      <c r="B78" t="s">
        <v>1610</v>
      </c>
    </row>
    <row r="79" spans="1:2">
      <c r="A79">
        <v>322581</v>
      </c>
      <c r="B79" t="s">
        <v>1611</v>
      </c>
    </row>
    <row r="80" spans="1:2">
      <c r="A80">
        <v>322583</v>
      </c>
      <c r="B80" t="s">
        <v>2012</v>
      </c>
    </row>
    <row r="81" spans="1:2">
      <c r="A81">
        <v>322736</v>
      </c>
      <c r="B81" t="s">
        <v>1612</v>
      </c>
    </row>
    <row r="82" spans="1:2">
      <c r="A82">
        <v>322799</v>
      </c>
      <c r="B82" t="s">
        <v>2828</v>
      </c>
    </row>
    <row r="83" spans="1:2">
      <c r="A83">
        <v>322887</v>
      </c>
      <c r="B83" t="s">
        <v>2829</v>
      </c>
    </row>
    <row r="84" spans="1:2">
      <c r="A84">
        <v>322954</v>
      </c>
      <c r="B84" t="s">
        <v>1615</v>
      </c>
    </row>
    <row r="85" spans="1:2">
      <c r="A85">
        <v>322989</v>
      </c>
      <c r="B85" t="s">
        <v>1616</v>
      </c>
    </row>
    <row r="86" spans="1:2">
      <c r="A86">
        <v>322999</v>
      </c>
    </row>
    <row r="87" spans="1:2">
      <c r="A87">
        <v>323039</v>
      </c>
      <c r="B87" t="s">
        <v>1617</v>
      </c>
    </row>
    <row r="88" spans="1:2">
      <c r="A88">
        <v>323043</v>
      </c>
      <c r="B88" t="s">
        <v>1618</v>
      </c>
    </row>
    <row r="89" spans="1:2">
      <c r="A89">
        <v>323061</v>
      </c>
      <c r="B89" t="s">
        <v>1619</v>
      </c>
    </row>
    <row r="90" spans="1:2">
      <c r="A90">
        <v>323121</v>
      </c>
      <c r="B90" t="s">
        <v>1620</v>
      </c>
    </row>
    <row r="91" spans="1:2">
      <c r="A91">
        <v>323222</v>
      </c>
      <c r="B91" t="s">
        <v>2830</v>
      </c>
    </row>
    <row r="92" spans="1:2">
      <c r="A92">
        <v>323263</v>
      </c>
      <c r="B92" t="s">
        <v>1622</v>
      </c>
    </row>
    <row r="93" spans="1:2">
      <c r="A93">
        <v>324256</v>
      </c>
      <c r="B93" t="s">
        <v>1623</v>
      </c>
    </row>
    <row r="94" spans="1:2">
      <c r="A94">
        <v>328182</v>
      </c>
      <c r="B94" t="s">
        <v>2831</v>
      </c>
    </row>
    <row r="95" spans="1:2">
      <c r="A95">
        <v>330209</v>
      </c>
      <c r="B95" t="s">
        <v>1625</v>
      </c>
    </row>
    <row r="96" spans="1:2">
      <c r="A96">
        <v>330294</v>
      </c>
      <c r="B96" t="s">
        <v>2832</v>
      </c>
    </row>
    <row r="97" spans="1:2">
      <c r="A97">
        <v>330369</v>
      </c>
      <c r="B97" t="s">
        <v>1627</v>
      </c>
    </row>
    <row r="98" spans="1:2">
      <c r="A98">
        <v>330575</v>
      </c>
      <c r="B98" t="s">
        <v>1628</v>
      </c>
    </row>
    <row r="99" spans="1:2">
      <c r="A99">
        <v>330874</v>
      </c>
      <c r="B99" t="s">
        <v>2022</v>
      </c>
    </row>
    <row r="100" spans="1:2">
      <c r="A100">
        <v>331035</v>
      </c>
      <c r="B100" t="s">
        <v>2833</v>
      </c>
    </row>
    <row r="101" spans="1:2">
      <c r="A101">
        <v>331252</v>
      </c>
      <c r="B101" t="s">
        <v>1630</v>
      </c>
    </row>
    <row r="102" spans="1:2">
      <c r="A102">
        <v>331265</v>
      </c>
      <c r="B102" t="s">
        <v>1631</v>
      </c>
    </row>
    <row r="103" spans="1:2">
      <c r="A103">
        <v>331414</v>
      </c>
      <c r="B103" t="s">
        <v>1632</v>
      </c>
    </row>
    <row r="104" spans="1:2">
      <c r="A104">
        <v>333148</v>
      </c>
      <c r="B104" t="s">
        <v>2904</v>
      </c>
    </row>
    <row r="105" spans="1:2">
      <c r="A105">
        <v>334008</v>
      </c>
      <c r="B105" t="s">
        <v>2906</v>
      </c>
    </row>
    <row r="106" spans="1:2">
      <c r="A106">
        <v>334184</v>
      </c>
      <c r="B106" t="s">
        <v>1633</v>
      </c>
    </row>
    <row r="107" spans="1:2">
      <c r="A107">
        <v>334405</v>
      </c>
    </row>
    <row r="108" spans="1:2">
      <c r="A108">
        <v>335235</v>
      </c>
      <c r="B108" t="s">
        <v>2905</v>
      </c>
    </row>
    <row r="109" spans="1:2">
      <c r="A109">
        <v>335266</v>
      </c>
      <c r="B109" t="s">
        <v>2032</v>
      </c>
    </row>
    <row r="110" spans="1:2">
      <c r="A110">
        <v>335427</v>
      </c>
      <c r="B110" t="s">
        <v>2834</v>
      </c>
    </row>
    <row r="111" spans="1:2">
      <c r="A111">
        <v>335452</v>
      </c>
      <c r="B111" t="s">
        <v>2033</v>
      </c>
    </row>
    <row r="112" spans="1:2">
      <c r="A112">
        <v>335455</v>
      </c>
      <c r="B112" t="s">
        <v>2037</v>
      </c>
    </row>
    <row r="113" spans="1:2">
      <c r="A113">
        <v>335502</v>
      </c>
      <c r="B113" t="s">
        <v>2038</v>
      </c>
    </row>
    <row r="114" spans="1:2">
      <c r="A114">
        <v>335758</v>
      </c>
      <c r="B114" t="s">
        <v>2835</v>
      </c>
    </row>
    <row r="115" spans="1:2">
      <c r="A115">
        <v>335781</v>
      </c>
    </row>
    <row r="116" spans="1:2">
      <c r="A116">
        <v>336377</v>
      </c>
      <c r="B116" t="s">
        <v>2050</v>
      </c>
    </row>
    <row r="117" spans="1:2">
      <c r="A117">
        <v>336429</v>
      </c>
      <c r="B117" t="s">
        <v>1636</v>
      </c>
    </row>
    <row r="118" spans="1:2">
      <c r="A118">
        <v>338426</v>
      </c>
      <c r="B118" t="s">
        <v>2054</v>
      </c>
    </row>
    <row r="119" spans="1:2">
      <c r="A119">
        <v>341197</v>
      </c>
      <c r="B119" t="s">
        <v>1637</v>
      </c>
    </row>
    <row r="120" spans="1:2">
      <c r="A120">
        <v>352640</v>
      </c>
      <c r="B120" t="s">
        <v>2107</v>
      </c>
    </row>
    <row r="121" spans="1:2">
      <c r="A121">
        <v>357080</v>
      </c>
      <c r="B121" t="s">
        <v>2836</v>
      </c>
    </row>
    <row r="122" spans="1:2">
      <c r="A122">
        <v>357297</v>
      </c>
      <c r="B122" t="s">
        <v>2837</v>
      </c>
    </row>
    <row r="123" spans="1:2">
      <c r="A123">
        <v>359987</v>
      </c>
      <c r="B123" t="s">
        <v>2838</v>
      </c>
    </row>
    <row r="124" spans="1:2">
      <c r="A124">
        <v>367255</v>
      </c>
      <c r="B124" t="s">
        <v>2839</v>
      </c>
    </row>
    <row r="125" spans="1:2">
      <c r="A125">
        <v>367428</v>
      </c>
      <c r="B125" t="s">
        <v>1642</v>
      </c>
    </row>
    <row r="126" spans="1:2">
      <c r="A126">
        <v>381074</v>
      </c>
      <c r="B126" t="s">
        <v>1643</v>
      </c>
    </row>
    <row r="127" spans="1:2">
      <c r="A127">
        <v>381465</v>
      </c>
      <c r="B127" t="s">
        <v>1644</v>
      </c>
    </row>
    <row r="128" spans="1:2">
      <c r="A128">
        <v>381468</v>
      </c>
      <c r="B128" t="s">
        <v>2840</v>
      </c>
    </row>
    <row r="129" spans="1:2">
      <c r="A129">
        <v>381701</v>
      </c>
      <c r="B129" t="s">
        <v>1646</v>
      </c>
    </row>
    <row r="130" spans="1:2">
      <c r="A130">
        <v>381714</v>
      </c>
      <c r="B130" t="s">
        <v>1647</v>
      </c>
    </row>
    <row r="131" spans="1:2">
      <c r="A131">
        <v>381809</v>
      </c>
      <c r="B131" t="s">
        <v>2841</v>
      </c>
    </row>
    <row r="132" spans="1:2">
      <c r="A132">
        <v>381889</v>
      </c>
      <c r="B132" t="s">
        <v>1649</v>
      </c>
    </row>
    <row r="133" spans="1:2">
      <c r="A133">
        <v>381903</v>
      </c>
      <c r="B133" t="s">
        <v>1650</v>
      </c>
    </row>
    <row r="134" spans="1:2">
      <c r="A134">
        <v>382749</v>
      </c>
      <c r="B134" t="s">
        <v>1651</v>
      </c>
    </row>
    <row r="135" spans="1:2">
      <c r="A135">
        <v>382751</v>
      </c>
      <c r="B135" t="s">
        <v>1652</v>
      </c>
    </row>
    <row r="136" spans="1:2">
      <c r="A136">
        <v>382832</v>
      </c>
      <c r="B136" t="s">
        <v>2842</v>
      </c>
    </row>
    <row r="137" spans="1:2">
      <c r="A137">
        <v>382834</v>
      </c>
      <c r="B137" t="s">
        <v>1654</v>
      </c>
    </row>
    <row r="138" spans="1:2">
      <c r="A138">
        <v>382844</v>
      </c>
      <c r="B138" t="s">
        <v>1655</v>
      </c>
    </row>
    <row r="139" spans="1:2">
      <c r="A139">
        <v>382955</v>
      </c>
      <c r="B139" t="s">
        <v>1656</v>
      </c>
    </row>
    <row r="140" spans="1:2">
      <c r="A140">
        <v>382967</v>
      </c>
      <c r="B140" t="s">
        <v>2007</v>
      </c>
    </row>
    <row r="141" spans="1:2">
      <c r="A141">
        <v>382969</v>
      </c>
      <c r="B141" t="s">
        <v>1657</v>
      </c>
    </row>
    <row r="142" spans="1:2">
      <c r="A142">
        <v>382972</v>
      </c>
      <c r="B142" t="s">
        <v>1658</v>
      </c>
    </row>
    <row r="143" spans="1:2">
      <c r="A143">
        <v>382978</v>
      </c>
      <c r="B143" t="s">
        <v>1659</v>
      </c>
    </row>
    <row r="144" spans="1:2">
      <c r="A144">
        <v>382981</v>
      </c>
      <c r="B144" t="s">
        <v>1660</v>
      </c>
    </row>
    <row r="145" spans="1:2">
      <c r="A145">
        <v>382988</v>
      </c>
      <c r="B145" t="s">
        <v>1661</v>
      </c>
    </row>
    <row r="146" spans="1:2">
      <c r="A146">
        <v>385945</v>
      </c>
      <c r="B146" t="s">
        <v>1662</v>
      </c>
    </row>
    <row r="147" spans="1:2">
      <c r="A147">
        <v>385949</v>
      </c>
      <c r="B147" t="s">
        <v>2843</v>
      </c>
    </row>
    <row r="148" spans="1:2">
      <c r="A148">
        <v>386935</v>
      </c>
      <c r="B148" t="s">
        <v>2844</v>
      </c>
    </row>
    <row r="149" spans="1:2">
      <c r="A149">
        <v>386992</v>
      </c>
      <c r="B149" t="s">
        <v>1665</v>
      </c>
    </row>
    <row r="150" spans="1:2">
      <c r="A150">
        <v>387528</v>
      </c>
      <c r="B150" t="s">
        <v>1666</v>
      </c>
    </row>
    <row r="151" spans="1:2">
      <c r="A151">
        <v>389121</v>
      </c>
      <c r="B151" t="s">
        <v>1667</v>
      </c>
    </row>
    <row r="152" spans="1:2">
      <c r="A152">
        <v>396405</v>
      </c>
      <c r="B152" t="s">
        <v>1668</v>
      </c>
    </row>
    <row r="153" spans="1:2">
      <c r="A153">
        <v>397483</v>
      </c>
      <c r="B153" t="s">
        <v>1669</v>
      </c>
    </row>
    <row r="154" spans="1:2">
      <c r="A154">
        <v>397552</v>
      </c>
      <c r="B154" t="s">
        <v>2075</v>
      </c>
    </row>
    <row r="155" spans="1:2">
      <c r="A155">
        <v>397670</v>
      </c>
      <c r="B155" t="s">
        <v>1670</v>
      </c>
    </row>
    <row r="156" spans="1:2">
      <c r="A156">
        <v>397751</v>
      </c>
      <c r="B156" t="s">
        <v>1671</v>
      </c>
    </row>
    <row r="157" spans="1:2">
      <c r="A157">
        <v>397814</v>
      </c>
      <c r="B157" t="s">
        <v>2845</v>
      </c>
    </row>
    <row r="158" spans="1:2">
      <c r="A158">
        <v>397818</v>
      </c>
      <c r="B158" t="s">
        <v>1673</v>
      </c>
    </row>
    <row r="159" spans="1:2">
      <c r="A159">
        <v>397819</v>
      </c>
      <c r="B159" t="s">
        <v>2846</v>
      </c>
    </row>
    <row r="160" spans="1:2">
      <c r="A160">
        <v>397822</v>
      </c>
      <c r="B160" t="s">
        <v>1675</v>
      </c>
    </row>
    <row r="161" spans="1:2">
      <c r="A161">
        <v>397847</v>
      </c>
      <c r="B161" t="s">
        <v>2847</v>
      </c>
    </row>
    <row r="162" spans="1:2">
      <c r="A162">
        <v>397849</v>
      </c>
      <c r="B162" t="s">
        <v>1677</v>
      </c>
    </row>
    <row r="163" spans="1:2">
      <c r="A163">
        <v>397850</v>
      </c>
      <c r="B163" t="s">
        <v>1678</v>
      </c>
    </row>
    <row r="164" spans="1:2">
      <c r="A164">
        <v>397852</v>
      </c>
      <c r="B164" t="s">
        <v>1679</v>
      </c>
    </row>
    <row r="165" spans="1:2">
      <c r="A165">
        <v>397863</v>
      </c>
      <c r="B165" t="s">
        <v>1680</v>
      </c>
    </row>
    <row r="166" spans="1:2">
      <c r="A166">
        <v>397867</v>
      </c>
      <c r="B166" t="s">
        <v>1681</v>
      </c>
    </row>
    <row r="167" spans="1:2">
      <c r="A167">
        <v>397876</v>
      </c>
      <c r="B167" t="s">
        <v>1682</v>
      </c>
    </row>
    <row r="168" spans="1:2">
      <c r="A168">
        <v>397877</v>
      </c>
      <c r="B168" t="s">
        <v>1683</v>
      </c>
    </row>
    <row r="169" spans="1:2">
      <c r="A169">
        <v>401648</v>
      </c>
      <c r="B169" t="s">
        <v>1684</v>
      </c>
    </row>
    <row r="170" spans="1:2">
      <c r="A170">
        <v>401651</v>
      </c>
      <c r="B170" t="s">
        <v>1685</v>
      </c>
    </row>
    <row r="171" spans="1:2">
      <c r="A171">
        <v>401652</v>
      </c>
      <c r="B171" t="s">
        <v>2848</v>
      </c>
    </row>
    <row r="172" spans="1:2">
      <c r="A172">
        <v>401658</v>
      </c>
      <c r="B172" t="s">
        <v>1687</v>
      </c>
    </row>
    <row r="173" spans="1:2">
      <c r="A173">
        <v>401731</v>
      </c>
      <c r="B173" t="s">
        <v>1688</v>
      </c>
    </row>
    <row r="174" spans="1:2">
      <c r="A174">
        <v>401739</v>
      </c>
      <c r="B174" t="s">
        <v>1689</v>
      </c>
    </row>
    <row r="175" spans="1:2">
      <c r="A175">
        <v>401894</v>
      </c>
      <c r="B175" t="s">
        <v>1690</v>
      </c>
    </row>
    <row r="176" spans="1:2">
      <c r="A176">
        <v>401895</v>
      </c>
      <c r="B176" t="s">
        <v>1691</v>
      </c>
    </row>
    <row r="177" spans="1:2">
      <c r="A177">
        <v>401898</v>
      </c>
      <c r="B177" t="s">
        <v>1692</v>
      </c>
    </row>
    <row r="178" spans="1:2">
      <c r="A178">
        <v>401900</v>
      </c>
      <c r="B178" t="s">
        <v>1693</v>
      </c>
    </row>
    <row r="179" spans="1:2">
      <c r="A179">
        <v>401902</v>
      </c>
      <c r="B179" t="s">
        <v>1694</v>
      </c>
    </row>
    <row r="180" spans="1:2">
      <c r="A180">
        <v>401948</v>
      </c>
      <c r="B180" t="s">
        <v>1695</v>
      </c>
    </row>
    <row r="181" spans="1:2">
      <c r="A181">
        <v>401949</v>
      </c>
      <c r="B181" t="s">
        <v>1696</v>
      </c>
    </row>
    <row r="182" spans="1:2">
      <c r="A182">
        <v>402086</v>
      </c>
      <c r="B182" t="s">
        <v>1697</v>
      </c>
    </row>
    <row r="183" spans="1:2">
      <c r="A183">
        <v>402917</v>
      </c>
      <c r="B183" t="s">
        <v>1698</v>
      </c>
    </row>
    <row r="184" spans="1:2">
      <c r="A184">
        <v>403174</v>
      </c>
      <c r="B184" t="s">
        <v>1699</v>
      </c>
    </row>
    <row r="185" spans="1:2">
      <c r="A185">
        <v>403842</v>
      </c>
      <c r="B185" t="s">
        <v>2849</v>
      </c>
    </row>
    <row r="186" spans="1:2">
      <c r="A186">
        <v>403843</v>
      </c>
      <c r="B186" t="s">
        <v>1701</v>
      </c>
    </row>
    <row r="187" spans="1:2">
      <c r="A187">
        <v>404543</v>
      </c>
      <c r="B187" t="s">
        <v>1702</v>
      </c>
    </row>
    <row r="188" spans="1:2">
      <c r="A188">
        <v>404800</v>
      </c>
      <c r="B188" t="s">
        <v>2850</v>
      </c>
    </row>
    <row r="189" spans="1:2">
      <c r="A189">
        <v>410449</v>
      </c>
      <c r="B189" t="s">
        <v>1704</v>
      </c>
    </row>
    <row r="190" spans="1:2">
      <c r="A190">
        <v>411542</v>
      </c>
      <c r="B190" t="s">
        <v>1705</v>
      </c>
    </row>
    <row r="191" spans="1:2">
      <c r="A191">
        <v>415845</v>
      </c>
      <c r="B191" t="s">
        <v>1706</v>
      </c>
    </row>
    <row r="192" spans="1:2">
      <c r="A192">
        <v>422161</v>
      </c>
      <c r="B192" t="s">
        <v>1707</v>
      </c>
    </row>
    <row r="193" spans="1:2">
      <c r="A193">
        <v>426508</v>
      </c>
      <c r="B193" t="s">
        <v>1708</v>
      </c>
    </row>
    <row r="194" spans="1:2">
      <c r="A194">
        <v>426512</v>
      </c>
      <c r="B194" t="s">
        <v>1709</v>
      </c>
    </row>
    <row r="195" spans="1:2">
      <c r="A195">
        <v>446302</v>
      </c>
      <c r="B195" t="s">
        <v>1710</v>
      </c>
    </row>
    <row r="196" spans="1:2">
      <c r="A196">
        <v>452363</v>
      </c>
      <c r="B196" t="s">
        <v>1711</v>
      </c>
    </row>
    <row r="197" spans="1:2">
      <c r="A197">
        <v>453311</v>
      </c>
      <c r="B197" t="s">
        <v>1712</v>
      </c>
    </row>
    <row r="198" spans="1:2">
      <c r="A198">
        <v>453315</v>
      </c>
      <c r="B198" t="s">
        <v>1713</v>
      </c>
    </row>
    <row r="199" spans="1:2">
      <c r="A199">
        <v>453324</v>
      </c>
      <c r="B199" t="s">
        <v>1714</v>
      </c>
    </row>
    <row r="200" spans="1:2">
      <c r="A200">
        <v>453566</v>
      </c>
      <c r="B200" t="s">
        <v>1715</v>
      </c>
    </row>
    <row r="201" spans="1:2">
      <c r="A201">
        <v>453573</v>
      </c>
      <c r="B201" t="s">
        <v>1716</v>
      </c>
    </row>
    <row r="202" spans="1:2">
      <c r="A202">
        <v>453714</v>
      </c>
      <c r="B202" t="s">
        <v>1717</v>
      </c>
    </row>
    <row r="203" spans="1:2">
      <c r="A203">
        <v>453756</v>
      </c>
      <c r="B203" t="s">
        <v>1718</v>
      </c>
    </row>
    <row r="204" spans="1:2">
      <c r="A204">
        <v>453889</v>
      </c>
      <c r="B204" t="s">
        <v>2851</v>
      </c>
    </row>
    <row r="205" spans="1:2">
      <c r="A205">
        <v>453897</v>
      </c>
      <c r="B205" t="s">
        <v>2852</v>
      </c>
    </row>
    <row r="206" spans="1:2">
      <c r="A206">
        <v>453908</v>
      </c>
      <c r="B206" t="s">
        <v>1721</v>
      </c>
    </row>
    <row r="207" spans="1:2">
      <c r="A207">
        <v>454218</v>
      </c>
      <c r="B207" t="s">
        <v>1722</v>
      </c>
    </row>
    <row r="208" spans="1:2">
      <c r="A208">
        <v>454461</v>
      </c>
      <c r="B208" t="s">
        <v>1723</v>
      </c>
    </row>
    <row r="209" spans="1:2">
      <c r="A209">
        <v>454462</v>
      </c>
      <c r="B209" t="s">
        <v>1724</v>
      </c>
    </row>
    <row r="210" spans="1:2">
      <c r="A210">
        <v>454827</v>
      </c>
      <c r="B210" t="s">
        <v>1725</v>
      </c>
    </row>
    <row r="211" spans="1:2">
      <c r="A211">
        <v>454853</v>
      </c>
      <c r="B211" t="s">
        <v>2853</v>
      </c>
    </row>
    <row r="212" spans="1:2">
      <c r="A212">
        <v>454888</v>
      </c>
      <c r="B212" t="s">
        <v>1727</v>
      </c>
    </row>
    <row r="213" spans="1:2">
      <c r="A213">
        <v>454890</v>
      </c>
      <c r="B213" t="s">
        <v>1728</v>
      </c>
    </row>
    <row r="214" spans="1:2">
      <c r="A214">
        <v>454900</v>
      </c>
      <c r="B214" t="s">
        <v>1729</v>
      </c>
    </row>
    <row r="215" spans="1:2">
      <c r="A215">
        <v>454903</v>
      </c>
      <c r="B215" t="s">
        <v>1730</v>
      </c>
    </row>
    <row r="216" spans="1:2">
      <c r="A216">
        <v>455031</v>
      </c>
      <c r="B216" t="s">
        <v>1731</v>
      </c>
    </row>
    <row r="217" spans="1:2">
      <c r="A217">
        <v>455157</v>
      </c>
      <c r="B217" t="s">
        <v>1732</v>
      </c>
    </row>
    <row r="218" spans="1:2">
      <c r="A218">
        <v>455161</v>
      </c>
    </row>
    <row r="219" spans="1:2">
      <c r="A219">
        <v>455171</v>
      </c>
      <c r="B219" t="s">
        <v>1733</v>
      </c>
    </row>
    <row r="220" spans="1:2">
      <c r="A220">
        <v>455268</v>
      </c>
      <c r="B220" t="s">
        <v>2854</v>
      </c>
    </row>
    <row r="221" spans="1:2">
      <c r="A221">
        <v>455275</v>
      </c>
      <c r="B221" t="s">
        <v>1735</v>
      </c>
    </row>
    <row r="222" spans="1:2">
      <c r="A222">
        <v>455281</v>
      </c>
      <c r="B222" t="s">
        <v>1736</v>
      </c>
    </row>
    <row r="223" spans="1:2">
      <c r="A223">
        <v>455353</v>
      </c>
      <c r="B223" t="s">
        <v>1737</v>
      </c>
    </row>
    <row r="224" spans="1:2">
      <c r="A224">
        <v>455455</v>
      </c>
      <c r="B224" t="s">
        <v>1738</v>
      </c>
    </row>
    <row r="225" spans="1:2">
      <c r="A225">
        <v>455649</v>
      </c>
      <c r="B225" t="s">
        <v>2855</v>
      </c>
    </row>
    <row r="226" spans="1:2">
      <c r="A226">
        <v>458050</v>
      </c>
      <c r="B226" t="s">
        <v>1740</v>
      </c>
    </row>
    <row r="227" spans="1:2">
      <c r="A227">
        <v>458243</v>
      </c>
      <c r="B227" t="s">
        <v>2026</v>
      </c>
    </row>
    <row r="228" spans="1:2">
      <c r="A228">
        <v>458260</v>
      </c>
      <c r="B228" t="s">
        <v>2041</v>
      </c>
    </row>
    <row r="229" spans="1:2">
      <c r="A229">
        <v>458267</v>
      </c>
      <c r="B229" t="s">
        <v>2039</v>
      </c>
    </row>
    <row r="230" spans="1:2">
      <c r="A230">
        <v>458290</v>
      </c>
      <c r="B230" t="s">
        <v>2856</v>
      </c>
    </row>
    <row r="231" spans="1:2">
      <c r="A231">
        <v>458462</v>
      </c>
      <c r="B231" t="s">
        <v>2077</v>
      </c>
    </row>
    <row r="232" spans="1:2">
      <c r="A232">
        <v>458465</v>
      </c>
      <c r="B232" t="s">
        <v>2078</v>
      </c>
    </row>
    <row r="233" spans="1:2">
      <c r="A233">
        <v>458467</v>
      </c>
      <c r="B233" t="s">
        <v>2079</v>
      </c>
    </row>
    <row r="234" spans="1:2">
      <c r="A234">
        <v>458538</v>
      </c>
      <c r="B234" t="s">
        <v>1742</v>
      </c>
    </row>
    <row r="235" spans="1:2">
      <c r="A235">
        <v>458542</v>
      </c>
      <c r="B235" t="s">
        <v>2080</v>
      </c>
    </row>
    <row r="236" spans="1:2">
      <c r="A236">
        <v>458545</v>
      </c>
      <c r="B236" t="s">
        <v>2081</v>
      </c>
    </row>
    <row r="237" spans="1:2">
      <c r="A237">
        <v>458547</v>
      </c>
      <c r="B237" t="s">
        <v>1743</v>
      </c>
    </row>
    <row r="238" spans="1:2">
      <c r="A238">
        <v>458552</v>
      </c>
    </row>
    <row r="239" spans="1:2">
      <c r="A239">
        <v>458601</v>
      </c>
      <c r="B239" t="s">
        <v>2086</v>
      </c>
    </row>
    <row r="240" spans="1:2">
      <c r="A240">
        <v>458605</v>
      </c>
      <c r="B240" t="s">
        <v>2920</v>
      </c>
    </row>
    <row r="241" spans="1:2">
      <c r="A241">
        <v>458607</v>
      </c>
      <c r="B241" t="s">
        <v>2096</v>
      </c>
    </row>
    <row r="242" spans="1:2">
      <c r="A242">
        <v>458609</v>
      </c>
      <c r="B242" t="s">
        <v>2098</v>
      </c>
    </row>
    <row r="243" spans="1:2">
      <c r="A243">
        <v>458610</v>
      </c>
      <c r="B243" t="s">
        <v>2099</v>
      </c>
    </row>
    <row r="244" spans="1:2">
      <c r="A244">
        <v>458612</v>
      </c>
      <c r="B244" t="s">
        <v>2100</v>
      </c>
    </row>
    <row r="245" spans="1:2">
      <c r="A245">
        <v>458614</v>
      </c>
      <c r="B245" t="s">
        <v>2101</v>
      </c>
    </row>
    <row r="246" spans="1:2">
      <c r="A246">
        <v>458616</v>
      </c>
      <c r="B246" t="s">
        <v>2087</v>
      </c>
    </row>
    <row r="247" spans="1:2">
      <c r="A247">
        <v>458619</v>
      </c>
      <c r="B247" t="s">
        <v>2088</v>
      </c>
    </row>
    <row r="248" spans="1:2">
      <c r="A248">
        <v>458620</v>
      </c>
      <c r="B248" t="s">
        <v>2089</v>
      </c>
    </row>
    <row r="249" spans="1:2">
      <c r="A249">
        <v>458621</v>
      </c>
      <c r="B249" t="s">
        <v>2917</v>
      </c>
    </row>
    <row r="250" spans="1:2">
      <c r="A250">
        <v>458625</v>
      </c>
      <c r="B250" t="s">
        <v>2091</v>
      </c>
    </row>
    <row r="251" spans="1:2">
      <c r="A251">
        <v>458629</v>
      </c>
      <c r="B251" t="s">
        <v>2918</v>
      </c>
    </row>
    <row r="252" spans="1:2">
      <c r="A252">
        <v>458630</v>
      </c>
      <c r="B252" t="s">
        <v>2919</v>
      </c>
    </row>
    <row r="253" spans="1:2">
      <c r="A253">
        <v>458633</v>
      </c>
      <c r="B253" t="s">
        <v>2094</v>
      </c>
    </row>
    <row r="254" spans="1:2">
      <c r="A254">
        <v>458635</v>
      </c>
    </row>
    <row r="255" spans="1:2">
      <c r="A255">
        <v>458655</v>
      </c>
      <c r="B255" t="s">
        <v>1744</v>
      </c>
    </row>
    <row r="256" spans="1:2">
      <c r="A256">
        <v>458763</v>
      </c>
      <c r="B256" t="s">
        <v>1745</v>
      </c>
    </row>
    <row r="257" spans="1:2">
      <c r="A257">
        <v>458959</v>
      </c>
      <c r="B257" t="s">
        <v>2922</v>
      </c>
    </row>
    <row r="258" spans="1:2">
      <c r="A258">
        <v>465606</v>
      </c>
      <c r="B258" t="s">
        <v>1746</v>
      </c>
    </row>
    <row r="259" spans="1:2">
      <c r="A259">
        <v>466471</v>
      </c>
      <c r="B259" t="s">
        <v>1747</v>
      </c>
    </row>
    <row r="260" spans="1:2">
      <c r="A260">
        <v>467078</v>
      </c>
      <c r="B260" t="s">
        <v>1748</v>
      </c>
    </row>
    <row r="261" spans="1:2">
      <c r="A261">
        <v>467102</v>
      </c>
      <c r="B261" t="s">
        <v>1749</v>
      </c>
    </row>
    <row r="262" spans="1:2">
      <c r="A262">
        <v>470616</v>
      </c>
      <c r="B262" t="s">
        <v>1750</v>
      </c>
    </row>
    <row r="263" spans="1:2">
      <c r="A263">
        <v>471392</v>
      </c>
      <c r="B263" t="s">
        <v>2857</v>
      </c>
    </row>
    <row r="264" spans="1:2">
      <c r="A264">
        <v>475171</v>
      </c>
      <c r="B264" t="s">
        <v>2858</v>
      </c>
    </row>
    <row r="265" spans="1:2">
      <c r="A265">
        <v>475201</v>
      </c>
      <c r="B265" t="s">
        <v>1753</v>
      </c>
    </row>
    <row r="266" spans="1:2">
      <c r="A266">
        <v>475211</v>
      </c>
      <c r="B266" t="s">
        <v>2859</v>
      </c>
    </row>
    <row r="267" spans="1:2">
      <c r="A267">
        <v>475214</v>
      </c>
      <c r="B267" t="s">
        <v>1755</v>
      </c>
    </row>
    <row r="268" spans="1:2">
      <c r="A268">
        <v>475295</v>
      </c>
      <c r="B268" t="s">
        <v>1756</v>
      </c>
    </row>
    <row r="269" spans="1:2">
      <c r="A269">
        <v>475441</v>
      </c>
      <c r="B269" t="s">
        <v>1757</v>
      </c>
    </row>
    <row r="270" spans="1:2">
      <c r="A270">
        <v>475453</v>
      </c>
      <c r="B270" t="s">
        <v>2860</v>
      </c>
    </row>
    <row r="271" spans="1:2">
      <c r="A271">
        <v>475458</v>
      </c>
      <c r="B271" t="s">
        <v>1759</v>
      </c>
    </row>
    <row r="272" spans="1:2">
      <c r="A272">
        <v>476957</v>
      </c>
      <c r="B272" t="s">
        <v>1760</v>
      </c>
    </row>
    <row r="273" spans="1:2">
      <c r="A273">
        <v>478282</v>
      </c>
      <c r="B273" t="s">
        <v>1761</v>
      </c>
    </row>
    <row r="274" spans="1:2">
      <c r="A274">
        <v>478371</v>
      </c>
      <c r="B274" t="s">
        <v>2861</v>
      </c>
    </row>
    <row r="275" spans="1:2">
      <c r="A275">
        <v>478466</v>
      </c>
      <c r="B275" t="s">
        <v>1763</v>
      </c>
    </row>
    <row r="276" spans="1:2">
      <c r="A276">
        <v>478469</v>
      </c>
      <c r="B276" t="s">
        <v>1764</v>
      </c>
    </row>
    <row r="277" spans="1:2">
      <c r="A277">
        <v>478634</v>
      </c>
      <c r="B277" t="s">
        <v>1765</v>
      </c>
    </row>
    <row r="278" spans="1:2">
      <c r="A278">
        <v>478646</v>
      </c>
      <c r="B278" t="s">
        <v>1766</v>
      </c>
    </row>
    <row r="279" spans="1:2">
      <c r="A279">
        <v>478882</v>
      </c>
      <c r="B279" t="s">
        <v>1767</v>
      </c>
    </row>
    <row r="280" spans="1:2">
      <c r="A280">
        <v>478908</v>
      </c>
      <c r="B280" t="s">
        <v>1768</v>
      </c>
    </row>
    <row r="281" spans="1:2">
      <c r="A281">
        <v>479055</v>
      </c>
      <c r="B281" t="s">
        <v>1769</v>
      </c>
    </row>
    <row r="282" spans="1:2">
      <c r="A282">
        <v>479057</v>
      </c>
      <c r="B282" t="s">
        <v>1770</v>
      </c>
    </row>
    <row r="283" spans="1:2">
      <c r="A283">
        <v>479059</v>
      </c>
      <c r="B283" t="s">
        <v>1771</v>
      </c>
    </row>
    <row r="284" spans="1:2">
      <c r="A284">
        <v>479061</v>
      </c>
      <c r="B284" t="s">
        <v>1772</v>
      </c>
    </row>
    <row r="285" spans="1:2">
      <c r="A285">
        <v>479062</v>
      </c>
      <c r="B285" t="s">
        <v>1773</v>
      </c>
    </row>
    <row r="286" spans="1:2">
      <c r="A286">
        <v>479066</v>
      </c>
      <c r="B286" t="s">
        <v>1774</v>
      </c>
    </row>
    <row r="287" spans="1:2">
      <c r="A287">
        <v>479068</v>
      </c>
      <c r="B287" t="s">
        <v>1775</v>
      </c>
    </row>
    <row r="288" spans="1:2">
      <c r="A288">
        <v>479072</v>
      </c>
      <c r="B288" t="s">
        <v>1776</v>
      </c>
    </row>
    <row r="289" spans="1:2">
      <c r="A289">
        <v>479076</v>
      </c>
      <c r="B289" t="s">
        <v>1777</v>
      </c>
    </row>
    <row r="290" spans="1:2">
      <c r="A290">
        <v>479079</v>
      </c>
      <c r="B290" t="s">
        <v>1778</v>
      </c>
    </row>
    <row r="291" spans="1:2">
      <c r="A291">
        <v>479557</v>
      </c>
      <c r="B291" t="s">
        <v>1779</v>
      </c>
    </row>
    <row r="292" spans="1:2">
      <c r="A292">
        <v>480058</v>
      </c>
      <c r="B292" t="s">
        <v>2862</v>
      </c>
    </row>
    <row r="293" spans="1:2">
      <c r="A293">
        <v>480066</v>
      </c>
      <c r="B293" t="s">
        <v>1781</v>
      </c>
    </row>
    <row r="294" spans="1:2">
      <c r="A294">
        <v>487078</v>
      </c>
    </row>
    <row r="295" spans="1:2">
      <c r="A295">
        <v>517373</v>
      </c>
      <c r="B295" t="s">
        <v>1782</v>
      </c>
    </row>
    <row r="296" spans="1:2">
      <c r="A296">
        <v>517897</v>
      </c>
      <c r="B296" t="s">
        <v>1783</v>
      </c>
    </row>
    <row r="297" spans="1:2">
      <c r="A297">
        <v>526556</v>
      </c>
      <c r="B297" t="s">
        <v>2074</v>
      </c>
    </row>
    <row r="298" spans="1:2">
      <c r="A298">
        <v>528994</v>
      </c>
      <c r="B298" t="s">
        <v>2911</v>
      </c>
    </row>
    <row r="299" spans="1:2">
      <c r="A299">
        <v>567856</v>
      </c>
      <c r="B299" t="s">
        <v>1784</v>
      </c>
    </row>
    <row r="300" spans="1:2">
      <c r="A300">
        <v>569438</v>
      </c>
      <c r="B300" t="s">
        <v>1785</v>
      </c>
    </row>
    <row r="301" spans="1:2">
      <c r="A301">
        <v>569912</v>
      </c>
    </row>
    <row r="302" spans="1:2">
      <c r="A302">
        <v>570053</v>
      </c>
    </row>
    <row r="303" spans="1:2">
      <c r="A303">
        <v>570068</v>
      </c>
    </row>
    <row r="304" spans="1:2">
      <c r="A304">
        <v>570139</v>
      </c>
    </row>
    <row r="305" spans="1:2">
      <c r="A305">
        <v>570144</v>
      </c>
    </row>
    <row r="306" spans="1:2">
      <c r="A306">
        <v>585227</v>
      </c>
    </row>
    <row r="307" spans="1:2">
      <c r="A307">
        <v>585340</v>
      </c>
    </row>
    <row r="308" spans="1:2">
      <c r="A308">
        <v>585697</v>
      </c>
    </row>
    <row r="309" spans="1:2">
      <c r="A309">
        <v>586166</v>
      </c>
    </row>
    <row r="310" spans="1:2">
      <c r="A310">
        <v>586409</v>
      </c>
      <c r="B310" t="s">
        <v>2002</v>
      </c>
    </row>
    <row r="311" spans="1:2">
      <c r="A311">
        <v>589426</v>
      </c>
      <c r="B311" t="s">
        <v>2908</v>
      </c>
    </row>
    <row r="312" spans="1:2">
      <c r="A312">
        <v>598101</v>
      </c>
    </row>
    <row r="313" spans="1:2">
      <c r="A313">
        <v>599364</v>
      </c>
      <c r="B313" t="s">
        <v>2863</v>
      </c>
    </row>
    <row r="314" spans="1:2">
      <c r="A314">
        <v>601741</v>
      </c>
      <c r="B314" t="s">
        <v>1787</v>
      </c>
    </row>
    <row r="315" spans="1:2">
      <c r="A315">
        <v>602022</v>
      </c>
    </row>
    <row r="316" spans="1:2">
      <c r="A316">
        <v>604127</v>
      </c>
      <c r="B316" t="s">
        <v>1788</v>
      </c>
    </row>
    <row r="317" spans="1:2">
      <c r="A317">
        <v>613457</v>
      </c>
      <c r="B317" t="s">
        <v>1789</v>
      </c>
    </row>
    <row r="318" spans="1:2">
      <c r="A318">
        <v>614521</v>
      </c>
      <c r="B318" t="s">
        <v>1790</v>
      </c>
    </row>
    <row r="319" spans="1:2">
      <c r="A319">
        <v>626460</v>
      </c>
      <c r="B319" t="s">
        <v>1791</v>
      </c>
    </row>
    <row r="320" spans="1:2">
      <c r="A320">
        <v>626703</v>
      </c>
      <c r="B320" t="s">
        <v>1792</v>
      </c>
    </row>
    <row r="321" spans="1:2">
      <c r="A321">
        <v>636335</v>
      </c>
      <c r="B321" t="s">
        <v>2864</v>
      </c>
    </row>
    <row r="322" spans="1:2">
      <c r="A322">
        <v>636337</v>
      </c>
      <c r="B322" t="s">
        <v>1794</v>
      </c>
    </row>
    <row r="323" spans="1:2">
      <c r="A323">
        <v>636371</v>
      </c>
      <c r="B323" t="s">
        <v>1795</v>
      </c>
    </row>
    <row r="324" spans="1:2">
      <c r="A324">
        <v>636385</v>
      </c>
      <c r="B324" t="s">
        <v>2865</v>
      </c>
    </row>
    <row r="325" spans="1:2">
      <c r="A325">
        <v>636389</v>
      </c>
      <c r="B325" t="s">
        <v>1797</v>
      </c>
    </row>
    <row r="326" spans="1:2">
      <c r="A326">
        <v>637133</v>
      </c>
      <c r="B326" t="s">
        <v>1798</v>
      </c>
    </row>
    <row r="327" spans="1:2">
      <c r="A327">
        <v>637139</v>
      </c>
      <c r="B327" t="s">
        <v>1799</v>
      </c>
    </row>
    <row r="328" spans="1:2">
      <c r="A328">
        <v>637243</v>
      </c>
      <c r="B328" t="s">
        <v>1800</v>
      </c>
    </row>
    <row r="329" spans="1:2">
      <c r="A329">
        <v>665442</v>
      </c>
      <c r="B329" t="s">
        <v>1801</v>
      </c>
    </row>
    <row r="330" spans="1:2">
      <c r="A330">
        <v>700486</v>
      </c>
      <c r="B330" t="s">
        <v>1802</v>
      </c>
    </row>
    <row r="331" spans="1:2">
      <c r="A331">
        <v>700487</v>
      </c>
      <c r="B331" t="s">
        <v>1803</v>
      </c>
    </row>
    <row r="332" spans="1:2">
      <c r="A332">
        <v>704429</v>
      </c>
      <c r="B332" t="s">
        <v>1804</v>
      </c>
    </row>
    <row r="333" spans="1:2">
      <c r="A333">
        <v>709106</v>
      </c>
      <c r="B333" t="s">
        <v>1805</v>
      </c>
    </row>
    <row r="334" spans="1:2">
      <c r="A334">
        <v>709129</v>
      </c>
      <c r="B334" t="s">
        <v>1806</v>
      </c>
    </row>
    <row r="335" spans="1:2">
      <c r="A335">
        <v>721508</v>
      </c>
      <c r="B335" t="s">
        <v>1807</v>
      </c>
    </row>
    <row r="336" spans="1:2">
      <c r="A336">
        <v>729122</v>
      </c>
      <c r="B336" t="s">
        <v>1808</v>
      </c>
    </row>
    <row r="337" spans="1:2">
      <c r="A337">
        <v>730341</v>
      </c>
      <c r="B337" t="s">
        <v>1809</v>
      </c>
    </row>
    <row r="338" spans="1:2">
      <c r="A338">
        <v>733501</v>
      </c>
      <c r="B338" t="s">
        <v>1810</v>
      </c>
    </row>
    <row r="339" spans="1:2">
      <c r="A339">
        <v>742171</v>
      </c>
      <c r="B339" t="s">
        <v>1811</v>
      </c>
    </row>
    <row r="340" spans="1:2">
      <c r="A340">
        <v>742173</v>
      </c>
      <c r="B340" t="s">
        <v>1812</v>
      </c>
    </row>
    <row r="341" spans="1:2">
      <c r="A341">
        <v>742174</v>
      </c>
      <c r="B341" t="s">
        <v>2015</v>
      </c>
    </row>
    <row r="342" spans="1:2">
      <c r="A342">
        <v>742175</v>
      </c>
      <c r="B342" t="s">
        <v>2903</v>
      </c>
    </row>
    <row r="343" spans="1:2">
      <c r="A343">
        <v>742176</v>
      </c>
      <c r="B343" t="s">
        <v>2017</v>
      </c>
    </row>
    <row r="344" spans="1:2">
      <c r="A344">
        <v>742177</v>
      </c>
      <c r="B344" t="s">
        <v>2018</v>
      </c>
    </row>
    <row r="345" spans="1:2">
      <c r="A345">
        <v>742180</v>
      </c>
      <c r="B345" t="s">
        <v>2019</v>
      </c>
    </row>
    <row r="346" spans="1:2">
      <c r="A346">
        <v>742182</v>
      </c>
      <c r="B346" t="s">
        <v>2921</v>
      </c>
    </row>
    <row r="347" spans="1:2">
      <c r="A347">
        <v>761882</v>
      </c>
      <c r="B347" t="s">
        <v>2071</v>
      </c>
    </row>
    <row r="348" spans="1:2">
      <c r="A348">
        <v>764770</v>
      </c>
      <c r="B348" t="s">
        <v>1813</v>
      </c>
    </row>
    <row r="349" spans="1:2">
      <c r="A349">
        <v>765471</v>
      </c>
      <c r="B349" t="s">
        <v>1814</v>
      </c>
    </row>
    <row r="350" spans="1:2">
      <c r="A350">
        <v>766296</v>
      </c>
      <c r="B350" t="s">
        <v>2866</v>
      </c>
    </row>
    <row r="351" spans="1:2">
      <c r="A351">
        <v>766871</v>
      </c>
      <c r="B351" t="s">
        <v>1816</v>
      </c>
    </row>
    <row r="352" spans="1:2">
      <c r="A352">
        <v>766885</v>
      </c>
      <c r="B352" t="s">
        <v>2924</v>
      </c>
    </row>
    <row r="353" spans="1:2">
      <c r="A353">
        <v>767226</v>
      </c>
      <c r="B353" t="s">
        <v>1817</v>
      </c>
    </row>
    <row r="354" spans="1:2">
      <c r="A354">
        <v>767279</v>
      </c>
      <c r="B354" t="s">
        <v>1818</v>
      </c>
    </row>
    <row r="355" spans="1:2">
      <c r="A355">
        <v>767291</v>
      </c>
      <c r="B355" t="s">
        <v>2020</v>
      </c>
    </row>
    <row r="356" spans="1:2">
      <c r="A356">
        <v>767525</v>
      </c>
      <c r="B356" t="s">
        <v>1819</v>
      </c>
    </row>
    <row r="357" spans="1:2">
      <c r="A357">
        <v>769738</v>
      </c>
      <c r="B357" t="s">
        <v>1820</v>
      </c>
    </row>
    <row r="358" spans="1:2">
      <c r="A358">
        <v>770260</v>
      </c>
      <c r="B358" t="s">
        <v>1821</v>
      </c>
    </row>
    <row r="359" spans="1:2">
      <c r="A359">
        <v>770300</v>
      </c>
      <c r="B359" t="s">
        <v>1822</v>
      </c>
    </row>
    <row r="360" spans="1:2">
      <c r="A360">
        <v>771040</v>
      </c>
      <c r="B360" t="s">
        <v>1823</v>
      </c>
    </row>
    <row r="361" spans="1:2">
      <c r="A361">
        <v>780275</v>
      </c>
      <c r="B361" t="s">
        <v>2867</v>
      </c>
    </row>
    <row r="362" spans="1:2">
      <c r="A362">
        <v>780308</v>
      </c>
      <c r="B362" t="s">
        <v>2910</v>
      </c>
    </row>
    <row r="363" spans="1:2">
      <c r="A363">
        <v>782745</v>
      </c>
      <c r="B363" t="s">
        <v>1825</v>
      </c>
    </row>
    <row r="364" spans="1:2">
      <c r="A364">
        <v>784666</v>
      </c>
      <c r="B364" t="s">
        <v>1826</v>
      </c>
    </row>
    <row r="365" spans="1:2">
      <c r="A365">
        <v>784746</v>
      </c>
      <c r="B365" t="s">
        <v>1827</v>
      </c>
    </row>
    <row r="366" spans="1:2">
      <c r="A366">
        <v>784905</v>
      </c>
      <c r="B366" t="s">
        <v>1828</v>
      </c>
    </row>
    <row r="367" spans="1:2">
      <c r="A367">
        <v>784907</v>
      </c>
      <c r="B367" t="s">
        <v>2868</v>
      </c>
    </row>
    <row r="368" spans="1:2">
      <c r="A368">
        <v>784910</v>
      </c>
      <c r="B368" t="s">
        <v>2869</v>
      </c>
    </row>
    <row r="369" spans="1:2">
      <c r="A369">
        <v>785080</v>
      </c>
      <c r="B369" t="s">
        <v>2870</v>
      </c>
    </row>
    <row r="370" spans="1:2">
      <c r="A370">
        <v>787869</v>
      </c>
      <c r="B370" t="s">
        <v>2052</v>
      </c>
    </row>
    <row r="371" spans="1:2">
      <c r="A371">
        <v>788411</v>
      </c>
      <c r="B371" t="s">
        <v>2871</v>
      </c>
    </row>
    <row r="372" spans="1:2">
      <c r="A372">
        <v>788850</v>
      </c>
      <c r="B372" t="s">
        <v>1833</v>
      </c>
    </row>
    <row r="373" spans="1:2">
      <c r="A373">
        <v>788899</v>
      </c>
      <c r="B373" t="s">
        <v>1834</v>
      </c>
    </row>
    <row r="374" spans="1:2">
      <c r="A374">
        <v>789166</v>
      </c>
      <c r="B374" t="s">
        <v>1835</v>
      </c>
    </row>
    <row r="375" spans="1:2">
      <c r="A375">
        <v>789211</v>
      </c>
      <c r="B375" t="s">
        <v>1836</v>
      </c>
    </row>
    <row r="376" spans="1:2">
      <c r="A376">
        <v>789234</v>
      </c>
      <c r="B376" t="s">
        <v>2872</v>
      </c>
    </row>
    <row r="377" spans="1:2">
      <c r="A377">
        <v>789258</v>
      </c>
      <c r="B377" t="s">
        <v>1838</v>
      </c>
    </row>
    <row r="378" spans="1:2">
      <c r="A378">
        <v>798614</v>
      </c>
      <c r="B378" t="s">
        <v>1839</v>
      </c>
    </row>
    <row r="379" spans="1:2">
      <c r="A379">
        <v>798623</v>
      </c>
      <c r="B379" t="s">
        <v>1840</v>
      </c>
    </row>
    <row r="380" spans="1:2">
      <c r="A380">
        <v>798859</v>
      </c>
      <c r="B380" t="s">
        <v>2873</v>
      </c>
    </row>
    <row r="381" spans="1:2">
      <c r="A381">
        <v>798862</v>
      </c>
      <c r="B381" t="s">
        <v>1842</v>
      </c>
    </row>
    <row r="382" spans="1:2">
      <c r="A382">
        <v>798863</v>
      </c>
      <c r="B382" t="s">
        <v>1843</v>
      </c>
    </row>
    <row r="383" spans="1:2">
      <c r="A383">
        <v>798864</v>
      </c>
      <c r="B383" t="s">
        <v>1844</v>
      </c>
    </row>
    <row r="384" spans="1:2">
      <c r="A384">
        <v>798879</v>
      </c>
      <c r="B384" t="s">
        <v>1845</v>
      </c>
    </row>
    <row r="385" spans="1:2">
      <c r="A385">
        <v>798881</v>
      </c>
      <c r="B385" t="s">
        <v>1846</v>
      </c>
    </row>
    <row r="386" spans="1:2">
      <c r="A386">
        <v>798883</v>
      </c>
      <c r="B386" t="s">
        <v>1847</v>
      </c>
    </row>
    <row r="387" spans="1:2">
      <c r="A387">
        <v>798885</v>
      </c>
      <c r="B387" t="s">
        <v>1848</v>
      </c>
    </row>
    <row r="388" spans="1:2">
      <c r="A388">
        <v>798888</v>
      </c>
      <c r="B388" t="s">
        <v>1849</v>
      </c>
    </row>
    <row r="389" spans="1:2">
      <c r="A389">
        <v>798890</v>
      </c>
      <c r="B389" t="s">
        <v>1850</v>
      </c>
    </row>
    <row r="390" spans="1:2">
      <c r="A390">
        <v>798891</v>
      </c>
      <c r="B390" t="s">
        <v>1851</v>
      </c>
    </row>
    <row r="391" spans="1:2">
      <c r="A391">
        <v>798894</v>
      </c>
      <c r="B391" t="s">
        <v>2003</v>
      </c>
    </row>
    <row r="392" spans="1:2">
      <c r="A392">
        <v>798906</v>
      </c>
      <c r="B392" t="s">
        <v>1852</v>
      </c>
    </row>
    <row r="393" spans="1:2">
      <c r="A393">
        <v>798920</v>
      </c>
    </row>
    <row r="394" spans="1:2">
      <c r="A394">
        <v>800848</v>
      </c>
      <c r="B394" t="s">
        <v>1853</v>
      </c>
    </row>
    <row r="395" spans="1:2">
      <c r="A395">
        <v>800863</v>
      </c>
      <c r="B395" t="s">
        <v>1854</v>
      </c>
    </row>
    <row r="396" spans="1:2">
      <c r="A396">
        <v>800870</v>
      </c>
      <c r="B396" t="s">
        <v>1855</v>
      </c>
    </row>
    <row r="397" spans="1:2">
      <c r="A397">
        <v>800872</v>
      </c>
      <c r="B397" t="s">
        <v>2008</v>
      </c>
    </row>
    <row r="398" spans="1:2">
      <c r="A398">
        <v>800879</v>
      </c>
      <c r="B398" t="s">
        <v>2009</v>
      </c>
    </row>
    <row r="399" spans="1:2">
      <c r="A399">
        <v>800889</v>
      </c>
      <c r="B399" t="s">
        <v>2010</v>
      </c>
    </row>
    <row r="400" spans="1:2">
      <c r="A400">
        <v>800895</v>
      </c>
      <c r="B400" t="s">
        <v>1856</v>
      </c>
    </row>
    <row r="401" spans="1:2">
      <c r="A401">
        <v>801047</v>
      </c>
      <c r="B401" t="s">
        <v>1857</v>
      </c>
    </row>
    <row r="402" spans="1:2">
      <c r="A402">
        <v>801387</v>
      </c>
      <c r="B402" t="s">
        <v>2874</v>
      </c>
    </row>
    <row r="403" spans="1:2">
      <c r="A403">
        <v>804699</v>
      </c>
      <c r="B403" t="s">
        <v>1859</v>
      </c>
    </row>
    <row r="404" spans="1:2">
      <c r="A404">
        <v>804707</v>
      </c>
      <c r="B404" t="s">
        <v>1860</v>
      </c>
    </row>
    <row r="405" spans="1:2">
      <c r="A405">
        <v>804731</v>
      </c>
      <c r="B405" t="s">
        <v>2875</v>
      </c>
    </row>
    <row r="406" spans="1:2">
      <c r="A406">
        <v>805036</v>
      </c>
      <c r="B406" t="s">
        <v>1862</v>
      </c>
    </row>
    <row r="407" spans="1:2">
      <c r="A407">
        <v>807289</v>
      </c>
      <c r="B407" t="s">
        <v>2876</v>
      </c>
    </row>
    <row r="408" spans="1:2">
      <c r="A408">
        <v>807427</v>
      </c>
      <c r="B408" t="s">
        <v>1864</v>
      </c>
    </row>
    <row r="409" spans="1:2">
      <c r="A409">
        <v>807561</v>
      </c>
      <c r="B409" t="s">
        <v>1865</v>
      </c>
    </row>
    <row r="410" spans="1:2">
      <c r="A410">
        <v>807567</v>
      </c>
      <c r="B410" t="s">
        <v>2877</v>
      </c>
    </row>
    <row r="411" spans="1:2">
      <c r="A411">
        <v>807656</v>
      </c>
      <c r="B411" t="s">
        <v>1867</v>
      </c>
    </row>
    <row r="412" spans="1:2">
      <c r="A412">
        <v>807668</v>
      </c>
      <c r="B412" t="s">
        <v>2878</v>
      </c>
    </row>
    <row r="413" spans="1:2">
      <c r="A413">
        <v>807675</v>
      </c>
      <c r="B413" t="s">
        <v>2879</v>
      </c>
    </row>
    <row r="414" spans="1:2">
      <c r="A414">
        <v>808481</v>
      </c>
      <c r="B414" t="s">
        <v>1870</v>
      </c>
    </row>
    <row r="415" spans="1:2">
      <c r="A415">
        <v>808492</v>
      </c>
      <c r="B415" t="s">
        <v>1871</v>
      </c>
    </row>
    <row r="416" spans="1:2">
      <c r="A416">
        <v>808497</v>
      </c>
      <c r="B416" t="s">
        <v>1872</v>
      </c>
    </row>
    <row r="417" spans="1:2">
      <c r="A417">
        <v>808502</v>
      </c>
      <c r="B417" t="s">
        <v>1873</v>
      </c>
    </row>
    <row r="418" spans="1:2">
      <c r="A418">
        <v>808536</v>
      </c>
      <c r="B418" t="s">
        <v>2880</v>
      </c>
    </row>
    <row r="419" spans="1:2">
      <c r="A419">
        <v>808766</v>
      </c>
      <c r="B419" t="s">
        <v>1875</v>
      </c>
    </row>
    <row r="420" spans="1:2">
      <c r="A420">
        <v>808900</v>
      </c>
      <c r="B420" t="s">
        <v>2902</v>
      </c>
    </row>
    <row r="421" spans="1:2">
      <c r="A421">
        <v>809345</v>
      </c>
      <c r="B421" t="s">
        <v>1876</v>
      </c>
    </row>
    <row r="422" spans="1:2">
      <c r="A422">
        <v>810040</v>
      </c>
      <c r="B422" t="s">
        <v>1877</v>
      </c>
    </row>
    <row r="423" spans="1:2">
      <c r="A423">
        <v>810055</v>
      </c>
      <c r="B423" t="s">
        <v>1878</v>
      </c>
    </row>
    <row r="424" spans="1:2">
      <c r="A424">
        <v>810381</v>
      </c>
      <c r="B424" t="s">
        <v>2881</v>
      </c>
    </row>
    <row r="425" spans="1:2">
      <c r="A425">
        <v>810486</v>
      </c>
      <c r="B425" t="s">
        <v>1880</v>
      </c>
    </row>
    <row r="426" spans="1:2">
      <c r="A426">
        <v>810880</v>
      </c>
      <c r="B426" t="s">
        <v>1881</v>
      </c>
    </row>
    <row r="427" spans="1:2">
      <c r="A427">
        <v>810933</v>
      </c>
      <c r="B427" t="s">
        <v>2005</v>
      </c>
    </row>
    <row r="428" spans="1:2">
      <c r="A428">
        <v>811136</v>
      </c>
      <c r="B428" t="s">
        <v>2006</v>
      </c>
    </row>
    <row r="429" spans="1:2">
      <c r="A429">
        <v>811200</v>
      </c>
      <c r="B429" t="s">
        <v>2011</v>
      </c>
    </row>
    <row r="430" spans="1:2">
      <c r="A430">
        <v>811201</v>
      </c>
      <c r="B430" t="s">
        <v>1882</v>
      </c>
    </row>
    <row r="431" spans="1:2">
      <c r="A431">
        <v>811645</v>
      </c>
      <c r="B431" t="s">
        <v>2014</v>
      </c>
    </row>
    <row r="432" spans="1:2">
      <c r="A432">
        <v>814311</v>
      </c>
      <c r="B432" t="s">
        <v>1883</v>
      </c>
    </row>
    <row r="433" spans="1:2">
      <c r="A433">
        <v>821978</v>
      </c>
      <c r="B433" t="s">
        <v>2882</v>
      </c>
    </row>
    <row r="434" spans="1:2">
      <c r="A434">
        <v>845014</v>
      </c>
      <c r="B434" t="s">
        <v>2883</v>
      </c>
    </row>
    <row r="435" spans="1:2">
      <c r="A435">
        <v>846006</v>
      </c>
      <c r="B435" t="s">
        <v>1886</v>
      </c>
    </row>
    <row r="436" spans="1:2">
      <c r="A436">
        <v>846541</v>
      </c>
      <c r="B436" t="s">
        <v>2021</v>
      </c>
    </row>
    <row r="437" spans="1:2">
      <c r="A437">
        <v>847196</v>
      </c>
      <c r="B437" t="s">
        <v>1887</v>
      </c>
    </row>
    <row r="438" spans="1:2">
      <c r="A438">
        <v>847198</v>
      </c>
      <c r="B438" t="s">
        <v>1888</v>
      </c>
    </row>
    <row r="439" spans="1:2">
      <c r="A439">
        <v>847201</v>
      </c>
    </row>
    <row r="440" spans="1:2">
      <c r="A440">
        <v>847205</v>
      </c>
      <c r="B440" t="s">
        <v>1889</v>
      </c>
    </row>
    <row r="441" spans="1:2">
      <c r="A441">
        <v>847207</v>
      </c>
      <c r="B441" t="s">
        <v>1890</v>
      </c>
    </row>
    <row r="442" spans="1:2">
      <c r="A442">
        <v>847323</v>
      </c>
      <c r="B442" t="s">
        <v>2023</v>
      </c>
    </row>
    <row r="443" spans="1:2">
      <c r="A443">
        <v>847329</v>
      </c>
      <c r="B443" t="s">
        <v>1891</v>
      </c>
    </row>
    <row r="444" spans="1:2">
      <c r="A444">
        <v>848096</v>
      </c>
      <c r="B444" t="s">
        <v>1892</v>
      </c>
    </row>
    <row r="445" spans="1:2">
      <c r="A445">
        <v>848098</v>
      </c>
      <c r="B445" t="s">
        <v>1893</v>
      </c>
    </row>
    <row r="446" spans="1:2">
      <c r="A446">
        <v>848103</v>
      </c>
      <c r="B446" t="s">
        <v>1894</v>
      </c>
    </row>
    <row r="447" spans="1:2">
      <c r="A447">
        <v>848108</v>
      </c>
      <c r="B447" t="s">
        <v>1895</v>
      </c>
    </row>
    <row r="448" spans="1:2">
      <c r="A448">
        <v>848111</v>
      </c>
      <c r="B448" t="s">
        <v>1896</v>
      </c>
    </row>
    <row r="449" spans="1:2">
      <c r="A449">
        <v>848115</v>
      </c>
      <c r="B449" t="s">
        <v>2024</v>
      </c>
    </row>
    <row r="450" spans="1:2">
      <c r="A450">
        <v>848118</v>
      </c>
      <c r="B450" t="s">
        <v>1897</v>
      </c>
    </row>
    <row r="451" spans="1:2">
      <c r="A451">
        <v>848120</v>
      </c>
      <c r="B451" t="s">
        <v>2027</v>
      </c>
    </row>
    <row r="452" spans="1:2">
      <c r="A452">
        <v>849560</v>
      </c>
      <c r="B452" t="s">
        <v>2030</v>
      </c>
    </row>
    <row r="453" spans="1:2">
      <c r="A453">
        <v>849975</v>
      </c>
      <c r="B453" t="s">
        <v>2031</v>
      </c>
    </row>
    <row r="454" spans="1:2">
      <c r="A454">
        <v>849977</v>
      </c>
      <c r="B454" t="s">
        <v>2907</v>
      </c>
    </row>
    <row r="455" spans="1:2">
      <c r="A455">
        <v>849980</v>
      </c>
      <c r="B455" t="s">
        <v>2040</v>
      </c>
    </row>
    <row r="456" spans="1:2">
      <c r="A456">
        <v>849984</v>
      </c>
      <c r="B456" t="s">
        <v>2043</v>
      </c>
    </row>
    <row r="457" spans="1:2">
      <c r="A457">
        <v>849987</v>
      </c>
      <c r="B457" t="s">
        <v>1898</v>
      </c>
    </row>
    <row r="458" spans="1:2">
      <c r="A458">
        <v>849990</v>
      </c>
      <c r="B458" t="s">
        <v>2049</v>
      </c>
    </row>
    <row r="459" spans="1:2">
      <c r="A459">
        <v>851346</v>
      </c>
      <c r="B459" t="s">
        <v>1899</v>
      </c>
    </row>
    <row r="460" spans="1:2">
      <c r="A460">
        <v>851350</v>
      </c>
      <c r="B460" t="s">
        <v>1900</v>
      </c>
    </row>
    <row r="461" spans="1:2">
      <c r="A461">
        <v>851352</v>
      </c>
      <c r="B461" t="s">
        <v>1901</v>
      </c>
    </row>
    <row r="462" spans="1:2">
      <c r="A462">
        <v>851358</v>
      </c>
      <c r="B462" t="s">
        <v>2051</v>
      </c>
    </row>
    <row r="463" spans="1:2">
      <c r="A463">
        <v>851361</v>
      </c>
      <c r="B463" t="s">
        <v>1902</v>
      </c>
    </row>
    <row r="464" spans="1:2">
      <c r="A464">
        <v>851955</v>
      </c>
      <c r="B464" t="s">
        <v>1903</v>
      </c>
    </row>
    <row r="465" spans="1:2">
      <c r="A465">
        <v>851956</v>
      </c>
      <c r="B465" t="s">
        <v>1904</v>
      </c>
    </row>
    <row r="466" spans="1:2">
      <c r="A466">
        <v>851957</v>
      </c>
      <c r="B466" t="s">
        <v>2056</v>
      </c>
    </row>
    <row r="467" spans="1:2">
      <c r="A467">
        <v>851958</v>
      </c>
    </row>
    <row r="468" spans="1:2">
      <c r="A468">
        <v>851962</v>
      </c>
    </row>
    <row r="469" spans="1:2">
      <c r="A469">
        <v>852000</v>
      </c>
    </row>
    <row r="470" spans="1:2">
      <c r="A470">
        <v>852004</v>
      </c>
    </row>
    <row r="471" spans="1:2">
      <c r="A471">
        <v>852037</v>
      </c>
      <c r="B471" t="s">
        <v>2057</v>
      </c>
    </row>
    <row r="472" spans="1:2">
      <c r="A472">
        <v>852042</v>
      </c>
      <c r="B472" t="s">
        <v>2058</v>
      </c>
    </row>
    <row r="473" spans="1:2">
      <c r="A473">
        <v>852054</v>
      </c>
      <c r="B473" t="s">
        <v>2059</v>
      </c>
    </row>
    <row r="474" spans="1:2">
      <c r="A474">
        <v>852059</v>
      </c>
      <c r="B474" t="s">
        <v>2063</v>
      </c>
    </row>
    <row r="475" spans="1:2">
      <c r="A475">
        <v>852064</v>
      </c>
      <c r="B475" t="s">
        <v>2913</v>
      </c>
    </row>
    <row r="476" spans="1:2">
      <c r="A476">
        <v>852067</v>
      </c>
      <c r="B476" t="s">
        <v>2066</v>
      </c>
    </row>
    <row r="477" spans="1:2">
      <c r="A477">
        <v>852070</v>
      </c>
      <c r="B477" t="s">
        <v>2067</v>
      </c>
    </row>
    <row r="478" spans="1:2">
      <c r="A478">
        <v>852073</v>
      </c>
      <c r="B478" t="s">
        <v>2914</v>
      </c>
    </row>
    <row r="479" spans="1:2">
      <c r="A479">
        <v>852078</v>
      </c>
      <c r="B479" t="s">
        <v>2069</v>
      </c>
    </row>
    <row r="480" spans="1:2">
      <c r="A480">
        <v>852081</v>
      </c>
      <c r="B480" t="s">
        <v>2070</v>
      </c>
    </row>
    <row r="481" spans="1:2">
      <c r="A481">
        <v>852088</v>
      </c>
      <c r="B481" t="s">
        <v>2915</v>
      </c>
    </row>
    <row r="482" spans="1:2">
      <c r="A482">
        <v>852089</v>
      </c>
      <c r="B482" t="s">
        <v>2916</v>
      </c>
    </row>
    <row r="483" spans="1:2">
      <c r="A483">
        <v>852090</v>
      </c>
      <c r="B483" t="s">
        <v>2085</v>
      </c>
    </row>
    <row r="484" spans="1:2">
      <c r="A484">
        <v>852092</v>
      </c>
      <c r="B484" t="s">
        <v>2106</v>
      </c>
    </row>
    <row r="485" spans="1:2">
      <c r="A485">
        <v>852108</v>
      </c>
      <c r="B485" t="s">
        <v>1905</v>
      </c>
    </row>
    <row r="486" spans="1:2">
      <c r="A486">
        <v>852118</v>
      </c>
      <c r="B486" t="s">
        <v>2072</v>
      </c>
    </row>
    <row r="487" spans="1:2">
      <c r="A487">
        <v>852530</v>
      </c>
      <c r="B487" t="s">
        <v>1906</v>
      </c>
    </row>
    <row r="488" spans="1:2">
      <c r="A488">
        <v>852826</v>
      </c>
      <c r="B488" t="s">
        <v>1907</v>
      </c>
    </row>
    <row r="489" spans="1:2">
      <c r="A489">
        <v>852833</v>
      </c>
      <c r="B489" t="s">
        <v>2884</v>
      </c>
    </row>
    <row r="490" spans="1:2">
      <c r="A490">
        <v>855879</v>
      </c>
      <c r="B490" t="s">
        <v>1909</v>
      </c>
    </row>
    <row r="491" spans="1:2">
      <c r="A491">
        <v>856591</v>
      </c>
      <c r="B491" t="s">
        <v>2073</v>
      </c>
    </row>
    <row r="492" spans="1:2">
      <c r="A492">
        <v>859037</v>
      </c>
      <c r="B492" t="s">
        <v>1910</v>
      </c>
    </row>
    <row r="493" spans="1:2">
      <c r="A493">
        <v>865410</v>
      </c>
      <c r="B493" t="s">
        <v>1911</v>
      </c>
    </row>
    <row r="494" spans="1:2">
      <c r="A494">
        <v>869394</v>
      </c>
      <c r="B494" t="s">
        <v>2885</v>
      </c>
    </row>
    <row r="495" spans="1:2">
      <c r="A495">
        <v>874190</v>
      </c>
      <c r="B495" t="s">
        <v>1913</v>
      </c>
    </row>
    <row r="496" spans="1:2">
      <c r="A496">
        <v>874327</v>
      </c>
      <c r="B496" t="s">
        <v>2886</v>
      </c>
    </row>
    <row r="497" spans="1:2">
      <c r="A497">
        <v>917387</v>
      </c>
      <c r="B497" t="s">
        <v>2887</v>
      </c>
    </row>
    <row r="498" spans="1:2">
      <c r="A498">
        <v>931586</v>
      </c>
      <c r="B498" t="s">
        <v>1916</v>
      </c>
    </row>
    <row r="499" spans="1:2">
      <c r="A499">
        <v>950676</v>
      </c>
      <c r="B499" t="s">
        <v>1917</v>
      </c>
    </row>
    <row r="500" spans="1:2">
      <c r="A500">
        <v>950691</v>
      </c>
      <c r="B500" t="s">
        <v>1918</v>
      </c>
    </row>
    <row r="501" spans="1:2">
      <c r="A501">
        <v>959409</v>
      </c>
      <c r="B501" t="s">
        <v>1919</v>
      </c>
    </row>
    <row r="502" spans="1:2">
      <c r="A502">
        <v>988375</v>
      </c>
    </row>
    <row r="503" spans="1:2">
      <c r="A503">
        <v>989905</v>
      </c>
    </row>
    <row r="504" spans="1:2">
      <c r="A504">
        <v>990768</v>
      </c>
    </row>
    <row r="505" spans="1:2">
      <c r="A505">
        <v>1025381</v>
      </c>
      <c r="B505" t="s">
        <v>1920</v>
      </c>
    </row>
    <row r="506" spans="1:2">
      <c r="A506">
        <v>1036431</v>
      </c>
      <c r="B506" t="s">
        <v>2888</v>
      </c>
    </row>
    <row r="507" spans="1:2">
      <c r="A507">
        <v>1042996</v>
      </c>
      <c r="B507" t="s">
        <v>2923</v>
      </c>
    </row>
    <row r="508" spans="1:2">
      <c r="A508">
        <v>1044776</v>
      </c>
      <c r="B508" t="s">
        <v>1922</v>
      </c>
    </row>
    <row r="509" spans="1:2">
      <c r="A509">
        <v>1056196</v>
      </c>
      <c r="B509" t="s">
        <v>1923</v>
      </c>
    </row>
    <row r="510" spans="1:2">
      <c r="A510">
        <v>1066418</v>
      </c>
      <c r="B510" t="s">
        <v>1924</v>
      </c>
    </row>
    <row r="511" spans="1:2">
      <c r="A511">
        <v>1073796</v>
      </c>
      <c r="B511" t="s">
        <v>2109</v>
      </c>
    </row>
    <row r="512" spans="1:2">
      <c r="A512">
        <v>1073898</v>
      </c>
      <c r="B512" t="s">
        <v>1925</v>
      </c>
    </row>
    <row r="513" spans="1:2">
      <c r="A513">
        <v>1073960</v>
      </c>
      <c r="B513" t="s">
        <v>1926</v>
      </c>
    </row>
    <row r="514" spans="1:2">
      <c r="A514">
        <v>1073966</v>
      </c>
      <c r="B514" t="s">
        <v>1927</v>
      </c>
    </row>
    <row r="515" spans="1:2">
      <c r="A515">
        <v>1075896</v>
      </c>
      <c r="B515" t="s">
        <v>2889</v>
      </c>
    </row>
    <row r="516" spans="1:2">
      <c r="A516">
        <v>1075909</v>
      </c>
      <c r="B516" t="s">
        <v>1929</v>
      </c>
    </row>
    <row r="517" spans="1:2">
      <c r="A517">
        <v>1076406</v>
      </c>
      <c r="B517" t="s">
        <v>1930</v>
      </c>
    </row>
    <row r="518" spans="1:2">
      <c r="A518">
        <v>1076546</v>
      </c>
      <c r="B518" t="s">
        <v>2890</v>
      </c>
    </row>
    <row r="519" spans="1:2">
      <c r="A519">
        <v>1306834</v>
      </c>
      <c r="B519" t="s">
        <v>1932</v>
      </c>
    </row>
    <row r="520" spans="1:2">
      <c r="A520">
        <v>1313328</v>
      </c>
      <c r="B520" t="s">
        <v>1933</v>
      </c>
    </row>
    <row r="521" spans="1:2">
      <c r="A521">
        <v>1364753</v>
      </c>
      <c r="B521" t="s">
        <v>1934</v>
      </c>
    </row>
    <row r="522" spans="1:2">
      <c r="A522">
        <v>1364953</v>
      </c>
      <c r="B522" t="s">
        <v>2891</v>
      </c>
    </row>
    <row r="523" spans="1:2">
      <c r="A523">
        <v>1366602</v>
      </c>
      <c r="B523" t="s">
        <v>2892</v>
      </c>
    </row>
    <row r="524" spans="1:2">
      <c r="A524">
        <v>1373463</v>
      </c>
      <c r="B524" t="s">
        <v>1937</v>
      </c>
    </row>
    <row r="525" spans="1:2">
      <c r="A525">
        <v>1376687</v>
      </c>
      <c r="B525" t="s">
        <v>1938</v>
      </c>
    </row>
    <row r="526" spans="1:2">
      <c r="A526">
        <v>1376717</v>
      </c>
      <c r="B526" t="s">
        <v>1939</v>
      </c>
    </row>
    <row r="527" spans="1:2">
      <c r="A527">
        <v>1380949</v>
      </c>
      <c r="B527" t="s">
        <v>1940</v>
      </c>
    </row>
    <row r="528" spans="1:2">
      <c r="A528">
        <v>1381028</v>
      </c>
      <c r="B528" t="s">
        <v>1941</v>
      </c>
    </row>
    <row r="529" spans="1:2">
      <c r="A529">
        <v>1381084</v>
      </c>
      <c r="B529" t="s">
        <v>1942</v>
      </c>
    </row>
    <row r="530" spans="1:2">
      <c r="A530">
        <v>1381142</v>
      </c>
      <c r="B530" t="s">
        <v>1943</v>
      </c>
    </row>
    <row r="531" spans="1:2">
      <c r="A531">
        <v>1381247</v>
      </c>
      <c r="B531" t="s">
        <v>1944</v>
      </c>
    </row>
    <row r="532" spans="1:2">
      <c r="A532">
        <v>1384320</v>
      </c>
      <c r="B532" t="s">
        <v>1945</v>
      </c>
    </row>
    <row r="533" spans="1:2">
      <c r="A533">
        <v>1578552</v>
      </c>
      <c r="B533" t="s">
        <v>1946</v>
      </c>
    </row>
    <row r="534" spans="1:2">
      <c r="A534">
        <v>1650766</v>
      </c>
      <c r="B534" t="s">
        <v>2893</v>
      </c>
    </row>
    <row r="535" spans="1:2">
      <c r="A535">
        <v>1650797</v>
      </c>
      <c r="B535" t="s">
        <v>1948</v>
      </c>
    </row>
    <row r="536" spans="1:2">
      <c r="A536">
        <v>1650800</v>
      </c>
      <c r="B536" t="s">
        <v>2894</v>
      </c>
    </row>
    <row r="537" spans="1:2">
      <c r="A537">
        <v>1651190</v>
      </c>
      <c r="B537" t="s">
        <v>1950</v>
      </c>
    </row>
    <row r="538" spans="1:2">
      <c r="A538">
        <v>1661369</v>
      </c>
    </row>
    <row r="539" spans="1:2">
      <c r="A539">
        <v>1661419</v>
      </c>
      <c r="B539" t="s">
        <v>1951</v>
      </c>
    </row>
    <row r="540" spans="1:2">
      <c r="A540">
        <v>1669786</v>
      </c>
      <c r="B540" t="s">
        <v>1952</v>
      </c>
    </row>
    <row r="541" spans="1:2">
      <c r="A541">
        <v>1671826</v>
      </c>
      <c r="B541" t="s">
        <v>1953</v>
      </c>
    </row>
    <row r="542" spans="1:2">
      <c r="A542">
        <v>1673940</v>
      </c>
      <c r="B542" t="s">
        <v>2895</v>
      </c>
    </row>
    <row r="543" spans="1:2">
      <c r="A543">
        <v>1684166</v>
      </c>
      <c r="B543" t="s">
        <v>1955</v>
      </c>
    </row>
    <row r="544" spans="1:2">
      <c r="A544">
        <v>1693675</v>
      </c>
      <c r="B544" t="s">
        <v>2896</v>
      </c>
    </row>
    <row r="545" spans="1:2">
      <c r="A545">
        <v>1703453</v>
      </c>
      <c r="B545" t="s">
        <v>1957</v>
      </c>
    </row>
    <row r="546" spans="1:2">
      <c r="A546">
        <v>1718418</v>
      </c>
      <c r="B546" t="s">
        <v>1958</v>
      </c>
    </row>
    <row r="547" spans="1:2">
      <c r="A547">
        <v>1721598</v>
      </c>
      <c r="B547" t="s">
        <v>2897</v>
      </c>
    </row>
    <row r="548" spans="1:2">
      <c r="A548">
        <v>1721870</v>
      </c>
      <c r="B548" t="s">
        <v>1960</v>
      </c>
    </row>
    <row r="549" spans="1:2">
      <c r="A549">
        <v>1721873</v>
      </c>
      <c r="B549" t="s">
        <v>1961</v>
      </c>
    </row>
    <row r="550" spans="1:2">
      <c r="A550">
        <v>1721885</v>
      </c>
      <c r="B550" t="s">
        <v>1962</v>
      </c>
    </row>
    <row r="551" spans="1:2">
      <c r="A551">
        <v>1724855</v>
      </c>
      <c r="B551" t="s">
        <v>1963</v>
      </c>
    </row>
    <row r="552" spans="1:2">
      <c r="A552">
        <v>1725343</v>
      </c>
      <c r="B552" t="s">
        <v>1964</v>
      </c>
    </row>
    <row r="553" spans="1:2">
      <c r="A553">
        <v>1725362</v>
      </c>
      <c r="B553" t="s">
        <v>1965</v>
      </c>
    </row>
    <row r="554" spans="1:2">
      <c r="A554">
        <v>1726958</v>
      </c>
      <c r="B554" t="s">
        <v>1966</v>
      </c>
    </row>
    <row r="555" spans="1:2">
      <c r="A555">
        <v>1730019</v>
      </c>
      <c r="B555" t="s">
        <v>2898</v>
      </c>
    </row>
    <row r="556" spans="1:2">
      <c r="A556">
        <v>1732668</v>
      </c>
      <c r="B556" t="s">
        <v>1968</v>
      </c>
    </row>
    <row r="557" spans="1:2">
      <c r="A557">
        <v>1732784</v>
      </c>
      <c r="B557" t="s">
        <v>1969</v>
      </c>
    </row>
    <row r="558" spans="1:2">
      <c r="A558">
        <v>1752559</v>
      </c>
      <c r="B558" t="s">
        <v>1970</v>
      </c>
    </row>
    <row r="559" spans="1:2">
      <c r="A559">
        <v>1766960</v>
      </c>
      <c r="B559" t="s">
        <v>1971</v>
      </c>
    </row>
    <row r="560" spans="1:2">
      <c r="A560">
        <v>1779910</v>
      </c>
      <c r="B560" t="s">
        <v>1972</v>
      </c>
    </row>
    <row r="561" spans="1:2">
      <c r="A561">
        <v>1784317</v>
      </c>
      <c r="B561" t="s">
        <v>1973</v>
      </c>
    </row>
    <row r="562" spans="1:2">
      <c r="A562">
        <v>1790475</v>
      </c>
      <c r="B562" t="s">
        <v>1974</v>
      </c>
    </row>
    <row r="563" spans="1:2">
      <c r="A563">
        <v>1888900</v>
      </c>
      <c r="B563" t="s">
        <v>2899</v>
      </c>
    </row>
    <row r="564" spans="1:2">
      <c r="A564">
        <v>1891325</v>
      </c>
      <c r="B564" t="s">
        <v>1976</v>
      </c>
    </row>
    <row r="565" spans="1:2">
      <c r="A565">
        <v>1902471</v>
      </c>
      <c r="B565" t="s">
        <v>1977</v>
      </c>
    </row>
    <row r="566" spans="1:2">
      <c r="A566">
        <v>1902499</v>
      </c>
      <c r="B566" t="s">
        <v>1978</v>
      </c>
    </row>
    <row r="567" spans="1:2">
      <c r="A567">
        <v>1915110</v>
      </c>
      <c r="B567" t="s">
        <v>1979</v>
      </c>
    </row>
    <row r="568" spans="1:2">
      <c r="A568">
        <v>1919670</v>
      </c>
      <c r="B568" t="s">
        <v>2025</v>
      </c>
    </row>
    <row r="569" spans="1:2">
      <c r="A569">
        <v>1952352</v>
      </c>
      <c r="B569" t="s">
        <v>2900</v>
      </c>
    </row>
    <row r="570" spans="1:2">
      <c r="A570">
        <v>1972246</v>
      </c>
      <c r="B570" t="s">
        <v>1981</v>
      </c>
    </row>
    <row r="571" spans="1:2">
      <c r="A571">
        <v>1976927</v>
      </c>
      <c r="B571" t="s">
        <v>1982</v>
      </c>
    </row>
    <row r="572" spans="1:2">
      <c r="A572">
        <v>1979399</v>
      </c>
      <c r="B572" t="s">
        <v>1983</v>
      </c>
    </row>
    <row r="573" spans="1:2">
      <c r="A573">
        <v>1979400</v>
      </c>
      <c r="B573" t="s">
        <v>1983</v>
      </c>
    </row>
    <row r="574" spans="1:2">
      <c r="A574">
        <v>1981475</v>
      </c>
      <c r="B574" t="s">
        <v>1984</v>
      </c>
    </row>
    <row r="575" spans="1:2">
      <c r="A575">
        <v>1997012</v>
      </c>
      <c r="B575" t="s">
        <v>2901</v>
      </c>
    </row>
    <row r="576" spans="1:2">
      <c r="A576">
        <v>2011941</v>
      </c>
      <c r="B576" t="s">
        <v>1986</v>
      </c>
    </row>
    <row r="577" spans="1:2">
      <c r="A577">
        <v>2012073</v>
      </c>
      <c r="B577" t="s">
        <v>1987</v>
      </c>
    </row>
    <row r="578" spans="1:2">
      <c r="A578">
        <v>2012326</v>
      </c>
      <c r="B578" t="s">
        <v>1988</v>
      </c>
    </row>
    <row r="579" spans="1:2">
      <c r="A579">
        <v>2012422</v>
      </c>
      <c r="B579" t="s">
        <v>1989</v>
      </c>
    </row>
    <row r="580" spans="1:2">
      <c r="A580">
        <v>2012523</v>
      </c>
      <c r="B580" t="s">
        <v>1990</v>
      </c>
    </row>
    <row r="581" spans="1:2">
      <c r="A581">
        <v>2012872</v>
      </c>
      <c r="B581" t="s">
        <v>1991</v>
      </c>
    </row>
    <row r="582" spans="1:2">
      <c r="A582">
        <v>2013223</v>
      </c>
      <c r="B582" t="s">
        <v>1992</v>
      </c>
    </row>
    <row r="583" spans="1:2">
      <c r="A583">
        <v>2035379</v>
      </c>
      <c r="B583" t="s">
        <v>1993</v>
      </c>
    </row>
    <row r="584" spans="1:2">
      <c r="A584">
        <v>2064124</v>
      </c>
      <c r="B584" t="s">
        <v>1994</v>
      </c>
    </row>
    <row r="585" spans="1:2">
      <c r="A585">
        <v>2064126</v>
      </c>
      <c r="B585" t="s">
        <v>1995</v>
      </c>
    </row>
    <row r="586" spans="1:2">
      <c r="A586">
        <v>2064263</v>
      </c>
      <c r="B586" t="s">
        <v>1996</v>
      </c>
    </row>
    <row r="587" spans="1:2">
      <c r="A587">
        <v>2064274</v>
      </c>
      <c r="B587" t="s">
        <v>1997</v>
      </c>
    </row>
    <row r="588" spans="1:2">
      <c r="A588">
        <v>2105702</v>
      </c>
      <c r="B588" t="s">
        <v>1998</v>
      </c>
    </row>
    <row r="589" spans="1:2">
      <c r="A589">
        <v>2106442</v>
      </c>
      <c r="B589" t="s">
        <v>1999</v>
      </c>
    </row>
    <row r="590" spans="1:2">
      <c r="A590">
        <v>2129622</v>
      </c>
      <c r="B590" t="s">
        <v>2000</v>
      </c>
    </row>
    <row r="591" spans="1:2">
      <c r="A591">
        <v>2146321</v>
      </c>
      <c r="B591" t="s">
        <v>2001</v>
      </c>
    </row>
    <row r="592" spans="1:2">
      <c r="B592" t="s">
        <v>2110</v>
      </c>
    </row>
    <row r="593" spans="1:2">
      <c r="A593">
        <v>811649</v>
      </c>
      <c r="B593" t="s">
        <v>2111</v>
      </c>
    </row>
    <row r="594" spans="1:2">
      <c r="A594">
        <v>943524</v>
      </c>
      <c r="B594" t="s">
        <v>2112</v>
      </c>
    </row>
    <row r="595" spans="1:2">
      <c r="A595">
        <v>466860</v>
      </c>
      <c r="B595" t="s">
        <v>2113</v>
      </c>
    </row>
    <row r="596" spans="1:2">
      <c r="A596">
        <v>120404</v>
      </c>
      <c r="B596" t="s">
        <v>2114</v>
      </c>
    </row>
    <row r="597" spans="1:2">
      <c r="A597">
        <v>397714</v>
      </c>
      <c r="B597" t="s">
        <v>2115</v>
      </c>
    </row>
    <row r="598" spans="1:2">
      <c r="A598">
        <v>775708</v>
      </c>
      <c r="B598" t="s">
        <v>2116</v>
      </c>
    </row>
    <row r="599" spans="1:2">
      <c r="A599">
        <v>323152</v>
      </c>
      <c r="B599" t="s">
        <v>2117</v>
      </c>
    </row>
    <row r="600" spans="1:2">
      <c r="A600">
        <v>852023</v>
      </c>
      <c r="B600" t="s">
        <v>2118</v>
      </c>
    </row>
    <row r="601" spans="1:2">
      <c r="A601">
        <v>766917</v>
      </c>
      <c r="B601" t="s">
        <v>2926</v>
      </c>
    </row>
    <row r="602" spans="1:2">
      <c r="A602">
        <v>322677</v>
      </c>
      <c r="B602" t="s">
        <v>2120</v>
      </c>
    </row>
    <row r="603" spans="1:2">
      <c r="A603">
        <v>1073967</v>
      </c>
      <c r="B603" t="s">
        <v>2121</v>
      </c>
    </row>
    <row r="604" spans="1:2">
      <c r="A604">
        <v>372105</v>
      </c>
      <c r="B604" t="s">
        <v>2927</v>
      </c>
    </row>
    <row r="605" spans="1:2">
      <c r="A605">
        <v>380827</v>
      </c>
      <c r="B605" t="s">
        <v>2123</v>
      </c>
    </row>
    <row r="606" spans="1:2">
      <c r="A606">
        <v>323003</v>
      </c>
      <c r="B606" t="s">
        <v>2928</v>
      </c>
    </row>
    <row r="607" spans="1:2">
      <c r="A607">
        <v>329082</v>
      </c>
      <c r="B607" t="s">
        <v>2929</v>
      </c>
    </row>
    <row r="608" spans="1:2">
      <c r="A608">
        <v>1074512</v>
      </c>
      <c r="B608" t="s">
        <v>2930</v>
      </c>
    </row>
    <row r="609" spans="1:2">
      <c r="A609">
        <v>1076121</v>
      </c>
      <c r="B609" t="s">
        <v>2127</v>
      </c>
    </row>
    <row r="610" spans="1:2">
      <c r="A610">
        <v>256424</v>
      </c>
      <c r="B610" t="s">
        <v>2931</v>
      </c>
    </row>
    <row r="611" spans="1:2">
      <c r="A611">
        <v>329018</v>
      </c>
      <c r="B611" t="s">
        <v>2129</v>
      </c>
    </row>
    <row r="612" spans="1:2">
      <c r="A612">
        <v>1076059</v>
      </c>
      <c r="B612" t="s">
        <v>2130</v>
      </c>
    </row>
    <row r="613" spans="1:2">
      <c r="A613">
        <v>1076409</v>
      </c>
      <c r="B613" t="s">
        <v>2131</v>
      </c>
    </row>
    <row r="614" spans="1:2">
      <c r="A614">
        <v>357115</v>
      </c>
      <c r="B614" t="s">
        <v>2932</v>
      </c>
    </row>
    <row r="615" spans="1:2">
      <c r="A615">
        <v>397864</v>
      </c>
      <c r="B615" t="s">
        <v>2933</v>
      </c>
    </row>
    <row r="616" spans="1:2">
      <c r="A616">
        <v>330035</v>
      </c>
      <c r="B616" t="s">
        <v>2134</v>
      </c>
    </row>
    <row r="617" spans="1:2">
      <c r="A617">
        <v>852095</v>
      </c>
      <c r="B617" t="s">
        <v>2135</v>
      </c>
    </row>
    <row r="618" spans="1:2">
      <c r="A618">
        <v>852098</v>
      </c>
      <c r="B618" t="s">
        <v>2934</v>
      </c>
    </row>
    <row r="619" spans="1:2">
      <c r="A619">
        <v>74399</v>
      </c>
      <c r="B619" t="s">
        <v>2935</v>
      </c>
    </row>
    <row r="620" spans="1:2">
      <c r="A620">
        <v>75011</v>
      </c>
      <c r="B620" t="s">
        <v>2138</v>
      </c>
    </row>
    <row r="621" spans="1:2">
      <c r="A621">
        <v>74380</v>
      </c>
      <c r="B621" t="s">
        <v>2936</v>
      </c>
    </row>
    <row r="622" spans="1:2">
      <c r="A622">
        <v>322463</v>
      </c>
      <c r="B622" t="s">
        <v>2140</v>
      </c>
    </row>
    <row r="623" spans="1:2">
      <c r="A623">
        <v>380833</v>
      </c>
      <c r="B623" t="s">
        <v>2937</v>
      </c>
    </row>
    <row r="624" spans="1:2">
      <c r="A624">
        <v>1076114</v>
      </c>
      <c r="B624" t="s">
        <v>2142</v>
      </c>
    </row>
    <row r="625" spans="1:2">
      <c r="A625">
        <v>1076082</v>
      </c>
      <c r="B625" t="s">
        <v>2938</v>
      </c>
    </row>
    <row r="626" spans="1:2">
      <c r="A626">
        <v>256426</v>
      </c>
      <c r="B626" t="s">
        <v>2939</v>
      </c>
    </row>
    <row r="627" spans="1:2">
      <c r="A627">
        <v>852100</v>
      </c>
      <c r="B627" t="s">
        <v>2145</v>
      </c>
    </row>
    <row r="628" spans="1:2">
      <c r="A628">
        <v>1073963</v>
      </c>
      <c r="B628" t="s">
        <v>2146</v>
      </c>
    </row>
    <row r="629" spans="1:2">
      <c r="A629">
        <v>1075673</v>
      </c>
      <c r="B629" t="s">
        <v>2147</v>
      </c>
    </row>
    <row r="630" spans="1:2">
      <c r="A630">
        <v>1073961</v>
      </c>
      <c r="B630" t="s">
        <v>2148</v>
      </c>
    </row>
    <row r="631" spans="1:2">
      <c r="A631">
        <v>256437</v>
      </c>
      <c r="B631" t="s">
        <v>2940</v>
      </c>
    </row>
    <row r="632" spans="1:2">
      <c r="A632">
        <v>381260</v>
      </c>
      <c r="B632" t="s">
        <v>2941</v>
      </c>
    </row>
    <row r="633" spans="1:2">
      <c r="A633">
        <v>397821</v>
      </c>
      <c r="B633" t="s">
        <v>2151</v>
      </c>
    </row>
    <row r="634" spans="1:2">
      <c r="A634">
        <v>256449</v>
      </c>
      <c r="B634" t="s">
        <v>2152</v>
      </c>
    </row>
    <row r="635" spans="1:2">
      <c r="A635">
        <v>2284</v>
      </c>
      <c r="B635" t="s">
        <v>2153</v>
      </c>
    </row>
    <row r="636" spans="1:2">
      <c r="A636">
        <v>256526</v>
      </c>
      <c r="B636" t="s">
        <v>2942</v>
      </c>
    </row>
    <row r="637" spans="1:2">
      <c r="A637">
        <v>256539</v>
      </c>
      <c r="B637" t="s">
        <v>2155</v>
      </c>
    </row>
    <row r="638" spans="1:2">
      <c r="A638">
        <v>852104</v>
      </c>
      <c r="B638" t="s">
        <v>2943</v>
      </c>
    </row>
    <row r="639" spans="1:2">
      <c r="A639">
        <v>256547</v>
      </c>
      <c r="B639" t="s">
        <v>2157</v>
      </c>
    </row>
    <row r="640" spans="1:2">
      <c r="A640">
        <v>51434</v>
      </c>
    </row>
    <row r="641" spans="1:2">
      <c r="A641">
        <v>852113</v>
      </c>
      <c r="B641" t="s">
        <v>2158</v>
      </c>
    </row>
    <row r="642" spans="1:2">
      <c r="A642">
        <v>256557</v>
      </c>
      <c r="B642" t="s">
        <v>2159</v>
      </c>
    </row>
    <row r="643" spans="1:2">
      <c r="A643">
        <v>852115</v>
      </c>
    </row>
    <row r="644" spans="1:2">
      <c r="A644">
        <v>852330</v>
      </c>
      <c r="B644" t="s">
        <v>2160</v>
      </c>
    </row>
    <row r="645" spans="1:2">
      <c r="A645">
        <v>852123</v>
      </c>
      <c r="B645" t="s">
        <v>2944</v>
      </c>
    </row>
    <row r="646" spans="1:2">
      <c r="A646">
        <v>1725340</v>
      </c>
      <c r="B646" t="s">
        <v>2162</v>
      </c>
    </row>
    <row r="647" spans="1:2">
      <c r="A647">
        <v>1729552</v>
      </c>
      <c r="B647" t="s">
        <v>2163</v>
      </c>
    </row>
    <row r="648" spans="1:2">
      <c r="A648">
        <v>256560</v>
      </c>
      <c r="B648" t="s">
        <v>2164</v>
      </c>
    </row>
    <row r="649" spans="1:2">
      <c r="A649">
        <v>852124</v>
      </c>
      <c r="B649" t="s">
        <v>2165</v>
      </c>
    </row>
    <row r="650" spans="1:2">
      <c r="A650">
        <v>852125</v>
      </c>
      <c r="B650" t="s">
        <v>2166</v>
      </c>
    </row>
    <row r="651" spans="1:2">
      <c r="A651">
        <v>852132</v>
      </c>
    </row>
    <row r="652" spans="1:2">
      <c r="A652">
        <v>852127</v>
      </c>
      <c r="B652" t="s">
        <v>2167</v>
      </c>
    </row>
    <row r="653" spans="1:2">
      <c r="A653">
        <v>852129</v>
      </c>
    </row>
    <row r="654" spans="1:2">
      <c r="A654">
        <v>852331</v>
      </c>
      <c r="B654" t="s">
        <v>2168</v>
      </c>
    </row>
    <row r="655" spans="1:2">
      <c r="A655">
        <v>256592</v>
      </c>
      <c r="B655" t="s">
        <v>2945</v>
      </c>
    </row>
    <row r="656" spans="1:2">
      <c r="A656">
        <v>852135</v>
      </c>
      <c r="B656" t="s">
        <v>2170</v>
      </c>
    </row>
    <row r="657" spans="1:2">
      <c r="A657">
        <v>458658</v>
      </c>
      <c r="B657" t="s">
        <v>2171</v>
      </c>
    </row>
    <row r="658" spans="1:2">
      <c r="A658">
        <v>852140</v>
      </c>
      <c r="B658" t="s">
        <v>2172</v>
      </c>
    </row>
    <row r="659" spans="1:2">
      <c r="A659">
        <v>42859</v>
      </c>
    </row>
    <row r="660" spans="1:2">
      <c r="A660">
        <v>458756</v>
      </c>
      <c r="B660" t="s">
        <v>2173</v>
      </c>
    </row>
    <row r="661" spans="1:2">
      <c r="A661">
        <v>256620</v>
      </c>
      <c r="B661" t="s">
        <v>2174</v>
      </c>
    </row>
    <row r="662" spans="1:2">
      <c r="A662">
        <v>852474</v>
      </c>
    </row>
    <row r="663" spans="1:2">
      <c r="A663">
        <v>197691</v>
      </c>
      <c r="B663" t="s">
        <v>2946</v>
      </c>
    </row>
    <row r="664" spans="1:2">
      <c r="A664">
        <v>852143</v>
      </c>
      <c r="B664" t="s">
        <v>2947</v>
      </c>
    </row>
    <row r="665" spans="1:2">
      <c r="A665">
        <v>86944</v>
      </c>
      <c r="B665" t="s">
        <v>2948</v>
      </c>
    </row>
    <row r="666" spans="1:2">
      <c r="A666">
        <v>476969</v>
      </c>
      <c r="B666" t="s">
        <v>2949</v>
      </c>
    </row>
    <row r="667" spans="1:2">
      <c r="A667">
        <v>197848</v>
      </c>
      <c r="B667" t="s">
        <v>2179</v>
      </c>
    </row>
    <row r="668" spans="1:2">
      <c r="A668">
        <v>411997</v>
      </c>
    </row>
    <row r="669" spans="1:2">
      <c r="A669">
        <v>852160</v>
      </c>
      <c r="B669" t="s">
        <v>2950</v>
      </c>
    </row>
    <row r="670" spans="1:2">
      <c r="A670">
        <v>852162</v>
      </c>
    </row>
    <row r="671" spans="1:2">
      <c r="A671">
        <v>257364</v>
      </c>
      <c r="B671" t="s">
        <v>2951</v>
      </c>
    </row>
    <row r="672" spans="1:2">
      <c r="A672">
        <v>197068</v>
      </c>
      <c r="B672" t="s">
        <v>2952</v>
      </c>
    </row>
    <row r="673" spans="1:2">
      <c r="A673">
        <v>197059</v>
      </c>
      <c r="B673" t="s">
        <v>2183</v>
      </c>
    </row>
    <row r="674" spans="1:2">
      <c r="A674">
        <v>196562</v>
      </c>
      <c r="B674" t="s">
        <v>2184</v>
      </c>
    </row>
    <row r="675" spans="1:2">
      <c r="A675">
        <v>257368</v>
      </c>
      <c r="B675" t="s">
        <v>2185</v>
      </c>
    </row>
    <row r="676" spans="1:2">
      <c r="A676">
        <v>196558</v>
      </c>
      <c r="B676" t="s">
        <v>2953</v>
      </c>
    </row>
    <row r="677" spans="1:2">
      <c r="A677">
        <v>196549</v>
      </c>
      <c r="B677" t="s">
        <v>2187</v>
      </c>
    </row>
    <row r="678" spans="1:2">
      <c r="A678">
        <v>196547</v>
      </c>
      <c r="B678" t="s">
        <v>2954</v>
      </c>
    </row>
    <row r="679" spans="1:2">
      <c r="A679">
        <v>196544</v>
      </c>
      <c r="B679" t="s">
        <v>2189</v>
      </c>
    </row>
    <row r="680" spans="1:2">
      <c r="A680">
        <v>196533</v>
      </c>
      <c r="B680" t="s">
        <v>2955</v>
      </c>
    </row>
    <row r="681" spans="1:2">
      <c r="A681">
        <v>196530</v>
      </c>
      <c r="B681" t="s">
        <v>2191</v>
      </c>
    </row>
    <row r="682" spans="1:2">
      <c r="A682">
        <v>196524</v>
      </c>
      <c r="B682" t="s">
        <v>2956</v>
      </c>
    </row>
    <row r="683" spans="1:2">
      <c r="A683">
        <v>257404</v>
      </c>
      <c r="B683" t="s">
        <v>2193</v>
      </c>
    </row>
    <row r="684" spans="1:2">
      <c r="A684">
        <v>196521</v>
      </c>
      <c r="B684" t="s">
        <v>2194</v>
      </c>
    </row>
    <row r="685" spans="1:2">
      <c r="A685">
        <v>196467</v>
      </c>
      <c r="B685" t="s">
        <v>2957</v>
      </c>
    </row>
    <row r="686" spans="1:2">
      <c r="A686">
        <v>220128</v>
      </c>
      <c r="B686" t="s">
        <v>2196</v>
      </c>
    </row>
    <row r="687" spans="1:2">
      <c r="A687">
        <v>257406</v>
      </c>
      <c r="B687" t="s">
        <v>2197</v>
      </c>
    </row>
    <row r="688" spans="1:2">
      <c r="A688">
        <v>755713</v>
      </c>
      <c r="B688" t="s">
        <v>2198</v>
      </c>
    </row>
    <row r="689" spans="1:2">
      <c r="A689">
        <v>852531</v>
      </c>
      <c r="B689" t="s">
        <v>2958</v>
      </c>
    </row>
    <row r="690" spans="1:2">
      <c r="A690">
        <v>854013</v>
      </c>
      <c r="B690" t="s">
        <v>2200</v>
      </c>
    </row>
    <row r="691" spans="1:2">
      <c r="A691">
        <v>453095</v>
      </c>
      <c r="B691" t="s">
        <v>2201</v>
      </c>
    </row>
    <row r="692" spans="1:2">
      <c r="A692">
        <v>258477</v>
      </c>
      <c r="B692" t="s">
        <v>2202</v>
      </c>
    </row>
    <row r="693" spans="1:2">
      <c r="A693">
        <v>852829</v>
      </c>
      <c r="B693" t="s">
        <v>2959</v>
      </c>
    </row>
    <row r="694" spans="1:2">
      <c r="A694">
        <v>950716</v>
      </c>
      <c r="B694" t="s">
        <v>2204</v>
      </c>
    </row>
    <row r="695" spans="1:2">
      <c r="A695">
        <v>258485</v>
      </c>
      <c r="B695" t="s">
        <v>2205</v>
      </c>
    </row>
    <row r="696" spans="1:2">
      <c r="A696">
        <v>859017</v>
      </c>
    </row>
    <row r="697" spans="1:2">
      <c r="A697">
        <v>258492</v>
      </c>
      <c r="B697" t="s">
        <v>2206</v>
      </c>
    </row>
    <row r="698" spans="1:2">
      <c r="A698">
        <v>382849</v>
      </c>
      <c r="B698" t="s">
        <v>2207</v>
      </c>
    </row>
    <row r="699" spans="1:2">
      <c r="A699">
        <v>258488</v>
      </c>
      <c r="B699" t="s">
        <v>2208</v>
      </c>
    </row>
    <row r="700" spans="1:2">
      <c r="A700">
        <v>188938</v>
      </c>
      <c r="B700" t="s">
        <v>2209</v>
      </c>
    </row>
    <row r="701" spans="1:2">
      <c r="A701">
        <v>252303</v>
      </c>
      <c r="B701" t="s">
        <v>2960</v>
      </c>
    </row>
    <row r="702" spans="1:2">
      <c r="A702">
        <v>258505</v>
      </c>
      <c r="B702" t="s">
        <v>2211</v>
      </c>
    </row>
    <row r="703" spans="1:2">
      <c r="A703">
        <v>329709</v>
      </c>
      <c r="B703" t="s">
        <v>2212</v>
      </c>
    </row>
    <row r="704" spans="1:2">
      <c r="A704">
        <v>874186</v>
      </c>
      <c r="B704" t="s">
        <v>2961</v>
      </c>
    </row>
    <row r="705" spans="1:2">
      <c r="A705">
        <v>453764</v>
      </c>
      <c r="B705" t="s">
        <v>2214</v>
      </c>
    </row>
    <row r="706" spans="1:2">
      <c r="A706">
        <v>865326</v>
      </c>
      <c r="B706" t="s">
        <v>2962</v>
      </c>
    </row>
    <row r="707" spans="1:2">
      <c r="A707">
        <v>258529</v>
      </c>
      <c r="B707" t="s">
        <v>2216</v>
      </c>
    </row>
    <row r="708" spans="1:2">
      <c r="A708">
        <v>86775</v>
      </c>
      <c r="B708" t="s">
        <v>2217</v>
      </c>
    </row>
    <row r="709" spans="1:2">
      <c r="A709">
        <v>397762</v>
      </c>
      <c r="B709" t="s">
        <v>2963</v>
      </c>
    </row>
    <row r="710" spans="1:2">
      <c r="A710">
        <v>475209</v>
      </c>
      <c r="B710" t="s">
        <v>2964</v>
      </c>
    </row>
    <row r="711" spans="1:2">
      <c r="A711">
        <v>403852</v>
      </c>
      <c r="B711" t="s">
        <v>2220</v>
      </c>
    </row>
    <row r="712" spans="1:2">
      <c r="A712">
        <v>849973</v>
      </c>
      <c r="B712" t="s">
        <v>2221</v>
      </c>
    </row>
    <row r="713" spans="1:2">
      <c r="A713">
        <v>258571</v>
      </c>
      <c r="B713" t="s">
        <v>2222</v>
      </c>
    </row>
    <row r="714" spans="1:2">
      <c r="A714">
        <v>869409</v>
      </c>
      <c r="B714" t="s">
        <v>2223</v>
      </c>
    </row>
    <row r="715" spans="1:2">
      <c r="A715">
        <v>397744</v>
      </c>
      <c r="B715" t="s">
        <v>2965</v>
      </c>
    </row>
    <row r="716" spans="1:2">
      <c r="A716">
        <v>382847</v>
      </c>
      <c r="B716" t="s">
        <v>2225</v>
      </c>
    </row>
    <row r="717" spans="1:2">
      <c r="B717" t="s">
        <v>2226</v>
      </c>
    </row>
    <row r="718" spans="1:2">
      <c r="A718">
        <v>397749</v>
      </c>
      <c r="B718" t="s">
        <v>2227</v>
      </c>
    </row>
    <row r="719" spans="1:2">
      <c r="A719">
        <v>1075889</v>
      </c>
      <c r="B719" t="s">
        <v>2228</v>
      </c>
    </row>
    <row r="720" spans="1:2">
      <c r="A720">
        <v>1072941</v>
      </c>
      <c r="B720" t="s">
        <v>2229</v>
      </c>
    </row>
    <row r="721" spans="1:2">
      <c r="A721">
        <v>1073971</v>
      </c>
      <c r="B721" t="s">
        <v>2230</v>
      </c>
    </row>
    <row r="722" spans="1:2">
      <c r="A722">
        <v>1073970</v>
      </c>
      <c r="B722" t="s">
        <v>2966</v>
      </c>
    </row>
    <row r="723" spans="1:2">
      <c r="A723">
        <v>1074122</v>
      </c>
      <c r="B723" t="s">
        <v>2232</v>
      </c>
    </row>
    <row r="724" spans="1:2">
      <c r="A724">
        <v>1074123</v>
      </c>
      <c r="B724" t="s">
        <v>2967</v>
      </c>
    </row>
    <row r="725" spans="1:2">
      <c r="A725">
        <v>258643</v>
      </c>
      <c r="B725" t="s">
        <v>2234</v>
      </c>
    </row>
    <row r="726" spans="1:2">
      <c r="A726">
        <v>475369</v>
      </c>
      <c r="B726" t="s">
        <v>2235</v>
      </c>
    </row>
    <row r="727" spans="1:2">
      <c r="A727">
        <v>865324</v>
      </c>
      <c r="B727" t="s">
        <v>2968</v>
      </c>
    </row>
    <row r="728" spans="1:2">
      <c r="A728">
        <v>854034</v>
      </c>
      <c r="B728" t="s">
        <v>2969</v>
      </c>
    </row>
    <row r="729" spans="1:2">
      <c r="A729">
        <v>389124</v>
      </c>
      <c r="B729" t="s">
        <v>2970</v>
      </c>
    </row>
    <row r="730" spans="1:2">
      <c r="A730">
        <v>411545</v>
      </c>
      <c r="B730" t="s">
        <v>2971</v>
      </c>
    </row>
    <row r="731" spans="1:2">
      <c r="A731">
        <v>1725322</v>
      </c>
      <c r="B731" t="s">
        <v>2240</v>
      </c>
    </row>
    <row r="732" spans="1:2">
      <c r="A732">
        <v>1725320</v>
      </c>
      <c r="B732" t="s">
        <v>2241</v>
      </c>
    </row>
    <row r="733" spans="1:2">
      <c r="A733">
        <v>1725124</v>
      </c>
      <c r="B733" t="s">
        <v>2972</v>
      </c>
    </row>
    <row r="734" spans="1:2">
      <c r="A734">
        <v>1725326</v>
      </c>
      <c r="B734" t="s">
        <v>2243</v>
      </c>
    </row>
    <row r="735" spans="1:2">
      <c r="A735">
        <v>1725344</v>
      </c>
      <c r="B735" t="s">
        <v>2244</v>
      </c>
    </row>
    <row r="736" spans="1:2">
      <c r="A736">
        <v>1725363</v>
      </c>
      <c r="B736" t="s">
        <v>2973</v>
      </c>
    </row>
    <row r="737" spans="1:2">
      <c r="A737">
        <v>1725327</v>
      </c>
      <c r="B737" t="s">
        <v>2246</v>
      </c>
    </row>
    <row r="738" spans="1:2">
      <c r="A738">
        <v>1725128</v>
      </c>
      <c r="B738" t="s">
        <v>2974</v>
      </c>
    </row>
    <row r="739" spans="1:2">
      <c r="A739">
        <v>1725323</v>
      </c>
      <c r="B739" t="s">
        <v>2975</v>
      </c>
    </row>
    <row r="740" spans="1:2">
      <c r="A740">
        <v>1734387</v>
      </c>
      <c r="B740" t="s">
        <v>2249</v>
      </c>
    </row>
    <row r="741" spans="1:2">
      <c r="A741">
        <v>1729556</v>
      </c>
      <c r="B741" t="s">
        <v>2976</v>
      </c>
    </row>
    <row r="742" spans="1:2">
      <c r="A742">
        <v>1730024</v>
      </c>
      <c r="B742" t="s">
        <v>2251</v>
      </c>
    </row>
    <row r="743" spans="1:2">
      <c r="A743">
        <v>388329</v>
      </c>
      <c r="B743" t="s">
        <v>2252</v>
      </c>
    </row>
    <row r="744" spans="1:2">
      <c r="A744">
        <v>258791</v>
      </c>
      <c r="B744" t="s">
        <v>2253</v>
      </c>
    </row>
    <row r="745" spans="1:2">
      <c r="A745">
        <v>743575</v>
      </c>
    </row>
    <row r="746" spans="1:2">
      <c r="A746">
        <v>179885</v>
      </c>
      <c r="B746" t="s">
        <v>2977</v>
      </c>
    </row>
    <row r="747" spans="1:2">
      <c r="A747">
        <v>1951715</v>
      </c>
      <c r="B747" t="s">
        <v>2978</v>
      </c>
    </row>
    <row r="748" spans="1:2">
      <c r="A748">
        <v>252438</v>
      </c>
      <c r="B748" t="s">
        <v>2979</v>
      </c>
    </row>
    <row r="749" spans="1:2">
      <c r="A749">
        <v>718199</v>
      </c>
      <c r="B749" t="s">
        <v>2980</v>
      </c>
    </row>
    <row r="750" spans="1:2">
      <c r="A750">
        <v>374548</v>
      </c>
    </row>
    <row r="751" spans="1:2">
      <c r="A751">
        <v>718172</v>
      </c>
      <c r="B751" t="s">
        <v>2981</v>
      </c>
    </row>
    <row r="752" spans="1:2">
      <c r="A752">
        <v>252594</v>
      </c>
      <c r="B752" t="s">
        <v>2982</v>
      </c>
    </row>
    <row r="753" spans="1:2">
      <c r="A753">
        <v>854137</v>
      </c>
      <c r="B753" t="s">
        <v>2983</v>
      </c>
    </row>
    <row r="754" spans="1:2">
      <c r="A754">
        <v>1919817</v>
      </c>
      <c r="B754" t="s">
        <v>2984</v>
      </c>
    </row>
    <row r="755" spans="1:2">
      <c r="A755">
        <v>854974</v>
      </c>
      <c r="B755" t="s">
        <v>2262</v>
      </c>
    </row>
    <row r="756" spans="1:2">
      <c r="A756">
        <v>344400</v>
      </c>
    </row>
    <row r="757" spans="1:2">
      <c r="A757">
        <v>259140</v>
      </c>
      <c r="B757" t="s">
        <v>2263</v>
      </c>
    </row>
    <row r="758" spans="1:2">
      <c r="A758">
        <v>855339</v>
      </c>
      <c r="B758" t="s">
        <v>2985</v>
      </c>
    </row>
    <row r="759" spans="1:2">
      <c r="A759">
        <v>254183</v>
      </c>
    </row>
    <row r="760" spans="1:2">
      <c r="A760">
        <v>855528</v>
      </c>
      <c r="B760" t="s">
        <v>2265</v>
      </c>
    </row>
    <row r="761" spans="1:2">
      <c r="A761">
        <v>252226</v>
      </c>
      <c r="B761" t="s">
        <v>2266</v>
      </c>
    </row>
    <row r="762" spans="1:2">
      <c r="A762">
        <v>164562</v>
      </c>
      <c r="B762" t="s">
        <v>2267</v>
      </c>
    </row>
    <row r="763" spans="1:2">
      <c r="A763">
        <v>855880</v>
      </c>
      <c r="B763" t="s">
        <v>2986</v>
      </c>
    </row>
    <row r="764" spans="1:2">
      <c r="A764">
        <v>164561</v>
      </c>
      <c r="B764" t="s">
        <v>2269</v>
      </c>
    </row>
    <row r="765" spans="1:2">
      <c r="A765">
        <v>157627</v>
      </c>
      <c r="B765" t="s">
        <v>2987</v>
      </c>
    </row>
    <row r="766" spans="1:2">
      <c r="A766">
        <v>259248</v>
      </c>
      <c r="B766" t="s">
        <v>2271</v>
      </c>
    </row>
    <row r="767" spans="1:2">
      <c r="A767">
        <v>259166</v>
      </c>
      <c r="B767" t="s">
        <v>2272</v>
      </c>
    </row>
    <row r="768" spans="1:2">
      <c r="A768">
        <v>258999</v>
      </c>
      <c r="B768" t="s">
        <v>2273</v>
      </c>
    </row>
    <row r="769" spans="1:2">
      <c r="A769">
        <v>259273</v>
      </c>
      <c r="B769" t="s">
        <v>2274</v>
      </c>
    </row>
    <row r="770" spans="1:2">
      <c r="A770">
        <v>259295</v>
      </c>
      <c r="B770" t="s">
        <v>2275</v>
      </c>
    </row>
    <row r="771" spans="1:2">
      <c r="A771">
        <v>381381</v>
      </c>
      <c r="B771" t="s">
        <v>2276</v>
      </c>
    </row>
    <row r="772" spans="1:2">
      <c r="A772">
        <v>397799</v>
      </c>
    </row>
    <row r="773" spans="1:2">
      <c r="A773">
        <v>259434</v>
      </c>
      <c r="B773" t="s">
        <v>2277</v>
      </c>
    </row>
    <row r="774" spans="1:2">
      <c r="A774">
        <v>592633</v>
      </c>
      <c r="B774" t="s">
        <v>2278</v>
      </c>
    </row>
    <row r="775" spans="1:2">
      <c r="A775">
        <v>259482</v>
      </c>
      <c r="B775" t="s">
        <v>2279</v>
      </c>
    </row>
    <row r="776" spans="1:2">
      <c r="A776">
        <v>259505</v>
      </c>
      <c r="B776" t="s">
        <v>2280</v>
      </c>
    </row>
    <row r="777" spans="1:2">
      <c r="A777">
        <v>913393</v>
      </c>
      <c r="B777" t="s">
        <v>2281</v>
      </c>
    </row>
    <row r="778" spans="1:2">
      <c r="A778">
        <v>381385</v>
      </c>
    </row>
    <row r="779" spans="1:2">
      <c r="A779">
        <v>857274</v>
      </c>
      <c r="B779" t="s">
        <v>2282</v>
      </c>
    </row>
    <row r="780" spans="1:2">
      <c r="A780">
        <v>1030655</v>
      </c>
      <c r="B780" t="s">
        <v>2283</v>
      </c>
    </row>
    <row r="781" spans="1:2">
      <c r="A781">
        <v>1056188</v>
      </c>
      <c r="B781" t="s">
        <v>2284</v>
      </c>
    </row>
    <row r="782" spans="1:2">
      <c r="A782">
        <v>1056197</v>
      </c>
      <c r="B782" t="s">
        <v>2285</v>
      </c>
    </row>
    <row r="783" spans="1:2">
      <c r="A783">
        <v>331426</v>
      </c>
      <c r="B783" t="s">
        <v>2286</v>
      </c>
    </row>
    <row r="784" spans="1:2">
      <c r="A784">
        <v>804858</v>
      </c>
    </row>
    <row r="785" spans="1:2">
      <c r="A785">
        <v>857883</v>
      </c>
      <c r="B785" t="s">
        <v>2287</v>
      </c>
    </row>
    <row r="786" spans="1:2">
      <c r="A786">
        <v>856602</v>
      </c>
    </row>
    <row r="787" spans="1:2">
      <c r="A787">
        <v>856606</v>
      </c>
    </row>
    <row r="788" spans="1:2">
      <c r="A788">
        <v>857884</v>
      </c>
      <c r="B788" t="s">
        <v>2288</v>
      </c>
    </row>
    <row r="789" spans="1:2">
      <c r="A789">
        <v>856610</v>
      </c>
      <c r="B789" t="s">
        <v>2289</v>
      </c>
    </row>
    <row r="790" spans="1:2">
      <c r="A790">
        <v>856594</v>
      </c>
      <c r="B790" t="s">
        <v>2290</v>
      </c>
    </row>
    <row r="791" spans="1:2">
      <c r="A791">
        <v>74733</v>
      </c>
      <c r="B791" t="s">
        <v>2291</v>
      </c>
    </row>
    <row r="792" spans="1:2">
      <c r="A792">
        <v>74377</v>
      </c>
      <c r="B792" t="s">
        <v>2988</v>
      </c>
    </row>
    <row r="793" spans="1:2">
      <c r="A793">
        <v>263699</v>
      </c>
      <c r="B793" t="s">
        <v>2293</v>
      </c>
    </row>
    <row r="794" spans="1:2">
      <c r="A794">
        <v>857875</v>
      </c>
      <c r="B794" t="s">
        <v>2294</v>
      </c>
    </row>
    <row r="795" spans="1:2">
      <c r="A795">
        <v>857878</v>
      </c>
    </row>
    <row r="796" spans="1:2">
      <c r="A796">
        <v>856599</v>
      </c>
      <c r="B796" t="s">
        <v>2989</v>
      </c>
    </row>
    <row r="797" spans="1:2">
      <c r="A797">
        <v>837037</v>
      </c>
    </row>
    <row r="798" spans="1:2">
      <c r="A798">
        <v>858437</v>
      </c>
      <c r="B798" t="s">
        <v>2296</v>
      </c>
    </row>
    <row r="799" spans="1:2">
      <c r="A799">
        <v>259605</v>
      </c>
      <c r="B799" t="s">
        <v>2990</v>
      </c>
    </row>
    <row r="800" spans="1:2">
      <c r="A800">
        <v>259614</v>
      </c>
      <c r="B800" t="s">
        <v>2991</v>
      </c>
    </row>
    <row r="801" spans="1:2">
      <c r="A801">
        <v>259721</v>
      </c>
      <c r="B801" t="s">
        <v>2299</v>
      </c>
    </row>
    <row r="802" spans="1:2">
      <c r="A802">
        <v>381386</v>
      </c>
      <c r="B802" t="s">
        <v>2300</v>
      </c>
    </row>
    <row r="803" spans="1:2">
      <c r="A803">
        <v>804973</v>
      </c>
      <c r="B803" t="s">
        <v>2992</v>
      </c>
    </row>
    <row r="804" spans="1:2">
      <c r="A804">
        <v>259731</v>
      </c>
      <c r="B804" t="s">
        <v>2302</v>
      </c>
    </row>
    <row r="805" spans="1:2">
      <c r="A805">
        <v>259774</v>
      </c>
      <c r="B805" t="s">
        <v>2303</v>
      </c>
    </row>
    <row r="806" spans="1:2">
      <c r="A806">
        <v>859029</v>
      </c>
      <c r="B806" t="s">
        <v>2304</v>
      </c>
    </row>
    <row r="807" spans="1:2">
      <c r="A807">
        <v>381435</v>
      </c>
    </row>
    <row r="808" spans="1:2">
      <c r="A808">
        <v>252299</v>
      </c>
      <c r="B808" t="s">
        <v>2305</v>
      </c>
    </row>
    <row r="809" spans="1:2">
      <c r="A809">
        <v>860111</v>
      </c>
      <c r="B809" t="s">
        <v>2306</v>
      </c>
    </row>
    <row r="810" spans="1:2">
      <c r="A810">
        <v>259931</v>
      </c>
    </row>
    <row r="811" spans="1:2">
      <c r="A811">
        <v>259944</v>
      </c>
      <c r="B811" t="s">
        <v>2307</v>
      </c>
    </row>
    <row r="812" spans="1:2">
      <c r="A812">
        <v>259972</v>
      </c>
      <c r="B812" t="s">
        <v>2308</v>
      </c>
    </row>
    <row r="813" spans="1:2">
      <c r="A813">
        <v>259976</v>
      </c>
      <c r="B813" t="s">
        <v>2309</v>
      </c>
    </row>
    <row r="814" spans="1:2">
      <c r="A814">
        <v>259978</v>
      </c>
      <c r="B814" t="s">
        <v>2310</v>
      </c>
    </row>
    <row r="815" spans="1:2">
      <c r="A815">
        <v>259979</v>
      </c>
      <c r="B815" t="s">
        <v>2311</v>
      </c>
    </row>
    <row r="816" spans="1:2">
      <c r="A816">
        <v>862113</v>
      </c>
      <c r="B816" t="s">
        <v>2312</v>
      </c>
    </row>
    <row r="817" spans="1:2">
      <c r="A817">
        <v>862117</v>
      </c>
      <c r="B817" t="s">
        <v>2313</v>
      </c>
    </row>
    <row r="818" spans="1:2">
      <c r="A818">
        <v>862035</v>
      </c>
      <c r="B818" t="s">
        <v>2314</v>
      </c>
    </row>
    <row r="819" spans="1:2">
      <c r="A819">
        <v>259984</v>
      </c>
      <c r="B819" t="s">
        <v>2315</v>
      </c>
    </row>
    <row r="820" spans="1:2">
      <c r="A820">
        <v>259989</v>
      </c>
      <c r="B820" t="s">
        <v>2993</v>
      </c>
    </row>
    <row r="821" spans="1:2">
      <c r="A821">
        <v>865296</v>
      </c>
      <c r="B821" t="s">
        <v>2317</v>
      </c>
    </row>
    <row r="822" spans="1:2">
      <c r="A822">
        <v>865245</v>
      </c>
      <c r="B822" t="s">
        <v>2318</v>
      </c>
    </row>
    <row r="823" spans="1:2">
      <c r="A823">
        <v>865247</v>
      </c>
      <c r="B823" t="s">
        <v>2319</v>
      </c>
    </row>
    <row r="824" spans="1:2">
      <c r="A824">
        <v>259994</v>
      </c>
      <c r="B824" t="s">
        <v>2994</v>
      </c>
    </row>
    <row r="825" spans="1:2">
      <c r="A825">
        <v>865315</v>
      </c>
      <c r="B825" t="s">
        <v>2321</v>
      </c>
    </row>
    <row r="826" spans="1:2">
      <c r="A826">
        <v>865336</v>
      </c>
      <c r="B826" t="s">
        <v>2322</v>
      </c>
    </row>
    <row r="827" spans="1:2">
      <c r="A827">
        <v>865344</v>
      </c>
      <c r="B827" t="s">
        <v>2995</v>
      </c>
    </row>
    <row r="828" spans="1:2">
      <c r="A828">
        <v>865405</v>
      </c>
      <c r="B828" t="s">
        <v>2324</v>
      </c>
    </row>
    <row r="829" spans="1:2">
      <c r="A829">
        <v>865408</v>
      </c>
      <c r="B829" t="s">
        <v>2325</v>
      </c>
    </row>
    <row r="830" spans="1:2">
      <c r="A830">
        <v>260058</v>
      </c>
      <c r="B830" t="s">
        <v>2996</v>
      </c>
    </row>
    <row r="831" spans="1:2">
      <c r="A831">
        <v>382851</v>
      </c>
      <c r="B831" t="s">
        <v>2327</v>
      </c>
    </row>
    <row r="832" spans="1:2">
      <c r="A832">
        <v>260069</v>
      </c>
      <c r="B832" t="s">
        <v>2328</v>
      </c>
    </row>
    <row r="833" spans="1:2">
      <c r="A833">
        <v>397837</v>
      </c>
      <c r="B833" t="s">
        <v>2329</v>
      </c>
    </row>
    <row r="834" spans="1:2">
      <c r="A834">
        <v>261532</v>
      </c>
      <c r="B834" t="s">
        <v>2330</v>
      </c>
    </row>
    <row r="835" spans="1:2">
      <c r="A835">
        <v>262113</v>
      </c>
    </row>
    <row r="836" spans="1:2">
      <c r="A836">
        <v>263814</v>
      </c>
      <c r="B836" t="s">
        <v>2331</v>
      </c>
    </row>
    <row r="837" spans="1:2">
      <c r="A837">
        <v>277515</v>
      </c>
      <c r="B837" t="s">
        <v>2332</v>
      </c>
    </row>
    <row r="838" spans="1:2">
      <c r="A838">
        <v>320556</v>
      </c>
      <c r="B838" t="s">
        <v>2333</v>
      </c>
    </row>
    <row r="839" spans="1:2">
      <c r="A839">
        <v>320558</v>
      </c>
      <c r="B839" t="s">
        <v>2334</v>
      </c>
    </row>
    <row r="840" spans="1:2">
      <c r="A840">
        <v>865420</v>
      </c>
      <c r="B840" t="s">
        <v>2997</v>
      </c>
    </row>
    <row r="841" spans="1:2">
      <c r="A841">
        <v>321750</v>
      </c>
      <c r="B841" t="s">
        <v>2336</v>
      </c>
    </row>
    <row r="842" spans="1:2">
      <c r="A842">
        <v>257351</v>
      </c>
      <c r="B842" t="s">
        <v>2337</v>
      </c>
    </row>
    <row r="843" spans="1:2">
      <c r="A843">
        <v>319042</v>
      </c>
    </row>
    <row r="844" spans="1:2">
      <c r="A844">
        <v>321756</v>
      </c>
      <c r="B844" t="s">
        <v>2338</v>
      </c>
    </row>
    <row r="845" spans="1:2">
      <c r="A845">
        <v>397785</v>
      </c>
      <c r="B845" t="s">
        <v>2998</v>
      </c>
    </row>
    <row r="846" spans="1:2">
      <c r="A846">
        <v>865431</v>
      </c>
      <c r="B846" t="s">
        <v>2340</v>
      </c>
    </row>
    <row r="847" spans="1:2">
      <c r="A847">
        <v>865432</v>
      </c>
    </row>
    <row r="848" spans="1:2">
      <c r="A848">
        <v>321919</v>
      </c>
      <c r="B848" t="s">
        <v>2341</v>
      </c>
    </row>
    <row r="849" spans="1:2">
      <c r="A849">
        <v>865714</v>
      </c>
    </row>
    <row r="850" spans="1:2">
      <c r="A850">
        <v>322059</v>
      </c>
      <c r="B850" t="s">
        <v>2342</v>
      </c>
    </row>
    <row r="851" spans="1:2">
      <c r="A851">
        <v>322212</v>
      </c>
      <c r="B851" t="s">
        <v>2343</v>
      </c>
    </row>
    <row r="852" spans="1:2">
      <c r="A852">
        <v>322214</v>
      </c>
      <c r="B852" t="s">
        <v>2344</v>
      </c>
    </row>
    <row r="853" spans="1:2">
      <c r="A853">
        <v>322278</v>
      </c>
      <c r="B853" t="s">
        <v>2345</v>
      </c>
    </row>
    <row r="854" spans="1:2">
      <c r="A854">
        <v>322579</v>
      </c>
      <c r="B854" t="s">
        <v>2346</v>
      </c>
    </row>
    <row r="855" spans="1:2">
      <c r="A855">
        <v>255920</v>
      </c>
      <c r="B855" t="s">
        <v>2347</v>
      </c>
    </row>
    <row r="856" spans="1:2">
      <c r="A856">
        <v>765243</v>
      </c>
    </row>
    <row r="857" spans="1:2">
      <c r="A857">
        <v>322325</v>
      </c>
      <c r="B857" t="s">
        <v>2348</v>
      </c>
    </row>
    <row r="858" spans="1:2">
      <c r="A858">
        <v>255888</v>
      </c>
      <c r="B858" t="s">
        <v>2349</v>
      </c>
    </row>
    <row r="859" spans="1:2">
      <c r="A859">
        <v>866522</v>
      </c>
      <c r="B859" t="s">
        <v>2999</v>
      </c>
    </row>
    <row r="860" spans="1:2">
      <c r="A860">
        <v>322729</v>
      </c>
      <c r="B860" t="s">
        <v>2351</v>
      </c>
    </row>
    <row r="861" spans="1:2">
      <c r="A861">
        <v>322747</v>
      </c>
      <c r="B861" t="s">
        <v>2352</v>
      </c>
    </row>
    <row r="862" spans="1:2">
      <c r="A862">
        <v>765088</v>
      </c>
      <c r="B862" t="s">
        <v>2353</v>
      </c>
    </row>
    <row r="863" spans="1:2">
      <c r="A863">
        <v>322931</v>
      </c>
    </row>
    <row r="864" spans="1:2">
      <c r="A864">
        <v>322981</v>
      </c>
      <c r="B864" t="s">
        <v>2354</v>
      </c>
    </row>
    <row r="865" spans="1:2">
      <c r="A865">
        <v>323266</v>
      </c>
      <c r="B865" t="s">
        <v>3000</v>
      </c>
    </row>
    <row r="866" spans="1:2">
      <c r="A866">
        <v>397774</v>
      </c>
    </row>
    <row r="867" spans="1:2">
      <c r="A867">
        <v>328220</v>
      </c>
      <c r="B867" t="s">
        <v>2356</v>
      </c>
    </row>
    <row r="868" spans="1:2">
      <c r="A868">
        <v>328233</v>
      </c>
      <c r="B868" t="s">
        <v>2357</v>
      </c>
    </row>
    <row r="869" spans="1:2">
      <c r="A869">
        <v>328261</v>
      </c>
      <c r="B869" t="s">
        <v>3001</v>
      </c>
    </row>
    <row r="870" spans="1:2">
      <c r="A870">
        <v>328278</v>
      </c>
      <c r="B870" t="s">
        <v>2359</v>
      </c>
    </row>
    <row r="871" spans="1:2">
      <c r="A871">
        <v>328899</v>
      </c>
      <c r="B871" t="s">
        <v>2360</v>
      </c>
    </row>
    <row r="872" spans="1:2">
      <c r="A872">
        <v>328287</v>
      </c>
      <c r="B872" t="s">
        <v>3002</v>
      </c>
    </row>
    <row r="873" spans="1:2">
      <c r="A873">
        <v>328381</v>
      </c>
      <c r="B873" t="s">
        <v>2362</v>
      </c>
    </row>
    <row r="874" spans="1:2">
      <c r="A874">
        <v>328366</v>
      </c>
      <c r="B874" t="s">
        <v>2363</v>
      </c>
    </row>
    <row r="875" spans="1:2">
      <c r="A875">
        <v>328432</v>
      </c>
      <c r="B875" t="s">
        <v>2364</v>
      </c>
    </row>
    <row r="876" spans="1:2">
      <c r="A876">
        <v>328453</v>
      </c>
      <c r="B876" t="s">
        <v>3003</v>
      </c>
    </row>
    <row r="877" spans="1:2">
      <c r="A877">
        <v>328491</v>
      </c>
      <c r="B877" t="s">
        <v>2366</v>
      </c>
    </row>
    <row r="878" spans="1:2">
      <c r="A878">
        <v>328855</v>
      </c>
      <c r="B878" t="s">
        <v>2367</v>
      </c>
    </row>
    <row r="879" spans="1:2">
      <c r="A879">
        <v>328901</v>
      </c>
      <c r="B879" t="s">
        <v>2368</v>
      </c>
    </row>
    <row r="880" spans="1:2">
      <c r="A880">
        <v>328922</v>
      </c>
      <c r="B880" t="s">
        <v>2369</v>
      </c>
    </row>
    <row r="881" spans="1:2">
      <c r="A881">
        <v>328993</v>
      </c>
      <c r="B881" t="s">
        <v>2370</v>
      </c>
    </row>
    <row r="882" spans="1:2">
      <c r="A882">
        <v>329013</v>
      </c>
      <c r="B882" t="s">
        <v>2371</v>
      </c>
    </row>
    <row r="883" spans="1:2">
      <c r="A883">
        <v>325307</v>
      </c>
      <c r="B883" t="s">
        <v>2372</v>
      </c>
    </row>
    <row r="884" spans="1:2">
      <c r="A884">
        <v>329034</v>
      </c>
      <c r="B884" t="s">
        <v>2373</v>
      </c>
    </row>
    <row r="885" spans="1:2">
      <c r="A885">
        <v>455450</v>
      </c>
    </row>
    <row r="886" spans="1:2">
      <c r="A886">
        <v>786059</v>
      </c>
    </row>
    <row r="887" spans="1:2">
      <c r="A887">
        <v>453341</v>
      </c>
    </row>
    <row r="888" spans="1:2">
      <c r="A888">
        <v>849057</v>
      </c>
    </row>
    <row r="889" spans="1:2">
      <c r="A889">
        <v>329046</v>
      </c>
      <c r="B889" t="s">
        <v>2374</v>
      </c>
    </row>
    <row r="890" spans="1:2">
      <c r="A890">
        <v>329068</v>
      </c>
      <c r="B890" t="s">
        <v>2375</v>
      </c>
    </row>
    <row r="891" spans="1:2">
      <c r="A891">
        <v>453589</v>
      </c>
      <c r="B891" t="s">
        <v>2376</v>
      </c>
    </row>
    <row r="892" spans="1:2">
      <c r="A892">
        <v>453682</v>
      </c>
      <c r="B892" t="s">
        <v>2377</v>
      </c>
    </row>
    <row r="893" spans="1:2">
      <c r="A893">
        <v>874179</v>
      </c>
      <c r="B893" t="s">
        <v>2378</v>
      </c>
    </row>
    <row r="894" spans="1:2">
      <c r="A894">
        <v>453684</v>
      </c>
      <c r="B894" t="s">
        <v>3004</v>
      </c>
    </row>
    <row r="895" spans="1:2">
      <c r="A895">
        <v>453580</v>
      </c>
      <c r="B895" t="s">
        <v>3005</v>
      </c>
    </row>
    <row r="896" spans="1:2">
      <c r="A896">
        <v>847335</v>
      </c>
      <c r="B896" t="s">
        <v>3006</v>
      </c>
    </row>
    <row r="897" spans="1:2">
      <c r="A897">
        <v>329076</v>
      </c>
      <c r="B897" t="s">
        <v>3007</v>
      </c>
    </row>
    <row r="898" spans="1:2">
      <c r="A898">
        <v>329092</v>
      </c>
      <c r="B898" t="s">
        <v>2383</v>
      </c>
    </row>
    <row r="899" spans="1:2">
      <c r="A899">
        <v>66868</v>
      </c>
      <c r="B899" t="s">
        <v>2384</v>
      </c>
    </row>
    <row r="900" spans="1:2">
      <c r="A900">
        <v>258560</v>
      </c>
      <c r="B900" t="s">
        <v>3008</v>
      </c>
    </row>
    <row r="901" spans="1:2">
      <c r="A901">
        <v>258746</v>
      </c>
      <c r="B901" t="s">
        <v>2386</v>
      </c>
    </row>
    <row r="902" spans="1:2">
      <c r="A902">
        <v>329593</v>
      </c>
      <c r="B902" t="s">
        <v>2387</v>
      </c>
    </row>
    <row r="903" spans="1:2">
      <c r="A903">
        <v>329595</v>
      </c>
      <c r="B903" t="s">
        <v>2388</v>
      </c>
    </row>
    <row r="904" spans="1:2">
      <c r="A904">
        <v>329607</v>
      </c>
      <c r="B904" t="s">
        <v>2389</v>
      </c>
    </row>
    <row r="905" spans="1:2">
      <c r="A905">
        <v>329611</v>
      </c>
    </row>
    <row r="906" spans="1:2">
      <c r="A906">
        <v>320146</v>
      </c>
    </row>
    <row r="907" spans="1:2">
      <c r="A907">
        <v>453900</v>
      </c>
    </row>
    <row r="908" spans="1:2">
      <c r="A908">
        <v>272242</v>
      </c>
      <c r="B908" t="s">
        <v>2390</v>
      </c>
    </row>
    <row r="909" spans="1:2">
      <c r="A909">
        <v>329618</v>
      </c>
    </row>
    <row r="910" spans="1:2">
      <c r="A910">
        <v>453894</v>
      </c>
      <c r="B910" t="s">
        <v>3009</v>
      </c>
    </row>
    <row r="911" spans="1:2">
      <c r="A911">
        <v>454227</v>
      </c>
      <c r="B911" t="s">
        <v>2392</v>
      </c>
    </row>
    <row r="912" spans="1:2">
      <c r="A912">
        <v>329695</v>
      </c>
      <c r="B912" t="s">
        <v>2393</v>
      </c>
    </row>
    <row r="913" spans="1:2">
      <c r="A913">
        <v>454231</v>
      </c>
      <c r="B913" t="s">
        <v>2394</v>
      </c>
    </row>
    <row r="914" spans="1:2">
      <c r="A914">
        <v>454234</v>
      </c>
      <c r="B914" t="s">
        <v>2395</v>
      </c>
    </row>
    <row r="915" spans="1:2">
      <c r="A915">
        <v>453594</v>
      </c>
      <c r="B915" t="s">
        <v>2396</v>
      </c>
    </row>
    <row r="916" spans="1:2">
      <c r="A916">
        <v>454241</v>
      </c>
      <c r="B916" t="s">
        <v>2397</v>
      </c>
    </row>
    <row r="917" spans="1:2">
      <c r="A917">
        <v>454246</v>
      </c>
      <c r="B917" t="s">
        <v>2398</v>
      </c>
    </row>
    <row r="918" spans="1:2">
      <c r="A918">
        <v>454251</v>
      </c>
      <c r="B918" t="s">
        <v>2399</v>
      </c>
    </row>
    <row r="919" spans="1:2">
      <c r="A919">
        <v>454252</v>
      </c>
      <c r="B919" t="s">
        <v>2400</v>
      </c>
    </row>
    <row r="920" spans="1:2">
      <c r="A920">
        <v>238946</v>
      </c>
    </row>
    <row r="921" spans="1:2">
      <c r="A921">
        <v>323165</v>
      </c>
    </row>
    <row r="922" spans="1:2">
      <c r="A922">
        <v>329970</v>
      </c>
      <c r="B922" t="s">
        <v>2401</v>
      </c>
    </row>
    <row r="923" spans="1:2">
      <c r="A923">
        <v>329712</v>
      </c>
      <c r="B923" t="s">
        <v>2402</v>
      </c>
    </row>
    <row r="924" spans="1:2">
      <c r="A924">
        <v>252112</v>
      </c>
    </row>
    <row r="925" spans="1:2">
      <c r="A925">
        <v>330079</v>
      </c>
      <c r="B925" t="s">
        <v>2403</v>
      </c>
    </row>
    <row r="926" spans="1:2">
      <c r="A926">
        <v>330080</v>
      </c>
      <c r="B926" t="s">
        <v>2404</v>
      </c>
    </row>
    <row r="927" spans="1:2">
      <c r="A927">
        <v>330132</v>
      </c>
      <c r="B927" t="s">
        <v>3010</v>
      </c>
    </row>
    <row r="928" spans="1:2">
      <c r="A928">
        <v>330063</v>
      </c>
      <c r="B928" t="s">
        <v>2406</v>
      </c>
    </row>
    <row r="929" spans="1:2">
      <c r="A929">
        <v>325285</v>
      </c>
      <c r="B929" t="s">
        <v>2407</v>
      </c>
    </row>
    <row r="930" spans="1:2">
      <c r="A930">
        <v>320509</v>
      </c>
      <c r="B930" t="s">
        <v>2408</v>
      </c>
    </row>
    <row r="931" spans="1:2">
      <c r="A931">
        <v>330077</v>
      </c>
    </row>
    <row r="932" spans="1:2">
      <c r="A932">
        <v>330133</v>
      </c>
      <c r="B932" t="s">
        <v>2409</v>
      </c>
    </row>
    <row r="933" spans="1:2">
      <c r="A933">
        <v>473474</v>
      </c>
      <c r="B933" t="s">
        <v>2410</v>
      </c>
    </row>
    <row r="934" spans="1:2">
      <c r="A934">
        <v>473486</v>
      </c>
      <c r="B934" t="s">
        <v>2411</v>
      </c>
    </row>
    <row r="935" spans="1:2">
      <c r="A935">
        <v>473496</v>
      </c>
      <c r="B935" t="s">
        <v>3011</v>
      </c>
    </row>
    <row r="936" spans="1:2">
      <c r="A936">
        <v>253978</v>
      </c>
      <c r="B936" t="s">
        <v>2413</v>
      </c>
    </row>
    <row r="937" spans="1:2">
      <c r="A937">
        <v>330255</v>
      </c>
      <c r="B937" t="s">
        <v>2414</v>
      </c>
    </row>
    <row r="938" spans="1:2">
      <c r="A938">
        <v>454907</v>
      </c>
      <c r="B938" t="s">
        <v>3012</v>
      </c>
    </row>
    <row r="939" spans="1:2">
      <c r="A939">
        <v>330249</v>
      </c>
      <c r="B939" t="s">
        <v>2416</v>
      </c>
    </row>
    <row r="940" spans="1:2">
      <c r="A940">
        <v>455153</v>
      </c>
    </row>
    <row r="941" spans="1:2">
      <c r="A941">
        <v>330193</v>
      </c>
      <c r="B941" t="s">
        <v>2417</v>
      </c>
    </row>
    <row r="942" spans="1:2">
      <c r="A942">
        <v>330198</v>
      </c>
      <c r="B942" t="s">
        <v>3013</v>
      </c>
    </row>
    <row r="943" spans="1:2">
      <c r="A943">
        <v>330201</v>
      </c>
      <c r="B943" t="s">
        <v>3014</v>
      </c>
    </row>
    <row r="944" spans="1:2">
      <c r="A944">
        <v>330207</v>
      </c>
      <c r="B944" t="s">
        <v>2420</v>
      </c>
    </row>
    <row r="945" spans="1:2">
      <c r="A945">
        <v>367193</v>
      </c>
      <c r="B945" t="s">
        <v>3015</v>
      </c>
    </row>
    <row r="946" spans="1:2">
      <c r="A946">
        <v>473332</v>
      </c>
      <c r="B946" t="s">
        <v>2422</v>
      </c>
    </row>
    <row r="947" spans="1:2">
      <c r="A947">
        <v>473316</v>
      </c>
      <c r="B947" t="s">
        <v>2423</v>
      </c>
    </row>
    <row r="948" spans="1:2">
      <c r="A948">
        <v>473341</v>
      </c>
      <c r="B948" t="s">
        <v>2424</v>
      </c>
    </row>
    <row r="949" spans="1:2">
      <c r="A949">
        <v>473348</v>
      </c>
      <c r="B949" t="s">
        <v>2425</v>
      </c>
    </row>
    <row r="950" spans="1:2">
      <c r="A950">
        <v>473352</v>
      </c>
      <c r="B950" t="s">
        <v>2426</v>
      </c>
    </row>
    <row r="951" spans="1:2">
      <c r="A951">
        <v>262235</v>
      </c>
      <c r="B951" t="s">
        <v>2427</v>
      </c>
    </row>
    <row r="952" spans="1:2">
      <c r="A952">
        <v>330264</v>
      </c>
      <c r="B952" t="s">
        <v>3016</v>
      </c>
    </row>
    <row r="953" spans="1:2">
      <c r="A953">
        <v>455278</v>
      </c>
      <c r="B953" t="s">
        <v>2429</v>
      </c>
    </row>
    <row r="954" spans="1:2">
      <c r="A954">
        <v>330282</v>
      </c>
      <c r="B954" t="s">
        <v>2430</v>
      </c>
    </row>
    <row r="955" spans="1:2">
      <c r="A955">
        <v>330312</v>
      </c>
      <c r="B955" t="s">
        <v>2431</v>
      </c>
    </row>
    <row r="956" spans="1:2">
      <c r="A956">
        <v>330320</v>
      </c>
    </row>
    <row r="957" spans="1:2">
      <c r="A957">
        <v>260056</v>
      </c>
    </row>
    <row r="958" spans="1:2">
      <c r="A958">
        <v>330358</v>
      </c>
      <c r="B958" t="s">
        <v>2432</v>
      </c>
    </row>
    <row r="959" spans="1:2">
      <c r="A959">
        <v>330426</v>
      </c>
      <c r="B959" t="s">
        <v>2433</v>
      </c>
    </row>
    <row r="960" spans="1:2">
      <c r="A960">
        <v>381717</v>
      </c>
    </row>
    <row r="961" spans="1:2">
      <c r="A961">
        <v>330544</v>
      </c>
      <c r="B961" t="s">
        <v>2434</v>
      </c>
    </row>
    <row r="962" spans="1:2">
      <c r="A962">
        <v>330555</v>
      </c>
      <c r="B962" t="s">
        <v>2435</v>
      </c>
    </row>
    <row r="963" spans="1:2">
      <c r="A963">
        <v>367114</v>
      </c>
      <c r="B963" t="s">
        <v>2436</v>
      </c>
    </row>
    <row r="964" spans="1:2">
      <c r="A964">
        <v>68939</v>
      </c>
      <c r="B964" t="s">
        <v>2437</v>
      </c>
    </row>
    <row r="965" spans="1:2">
      <c r="A965">
        <v>367256</v>
      </c>
      <c r="B965" t="s">
        <v>2438</v>
      </c>
    </row>
    <row r="966" spans="1:2">
      <c r="A966">
        <v>367269</v>
      </c>
      <c r="B966" t="s">
        <v>2439</v>
      </c>
    </row>
    <row r="967" spans="1:2">
      <c r="A967">
        <v>367270</v>
      </c>
      <c r="B967" t="s">
        <v>2440</v>
      </c>
    </row>
    <row r="968" spans="1:2">
      <c r="A968">
        <v>369057</v>
      </c>
    </row>
    <row r="969" spans="1:2">
      <c r="A969">
        <v>367311</v>
      </c>
      <c r="B969" t="s">
        <v>2441</v>
      </c>
    </row>
    <row r="970" spans="1:2">
      <c r="A970">
        <v>367321</v>
      </c>
      <c r="B970" t="s">
        <v>3017</v>
      </c>
    </row>
    <row r="971" spans="1:2">
      <c r="A971">
        <v>367315</v>
      </c>
      <c r="B971" t="s">
        <v>2443</v>
      </c>
    </row>
    <row r="972" spans="1:2">
      <c r="A972">
        <v>506797</v>
      </c>
      <c r="B972" t="s">
        <v>3018</v>
      </c>
    </row>
    <row r="973" spans="1:2">
      <c r="A973">
        <v>473530</v>
      </c>
      <c r="B973" t="s">
        <v>2445</v>
      </c>
    </row>
    <row r="974" spans="1:2">
      <c r="A974">
        <v>256601</v>
      </c>
      <c r="B974" t="s">
        <v>2446</v>
      </c>
    </row>
    <row r="975" spans="1:2">
      <c r="A975">
        <v>457999</v>
      </c>
      <c r="B975" t="s">
        <v>2447</v>
      </c>
    </row>
    <row r="976" spans="1:2">
      <c r="A976">
        <v>458002</v>
      </c>
      <c r="B976" t="s">
        <v>2448</v>
      </c>
    </row>
    <row r="977" spans="1:2">
      <c r="A977">
        <v>369142</v>
      </c>
      <c r="B977" t="s">
        <v>2449</v>
      </c>
    </row>
    <row r="978" spans="1:2">
      <c r="A978">
        <v>457931</v>
      </c>
      <c r="B978" t="s">
        <v>2450</v>
      </c>
    </row>
    <row r="979" spans="1:2">
      <c r="A979">
        <v>369151</v>
      </c>
      <c r="B979" t="s">
        <v>2451</v>
      </c>
    </row>
    <row r="980" spans="1:2">
      <c r="A980">
        <v>322260</v>
      </c>
      <c r="B980" t="s">
        <v>2452</v>
      </c>
    </row>
    <row r="981" spans="1:2">
      <c r="A981">
        <v>458231</v>
      </c>
      <c r="B981" t="s">
        <v>2453</v>
      </c>
    </row>
    <row r="982" spans="1:2">
      <c r="A982">
        <v>369515</v>
      </c>
      <c r="B982" t="s">
        <v>2454</v>
      </c>
    </row>
    <row r="983" spans="1:2">
      <c r="A983">
        <v>458233</v>
      </c>
      <c r="B983" t="s">
        <v>2455</v>
      </c>
    </row>
    <row r="984" spans="1:2">
      <c r="A984">
        <v>458241</v>
      </c>
      <c r="B984" t="s">
        <v>2456</v>
      </c>
    </row>
    <row r="985" spans="1:2">
      <c r="A985">
        <v>458062</v>
      </c>
      <c r="B985" t="s">
        <v>2457</v>
      </c>
    </row>
    <row r="986" spans="1:2">
      <c r="A986">
        <v>458252</v>
      </c>
      <c r="B986" t="s">
        <v>2458</v>
      </c>
    </row>
    <row r="987" spans="1:2">
      <c r="A987">
        <v>874174</v>
      </c>
      <c r="B987" t="s">
        <v>2459</v>
      </c>
    </row>
    <row r="988" spans="1:2">
      <c r="A988">
        <v>369991</v>
      </c>
      <c r="B988" t="s">
        <v>2460</v>
      </c>
    </row>
    <row r="989" spans="1:2">
      <c r="B989" t="s">
        <v>2461</v>
      </c>
    </row>
    <row r="990" spans="1:2">
      <c r="A990">
        <v>369992</v>
      </c>
    </row>
    <row r="991" spans="1:2">
      <c r="A991">
        <v>369996</v>
      </c>
      <c r="B991" t="s">
        <v>2462</v>
      </c>
    </row>
    <row r="992" spans="1:2">
      <c r="A992">
        <v>369913</v>
      </c>
      <c r="B992" t="s">
        <v>2463</v>
      </c>
    </row>
    <row r="993" spans="1:2">
      <c r="A993">
        <v>369916</v>
      </c>
    </row>
    <row r="994" spans="1:2">
      <c r="A994">
        <v>808484</v>
      </c>
      <c r="B994" t="s">
        <v>2464</v>
      </c>
    </row>
    <row r="995" spans="1:2">
      <c r="A995">
        <v>189268</v>
      </c>
      <c r="B995" t="s">
        <v>2465</v>
      </c>
    </row>
    <row r="996" spans="1:2">
      <c r="A996">
        <v>808486</v>
      </c>
      <c r="B996" t="s">
        <v>2466</v>
      </c>
    </row>
    <row r="997" spans="1:2">
      <c r="A997">
        <v>397738</v>
      </c>
      <c r="B997" t="s">
        <v>3019</v>
      </c>
    </row>
    <row r="998" spans="1:2">
      <c r="A998">
        <v>810044</v>
      </c>
      <c r="B998" t="s">
        <v>2468</v>
      </c>
    </row>
    <row r="999" spans="1:2">
      <c r="A999">
        <v>397710</v>
      </c>
      <c r="B999" t="s">
        <v>2469</v>
      </c>
    </row>
    <row r="1000" spans="1:2">
      <c r="A1000">
        <v>412780</v>
      </c>
      <c r="B1000" t="s">
        <v>3020</v>
      </c>
    </row>
    <row r="1001" spans="1:2">
      <c r="A1001">
        <v>397743</v>
      </c>
      <c r="B1001" t="s">
        <v>3021</v>
      </c>
    </row>
    <row r="1002" spans="1:2">
      <c r="A1002">
        <v>865534</v>
      </c>
      <c r="B1002" t="s">
        <v>3022</v>
      </c>
    </row>
    <row r="1003" spans="1:2">
      <c r="A1003">
        <v>952</v>
      </c>
    </row>
    <row r="1004" spans="1:2">
      <c r="A1004">
        <v>3887</v>
      </c>
    </row>
    <row r="1005" spans="1:2">
      <c r="A1005">
        <v>9332</v>
      </c>
    </row>
    <row r="1006" spans="1:2">
      <c r="A1006">
        <v>9512</v>
      </c>
    </row>
    <row r="1007" spans="1:2">
      <c r="A1007">
        <v>9562</v>
      </c>
    </row>
    <row r="1008" spans="1:2">
      <c r="A1008">
        <v>9983</v>
      </c>
    </row>
    <row r="1009" spans="1:1">
      <c r="A1009">
        <v>11392</v>
      </c>
    </row>
    <row r="1010" spans="1:1">
      <c r="A1010">
        <v>11876</v>
      </c>
    </row>
    <row r="1011" spans="1:1">
      <c r="A1011">
        <v>11914</v>
      </c>
    </row>
    <row r="1012" spans="1:1">
      <c r="A1012">
        <v>13248</v>
      </c>
    </row>
    <row r="1013" spans="1:1">
      <c r="A1013">
        <v>13739</v>
      </c>
    </row>
    <row r="1014" spans="1:1">
      <c r="A1014">
        <v>13743</v>
      </c>
    </row>
    <row r="1015" spans="1:1">
      <c r="A1015">
        <v>13755</v>
      </c>
    </row>
    <row r="1016" spans="1:1">
      <c r="A1016">
        <v>15149</v>
      </c>
    </row>
    <row r="1017" spans="1:1">
      <c r="A1017">
        <v>19998</v>
      </c>
    </row>
    <row r="1018" spans="1:1">
      <c r="A1018">
        <v>20237</v>
      </c>
    </row>
    <row r="1019" spans="1:1">
      <c r="A1019">
        <v>20303</v>
      </c>
    </row>
    <row r="1020" spans="1:1">
      <c r="A1020">
        <v>20360</v>
      </c>
    </row>
    <row r="1021" spans="1:1">
      <c r="A1021">
        <v>21187</v>
      </c>
    </row>
    <row r="1022" spans="1:1">
      <c r="A1022">
        <v>21618</v>
      </c>
    </row>
    <row r="1023" spans="1:1">
      <c r="A1023">
        <v>21706</v>
      </c>
    </row>
    <row r="1024" spans="1:1">
      <c r="A1024">
        <v>22491</v>
      </c>
    </row>
    <row r="1025" spans="1:1">
      <c r="A1025">
        <v>22513</v>
      </c>
    </row>
    <row r="1026" spans="1:1">
      <c r="A1026">
        <v>24972</v>
      </c>
    </row>
    <row r="1027" spans="1:1">
      <c r="A1027">
        <v>30064</v>
      </c>
    </row>
    <row r="1028" spans="1:1">
      <c r="A1028">
        <v>30073</v>
      </c>
    </row>
    <row r="1029" spans="1:1">
      <c r="A1029">
        <v>30126</v>
      </c>
    </row>
    <row r="1030" spans="1:1">
      <c r="A1030">
        <v>34700</v>
      </c>
    </row>
    <row r="1031" spans="1:1">
      <c r="A1031">
        <v>36130</v>
      </c>
    </row>
    <row r="1032" spans="1:1">
      <c r="A1032">
        <v>36468</v>
      </c>
    </row>
    <row r="1033" spans="1:1">
      <c r="A1033">
        <v>36491</v>
      </c>
    </row>
    <row r="1034" spans="1:1">
      <c r="A1034">
        <v>36498</v>
      </c>
    </row>
    <row r="1035" spans="1:1">
      <c r="A1035">
        <v>36500</v>
      </c>
    </row>
    <row r="1036" spans="1:1">
      <c r="A1036">
        <v>36515</v>
      </c>
    </row>
    <row r="1037" spans="1:1">
      <c r="A1037">
        <v>38647</v>
      </c>
    </row>
    <row r="1038" spans="1:1">
      <c r="A1038">
        <v>38652</v>
      </c>
    </row>
    <row r="1039" spans="1:1">
      <c r="A1039">
        <v>38656</v>
      </c>
    </row>
    <row r="1040" spans="1:1">
      <c r="A1040">
        <v>38671</v>
      </c>
    </row>
    <row r="1041" spans="1:1">
      <c r="A1041">
        <v>38692</v>
      </c>
    </row>
    <row r="1042" spans="1:1">
      <c r="A1042">
        <v>38697</v>
      </c>
    </row>
    <row r="1043" spans="1:1">
      <c r="A1043">
        <v>38756</v>
      </c>
    </row>
    <row r="1044" spans="1:1">
      <c r="A1044">
        <v>38760</v>
      </c>
    </row>
    <row r="1045" spans="1:1">
      <c r="A1045">
        <v>38761</v>
      </c>
    </row>
    <row r="1046" spans="1:1">
      <c r="A1046">
        <v>38805</v>
      </c>
    </row>
    <row r="1047" spans="1:1">
      <c r="A1047">
        <v>38818</v>
      </c>
    </row>
    <row r="1048" spans="1:1">
      <c r="A1048">
        <v>38830</v>
      </c>
    </row>
    <row r="1049" spans="1:1">
      <c r="A1049">
        <v>39530</v>
      </c>
    </row>
    <row r="1050" spans="1:1">
      <c r="A1050">
        <v>43278</v>
      </c>
    </row>
    <row r="1051" spans="1:1">
      <c r="A1051">
        <v>43319</v>
      </c>
    </row>
    <row r="1052" spans="1:1">
      <c r="A1052">
        <v>43974</v>
      </c>
    </row>
    <row r="1053" spans="1:1">
      <c r="A1053">
        <v>45876</v>
      </c>
    </row>
    <row r="1054" spans="1:1">
      <c r="A1054">
        <v>47399</v>
      </c>
    </row>
    <row r="1055" spans="1:1">
      <c r="A1055">
        <v>62281</v>
      </c>
    </row>
    <row r="1056" spans="1:1">
      <c r="A1056">
        <v>65478</v>
      </c>
    </row>
    <row r="1057" spans="1:2">
      <c r="A1057">
        <v>65656</v>
      </c>
    </row>
    <row r="1058" spans="1:2">
      <c r="A1058">
        <v>65919</v>
      </c>
    </row>
    <row r="1059" spans="1:2">
      <c r="A1059">
        <v>66827</v>
      </c>
    </row>
    <row r="1060" spans="1:2">
      <c r="A1060">
        <v>68174</v>
      </c>
    </row>
    <row r="1061" spans="1:2">
      <c r="A1061">
        <v>73879</v>
      </c>
    </row>
    <row r="1062" spans="1:2">
      <c r="A1062">
        <v>74663</v>
      </c>
    </row>
    <row r="1063" spans="1:2">
      <c r="A1063">
        <v>76396</v>
      </c>
    </row>
    <row r="1064" spans="1:2">
      <c r="A1064">
        <v>76419</v>
      </c>
    </row>
    <row r="1065" spans="1:2">
      <c r="A1065">
        <v>76447</v>
      </c>
    </row>
    <row r="1066" spans="1:2">
      <c r="A1066">
        <v>76452</v>
      </c>
    </row>
    <row r="1067" spans="1:2">
      <c r="A1067">
        <v>78957</v>
      </c>
    </row>
    <row r="1068" spans="1:2">
      <c r="A1068">
        <v>87112</v>
      </c>
    </row>
    <row r="1069" spans="1:2">
      <c r="A1069">
        <v>87131</v>
      </c>
    </row>
    <row r="1070" spans="1:2">
      <c r="A1070">
        <v>90451</v>
      </c>
      <c r="B1070" t="s">
        <v>2473</v>
      </c>
    </row>
    <row r="1071" spans="1:2">
      <c r="A1071">
        <v>90475</v>
      </c>
    </row>
    <row r="1072" spans="1:2">
      <c r="A1072">
        <v>96819</v>
      </c>
    </row>
    <row r="1073" spans="1:2">
      <c r="A1073">
        <v>98840</v>
      </c>
      <c r="B1073" t="s">
        <v>2474</v>
      </c>
    </row>
    <row r="1074" spans="1:2">
      <c r="A1074">
        <v>103287</v>
      </c>
    </row>
    <row r="1075" spans="1:2">
      <c r="A1075">
        <v>104585</v>
      </c>
    </row>
    <row r="1076" spans="1:2">
      <c r="A1076">
        <v>104586</v>
      </c>
    </row>
    <row r="1077" spans="1:2">
      <c r="A1077">
        <v>104697</v>
      </c>
    </row>
    <row r="1078" spans="1:2">
      <c r="A1078">
        <v>106286</v>
      </c>
    </row>
    <row r="1079" spans="1:2">
      <c r="A1079">
        <v>118614</v>
      </c>
    </row>
    <row r="1080" spans="1:2">
      <c r="A1080">
        <v>119563</v>
      </c>
    </row>
    <row r="1081" spans="1:2">
      <c r="A1081">
        <v>120352</v>
      </c>
    </row>
    <row r="1082" spans="1:2">
      <c r="A1082">
        <v>123090</v>
      </c>
    </row>
    <row r="1083" spans="1:2">
      <c r="A1083">
        <v>123299</v>
      </c>
    </row>
    <row r="1084" spans="1:2">
      <c r="A1084">
        <v>125495</v>
      </c>
    </row>
    <row r="1085" spans="1:2">
      <c r="A1085">
        <v>131329</v>
      </c>
    </row>
    <row r="1086" spans="1:2">
      <c r="A1086">
        <v>131331</v>
      </c>
    </row>
    <row r="1087" spans="1:2">
      <c r="A1087">
        <v>134777</v>
      </c>
    </row>
    <row r="1088" spans="1:2">
      <c r="A1088">
        <v>138504</v>
      </c>
    </row>
    <row r="1089" spans="1:1">
      <c r="A1089">
        <v>139886</v>
      </c>
    </row>
    <row r="1090" spans="1:1">
      <c r="A1090">
        <v>139893</v>
      </c>
    </row>
    <row r="1091" spans="1:1">
      <c r="A1091">
        <v>139998</v>
      </c>
    </row>
    <row r="1092" spans="1:1">
      <c r="A1092">
        <v>144961</v>
      </c>
    </row>
    <row r="1093" spans="1:1">
      <c r="A1093">
        <v>157278</v>
      </c>
    </row>
    <row r="1094" spans="1:1">
      <c r="A1094">
        <v>170769</v>
      </c>
    </row>
    <row r="1095" spans="1:1">
      <c r="A1095">
        <v>179242</v>
      </c>
    </row>
    <row r="1096" spans="1:1">
      <c r="A1096">
        <v>179596</v>
      </c>
    </row>
    <row r="1097" spans="1:1">
      <c r="A1097">
        <v>182438</v>
      </c>
    </row>
    <row r="1098" spans="1:1">
      <c r="A1098">
        <v>184976</v>
      </c>
    </row>
    <row r="1099" spans="1:1">
      <c r="A1099">
        <v>194389</v>
      </c>
    </row>
    <row r="1100" spans="1:1">
      <c r="A1100">
        <v>196328</v>
      </c>
    </row>
    <row r="1101" spans="1:1">
      <c r="A1101">
        <v>196343</v>
      </c>
    </row>
    <row r="1102" spans="1:1">
      <c r="A1102">
        <v>196515</v>
      </c>
    </row>
    <row r="1103" spans="1:1">
      <c r="A1103">
        <v>196551</v>
      </c>
    </row>
    <row r="1104" spans="1:1">
      <c r="A1104">
        <v>196556</v>
      </c>
    </row>
    <row r="1105" spans="1:1">
      <c r="A1105">
        <v>197060</v>
      </c>
    </row>
    <row r="1106" spans="1:1">
      <c r="A1106">
        <v>197158</v>
      </c>
    </row>
    <row r="1107" spans="1:1">
      <c r="A1107">
        <v>197506</v>
      </c>
    </row>
    <row r="1108" spans="1:1">
      <c r="A1108">
        <v>198584</v>
      </c>
    </row>
    <row r="1109" spans="1:1">
      <c r="A1109">
        <v>199648</v>
      </c>
    </row>
    <row r="1110" spans="1:1">
      <c r="A1110">
        <v>199650</v>
      </c>
    </row>
    <row r="1111" spans="1:1">
      <c r="A1111">
        <v>199651</v>
      </c>
    </row>
    <row r="1112" spans="1:1">
      <c r="A1112">
        <v>199653</v>
      </c>
    </row>
    <row r="1113" spans="1:1">
      <c r="A1113">
        <v>199655</v>
      </c>
    </row>
    <row r="1114" spans="1:1">
      <c r="A1114">
        <v>199657</v>
      </c>
    </row>
    <row r="1115" spans="1:1">
      <c r="A1115">
        <v>205071</v>
      </c>
    </row>
    <row r="1116" spans="1:1">
      <c r="A1116">
        <v>205094</v>
      </c>
    </row>
    <row r="1117" spans="1:1">
      <c r="A1117">
        <v>208154</v>
      </c>
    </row>
    <row r="1118" spans="1:1">
      <c r="A1118">
        <v>213517</v>
      </c>
    </row>
    <row r="1119" spans="1:1">
      <c r="A1119">
        <v>216963</v>
      </c>
    </row>
    <row r="1120" spans="1:1">
      <c r="A1120">
        <v>221580</v>
      </c>
    </row>
    <row r="1121" spans="1:2">
      <c r="A1121">
        <v>224027</v>
      </c>
      <c r="B1121" t="s">
        <v>2475</v>
      </c>
    </row>
    <row r="1122" spans="1:2">
      <c r="A1122">
        <v>224029</v>
      </c>
      <c r="B1122" t="s">
        <v>3023</v>
      </c>
    </row>
    <row r="1123" spans="1:2">
      <c r="A1123">
        <v>224030</v>
      </c>
      <c r="B1123" t="s">
        <v>2477</v>
      </c>
    </row>
    <row r="1124" spans="1:2">
      <c r="A1124">
        <v>227834</v>
      </c>
    </row>
    <row r="1125" spans="1:2">
      <c r="A1125">
        <v>244481</v>
      </c>
    </row>
    <row r="1126" spans="1:2">
      <c r="A1126">
        <v>244680</v>
      </c>
    </row>
    <row r="1127" spans="1:2">
      <c r="A1127">
        <v>250851</v>
      </c>
    </row>
    <row r="1128" spans="1:2">
      <c r="A1128">
        <v>251280</v>
      </c>
    </row>
    <row r="1129" spans="1:2">
      <c r="A1129">
        <v>251594</v>
      </c>
    </row>
    <row r="1130" spans="1:2">
      <c r="A1130">
        <v>251973</v>
      </c>
      <c r="B1130" t="s">
        <v>2478</v>
      </c>
    </row>
    <row r="1131" spans="1:2">
      <c r="A1131">
        <v>252002</v>
      </c>
    </row>
    <row r="1132" spans="1:2">
      <c r="A1132">
        <v>252254</v>
      </c>
    </row>
    <row r="1133" spans="1:2">
      <c r="A1133">
        <v>252379</v>
      </c>
      <c r="B1133" t="s">
        <v>2479</v>
      </c>
    </row>
    <row r="1134" spans="1:2">
      <c r="A1134">
        <v>252393</v>
      </c>
    </row>
    <row r="1135" spans="1:2">
      <c r="A1135">
        <v>252523</v>
      </c>
    </row>
    <row r="1136" spans="1:2">
      <c r="A1136">
        <v>253094</v>
      </c>
      <c r="B1136" t="s">
        <v>2480</v>
      </c>
    </row>
    <row r="1137" spans="1:2">
      <c r="A1137">
        <v>253718</v>
      </c>
    </row>
    <row r="1138" spans="1:2">
      <c r="A1138">
        <v>254768</v>
      </c>
    </row>
    <row r="1139" spans="1:2">
      <c r="A1139">
        <v>254834</v>
      </c>
      <c r="B1139" t="s">
        <v>2481</v>
      </c>
    </row>
    <row r="1140" spans="1:2">
      <c r="A1140">
        <v>254877</v>
      </c>
    </row>
    <row r="1141" spans="1:2">
      <c r="A1141">
        <v>254921</v>
      </c>
    </row>
    <row r="1142" spans="1:2">
      <c r="A1142">
        <v>256082</v>
      </c>
    </row>
    <row r="1143" spans="1:2">
      <c r="A1143">
        <v>256312</v>
      </c>
    </row>
    <row r="1144" spans="1:2">
      <c r="A1144">
        <v>256351</v>
      </c>
      <c r="B1144" t="s">
        <v>3024</v>
      </c>
    </row>
    <row r="1145" spans="1:2">
      <c r="A1145">
        <v>256593</v>
      </c>
      <c r="B1145" t="s">
        <v>2483</v>
      </c>
    </row>
    <row r="1146" spans="1:2">
      <c r="A1146">
        <v>256663</v>
      </c>
    </row>
    <row r="1147" spans="1:2">
      <c r="A1147">
        <v>258606</v>
      </c>
    </row>
    <row r="1148" spans="1:2">
      <c r="A1148">
        <v>258667</v>
      </c>
    </row>
    <row r="1149" spans="1:2">
      <c r="A1149">
        <v>258679</v>
      </c>
    </row>
    <row r="1150" spans="1:2">
      <c r="A1150">
        <v>258798</v>
      </c>
      <c r="B1150" t="s">
        <v>2484</v>
      </c>
    </row>
    <row r="1151" spans="1:2">
      <c r="A1151">
        <v>259033</v>
      </c>
      <c r="B1151" t="s">
        <v>2485</v>
      </c>
    </row>
    <row r="1152" spans="1:2">
      <c r="A1152">
        <v>259315</v>
      </c>
      <c r="B1152" t="s">
        <v>3025</v>
      </c>
    </row>
    <row r="1153" spans="1:2">
      <c r="A1153">
        <v>259429</v>
      </c>
      <c r="B1153" t="s">
        <v>2487</v>
      </c>
    </row>
    <row r="1154" spans="1:2">
      <c r="A1154">
        <v>259587</v>
      </c>
    </row>
    <row r="1155" spans="1:2">
      <c r="A1155">
        <v>259593</v>
      </c>
      <c r="B1155" t="s">
        <v>3026</v>
      </c>
    </row>
    <row r="1156" spans="1:2">
      <c r="A1156">
        <v>259598</v>
      </c>
      <c r="B1156" t="s">
        <v>2489</v>
      </c>
    </row>
    <row r="1157" spans="1:2">
      <c r="A1157">
        <v>259610</v>
      </c>
      <c r="B1157" t="s">
        <v>2490</v>
      </c>
    </row>
    <row r="1158" spans="1:2">
      <c r="A1158">
        <v>259828</v>
      </c>
      <c r="B1158" t="s">
        <v>2491</v>
      </c>
    </row>
    <row r="1159" spans="1:2">
      <c r="A1159">
        <v>259850</v>
      </c>
      <c r="B1159" t="s">
        <v>2492</v>
      </c>
    </row>
    <row r="1160" spans="1:2">
      <c r="A1160">
        <v>259864</v>
      </c>
      <c r="B1160" t="s">
        <v>2493</v>
      </c>
    </row>
    <row r="1161" spans="1:2">
      <c r="A1161">
        <v>259867</v>
      </c>
      <c r="B1161" t="s">
        <v>2494</v>
      </c>
    </row>
    <row r="1162" spans="1:2">
      <c r="A1162">
        <v>259877</v>
      </c>
      <c r="B1162" t="s">
        <v>2495</v>
      </c>
    </row>
    <row r="1163" spans="1:2">
      <c r="A1163">
        <v>259953</v>
      </c>
      <c r="B1163" t="s">
        <v>2496</v>
      </c>
    </row>
    <row r="1164" spans="1:2">
      <c r="A1164">
        <v>260046</v>
      </c>
      <c r="B1164" t="s">
        <v>3027</v>
      </c>
    </row>
    <row r="1165" spans="1:2">
      <c r="A1165">
        <v>262234</v>
      </c>
      <c r="B1165" t="s">
        <v>3028</v>
      </c>
    </row>
    <row r="1166" spans="1:2">
      <c r="A1166">
        <v>264663</v>
      </c>
    </row>
    <row r="1167" spans="1:2">
      <c r="A1167">
        <v>265211</v>
      </c>
    </row>
    <row r="1168" spans="1:2">
      <c r="A1168">
        <v>267238</v>
      </c>
    </row>
    <row r="1169" spans="1:2">
      <c r="A1169">
        <v>267254</v>
      </c>
    </row>
    <row r="1170" spans="1:2">
      <c r="A1170">
        <v>271017</v>
      </c>
    </row>
    <row r="1171" spans="1:2">
      <c r="A1171">
        <v>271174</v>
      </c>
    </row>
    <row r="1172" spans="1:2">
      <c r="A1172">
        <v>278525</v>
      </c>
    </row>
    <row r="1173" spans="1:2">
      <c r="A1173">
        <v>280431</v>
      </c>
    </row>
    <row r="1174" spans="1:2">
      <c r="A1174">
        <v>280433</v>
      </c>
    </row>
    <row r="1175" spans="1:2">
      <c r="A1175">
        <v>281509</v>
      </c>
    </row>
    <row r="1176" spans="1:2">
      <c r="A1176">
        <v>287597</v>
      </c>
    </row>
    <row r="1177" spans="1:2">
      <c r="A1177">
        <v>287708</v>
      </c>
    </row>
    <row r="1178" spans="1:2">
      <c r="A1178">
        <v>287990</v>
      </c>
    </row>
    <row r="1179" spans="1:2">
      <c r="A1179">
        <v>289987</v>
      </c>
    </row>
    <row r="1180" spans="1:2">
      <c r="A1180">
        <v>294237</v>
      </c>
      <c r="B1180" t="s">
        <v>2499</v>
      </c>
    </row>
    <row r="1181" spans="1:2">
      <c r="A1181">
        <v>297864</v>
      </c>
    </row>
    <row r="1182" spans="1:2">
      <c r="A1182">
        <v>299871</v>
      </c>
    </row>
    <row r="1183" spans="1:2">
      <c r="A1183">
        <v>303058</v>
      </c>
    </row>
    <row r="1184" spans="1:2">
      <c r="A1184">
        <v>303074</v>
      </c>
    </row>
    <row r="1185" spans="1:2">
      <c r="A1185">
        <v>303555</v>
      </c>
    </row>
    <row r="1186" spans="1:2">
      <c r="A1186">
        <v>303881</v>
      </c>
    </row>
    <row r="1187" spans="1:2">
      <c r="A1187">
        <v>303883</v>
      </c>
    </row>
    <row r="1188" spans="1:2">
      <c r="A1188">
        <v>303884</v>
      </c>
    </row>
    <row r="1189" spans="1:2">
      <c r="A1189">
        <v>303885</v>
      </c>
    </row>
    <row r="1190" spans="1:2">
      <c r="A1190">
        <v>303886</v>
      </c>
    </row>
    <row r="1191" spans="1:2">
      <c r="A1191">
        <v>303890</v>
      </c>
    </row>
    <row r="1192" spans="1:2">
      <c r="A1192">
        <v>303894</v>
      </c>
    </row>
    <row r="1193" spans="1:2">
      <c r="A1193">
        <v>303895</v>
      </c>
    </row>
    <row r="1194" spans="1:2">
      <c r="A1194">
        <v>303898</v>
      </c>
      <c r="B1194" t="s">
        <v>2500</v>
      </c>
    </row>
    <row r="1195" spans="1:2">
      <c r="A1195">
        <v>305625</v>
      </c>
    </row>
    <row r="1196" spans="1:2">
      <c r="A1196">
        <v>317204</v>
      </c>
    </row>
    <row r="1197" spans="1:2">
      <c r="A1197">
        <v>323115</v>
      </c>
    </row>
    <row r="1198" spans="1:2">
      <c r="A1198">
        <v>323612</v>
      </c>
      <c r="B1198" t="s">
        <v>2501</v>
      </c>
    </row>
    <row r="1199" spans="1:2">
      <c r="A1199">
        <v>323613</v>
      </c>
      <c r="B1199" t="s">
        <v>2502</v>
      </c>
    </row>
    <row r="1200" spans="1:2">
      <c r="A1200">
        <v>323614</v>
      </c>
      <c r="B1200" t="s">
        <v>2503</v>
      </c>
    </row>
    <row r="1201" spans="1:2">
      <c r="A1201">
        <v>323615</v>
      </c>
      <c r="B1201" t="s">
        <v>3029</v>
      </c>
    </row>
    <row r="1202" spans="1:2">
      <c r="A1202">
        <v>323616</v>
      </c>
      <c r="B1202" t="s">
        <v>2505</v>
      </c>
    </row>
    <row r="1203" spans="1:2">
      <c r="A1203">
        <v>323617</v>
      </c>
      <c r="B1203" t="s">
        <v>3030</v>
      </c>
    </row>
    <row r="1204" spans="1:2">
      <c r="A1204">
        <v>324110</v>
      </c>
    </row>
    <row r="1205" spans="1:2">
      <c r="A1205">
        <v>325208</v>
      </c>
    </row>
    <row r="1206" spans="1:2">
      <c r="A1206">
        <v>325379</v>
      </c>
    </row>
    <row r="1207" spans="1:2">
      <c r="A1207">
        <v>325425</v>
      </c>
    </row>
    <row r="1208" spans="1:2">
      <c r="A1208">
        <v>325566</v>
      </c>
    </row>
    <row r="1209" spans="1:2">
      <c r="A1209">
        <v>329698</v>
      </c>
      <c r="B1209" t="s">
        <v>2507</v>
      </c>
    </row>
    <row r="1210" spans="1:2">
      <c r="A1210">
        <v>330280</v>
      </c>
    </row>
    <row r="1211" spans="1:2">
      <c r="A1211">
        <v>330427</v>
      </c>
    </row>
    <row r="1212" spans="1:2">
      <c r="A1212">
        <v>330791</v>
      </c>
    </row>
    <row r="1213" spans="1:2">
      <c r="A1213">
        <v>330939</v>
      </c>
    </row>
    <row r="1214" spans="1:2">
      <c r="A1214">
        <v>331239</v>
      </c>
    </row>
    <row r="1215" spans="1:2">
      <c r="A1215">
        <v>331404</v>
      </c>
      <c r="B1215" t="s">
        <v>3031</v>
      </c>
    </row>
    <row r="1216" spans="1:2">
      <c r="A1216">
        <v>331411</v>
      </c>
      <c r="B1216" t="s">
        <v>3032</v>
      </c>
    </row>
    <row r="1217" spans="1:1">
      <c r="A1217">
        <v>331485</v>
      </c>
    </row>
    <row r="1218" spans="1:1">
      <c r="A1218">
        <v>333077</v>
      </c>
    </row>
    <row r="1219" spans="1:1">
      <c r="A1219">
        <v>333079</v>
      </c>
    </row>
    <row r="1220" spans="1:1">
      <c r="A1220">
        <v>333100</v>
      </c>
    </row>
    <row r="1221" spans="1:1">
      <c r="A1221">
        <v>333136</v>
      </c>
    </row>
    <row r="1222" spans="1:1">
      <c r="A1222">
        <v>333139</v>
      </c>
    </row>
    <row r="1223" spans="1:1">
      <c r="A1223">
        <v>333150</v>
      </c>
    </row>
    <row r="1224" spans="1:1">
      <c r="A1224">
        <v>333402</v>
      </c>
    </row>
    <row r="1225" spans="1:1">
      <c r="A1225">
        <v>333407</v>
      </c>
    </row>
    <row r="1226" spans="1:1">
      <c r="A1226">
        <v>333422</v>
      </c>
    </row>
    <row r="1227" spans="1:1">
      <c r="A1227">
        <v>333498</v>
      </c>
    </row>
    <row r="1228" spans="1:1">
      <c r="A1228">
        <v>334395</v>
      </c>
    </row>
    <row r="1229" spans="1:1">
      <c r="A1229">
        <v>335478</v>
      </c>
    </row>
    <row r="1230" spans="1:1">
      <c r="A1230">
        <v>335519</v>
      </c>
    </row>
    <row r="1231" spans="1:1">
      <c r="A1231">
        <v>335521</v>
      </c>
    </row>
    <row r="1232" spans="1:1">
      <c r="A1232">
        <v>335542</v>
      </c>
    </row>
    <row r="1233" spans="1:2">
      <c r="A1233">
        <v>336211</v>
      </c>
    </row>
    <row r="1234" spans="1:2">
      <c r="A1234">
        <v>336265</v>
      </c>
    </row>
    <row r="1235" spans="1:2">
      <c r="A1235">
        <v>336865</v>
      </c>
    </row>
    <row r="1236" spans="1:2">
      <c r="A1236">
        <v>339611</v>
      </c>
    </row>
    <row r="1237" spans="1:2">
      <c r="A1237">
        <v>340270</v>
      </c>
    </row>
    <row r="1238" spans="1:2">
      <c r="A1238">
        <v>341096</v>
      </c>
    </row>
    <row r="1239" spans="1:2">
      <c r="A1239">
        <v>341265</v>
      </c>
    </row>
    <row r="1240" spans="1:2">
      <c r="A1240">
        <v>341883</v>
      </c>
    </row>
    <row r="1241" spans="1:2">
      <c r="A1241">
        <v>342558</v>
      </c>
    </row>
    <row r="1242" spans="1:2">
      <c r="A1242">
        <v>342847</v>
      </c>
    </row>
    <row r="1243" spans="1:2">
      <c r="A1243">
        <v>344037</v>
      </c>
    </row>
    <row r="1244" spans="1:2">
      <c r="A1244">
        <v>344039</v>
      </c>
    </row>
    <row r="1245" spans="1:2">
      <c r="A1245">
        <v>347909</v>
      </c>
    </row>
    <row r="1246" spans="1:2">
      <c r="A1246">
        <v>352383</v>
      </c>
      <c r="B1246" t="s">
        <v>2510</v>
      </c>
    </row>
    <row r="1247" spans="1:2">
      <c r="A1247">
        <v>353098</v>
      </c>
    </row>
    <row r="1248" spans="1:2">
      <c r="A1248">
        <v>353828</v>
      </c>
      <c r="B1248" t="s">
        <v>2511</v>
      </c>
    </row>
    <row r="1249" spans="1:2">
      <c r="A1249">
        <v>354067</v>
      </c>
      <c r="B1249" t="s">
        <v>3033</v>
      </c>
    </row>
    <row r="1250" spans="1:2">
      <c r="A1250">
        <v>354071</v>
      </c>
      <c r="B1250" t="s">
        <v>2513</v>
      </c>
    </row>
    <row r="1251" spans="1:2">
      <c r="A1251">
        <v>357302</v>
      </c>
    </row>
    <row r="1252" spans="1:2">
      <c r="A1252">
        <v>362775</v>
      </c>
    </row>
    <row r="1253" spans="1:2">
      <c r="A1253">
        <v>363775</v>
      </c>
    </row>
    <row r="1254" spans="1:2">
      <c r="A1254">
        <v>364155</v>
      </c>
    </row>
    <row r="1255" spans="1:2">
      <c r="A1255">
        <v>367288</v>
      </c>
    </row>
    <row r="1256" spans="1:2">
      <c r="A1256">
        <v>367291</v>
      </c>
    </row>
    <row r="1257" spans="1:2">
      <c r="A1257">
        <v>367383</v>
      </c>
    </row>
    <row r="1258" spans="1:2">
      <c r="A1258">
        <v>367414</v>
      </c>
    </row>
    <row r="1259" spans="1:2">
      <c r="A1259">
        <v>368805</v>
      </c>
    </row>
    <row r="1260" spans="1:2">
      <c r="A1260">
        <v>369705</v>
      </c>
    </row>
    <row r="1261" spans="1:2">
      <c r="A1261">
        <v>370049</v>
      </c>
    </row>
    <row r="1262" spans="1:2">
      <c r="A1262">
        <v>370424</v>
      </c>
    </row>
    <row r="1263" spans="1:2">
      <c r="A1263">
        <v>374705</v>
      </c>
      <c r="B1263" t="s">
        <v>2514</v>
      </c>
    </row>
    <row r="1264" spans="1:2">
      <c r="A1264">
        <v>380158</v>
      </c>
      <c r="B1264" t="s">
        <v>2515</v>
      </c>
    </row>
    <row r="1265" spans="1:2">
      <c r="A1265">
        <v>380835</v>
      </c>
      <c r="B1265" t="s">
        <v>2516</v>
      </c>
    </row>
    <row r="1266" spans="1:2">
      <c r="A1266">
        <v>381202</v>
      </c>
      <c r="B1266" t="s">
        <v>2517</v>
      </c>
    </row>
    <row r="1267" spans="1:2">
      <c r="A1267">
        <v>381444</v>
      </c>
      <c r="B1267" t="s">
        <v>3034</v>
      </c>
    </row>
    <row r="1268" spans="1:2">
      <c r="A1268">
        <v>381504</v>
      </c>
      <c r="B1268" t="s">
        <v>2519</v>
      </c>
    </row>
    <row r="1269" spans="1:2">
      <c r="A1269">
        <v>381585</v>
      </c>
      <c r="B1269" t="s">
        <v>3035</v>
      </c>
    </row>
    <row r="1270" spans="1:2">
      <c r="A1270">
        <v>381588</v>
      </c>
      <c r="B1270" t="s">
        <v>3036</v>
      </c>
    </row>
    <row r="1271" spans="1:2">
      <c r="A1271">
        <v>391128</v>
      </c>
    </row>
    <row r="1272" spans="1:2">
      <c r="A1272">
        <v>392173</v>
      </c>
    </row>
    <row r="1273" spans="1:2">
      <c r="A1273">
        <v>392193</v>
      </c>
    </row>
    <row r="1274" spans="1:2">
      <c r="A1274">
        <v>397752</v>
      </c>
    </row>
    <row r="1275" spans="1:2">
      <c r="A1275">
        <v>397754</v>
      </c>
      <c r="B1275" t="s">
        <v>3037</v>
      </c>
    </row>
    <row r="1276" spans="1:2">
      <c r="A1276">
        <v>397763</v>
      </c>
      <c r="B1276" t="s">
        <v>2523</v>
      </c>
    </row>
    <row r="1277" spans="1:2">
      <c r="A1277">
        <v>397831</v>
      </c>
    </row>
    <row r="1278" spans="1:2">
      <c r="A1278">
        <v>397853</v>
      </c>
    </row>
    <row r="1279" spans="1:2">
      <c r="A1279">
        <v>397884</v>
      </c>
      <c r="B1279" t="s">
        <v>3038</v>
      </c>
    </row>
    <row r="1280" spans="1:2">
      <c r="A1280">
        <v>401879</v>
      </c>
      <c r="B1280" t="s">
        <v>2525</v>
      </c>
    </row>
    <row r="1281" spans="1:2">
      <c r="A1281">
        <v>404101</v>
      </c>
    </row>
    <row r="1282" spans="1:2">
      <c r="A1282">
        <v>413585</v>
      </c>
    </row>
    <row r="1283" spans="1:2">
      <c r="A1283">
        <v>413633</v>
      </c>
    </row>
    <row r="1284" spans="1:2">
      <c r="A1284">
        <v>417399</v>
      </c>
      <c r="B1284" t="s">
        <v>2526</v>
      </c>
    </row>
    <row r="1285" spans="1:2">
      <c r="A1285">
        <v>425047</v>
      </c>
    </row>
    <row r="1286" spans="1:2">
      <c r="A1286">
        <v>447220</v>
      </c>
    </row>
    <row r="1287" spans="1:2">
      <c r="A1287">
        <v>452326</v>
      </c>
      <c r="B1287" t="s">
        <v>2527</v>
      </c>
    </row>
    <row r="1288" spans="1:2">
      <c r="A1288">
        <v>452510</v>
      </c>
      <c r="B1288" t="s">
        <v>2528</v>
      </c>
    </row>
    <row r="1289" spans="1:2">
      <c r="A1289">
        <v>452847</v>
      </c>
    </row>
    <row r="1290" spans="1:2">
      <c r="A1290">
        <v>452972</v>
      </c>
    </row>
    <row r="1291" spans="1:2">
      <c r="A1291">
        <v>453054</v>
      </c>
    </row>
    <row r="1292" spans="1:2">
      <c r="A1292">
        <v>453330</v>
      </c>
    </row>
    <row r="1293" spans="1:2">
      <c r="A1293">
        <v>454223</v>
      </c>
      <c r="B1293" t="s">
        <v>2529</v>
      </c>
    </row>
    <row r="1294" spans="1:2">
      <c r="A1294">
        <v>454450</v>
      </c>
    </row>
    <row r="1295" spans="1:2">
      <c r="A1295">
        <v>454832</v>
      </c>
      <c r="B1295" t="s">
        <v>2530</v>
      </c>
    </row>
    <row r="1296" spans="1:2">
      <c r="A1296">
        <v>455182</v>
      </c>
    </row>
    <row r="1297" spans="1:2">
      <c r="A1297">
        <v>455184</v>
      </c>
    </row>
    <row r="1298" spans="1:2">
      <c r="A1298">
        <v>455284</v>
      </c>
    </row>
    <row r="1299" spans="1:2">
      <c r="A1299">
        <v>455453</v>
      </c>
    </row>
    <row r="1300" spans="1:2">
      <c r="A1300">
        <v>455655</v>
      </c>
    </row>
    <row r="1301" spans="1:2">
      <c r="A1301">
        <v>455658</v>
      </c>
    </row>
    <row r="1302" spans="1:2">
      <c r="A1302">
        <v>456336</v>
      </c>
    </row>
    <row r="1303" spans="1:2">
      <c r="A1303">
        <v>457680</v>
      </c>
    </row>
    <row r="1304" spans="1:2">
      <c r="A1304">
        <v>458258</v>
      </c>
    </row>
    <row r="1305" spans="1:2">
      <c r="A1305">
        <v>458365</v>
      </c>
    </row>
    <row r="1306" spans="1:2">
      <c r="A1306">
        <v>458379</v>
      </c>
    </row>
    <row r="1307" spans="1:2">
      <c r="A1307">
        <v>458654</v>
      </c>
      <c r="B1307" t="s">
        <v>2531</v>
      </c>
    </row>
    <row r="1308" spans="1:2">
      <c r="A1308">
        <v>458663</v>
      </c>
      <c r="B1308" t="s">
        <v>2532</v>
      </c>
    </row>
    <row r="1309" spans="1:2">
      <c r="A1309">
        <v>458669</v>
      </c>
    </row>
    <row r="1310" spans="1:2">
      <c r="A1310">
        <v>458727</v>
      </c>
    </row>
    <row r="1311" spans="1:2">
      <c r="A1311">
        <v>458750</v>
      </c>
    </row>
    <row r="1312" spans="1:2">
      <c r="A1312">
        <v>458781</v>
      </c>
    </row>
    <row r="1313" spans="1:2">
      <c r="A1313">
        <v>458785</v>
      </c>
    </row>
    <row r="1314" spans="1:2">
      <c r="A1314">
        <v>464823</v>
      </c>
      <c r="B1314" t="s">
        <v>2533</v>
      </c>
    </row>
    <row r="1315" spans="1:2">
      <c r="A1315">
        <v>464840</v>
      </c>
      <c r="B1315" t="s">
        <v>2534</v>
      </c>
    </row>
    <row r="1316" spans="1:2">
      <c r="A1316">
        <v>464849</v>
      </c>
      <c r="B1316" t="s">
        <v>2535</v>
      </c>
    </row>
    <row r="1317" spans="1:2">
      <c r="A1317">
        <v>464971</v>
      </c>
      <c r="B1317" t="s">
        <v>3039</v>
      </c>
    </row>
    <row r="1318" spans="1:2">
      <c r="A1318">
        <v>465156</v>
      </c>
      <c r="B1318" t="s">
        <v>2537</v>
      </c>
    </row>
    <row r="1319" spans="1:2">
      <c r="A1319">
        <v>465386</v>
      </c>
      <c r="B1319" t="s">
        <v>2538</v>
      </c>
    </row>
    <row r="1320" spans="1:2">
      <c r="A1320">
        <v>465391</v>
      </c>
    </row>
    <row r="1321" spans="1:2">
      <c r="A1321">
        <v>465600</v>
      </c>
    </row>
    <row r="1322" spans="1:2">
      <c r="A1322">
        <v>465612</v>
      </c>
    </row>
    <row r="1323" spans="1:2">
      <c r="A1323">
        <v>465618</v>
      </c>
      <c r="B1323" t="s">
        <v>3040</v>
      </c>
    </row>
    <row r="1324" spans="1:2">
      <c r="A1324">
        <v>465848</v>
      </c>
    </row>
    <row r="1325" spans="1:2">
      <c r="A1325">
        <v>465876</v>
      </c>
    </row>
    <row r="1326" spans="1:2">
      <c r="A1326">
        <v>466591</v>
      </c>
    </row>
    <row r="1327" spans="1:2">
      <c r="A1327">
        <v>466613</v>
      </c>
    </row>
    <row r="1328" spans="1:2">
      <c r="A1328">
        <v>466621</v>
      </c>
    </row>
    <row r="1329" spans="1:2">
      <c r="A1329">
        <v>466624</v>
      </c>
    </row>
    <row r="1330" spans="1:2">
      <c r="A1330">
        <v>466850</v>
      </c>
    </row>
    <row r="1331" spans="1:2">
      <c r="A1331">
        <v>467942</v>
      </c>
    </row>
    <row r="1332" spans="1:2">
      <c r="A1332">
        <v>468395</v>
      </c>
      <c r="B1332" t="s">
        <v>3041</v>
      </c>
    </row>
    <row r="1333" spans="1:2">
      <c r="A1333">
        <v>468641</v>
      </c>
    </row>
    <row r="1334" spans="1:2">
      <c r="A1334">
        <v>468731</v>
      </c>
    </row>
    <row r="1335" spans="1:2">
      <c r="A1335">
        <v>468752</v>
      </c>
    </row>
    <row r="1336" spans="1:2">
      <c r="A1336">
        <v>469522</v>
      </c>
    </row>
    <row r="1337" spans="1:2">
      <c r="A1337">
        <v>470085</v>
      </c>
    </row>
    <row r="1338" spans="1:2">
      <c r="A1338">
        <v>470095</v>
      </c>
    </row>
    <row r="1339" spans="1:2">
      <c r="A1339">
        <v>470100</v>
      </c>
    </row>
    <row r="1340" spans="1:2">
      <c r="A1340">
        <v>470126</v>
      </c>
    </row>
    <row r="1341" spans="1:2">
      <c r="A1341">
        <v>470144</v>
      </c>
    </row>
    <row r="1342" spans="1:2">
      <c r="A1342">
        <v>470165</v>
      </c>
    </row>
    <row r="1343" spans="1:2">
      <c r="A1343">
        <v>470322</v>
      </c>
    </row>
    <row r="1344" spans="1:2">
      <c r="A1344">
        <v>470384</v>
      </c>
    </row>
    <row r="1345" spans="1:2">
      <c r="A1345">
        <v>471146</v>
      </c>
    </row>
    <row r="1346" spans="1:2">
      <c r="A1346">
        <v>471499</v>
      </c>
    </row>
    <row r="1347" spans="1:2">
      <c r="A1347">
        <v>471642</v>
      </c>
    </row>
    <row r="1348" spans="1:2">
      <c r="A1348">
        <v>471645</v>
      </c>
    </row>
    <row r="1349" spans="1:2">
      <c r="A1349">
        <v>473537</v>
      </c>
    </row>
    <row r="1350" spans="1:2">
      <c r="A1350">
        <v>473551</v>
      </c>
    </row>
    <row r="1351" spans="1:2">
      <c r="A1351">
        <v>475027</v>
      </c>
    </row>
    <row r="1352" spans="1:2">
      <c r="A1352">
        <v>475180</v>
      </c>
      <c r="B1352" t="s">
        <v>2541</v>
      </c>
    </row>
    <row r="1353" spans="1:2">
      <c r="A1353">
        <v>475197</v>
      </c>
      <c r="B1353" t="s">
        <v>2542</v>
      </c>
    </row>
    <row r="1354" spans="1:2">
      <c r="A1354">
        <v>475386</v>
      </c>
      <c r="B1354" t="s">
        <v>2543</v>
      </c>
    </row>
    <row r="1355" spans="1:2">
      <c r="A1355">
        <v>475558</v>
      </c>
      <c r="B1355" t="s">
        <v>2544</v>
      </c>
    </row>
    <row r="1356" spans="1:2">
      <c r="A1356">
        <v>478277</v>
      </c>
      <c r="B1356" t="s">
        <v>2545</v>
      </c>
    </row>
    <row r="1357" spans="1:2">
      <c r="A1357">
        <v>502555</v>
      </c>
    </row>
    <row r="1358" spans="1:2">
      <c r="A1358">
        <v>511757</v>
      </c>
    </row>
    <row r="1359" spans="1:2">
      <c r="A1359">
        <v>521103</v>
      </c>
    </row>
    <row r="1360" spans="1:2">
      <c r="A1360">
        <v>522518</v>
      </c>
    </row>
    <row r="1361" spans="1:1">
      <c r="A1361">
        <v>528370</v>
      </c>
    </row>
    <row r="1362" spans="1:1">
      <c r="A1362">
        <v>529458</v>
      </c>
    </row>
    <row r="1363" spans="1:1">
      <c r="A1363">
        <v>533863</v>
      </c>
    </row>
    <row r="1364" spans="1:1">
      <c r="A1364">
        <v>535080</v>
      </c>
    </row>
    <row r="1365" spans="1:1">
      <c r="A1365">
        <v>538798</v>
      </c>
    </row>
    <row r="1366" spans="1:1">
      <c r="A1366">
        <v>542298</v>
      </c>
    </row>
    <row r="1367" spans="1:1">
      <c r="A1367">
        <v>543768</v>
      </c>
    </row>
    <row r="1368" spans="1:1">
      <c r="A1368">
        <v>544549</v>
      </c>
    </row>
    <row r="1369" spans="1:1">
      <c r="A1369">
        <v>548167</v>
      </c>
    </row>
    <row r="1370" spans="1:1">
      <c r="A1370">
        <v>549978</v>
      </c>
    </row>
    <row r="1371" spans="1:1">
      <c r="A1371">
        <v>561147</v>
      </c>
    </row>
    <row r="1372" spans="1:1">
      <c r="A1372">
        <v>567803</v>
      </c>
    </row>
    <row r="1373" spans="1:1">
      <c r="A1373">
        <v>601136</v>
      </c>
    </row>
    <row r="1374" spans="1:1">
      <c r="A1374">
        <v>608593</v>
      </c>
    </row>
    <row r="1375" spans="1:1">
      <c r="A1375">
        <v>621769</v>
      </c>
    </row>
    <row r="1376" spans="1:1">
      <c r="A1376">
        <v>621786</v>
      </c>
    </row>
    <row r="1377" spans="1:2">
      <c r="A1377">
        <v>623010</v>
      </c>
    </row>
    <row r="1378" spans="1:2">
      <c r="A1378">
        <v>628182</v>
      </c>
    </row>
    <row r="1379" spans="1:2">
      <c r="A1379">
        <v>636023</v>
      </c>
    </row>
    <row r="1380" spans="1:2">
      <c r="A1380">
        <v>644191</v>
      </c>
    </row>
    <row r="1381" spans="1:2">
      <c r="A1381">
        <v>657005</v>
      </c>
    </row>
    <row r="1382" spans="1:2">
      <c r="A1382">
        <v>682510</v>
      </c>
    </row>
    <row r="1383" spans="1:2">
      <c r="A1383">
        <v>692172</v>
      </c>
    </row>
    <row r="1384" spans="1:2">
      <c r="A1384">
        <v>709123</v>
      </c>
      <c r="B1384" t="s">
        <v>2546</v>
      </c>
    </row>
    <row r="1385" spans="1:2">
      <c r="A1385">
        <v>710503</v>
      </c>
    </row>
    <row r="1386" spans="1:2">
      <c r="A1386">
        <v>716969</v>
      </c>
    </row>
    <row r="1387" spans="1:2">
      <c r="A1387">
        <v>720680</v>
      </c>
    </row>
    <row r="1388" spans="1:2">
      <c r="A1388">
        <v>727440</v>
      </c>
    </row>
    <row r="1389" spans="1:2">
      <c r="A1389">
        <v>729942</v>
      </c>
    </row>
    <row r="1390" spans="1:2">
      <c r="A1390">
        <v>730952</v>
      </c>
    </row>
    <row r="1391" spans="1:2">
      <c r="A1391">
        <v>731286</v>
      </c>
    </row>
    <row r="1392" spans="1:2">
      <c r="A1392">
        <v>737167</v>
      </c>
    </row>
    <row r="1393" spans="1:2">
      <c r="A1393">
        <v>741382</v>
      </c>
    </row>
    <row r="1394" spans="1:2">
      <c r="A1394">
        <v>742178</v>
      </c>
    </row>
    <row r="1395" spans="1:2">
      <c r="A1395">
        <v>742183</v>
      </c>
    </row>
    <row r="1396" spans="1:2">
      <c r="A1396">
        <v>745348</v>
      </c>
    </row>
    <row r="1397" spans="1:2">
      <c r="A1397">
        <v>745976</v>
      </c>
    </row>
    <row r="1398" spans="1:2">
      <c r="A1398">
        <v>746956</v>
      </c>
    </row>
    <row r="1399" spans="1:2">
      <c r="A1399">
        <v>750231</v>
      </c>
    </row>
    <row r="1400" spans="1:2">
      <c r="A1400">
        <v>752989</v>
      </c>
    </row>
    <row r="1401" spans="1:2">
      <c r="A1401">
        <v>754808</v>
      </c>
    </row>
    <row r="1402" spans="1:2">
      <c r="A1402">
        <v>758832</v>
      </c>
    </row>
    <row r="1403" spans="1:2">
      <c r="A1403">
        <v>761283</v>
      </c>
    </row>
    <row r="1404" spans="1:2">
      <c r="A1404">
        <v>761372</v>
      </c>
    </row>
    <row r="1405" spans="1:2">
      <c r="A1405">
        <v>764124</v>
      </c>
      <c r="B1405" t="s">
        <v>2547</v>
      </c>
    </row>
    <row r="1406" spans="1:2">
      <c r="A1406">
        <v>764789</v>
      </c>
      <c r="B1406" t="s">
        <v>2548</v>
      </c>
    </row>
    <row r="1407" spans="1:2">
      <c r="A1407">
        <v>765273</v>
      </c>
      <c r="B1407" t="s">
        <v>3042</v>
      </c>
    </row>
    <row r="1408" spans="1:2">
      <c r="A1408">
        <v>766189</v>
      </c>
      <c r="B1408" t="s">
        <v>2550</v>
      </c>
    </row>
    <row r="1409" spans="1:2">
      <c r="A1409">
        <v>766934</v>
      </c>
    </row>
    <row r="1410" spans="1:2">
      <c r="A1410">
        <v>767213</v>
      </c>
    </row>
    <row r="1411" spans="1:2">
      <c r="A1411">
        <v>767263</v>
      </c>
    </row>
    <row r="1412" spans="1:2">
      <c r="A1412">
        <v>767284</v>
      </c>
    </row>
    <row r="1413" spans="1:2">
      <c r="A1413">
        <v>767370</v>
      </c>
    </row>
    <row r="1414" spans="1:2">
      <c r="A1414">
        <v>767375</v>
      </c>
    </row>
    <row r="1415" spans="1:2">
      <c r="A1415">
        <v>767377</v>
      </c>
    </row>
    <row r="1416" spans="1:2">
      <c r="A1416">
        <v>767512</v>
      </c>
    </row>
    <row r="1417" spans="1:2">
      <c r="A1417">
        <v>767518</v>
      </c>
    </row>
    <row r="1418" spans="1:2">
      <c r="A1418">
        <v>768427</v>
      </c>
    </row>
    <row r="1419" spans="1:2">
      <c r="A1419">
        <v>769535</v>
      </c>
      <c r="B1419" t="s">
        <v>3043</v>
      </c>
    </row>
    <row r="1420" spans="1:2">
      <c r="A1420">
        <v>769772</v>
      </c>
    </row>
    <row r="1421" spans="1:2">
      <c r="A1421">
        <v>769783</v>
      </c>
    </row>
    <row r="1422" spans="1:2">
      <c r="A1422">
        <v>769815</v>
      </c>
    </row>
    <row r="1423" spans="1:2">
      <c r="A1423">
        <v>770244</v>
      </c>
    </row>
    <row r="1424" spans="1:2">
      <c r="A1424">
        <v>770305</v>
      </c>
    </row>
    <row r="1425" spans="1:2">
      <c r="A1425">
        <v>774714</v>
      </c>
    </row>
    <row r="1426" spans="1:2">
      <c r="A1426">
        <v>774898</v>
      </c>
    </row>
    <row r="1427" spans="1:2">
      <c r="A1427">
        <v>775019</v>
      </c>
    </row>
    <row r="1428" spans="1:2">
      <c r="A1428">
        <v>775517</v>
      </c>
    </row>
    <row r="1429" spans="1:2">
      <c r="A1429">
        <v>776922</v>
      </c>
    </row>
    <row r="1430" spans="1:2">
      <c r="A1430">
        <v>780537</v>
      </c>
      <c r="B1430" t="s">
        <v>3044</v>
      </c>
    </row>
    <row r="1431" spans="1:2">
      <c r="A1431">
        <v>782735</v>
      </c>
      <c r="B1431" t="s">
        <v>3045</v>
      </c>
    </row>
    <row r="1432" spans="1:2">
      <c r="A1432">
        <v>782740</v>
      </c>
      <c r="B1432" t="s">
        <v>2554</v>
      </c>
    </row>
    <row r="1433" spans="1:2">
      <c r="A1433">
        <v>782742</v>
      </c>
      <c r="B1433" t="s">
        <v>3046</v>
      </c>
    </row>
    <row r="1434" spans="1:2">
      <c r="A1434">
        <v>782743</v>
      </c>
      <c r="B1434" t="s">
        <v>2556</v>
      </c>
    </row>
    <row r="1435" spans="1:2">
      <c r="A1435">
        <v>782747</v>
      </c>
      <c r="B1435" t="s">
        <v>3047</v>
      </c>
    </row>
    <row r="1436" spans="1:2">
      <c r="A1436">
        <v>783484</v>
      </c>
      <c r="B1436" t="s">
        <v>2558</v>
      </c>
    </row>
    <row r="1437" spans="1:2">
      <c r="A1437">
        <v>783488</v>
      </c>
      <c r="B1437" t="s">
        <v>2559</v>
      </c>
    </row>
    <row r="1438" spans="1:2">
      <c r="A1438">
        <v>784526</v>
      </c>
      <c r="B1438" t="s">
        <v>3048</v>
      </c>
    </row>
    <row r="1439" spans="1:2">
      <c r="A1439">
        <v>784562</v>
      </c>
      <c r="B1439" t="s">
        <v>2561</v>
      </c>
    </row>
    <row r="1440" spans="1:2">
      <c r="A1440">
        <v>784628</v>
      </c>
      <c r="B1440" t="s">
        <v>2562</v>
      </c>
    </row>
    <row r="1441" spans="1:2">
      <c r="A1441">
        <v>784630</v>
      </c>
      <c r="B1441" t="s">
        <v>2563</v>
      </c>
    </row>
    <row r="1442" spans="1:2">
      <c r="A1442">
        <v>784634</v>
      </c>
      <c r="B1442" t="s">
        <v>2564</v>
      </c>
    </row>
    <row r="1443" spans="1:2">
      <c r="A1443">
        <v>784637</v>
      </c>
    </row>
    <row r="1444" spans="1:2">
      <c r="A1444">
        <v>784902</v>
      </c>
    </row>
    <row r="1445" spans="1:2">
      <c r="A1445">
        <v>784926</v>
      </c>
    </row>
    <row r="1446" spans="1:2">
      <c r="A1446">
        <v>785028</v>
      </c>
    </row>
    <row r="1447" spans="1:2">
      <c r="A1447">
        <v>785228</v>
      </c>
    </row>
    <row r="1448" spans="1:2">
      <c r="A1448">
        <v>785361</v>
      </c>
    </row>
    <row r="1449" spans="1:2">
      <c r="A1449">
        <v>785366</v>
      </c>
    </row>
    <row r="1450" spans="1:2">
      <c r="A1450">
        <v>786497</v>
      </c>
    </row>
    <row r="1451" spans="1:2">
      <c r="A1451">
        <v>786500</v>
      </c>
    </row>
    <row r="1452" spans="1:2">
      <c r="A1452">
        <v>786504</v>
      </c>
    </row>
    <row r="1453" spans="1:2">
      <c r="A1453">
        <v>786507</v>
      </c>
    </row>
    <row r="1454" spans="1:2">
      <c r="A1454">
        <v>786510</v>
      </c>
    </row>
    <row r="1455" spans="1:2">
      <c r="A1455">
        <v>786794</v>
      </c>
    </row>
    <row r="1456" spans="1:2">
      <c r="A1456">
        <v>786799</v>
      </c>
    </row>
    <row r="1457" spans="1:2">
      <c r="A1457">
        <v>786803</v>
      </c>
    </row>
    <row r="1458" spans="1:2">
      <c r="A1458">
        <v>786995</v>
      </c>
    </row>
    <row r="1459" spans="1:2">
      <c r="A1459">
        <v>788400</v>
      </c>
      <c r="B1459" t="s">
        <v>3049</v>
      </c>
    </row>
    <row r="1460" spans="1:2">
      <c r="A1460">
        <v>788401</v>
      </c>
      <c r="B1460" t="s">
        <v>2566</v>
      </c>
    </row>
    <row r="1461" spans="1:2">
      <c r="A1461">
        <v>788434</v>
      </c>
    </row>
    <row r="1462" spans="1:2">
      <c r="A1462">
        <v>788498</v>
      </c>
    </row>
    <row r="1463" spans="1:2">
      <c r="A1463">
        <v>788583</v>
      </c>
    </row>
    <row r="1464" spans="1:2">
      <c r="A1464">
        <v>788834</v>
      </c>
    </row>
    <row r="1465" spans="1:2">
      <c r="A1465">
        <v>788849</v>
      </c>
      <c r="B1465" t="s">
        <v>2567</v>
      </c>
    </row>
    <row r="1466" spans="1:2">
      <c r="A1466">
        <v>788999</v>
      </c>
      <c r="B1466" t="s">
        <v>2568</v>
      </c>
    </row>
    <row r="1467" spans="1:2">
      <c r="A1467">
        <v>789108</v>
      </c>
    </row>
    <row r="1468" spans="1:2">
      <c r="A1468">
        <v>789259</v>
      </c>
      <c r="B1468" t="s">
        <v>2569</v>
      </c>
    </row>
    <row r="1469" spans="1:2">
      <c r="A1469">
        <v>789260</v>
      </c>
      <c r="B1469" t="s">
        <v>2570</v>
      </c>
    </row>
    <row r="1470" spans="1:2">
      <c r="A1470">
        <v>789267</v>
      </c>
    </row>
    <row r="1471" spans="1:2">
      <c r="A1471">
        <v>790145</v>
      </c>
      <c r="B1471" t="s">
        <v>2571</v>
      </c>
    </row>
    <row r="1472" spans="1:2">
      <c r="A1472">
        <v>790177</v>
      </c>
      <c r="B1472" t="s">
        <v>2572</v>
      </c>
    </row>
    <row r="1473" spans="1:2">
      <c r="A1473">
        <v>790266</v>
      </c>
      <c r="B1473" t="s">
        <v>3050</v>
      </c>
    </row>
    <row r="1474" spans="1:2">
      <c r="A1474">
        <v>790689</v>
      </c>
    </row>
    <row r="1475" spans="1:2">
      <c r="A1475">
        <v>796042</v>
      </c>
      <c r="B1475" t="s">
        <v>2574</v>
      </c>
    </row>
    <row r="1476" spans="1:2">
      <c r="A1476">
        <v>796045</v>
      </c>
      <c r="B1476" t="s">
        <v>2575</v>
      </c>
    </row>
    <row r="1477" spans="1:2">
      <c r="A1477">
        <v>798610</v>
      </c>
      <c r="B1477" t="s">
        <v>2576</v>
      </c>
    </row>
    <row r="1478" spans="1:2">
      <c r="A1478">
        <v>798620</v>
      </c>
      <c r="B1478" t="s">
        <v>2577</v>
      </c>
    </row>
    <row r="1479" spans="1:2">
      <c r="A1479">
        <v>798858</v>
      </c>
      <c r="B1479" t="s">
        <v>3051</v>
      </c>
    </row>
    <row r="1480" spans="1:2">
      <c r="A1480">
        <v>798865</v>
      </c>
      <c r="B1480" t="s">
        <v>2579</v>
      </c>
    </row>
    <row r="1481" spans="1:2">
      <c r="A1481">
        <v>798866</v>
      </c>
      <c r="B1481" t="s">
        <v>2580</v>
      </c>
    </row>
    <row r="1482" spans="1:2">
      <c r="A1482">
        <v>798867</v>
      </c>
      <c r="B1482" t="s">
        <v>2581</v>
      </c>
    </row>
    <row r="1483" spans="1:2">
      <c r="A1483">
        <v>798869</v>
      </c>
      <c r="B1483" t="s">
        <v>2582</v>
      </c>
    </row>
    <row r="1484" spans="1:2">
      <c r="A1484">
        <v>798887</v>
      </c>
      <c r="B1484" t="s">
        <v>2583</v>
      </c>
    </row>
    <row r="1485" spans="1:2">
      <c r="A1485">
        <v>798896</v>
      </c>
    </row>
    <row r="1486" spans="1:2">
      <c r="A1486">
        <v>798917</v>
      </c>
    </row>
    <row r="1487" spans="1:2">
      <c r="A1487">
        <v>799041</v>
      </c>
    </row>
    <row r="1488" spans="1:2">
      <c r="A1488">
        <v>800722</v>
      </c>
    </row>
    <row r="1489" spans="1:1">
      <c r="A1489">
        <v>800849</v>
      </c>
    </row>
    <row r="1490" spans="1:1">
      <c r="A1490">
        <v>801212</v>
      </c>
    </row>
    <row r="1491" spans="1:1">
      <c r="A1491">
        <v>801384</v>
      </c>
    </row>
    <row r="1492" spans="1:1">
      <c r="A1492">
        <v>804232</v>
      </c>
    </row>
    <row r="1493" spans="1:1">
      <c r="A1493">
        <v>808505</v>
      </c>
    </row>
    <row r="1494" spans="1:1">
      <c r="A1494">
        <v>808711</v>
      </c>
    </row>
    <row r="1495" spans="1:1">
      <c r="A1495">
        <v>811421</v>
      </c>
    </row>
    <row r="1496" spans="1:1">
      <c r="A1496">
        <v>827523</v>
      </c>
    </row>
    <row r="1497" spans="1:1">
      <c r="A1497">
        <v>841448</v>
      </c>
    </row>
    <row r="1498" spans="1:1">
      <c r="A1498">
        <v>844027</v>
      </c>
    </row>
    <row r="1499" spans="1:1">
      <c r="A1499">
        <v>846007</v>
      </c>
    </row>
    <row r="1500" spans="1:1">
      <c r="A1500">
        <v>852145</v>
      </c>
    </row>
    <row r="1501" spans="1:1">
      <c r="A1501">
        <v>852163</v>
      </c>
    </row>
    <row r="1502" spans="1:1">
      <c r="A1502">
        <v>852164</v>
      </c>
    </row>
    <row r="1503" spans="1:1">
      <c r="A1503">
        <v>852521</v>
      </c>
    </row>
    <row r="1504" spans="1:1">
      <c r="A1504">
        <v>852831</v>
      </c>
    </row>
    <row r="1505" spans="1:2">
      <c r="A1505">
        <v>852951</v>
      </c>
    </row>
    <row r="1506" spans="1:2">
      <c r="A1506">
        <v>856459</v>
      </c>
    </row>
    <row r="1507" spans="1:2">
      <c r="A1507">
        <v>857882</v>
      </c>
      <c r="B1507" t="s">
        <v>2584</v>
      </c>
    </row>
    <row r="1508" spans="1:2">
      <c r="A1508">
        <v>859051</v>
      </c>
    </row>
    <row r="1509" spans="1:2">
      <c r="A1509">
        <v>859512</v>
      </c>
    </row>
    <row r="1510" spans="1:2">
      <c r="A1510">
        <v>859766</v>
      </c>
    </row>
    <row r="1511" spans="1:2">
      <c r="A1511">
        <v>862711</v>
      </c>
    </row>
    <row r="1512" spans="1:2">
      <c r="A1512">
        <v>864814</v>
      </c>
    </row>
    <row r="1513" spans="1:2">
      <c r="A1513">
        <v>865413</v>
      </c>
    </row>
    <row r="1514" spans="1:2">
      <c r="A1514">
        <v>865429</v>
      </c>
    </row>
    <row r="1515" spans="1:2">
      <c r="A1515">
        <v>867759</v>
      </c>
    </row>
    <row r="1516" spans="1:2">
      <c r="A1516">
        <v>870206</v>
      </c>
    </row>
    <row r="1517" spans="1:2">
      <c r="A1517">
        <v>872605</v>
      </c>
    </row>
    <row r="1518" spans="1:2">
      <c r="A1518">
        <v>874176</v>
      </c>
      <c r="B1518" t="s">
        <v>2585</v>
      </c>
    </row>
    <row r="1519" spans="1:2">
      <c r="A1519">
        <v>874177</v>
      </c>
    </row>
    <row r="1520" spans="1:2">
      <c r="A1520">
        <v>874181</v>
      </c>
    </row>
    <row r="1521" spans="1:2">
      <c r="A1521">
        <v>874182</v>
      </c>
    </row>
    <row r="1522" spans="1:2">
      <c r="A1522">
        <v>874200</v>
      </c>
    </row>
    <row r="1523" spans="1:2">
      <c r="A1523">
        <v>874210</v>
      </c>
    </row>
    <row r="1524" spans="1:2">
      <c r="A1524">
        <v>874481</v>
      </c>
    </row>
    <row r="1525" spans="1:2">
      <c r="A1525">
        <v>876492</v>
      </c>
    </row>
    <row r="1526" spans="1:2">
      <c r="A1526">
        <v>877713</v>
      </c>
    </row>
    <row r="1527" spans="1:2">
      <c r="A1527">
        <v>881881</v>
      </c>
    </row>
    <row r="1528" spans="1:2">
      <c r="A1528">
        <v>908959</v>
      </c>
    </row>
    <row r="1529" spans="1:2">
      <c r="A1529">
        <v>913711</v>
      </c>
      <c r="B1529" t="s">
        <v>3052</v>
      </c>
    </row>
    <row r="1530" spans="1:2">
      <c r="A1530">
        <v>919964</v>
      </c>
    </row>
    <row r="1531" spans="1:2">
      <c r="A1531">
        <v>937855</v>
      </c>
    </row>
    <row r="1532" spans="1:2">
      <c r="A1532">
        <v>942155</v>
      </c>
    </row>
    <row r="1533" spans="1:2">
      <c r="A1533">
        <v>942933</v>
      </c>
    </row>
    <row r="1534" spans="1:2">
      <c r="A1534">
        <v>950110</v>
      </c>
    </row>
    <row r="1535" spans="1:2">
      <c r="A1535">
        <v>950844</v>
      </c>
    </row>
    <row r="1536" spans="1:2">
      <c r="A1536">
        <v>959842</v>
      </c>
    </row>
    <row r="1537" spans="1:2">
      <c r="A1537">
        <v>967034</v>
      </c>
    </row>
    <row r="1538" spans="1:2">
      <c r="A1538">
        <v>993818</v>
      </c>
      <c r="B1538" t="s">
        <v>2587</v>
      </c>
    </row>
    <row r="1539" spans="1:2">
      <c r="A1539">
        <v>998299</v>
      </c>
    </row>
    <row r="1540" spans="1:2">
      <c r="A1540">
        <v>1001679</v>
      </c>
      <c r="B1540" t="s">
        <v>2588</v>
      </c>
    </row>
    <row r="1541" spans="1:2">
      <c r="A1541">
        <v>1004163</v>
      </c>
    </row>
    <row r="1542" spans="1:2">
      <c r="A1542">
        <v>1009121</v>
      </c>
    </row>
    <row r="1543" spans="1:2">
      <c r="A1543">
        <v>1010449</v>
      </c>
    </row>
    <row r="1544" spans="1:2">
      <c r="A1544">
        <v>1016029</v>
      </c>
    </row>
    <row r="1545" spans="1:2">
      <c r="A1545">
        <v>1021576</v>
      </c>
    </row>
    <row r="1546" spans="1:2">
      <c r="A1546">
        <v>1024401</v>
      </c>
    </row>
    <row r="1547" spans="1:2">
      <c r="A1547">
        <v>1028908</v>
      </c>
    </row>
    <row r="1548" spans="1:2">
      <c r="A1548">
        <v>1034675</v>
      </c>
    </row>
    <row r="1549" spans="1:2">
      <c r="A1549">
        <v>1055714</v>
      </c>
    </row>
    <row r="1550" spans="1:2">
      <c r="A1550">
        <v>1058430</v>
      </c>
    </row>
    <row r="1551" spans="1:2">
      <c r="A1551">
        <v>1059590</v>
      </c>
    </row>
    <row r="1552" spans="1:2">
      <c r="A1552">
        <v>1060009</v>
      </c>
    </row>
    <row r="1553" spans="1:1">
      <c r="A1553">
        <v>1063532</v>
      </c>
    </row>
    <row r="1554" spans="1:1">
      <c r="A1554">
        <v>1070229</v>
      </c>
    </row>
    <row r="1555" spans="1:1">
      <c r="A1555">
        <v>1073962</v>
      </c>
    </row>
    <row r="1556" spans="1:1">
      <c r="A1556">
        <v>1080203</v>
      </c>
    </row>
    <row r="1557" spans="1:1">
      <c r="A1557">
        <v>1080206</v>
      </c>
    </row>
    <row r="1558" spans="1:1">
      <c r="A1558">
        <v>1084768</v>
      </c>
    </row>
    <row r="1559" spans="1:1">
      <c r="A1559">
        <v>1086558</v>
      </c>
    </row>
    <row r="1560" spans="1:1">
      <c r="A1560">
        <v>1087213</v>
      </c>
    </row>
    <row r="1561" spans="1:1">
      <c r="A1561">
        <v>1088975</v>
      </c>
    </row>
    <row r="1562" spans="1:1">
      <c r="A1562">
        <v>1099525</v>
      </c>
    </row>
    <row r="1563" spans="1:1">
      <c r="A1563">
        <v>1159027</v>
      </c>
    </row>
    <row r="1564" spans="1:1">
      <c r="A1564">
        <v>1159310</v>
      </c>
    </row>
    <row r="1565" spans="1:1">
      <c r="A1565">
        <v>1159506</v>
      </c>
    </row>
    <row r="1566" spans="1:1">
      <c r="A1566">
        <v>1159949</v>
      </c>
    </row>
    <row r="1567" spans="1:1">
      <c r="A1567">
        <v>1194476</v>
      </c>
    </row>
    <row r="1568" spans="1:1">
      <c r="A1568">
        <v>1196783</v>
      </c>
    </row>
    <row r="1569" spans="1:1">
      <c r="A1569">
        <v>1222051</v>
      </c>
    </row>
    <row r="1570" spans="1:1">
      <c r="A1570">
        <v>1230805</v>
      </c>
    </row>
    <row r="1571" spans="1:1">
      <c r="A1571">
        <v>1231086</v>
      </c>
    </row>
    <row r="1572" spans="1:1">
      <c r="A1572">
        <v>1244861</v>
      </c>
    </row>
    <row r="1573" spans="1:1">
      <c r="A1573">
        <v>1247686</v>
      </c>
    </row>
    <row r="1574" spans="1:1">
      <c r="A1574">
        <v>1247734</v>
      </c>
    </row>
    <row r="1575" spans="1:1">
      <c r="A1575">
        <v>1248115</v>
      </c>
    </row>
    <row r="1576" spans="1:1">
      <c r="A1576">
        <v>1248952</v>
      </c>
    </row>
    <row r="1577" spans="1:1">
      <c r="A1577">
        <v>1249176</v>
      </c>
    </row>
    <row r="1578" spans="1:1">
      <c r="A1578">
        <v>1253910</v>
      </c>
    </row>
    <row r="1579" spans="1:1">
      <c r="A1579">
        <v>1254010</v>
      </c>
    </row>
    <row r="1580" spans="1:1">
      <c r="A1580">
        <v>1254062</v>
      </c>
    </row>
    <row r="1581" spans="1:1">
      <c r="A1581">
        <v>1256093</v>
      </c>
    </row>
    <row r="1582" spans="1:1">
      <c r="A1582">
        <v>1259433</v>
      </c>
    </row>
    <row r="1583" spans="1:1">
      <c r="A1583">
        <v>1260467</v>
      </c>
    </row>
    <row r="1584" spans="1:1">
      <c r="A1584">
        <v>1261382</v>
      </c>
    </row>
    <row r="1585" spans="1:1">
      <c r="A1585">
        <v>1262655</v>
      </c>
    </row>
    <row r="1586" spans="1:1">
      <c r="A1586">
        <v>1265019</v>
      </c>
    </row>
    <row r="1587" spans="1:1">
      <c r="A1587">
        <v>1271878</v>
      </c>
    </row>
    <row r="1588" spans="1:1">
      <c r="A1588">
        <v>1277129</v>
      </c>
    </row>
    <row r="1589" spans="1:1">
      <c r="A1589">
        <v>1284207</v>
      </c>
    </row>
    <row r="1590" spans="1:1">
      <c r="A1590">
        <v>1289171</v>
      </c>
    </row>
    <row r="1591" spans="1:1">
      <c r="A1591">
        <v>1289994</v>
      </c>
    </row>
    <row r="1592" spans="1:1">
      <c r="A1592">
        <v>1294936</v>
      </c>
    </row>
    <row r="1593" spans="1:1">
      <c r="A1593">
        <v>1306767</v>
      </c>
    </row>
    <row r="1594" spans="1:1">
      <c r="A1594">
        <v>1319577</v>
      </c>
    </row>
    <row r="1595" spans="1:1">
      <c r="A1595">
        <v>1323146</v>
      </c>
    </row>
    <row r="1596" spans="1:1">
      <c r="A1596">
        <v>1326104</v>
      </c>
    </row>
    <row r="1597" spans="1:1">
      <c r="A1597">
        <v>1327489</v>
      </c>
    </row>
    <row r="1598" spans="1:1">
      <c r="A1598">
        <v>1332623</v>
      </c>
    </row>
    <row r="1599" spans="1:1">
      <c r="A1599">
        <v>1332918</v>
      </c>
    </row>
    <row r="1600" spans="1:1">
      <c r="A1600">
        <v>1361661</v>
      </c>
    </row>
    <row r="1601" spans="1:2">
      <c r="A1601">
        <v>1363233</v>
      </c>
      <c r="B1601" t="s">
        <v>2589</v>
      </c>
    </row>
    <row r="1602" spans="1:2">
      <c r="A1602">
        <v>1366577</v>
      </c>
      <c r="B1602" t="s">
        <v>2590</v>
      </c>
    </row>
    <row r="1603" spans="1:2">
      <c r="A1603">
        <v>1373567</v>
      </c>
    </row>
    <row r="1604" spans="1:2">
      <c r="A1604">
        <v>1374526</v>
      </c>
    </row>
    <row r="1605" spans="1:2">
      <c r="A1605">
        <v>1381079</v>
      </c>
    </row>
    <row r="1606" spans="1:2">
      <c r="A1606">
        <v>1382805</v>
      </c>
    </row>
    <row r="1607" spans="1:2">
      <c r="A1607">
        <v>1382973</v>
      </c>
    </row>
    <row r="1608" spans="1:2">
      <c r="A1608">
        <v>1444921</v>
      </c>
    </row>
    <row r="1609" spans="1:2">
      <c r="A1609">
        <v>1507662</v>
      </c>
    </row>
    <row r="1610" spans="1:2">
      <c r="A1610">
        <v>1562575</v>
      </c>
    </row>
    <row r="1611" spans="1:2">
      <c r="A1611">
        <v>1563041</v>
      </c>
    </row>
    <row r="1612" spans="1:2">
      <c r="A1612">
        <v>1652706</v>
      </c>
    </row>
    <row r="1613" spans="1:2">
      <c r="A1613">
        <v>1670334</v>
      </c>
    </row>
    <row r="1614" spans="1:2">
      <c r="A1614">
        <v>1684874</v>
      </c>
    </row>
    <row r="1615" spans="1:2">
      <c r="A1615">
        <v>1709697</v>
      </c>
    </row>
    <row r="1616" spans="1:2">
      <c r="A1616">
        <v>1712892</v>
      </c>
    </row>
    <row r="1617" spans="1:1">
      <c r="A1617">
        <v>1715441</v>
      </c>
    </row>
    <row r="1618" spans="1:1">
      <c r="A1618">
        <v>1719185</v>
      </c>
    </row>
    <row r="1619" spans="1:1">
      <c r="A1619">
        <v>1722371</v>
      </c>
    </row>
    <row r="1620" spans="1:1">
      <c r="A1620">
        <v>1722761</v>
      </c>
    </row>
    <row r="1621" spans="1:1">
      <c r="A1621">
        <v>1723771</v>
      </c>
    </row>
    <row r="1622" spans="1:1">
      <c r="A1622">
        <v>1733146</v>
      </c>
    </row>
    <row r="1623" spans="1:1">
      <c r="A1623">
        <v>1734393</v>
      </c>
    </row>
    <row r="1624" spans="1:1">
      <c r="A1624">
        <v>1735530</v>
      </c>
    </row>
    <row r="1625" spans="1:1">
      <c r="A1625">
        <v>1735737</v>
      </c>
    </row>
    <row r="1626" spans="1:1">
      <c r="A1626">
        <v>1736213</v>
      </c>
    </row>
    <row r="1627" spans="1:1">
      <c r="A1627">
        <v>1741359</v>
      </c>
    </row>
    <row r="1628" spans="1:1">
      <c r="A1628">
        <v>1742771</v>
      </c>
    </row>
    <row r="1629" spans="1:1">
      <c r="A1629">
        <v>1762644</v>
      </c>
    </row>
    <row r="1630" spans="1:1">
      <c r="A1630">
        <v>1766174</v>
      </c>
    </row>
    <row r="1631" spans="1:1">
      <c r="A1631">
        <v>1777767</v>
      </c>
    </row>
    <row r="1632" spans="1:1">
      <c r="A1632">
        <v>1778880</v>
      </c>
    </row>
    <row r="1633" spans="1:1">
      <c r="A1633">
        <v>1787614</v>
      </c>
    </row>
    <row r="1634" spans="1:1">
      <c r="A1634">
        <v>1805180</v>
      </c>
    </row>
    <row r="1635" spans="1:1">
      <c r="A1635">
        <v>1811995</v>
      </c>
    </row>
    <row r="1636" spans="1:1">
      <c r="A1636">
        <v>1814123</v>
      </c>
    </row>
    <row r="1637" spans="1:1">
      <c r="A1637">
        <v>1814647</v>
      </c>
    </row>
    <row r="1638" spans="1:1">
      <c r="A1638">
        <v>1817909</v>
      </c>
    </row>
    <row r="1639" spans="1:1">
      <c r="A1639">
        <v>1818101</v>
      </c>
    </row>
    <row r="1640" spans="1:1">
      <c r="A1640">
        <v>1818163</v>
      </c>
    </row>
    <row r="1641" spans="1:1">
      <c r="A1641">
        <v>1819565</v>
      </c>
    </row>
    <row r="1642" spans="1:1">
      <c r="A1642">
        <v>1831263</v>
      </c>
    </row>
    <row r="1643" spans="1:1">
      <c r="A1643">
        <v>1835970</v>
      </c>
    </row>
    <row r="1644" spans="1:1">
      <c r="A1644">
        <v>1836396</v>
      </c>
    </row>
    <row r="1645" spans="1:1">
      <c r="A1645">
        <v>1836400</v>
      </c>
    </row>
    <row r="1646" spans="1:1">
      <c r="A1646">
        <v>1838450</v>
      </c>
    </row>
    <row r="1647" spans="1:1">
      <c r="A1647">
        <v>1840828</v>
      </c>
    </row>
    <row r="1648" spans="1:1">
      <c r="A1648">
        <v>1843673</v>
      </c>
    </row>
    <row r="1649" spans="1:2">
      <c r="A1649">
        <v>1851352</v>
      </c>
    </row>
    <row r="1650" spans="1:2">
      <c r="A1650">
        <v>1857363</v>
      </c>
    </row>
    <row r="1651" spans="1:2">
      <c r="A1651">
        <v>1863560</v>
      </c>
    </row>
    <row r="1652" spans="1:2">
      <c r="A1652">
        <v>1895394</v>
      </c>
    </row>
    <row r="1653" spans="1:2">
      <c r="A1653">
        <v>1900457</v>
      </c>
    </row>
    <row r="1654" spans="1:2">
      <c r="A1654">
        <v>1917811</v>
      </c>
      <c r="B1654" t="s">
        <v>2591</v>
      </c>
    </row>
    <row r="1655" spans="1:2">
      <c r="A1655">
        <v>1919618</v>
      </c>
    </row>
    <row r="1656" spans="1:2">
      <c r="A1656">
        <v>1919748</v>
      </c>
    </row>
    <row r="1657" spans="1:2">
      <c r="A1657">
        <v>1920698</v>
      </c>
    </row>
    <row r="1658" spans="1:2">
      <c r="A1658">
        <v>1920714</v>
      </c>
    </row>
    <row r="1659" spans="1:2">
      <c r="A1659">
        <v>1922630</v>
      </c>
    </row>
    <row r="1660" spans="1:2">
      <c r="A1660">
        <v>1938582</v>
      </c>
    </row>
    <row r="1661" spans="1:2">
      <c r="A1661">
        <v>1951180</v>
      </c>
    </row>
    <row r="1662" spans="1:2">
      <c r="A1662">
        <v>1951712</v>
      </c>
    </row>
    <row r="1663" spans="1:2">
      <c r="A1663">
        <v>1951719</v>
      </c>
    </row>
    <row r="1664" spans="1:2">
      <c r="A1664">
        <v>1968405</v>
      </c>
    </row>
    <row r="1665" spans="1:1">
      <c r="A1665">
        <v>1994014</v>
      </c>
    </row>
    <row r="1666" spans="1:1">
      <c r="A1666">
        <v>2005158</v>
      </c>
    </row>
    <row r="1667" spans="1:1">
      <c r="A1667">
        <v>2005161</v>
      </c>
    </row>
    <row r="1668" spans="1:1">
      <c r="A1668">
        <v>2005603</v>
      </c>
    </row>
    <row r="1669" spans="1:1">
      <c r="A1669">
        <v>2013397</v>
      </c>
    </row>
    <row r="1670" spans="1:1">
      <c r="A1670">
        <v>2018584</v>
      </c>
    </row>
    <row r="1671" spans="1:1">
      <c r="A1671">
        <v>2023160</v>
      </c>
    </row>
    <row r="1672" spans="1:1">
      <c r="A1672">
        <v>2023859</v>
      </c>
    </row>
    <row r="1673" spans="1:1">
      <c r="A1673">
        <v>2029433</v>
      </c>
    </row>
    <row r="1674" spans="1:1">
      <c r="A1674">
        <v>2044103</v>
      </c>
    </row>
    <row r="1675" spans="1:1">
      <c r="A1675">
        <v>2045874</v>
      </c>
    </row>
    <row r="1676" spans="1:1">
      <c r="A1676">
        <v>2045920</v>
      </c>
    </row>
    <row r="1677" spans="1:1">
      <c r="A1677">
        <v>2065034</v>
      </c>
    </row>
    <row r="1678" spans="1:1">
      <c r="A1678">
        <v>2067447</v>
      </c>
    </row>
    <row r="1679" spans="1:1">
      <c r="A1679">
        <v>2070316</v>
      </c>
    </row>
    <row r="1680" spans="1:1">
      <c r="A1680">
        <v>2079819</v>
      </c>
    </row>
    <row r="1681" spans="1:1">
      <c r="A1681">
        <v>2092031</v>
      </c>
    </row>
    <row r="1682" spans="1:1">
      <c r="A1682">
        <v>2093477</v>
      </c>
    </row>
    <row r="1683" spans="1:1">
      <c r="A1683">
        <v>2105554</v>
      </c>
    </row>
    <row r="1684" spans="1:1">
      <c r="A1684">
        <v>2109201</v>
      </c>
    </row>
    <row r="1685" spans="1:1">
      <c r="A1685">
        <v>2126223</v>
      </c>
    </row>
    <row r="1686" spans="1:1">
      <c r="A1686">
        <v>2129264</v>
      </c>
    </row>
    <row r="1687" spans="1:1">
      <c r="A1687">
        <v>2135237</v>
      </c>
    </row>
    <row r="1688" spans="1:1">
      <c r="A1688">
        <v>2139498</v>
      </c>
    </row>
    <row r="1689" spans="1:1">
      <c r="A1689">
        <v>2146941</v>
      </c>
    </row>
    <row r="1690" spans="1:1">
      <c r="A1690">
        <v>2148654</v>
      </c>
    </row>
    <row r="1691" spans="1:1">
      <c r="A1691">
        <v>2148707</v>
      </c>
    </row>
    <row r="1692" spans="1:1">
      <c r="A1692">
        <v>2148955</v>
      </c>
    </row>
    <row r="1693" spans="1:1">
      <c r="A1693">
        <v>2151807</v>
      </c>
    </row>
    <row r="1694" spans="1:1">
      <c r="A1694">
        <v>2157958</v>
      </c>
    </row>
    <row r="1695" spans="1:1">
      <c r="A1695">
        <v>2157961</v>
      </c>
    </row>
    <row r="1696" spans="1:1">
      <c r="A1696">
        <v>2158666</v>
      </c>
    </row>
    <row r="1697" spans="1:2">
      <c r="A1697">
        <v>2164968</v>
      </c>
    </row>
    <row r="1698" spans="1:2">
      <c r="A1698">
        <v>2166427</v>
      </c>
    </row>
    <row r="1699" spans="1:2">
      <c r="A1699">
        <v>2178310</v>
      </c>
    </row>
    <row r="1700" spans="1:2">
      <c r="A1700">
        <v>2186705</v>
      </c>
      <c r="B1700" t="s">
        <v>3053</v>
      </c>
    </row>
    <row r="1701" spans="1:2">
      <c r="A1701">
        <v>2186710</v>
      </c>
    </row>
    <row r="1702" spans="1:2">
      <c r="A1702">
        <v>2186716</v>
      </c>
      <c r="B1702" t="s">
        <v>3054</v>
      </c>
    </row>
    <row r="1703" spans="1:2">
      <c r="A1703">
        <v>2190213</v>
      </c>
    </row>
    <row r="1704" spans="1:2">
      <c r="A1704">
        <v>2191419</v>
      </c>
    </row>
    <row r="1705" spans="1:2">
      <c r="A1705">
        <v>2194813</v>
      </c>
      <c r="B1705" t="s">
        <v>3055</v>
      </c>
    </row>
    <row r="1706" spans="1:2">
      <c r="A1706">
        <v>2195036</v>
      </c>
      <c r="B1706" t="s">
        <v>3056</v>
      </c>
    </row>
    <row r="1707" spans="1:2">
      <c r="A1707">
        <v>2195040</v>
      </c>
      <c r="B1707" t="s">
        <v>3057</v>
      </c>
    </row>
    <row r="1708" spans="1:2">
      <c r="A1708">
        <v>2195060</v>
      </c>
    </row>
    <row r="1709" spans="1:2">
      <c r="A1709">
        <v>2195067</v>
      </c>
    </row>
    <row r="1710" spans="1:2">
      <c r="A1710">
        <v>2195153</v>
      </c>
    </row>
    <row r="1711" spans="1:2">
      <c r="A1711">
        <v>2195858</v>
      </c>
    </row>
    <row r="1712" spans="1:2">
      <c r="A1712">
        <v>2199247</v>
      </c>
    </row>
    <row r="1713" spans="1:2">
      <c r="A1713">
        <v>2205433</v>
      </c>
    </row>
    <row r="1714" spans="1:2">
      <c r="A1714">
        <v>2206053</v>
      </c>
    </row>
    <row r="1715" spans="1:2">
      <c r="A1715">
        <v>330719</v>
      </c>
      <c r="B1715" t="s">
        <v>2597</v>
      </c>
    </row>
    <row r="1716" spans="1:2">
      <c r="A1716">
        <v>773912</v>
      </c>
      <c r="B1716" t="s">
        <v>2598</v>
      </c>
    </row>
    <row r="1717" spans="1:2">
      <c r="A1717">
        <v>808488</v>
      </c>
      <c r="B1717" t="s">
        <v>2599</v>
      </c>
    </row>
    <row r="1718" spans="1:2">
      <c r="A1718">
        <v>412796</v>
      </c>
      <c r="B1718" t="s">
        <v>2600</v>
      </c>
    </row>
    <row r="1719" spans="1:2">
      <c r="A1719">
        <v>397656</v>
      </c>
      <c r="B1719" t="s">
        <v>2601</v>
      </c>
    </row>
    <row r="1720" spans="1:2">
      <c r="A1720">
        <v>478151</v>
      </c>
      <c r="B1720" t="s">
        <v>2602</v>
      </c>
    </row>
    <row r="1721" spans="1:2">
      <c r="A1721">
        <v>41</v>
      </c>
    </row>
    <row r="1722" spans="1:2">
      <c r="A1722">
        <v>26417</v>
      </c>
      <c r="B1722" t="s">
        <v>2603</v>
      </c>
    </row>
    <row r="1723" spans="1:2">
      <c r="A1723">
        <v>90456</v>
      </c>
    </row>
    <row r="1724" spans="1:2">
      <c r="A1724">
        <v>178130</v>
      </c>
    </row>
    <row r="1725" spans="1:2">
      <c r="A1725">
        <v>197686</v>
      </c>
      <c r="B1725" t="s">
        <v>2604</v>
      </c>
    </row>
    <row r="1726" spans="1:2">
      <c r="A1726">
        <v>218128</v>
      </c>
    </row>
    <row r="1727" spans="1:2">
      <c r="A1727">
        <v>223666</v>
      </c>
    </row>
    <row r="1728" spans="1:2">
      <c r="A1728">
        <v>223879</v>
      </c>
    </row>
    <row r="1729" spans="1:2">
      <c r="A1729">
        <v>251617</v>
      </c>
      <c r="B1729" t="s">
        <v>2605</v>
      </c>
    </row>
    <row r="1730" spans="1:2">
      <c r="A1730">
        <v>251864</v>
      </c>
      <c r="B1730" t="s">
        <v>3058</v>
      </c>
    </row>
    <row r="1731" spans="1:2">
      <c r="A1731">
        <v>251946</v>
      </c>
      <c r="B1731" t="s">
        <v>3059</v>
      </c>
    </row>
    <row r="1732" spans="1:2">
      <c r="A1732">
        <v>252584</v>
      </c>
      <c r="B1732" t="s">
        <v>2608</v>
      </c>
    </row>
    <row r="1733" spans="1:2">
      <c r="A1733">
        <v>252714</v>
      </c>
      <c r="B1733" t="s">
        <v>2609</v>
      </c>
    </row>
    <row r="1734" spans="1:2">
      <c r="A1734">
        <v>254795</v>
      </c>
    </row>
    <row r="1735" spans="1:2">
      <c r="A1735">
        <v>331063</v>
      </c>
      <c r="B1735" t="s">
        <v>2610</v>
      </c>
    </row>
    <row r="1736" spans="1:2">
      <c r="A1736">
        <v>333038</v>
      </c>
    </row>
    <row r="1737" spans="1:2">
      <c r="A1737">
        <v>344396</v>
      </c>
    </row>
    <row r="1738" spans="1:2">
      <c r="A1738">
        <v>370691</v>
      </c>
      <c r="B1738" t="s">
        <v>3060</v>
      </c>
    </row>
    <row r="1739" spans="1:2">
      <c r="A1739">
        <v>370694</v>
      </c>
      <c r="B1739" t="s">
        <v>2612</v>
      </c>
    </row>
    <row r="1740" spans="1:2">
      <c r="A1740">
        <v>371524</v>
      </c>
      <c r="B1740" t="s">
        <v>3061</v>
      </c>
    </row>
    <row r="1741" spans="1:2">
      <c r="A1741">
        <v>374572</v>
      </c>
    </row>
    <row r="1742" spans="1:2">
      <c r="A1742">
        <v>380837</v>
      </c>
      <c r="B1742" t="s">
        <v>2614</v>
      </c>
    </row>
    <row r="1743" spans="1:2">
      <c r="A1743">
        <v>388381</v>
      </c>
    </row>
    <row r="1744" spans="1:2">
      <c r="A1744">
        <v>397796</v>
      </c>
      <c r="B1744" t="s">
        <v>3062</v>
      </c>
    </row>
    <row r="1745" spans="1:2">
      <c r="A1745">
        <v>397797</v>
      </c>
      <c r="B1745" t="s">
        <v>3063</v>
      </c>
    </row>
    <row r="1746" spans="1:2">
      <c r="A1746">
        <v>397855</v>
      </c>
      <c r="B1746" t="s">
        <v>2617</v>
      </c>
    </row>
    <row r="1747" spans="1:2">
      <c r="A1747">
        <v>397874</v>
      </c>
      <c r="B1747" t="s">
        <v>2618</v>
      </c>
    </row>
    <row r="1748" spans="1:2">
      <c r="A1748">
        <v>397878</v>
      </c>
      <c r="B1748" t="s">
        <v>3064</v>
      </c>
    </row>
    <row r="1749" spans="1:2">
      <c r="A1749">
        <v>397880</v>
      </c>
      <c r="B1749" t="s">
        <v>2620</v>
      </c>
    </row>
    <row r="1750" spans="1:2">
      <c r="A1750">
        <v>401905</v>
      </c>
    </row>
    <row r="1751" spans="1:2">
      <c r="A1751">
        <v>403411</v>
      </c>
      <c r="B1751" t="s">
        <v>2621</v>
      </c>
    </row>
    <row r="1752" spans="1:2">
      <c r="A1752">
        <v>406812</v>
      </c>
    </row>
    <row r="1753" spans="1:2">
      <c r="A1753">
        <v>431017</v>
      </c>
      <c r="B1753" t="s">
        <v>2622</v>
      </c>
    </row>
    <row r="1754" spans="1:2">
      <c r="A1754">
        <v>453696</v>
      </c>
      <c r="B1754" t="s">
        <v>2623</v>
      </c>
    </row>
    <row r="1755" spans="1:2">
      <c r="A1755">
        <v>458051</v>
      </c>
    </row>
    <row r="1756" spans="1:2">
      <c r="A1756">
        <v>458369</v>
      </c>
    </row>
    <row r="1757" spans="1:2">
      <c r="A1757">
        <v>458373</v>
      </c>
    </row>
    <row r="1758" spans="1:2">
      <c r="A1758">
        <v>458381</v>
      </c>
      <c r="B1758" t="s">
        <v>2624</v>
      </c>
    </row>
    <row r="1759" spans="1:2">
      <c r="A1759">
        <v>458536</v>
      </c>
      <c r="B1759" t="s">
        <v>2625</v>
      </c>
    </row>
    <row r="1760" spans="1:2">
      <c r="A1760">
        <v>458550</v>
      </c>
      <c r="B1760" t="s">
        <v>2626</v>
      </c>
    </row>
    <row r="1761" spans="1:2">
      <c r="A1761">
        <v>458556</v>
      </c>
      <c r="B1761" t="s">
        <v>2627</v>
      </c>
    </row>
    <row r="1762" spans="1:2">
      <c r="A1762">
        <v>458660</v>
      </c>
      <c r="B1762" t="s">
        <v>2628</v>
      </c>
    </row>
    <row r="1763" spans="1:2">
      <c r="A1763">
        <v>458661</v>
      </c>
      <c r="B1763" t="s">
        <v>3065</v>
      </c>
    </row>
    <row r="1764" spans="1:2">
      <c r="A1764">
        <v>458662</v>
      </c>
      <c r="B1764" t="s">
        <v>2630</v>
      </c>
    </row>
    <row r="1765" spans="1:2">
      <c r="A1765">
        <v>458664</v>
      </c>
      <c r="B1765" t="s">
        <v>2631</v>
      </c>
    </row>
    <row r="1766" spans="1:2">
      <c r="A1766">
        <v>458668</v>
      </c>
      <c r="B1766" t="s">
        <v>2632</v>
      </c>
    </row>
    <row r="1767" spans="1:2">
      <c r="A1767">
        <v>458670</v>
      </c>
      <c r="B1767" t="s">
        <v>2633</v>
      </c>
    </row>
    <row r="1768" spans="1:2">
      <c r="A1768">
        <v>458778</v>
      </c>
      <c r="B1768" t="s">
        <v>2634</v>
      </c>
    </row>
    <row r="1769" spans="1:2">
      <c r="A1769">
        <v>458919</v>
      </c>
    </row>
    <row r="1770" spans="1:2">
      <c r="A1770">
        <v>459245</v>
      </c>
      <c r="B1770" t="s">
        <v>2635</v>
      </c>
    </row>
    <row r="1771" spans="1:2">
      <c r="A1771">
        <v>459269</v>
      </c>
      <c r="B1771" t="s">
        <v>2636</v>
      </c>
    </row>
    <row r="1772" spans="1:2">
      <c r="A1772">
        <v>459275</v>
      </c>
      <c r="B1772" t="s">
        <v>2637</v>
      </c>
    </row>
    <row r="1773" spans="1:2">
      <c r="A1773">
        <v>459279</v>
      </c>
      <c r="B1773" t="s">
        <v>2638</v>
      </c>
    </row>
    <row r="1774" spans="1:2">
      <c r="A1774">
        <v>459285</v>
      </c>
      <c r="B1774" t="s">
        <v>2639</v>
      </c>
    </row>
    <row r="1775" spans="1:2">
      <c r="A1775">
        <v>460033</v>
      </c>
    </row>
    <row r="1776" spans="1:2">
      <c r="A1776">
        <v>461857</v>
      </c>
    </row>
    <row r="1777" spans="1:2">
      <c r="A1777">
        <v>462669</v>
      </c>
    </row>
    <row r="1778" spans="1:2">
      <c r="A1778">
        <v>464797</v>
      </c>
      <c r="B1778" t="s">
        <v>2640</v>
      </c>
    </row>
    <row r="1779" spans="1:2">
      <c r="A1779">
        <v>464811</v>
      </c>
      <c r="B1779" t="s">
        <v>2641</v>
      </c>
    </row>
    <row r="1780" spans="1:2">
      <c r="A1780">
        <v>464833</v>
      </c>
      <c r="B1780" t="s">
        <v>2642</v>
      </c>
    </row>
    <row r="1781" spans="1:2">
      <c r="A1781">
        <v>464965</v>
      </c>
      <c r="B1781" t="s">
        <v>2643</v>
      </c>
    </row>
    <row r="1782" spans="1:2">
      <c r="A1782">
        <v>464977</v>
      </c>
      <c r="B1782" t="s">
        <v>2644</v>
      </c>
    </row>
    <row r="1783" spans="1:2">
      <c r="A1783">
        <v>465127</v>
      </c>
      <c r="B1783" t="s">
        <v>2645</v>
      </c>
    </row>
    <row r="1784" spans="1:2">
      <c r="A1784">
        <v>465130</v>
      </c>
      <c r="B1784" t="s">
        <v>2646</v>
      </c>
    </row>
    <row r="1785" spans="1:2">
      <c r="A1785">
        <v>465150</v>
      </c>
      <c r="B1785" t="s">
        <v>2647</v>
      </c>
    </row>
    <row r="1786" spans="1:2">
      <c r="A1786">
        <v>465155</v>
      </c>
      <c r="B1786" t="s">
        <v>2648</v>
      </c>
    </row>
    <row r="1787" spans="1:2">
      <c r="A1787">
        <v>465372</v>
      </c>
      <c r="B1787" t="s">
        <v>2649</v>
      </c>
    </row>
    <row r="1788" spans="1:2">
      <c r="A1788">
        <v>465375</v>
      </c>
      <c r="B1788" t="s">
        <v>2650</v>
      </c>
    </row>
    <row r="1789" spans="1:2">
      <c r="A1789">
        <v>465390</v>
      </c>
    </row>
    <row r="1790" spans="1:2">
      <c r="A1790">
        <v>466140</v>
      </c>
    </row>
    <row r="1791" spans="1:2">
      <c r="A1791">
        <v>466637</v>
      </c>
    </row>
    <row r="1792" spans="1:2">
      <c r="A1792">
        <v>466658</v>
      </c>
    </row>
    <row r="1793" spans="1:1">
      <c r="A1793">
        <v>466984</v>
      </c>
    </row>
    <row r="1794" spans="1:1">
      <c r="A1794">
        <v>467086</v>
      </c>
    </row>
    <row r="1795" spans="1:1">
      <c r="A1795">
        <v>467568</v>
      </c>
    </row>
    <row r="1796" spans="1:1">
      <c r="A1796">
        <v>468736</v>
      </c>
    </row>
    <row r="1797" spans="1:1">
      <c r="A1797">
        <v>475114</v>
      </c>
    </row>
    <row r="1798" spans="1:1">
      <c r="A1798">
        <v>475205</v>
      </c>
    </row>
    <row r="1799" spans="1:1">
      <c r="A1799">
        <v>476116</v>
      </c>
    </row>
    <row r="1800" spans="1:1">
      <c r="A1800">
        <v>476962</v>
      </c>
    </row>
    <row r="1801" spans="1:1">
      <c r="A1801">
        <v>477108</v>
      </c>
    </row>
    <row r="1802" spans="1:1">
      <c r="A1802">
        <v>477136</v>
      </c>
    </row>
    <row r="1803" spans="1:1">
      <c r="A1803">
        <v>477140</v>
      </c>
    </row>
    <row r="1804" spans="1:1">
      <c r="A1804">
        <v>478457</v>
      </c>
    </row>
    <row r="1805" spans="1:1">
      <c r="A1805">
        <v>512516</v>
      </c>
    </row>
    <row r="1806" spans="1:1">
      <c r="A1806">
        <v>536809</v>
      </c>
    </row>
    <row r="1807" spans="1:1">
      <c r="A1807">
        <v>539000</v>
      </c>
    </row>
    <row r="1808" spans="1:1">
      <c r="A1808">
        <v>545357</v>
      </c>
    </row>
    <row r="1809" spans="1:2">
      <c r="A1809">
        <v>614031</v>
      </c>
    </row>
    <row r="1810" spans="1:2">
      <c r="A1810">
        <v>620674</v>
      </c>
    </row>
    <row r="1811" spans="1:2">
      <c r="A1811">
        <v>622422</v>
      </c>
    </row>
    <row r="1812" spans="1:2">
      <c r="A1812">
        <v>766881</v>
      </c>
    </row>
    <row r="1813" spans="1:2">
      <c r="A1813">
        <v>766896</v>
      </c>
      <c r="B1813" t="s">
        <v>2651</v>
      </c>
    </row>
    <row r="1814" spans="1:2">
      <c r="A1814">
        <v>766899</v>
      </c>
    </row>
    <row r="1815" spans="1:2">
      <c r="A1815">
        <v>766903</v>
      </c>
    </row>
    <row r="1816" spans="1:2">
      <c r="A1816">
        <v>766922</v>
      </c>
    </row>
    <row r="1817" spans="1:2">
      <c r="A1817">
        <v>766932</v>
      </c>
    </row>
    <row r="1818" spans="1:2">
      <c r="A1818">
        <v>767013</v>
      </c>
      <c r="B1818" t="s">
        <v>2652</v>
      </c>
    </row>
    <row r="1819" spans="1:2">
      <c r="A1819">
        <v>767023</v>
      </c>
      <c r="B1819" t="s">
        <v>3066</v>
      </c>
    </row>
    <row r="1820" spans="1:2">
      <c r="A1820">
        <v>767033</v>
      </c>
    </row>
    <row r="1821" spans="1:2">
      <c r="A1821">
        <v>767297</v>
      </c>
    </row>
    <row r="1822" spans="1:2">
      <c r="A1822">
        <v>773993</v>
      </c>
      <c r="B1822" t="s">
        <v>2654</v>
      </c>
    </row>
    <row r="1823" spans="1:2">
      <c r="A1823">
        <v>775777</v>
      </c>
    </row>
    <row r="1824" spans="1:2">
      <c r="A1824">
        <v>780391</v>
      </c>
    </row>
    <row r="1825" spans="1:2">
      <c r="A1825">
        <v>780599</v>
      </c>
      <c r="B1825" t="s">
        <v>2655</v>
      </c>
    </row>
    <row r="1826" spans="1:2">
      <c r="A1826">
        <v>782738</v>
      </c>
      <c r="B1826" t="s">
        <v>3067</v>
      </c>
    </row>
    <row r="1827" spans="1:2">
      <c r="A1827">
        <v>784624</v>
      </c>
      <c r="B1827" t="s">
        <v>2657</v>
      </c>
    </row>
    <row r="1828" spans="1:2">
      <c r="A1828">
        <v>784912</v>
      </c>
    </row>
    <row r="1829" spans="1:2">
      <c r="A1829">
        <v>788695</v>
      </c>
      <c r="B1829" t="s">
        <v>2658</v>
      </c>
    </row>
    <row r="1830" spans="1:2">
      <c r="A1830">
        <v>788846</v>
      </c>
      <c r="B1830" t="s">
        <v>2659</v>
      </c>
    </row>
    <row r="1831" spans="1:2">
      <c r="A1831">
        <v>788847</v>
      </c>
      <c r="B1831" t="s">
        <v>2660</v>
      </c>
    </row>
    <row r="1832" spans="1:2">
      <c r="A1832">
        <v>789264</v>
      </c>
      <c r="B1832" t="s">
        <v>3068</v>
      </c>
    </row>
    <row r="1833" spans="1:2">
      <c r="A1833">
        <v>790143</v>
      </c>
      <c r="B1833" t="s">
        <v>2662</v>
      </c>
    </row>
    <row r="1834" spans="1:2">
      <c r="A1834">
        <v>798861</v>
      </c>
      <c r="B1834" t="s">
        <v>3069</v>
      </c>
    </row>
    <row r="1835" spans="1:2">
      <c r="A1835">
        <v>798873</v>
      </c>
      <c r="B1835" t="s">
        <v>2664</v>
      </c>
    </row>
    <row r="1836" spans="1:2">
      <c r="A1836">
        <v>851954</v>
      </c>
      <c r="B1836" t="s">
        <v>2665</v>
      </c>
    </row>
    <row r="1837" spans="1:2">
      <c r="A1837">
        <v>862043</v>
      </c>
      <c r="B1837" t="s">
        <v>2666</v>
      </c>
    </row>
    <row r="1838" spans="1:2">
      <c r="A1838">
        <v>862905</v>
      </c>
    </row>
    <row r="1839" spans="1:2">
      <c r="A1839">
        <v>874191</v>
      </c>
      <c r="B1839" t="s">
        <v>3070</v>
      </c>
    </row>
    <row r="1840" spans="1:2">
      <c r="A1840">
        <v>874197</v>
      </c>
      <c r="B1840" t="s">
        <v>2668</v>
      </c>
    </row>
    <row r="1841" spans="1:1">
      <c r="A1841">
        <v>1072815</v>
      </c>
    </row>
    <row r="1842" spans="1:1">
      <c r="A1842">
        <v>1233592</v>
      </c>
    </row>
    <row r="1843" spans="1:1">
      <c r="A1843">
        <v>1234377</v>
      </c>
    </row>
    <row r="1844" spans="1:1">
      <c r="A1844">
        <v>1364801</v>
      </c>
    </row>
    <row r="1845" spans="1:1">
      <c r="A1845">
        <v>1704048</v>
      </c>
    </row>
    <row r="1846" spans="1:1">
      <c r="A1846">
        <v>1819049</v>
      </c>
    </row>
    <row r="1847" spans="1:1">
      <c r="A1847">
        <v>1819353</v>
      </c>
    </row>
    <row r="1848" spans="1:1">
      <c r="A1848">
        <v>1819639</v>
      </c>
    </row>
    <row r="1849" spans="1:1">
      <c r="A1849">
        <v>1820431</v>
      </c>
    </row>
    <row r="1850" spans="1:1">
      <c r="A1850">
        <v>1830964</v>
      </c>
    </row>
    <row r="1851" spans="1:1">
      <c r="A1851">
        <v>1897558</v>
      </c>
    </row>
    <row r="1852" spans="1:1">
      <c r="A1852">
        <v>1902666</v>
      </c>
    </row>
    <row r="1853" spans="1:1">
      <c r="A1853">
        <v>2059584</v>
      </c>
    </row>
    <row r="1854" spans="1:1">
      <c r="A1854">
        <v>2059586</v>
      </c>
    </row>
    <row r="1855" spans="1:1">
      <c r="A1855">
        <v>2059810</v>
      </c>
    </row>
    <row r="1856" spans="1:1">
      <c r="A1856">
        <v>2060581</v>
      </c>
    </row>
    <row r="1857" spans="1:1">
      <c r="A1857">
        <v>2060590</v>
      </c>
    </row>
    <row r="1858" spans="1:1">
      <c r="A1858">
        <v>2060692</v>
      </c>
    </row>
    <row r="1859" spans="1:1">
      <c r="A1859">
        <v>2060697</v>
      </c>
    </row>
    <row r="1860" spans="1:1">
      <c r="A1860">
        <v>2060699</v>
      </c>
    </row>
    <row r="1861" spans="1:1">
      <c r="A1861">
        <v>2060926</v>
      </c>
    </row>
    <row r="1862" spans="1:1">
      <c r="A1862">
        <v>2060938</v>
      </c>
    </row>
    <row r="1863" spans="1:1">
      <c r="A1863">
        <v>2060945</v>
      </c>
    </row>
    <row r="1864" spans="1:1">
      <c r="A1864">
        <v>2060948</v>
      </c>
    </row>
    <row r="1865" spans="1:1">
      <c r="A1865">
        <v>2066280</v>
      </c>
    </row>
    <row r="1866" spans="1:1">
      <c r="A1866">
        <v>2101296</v>
      </c>
    </row>
    <row r="1867" spans="1:1">
      <c r="A1867">
        <v>2113787</v>
      </c>
    </row>
    <row r="1868" spans="1:1">
      <c r="A1868">
        <v>2120685</v>
      </c>
    </row>
    <row r="1869" spans="1:1">
      <c r="A1869">
        <v>2149138</v>
      </c>
    </row>
    <row r="1870" spans="1:1">
      <c r="A1870">
        <v>2149149</v>
      </c>
    </row>
    <row r="1871" spans="1:1">
      <c r="A1871">
        <v>2149155</v>
      </c>
    </row>
    <row r="1872" spans="1:1">
      <c r="A1872">
        <v>2149198</v>
      </c>
    </row>
    <row r="1873" spans="1:2">
      <c r="A1873">
        <v>2149235</v>
      </c>
    </row>
    <row r="1874" spans="1:2">
      <c r="A1874">
        <v>2149342</v>
      </c>
    </row>
    <row r="1875" spans="1:2">
      <c r="A1875">
        <v>2149384</v>
      </c>
    </row>
    <row r="1876" spans="1:2">
      <c r="A1876">
        <v>2149390</v>
      </c>
    </row>
    <row r="1877" spans="1:2">
      <c r="A1877">
        <v>2152989</v>
      </c>
    </row>
    <row r="1878" spans="1:2">
      <c r="A1878">
        <v>2152993</v>
      </c>
    </row>
    <row r="1879" spans="1:2">
      <c r="A1879">
        <v>2154571</v>
      </c>
    </row>
    <row r="1880" spans="1:2">
      <c r="A1880">
        <v>2155700</v>
      </c>
    </row>
    <row r="1881" spans="1:2">
      <c r="A1881">
        <v>2155783</v>
      </c>
    </row>
    <row r="1882" spans="1:2">
      <c r="A1882">
        <v>2155787</v>
      </c>
    </row>
    <row r="1883" spans="1:2">
      <c r="A1883">
        <v>2157128</v>
      </c>
    </row>
    <row r="1884" spans="1:2">
      <c r="A1884">
        <v>2157138</v>
      </c>
    </row>
    <row r="1885" spans="1:2">
      <c r="A1885">
        <v>2157141</v>
      </c>
    </row>
    <row r="1886" spans="1:2">
      <c r="A1886">
        <v>224029</v>
      </c>
      <c r="B1886" t="s">
        <v>3071</v>
      </c>
    </row>
    <row r="1887" spans="1:2">
      <c r="A1887">
        <v>224027</v>
      </c>
      <c r="B1887" t="s">
        <v>2670</v>
      </c>
    </row>
    <row r="1888" spans="1:2">
      <c r="A1888">
        <v>6786</v>
      </c>
      <c r="B1888" t="s">
        <v>2671</v>
      </c>
    </row>
    <row r="1889" spans="1:2">
      <c r="A1889">
        <v>9413</v>
      </c>
      <c r="B1889" t="s">
        <v>3072</v>
      </c>
    </row>
    <row r="1890" spans="1:2">
      <c r="A1890">
        <v>36519</v>
      </c>
      <c r="B1890" t="s">
        <v>3073</v>
      </c>
    </row>
    <row r="1891" spans="1:2">
      <c r="A1891">
        <v>51530</v>
      </c>
      <c r="B1891" t="s">
        <v>2674</v>
      </c>
    </row>
    <row r="1892" spans="1:2">
      <c r="A1892">
        <v>120121</v>
      </c>
      <c r="B1892" t="s">
        <v>3074</v>
      </c>
    </row>
    <row r="1893" spans="1:2">
      <c r="A1893">
        <v>139244</v>
      </c>
      <c r="B1893" t="s">
        <v>3075</v>
      </c>
    </row>
    <row r="1894" spans="1:2">
      <c r="A1894">
        <v>145213</v>
      </c>
      <c r="B1894" t="s">
        <v>3076</v>
      </c>
    </row>
    <row r="1895" spans="1:2">
      <c r="A1895">
        <v>181481</v>
      </c>
      <c r="B1895" t="s">
        <v>3077</v>
      </c>
    </row>
    <row r="1896" spans="1:2">
      <c r="A1896">
        <v>281733</v>
      </c>
      <c r="B1896" t="s">
        <v>3078</v>
      </c>
    </row>
    <row r="1897" spans="1:2">
      <c r="A1897">
        <v>289933</v>
      </c>
      <c r="B1897" t="s">
        <v>2680</v>
      </c>
    </row>
    <row r="1898" spans="1:2">
      <c r="A1898">
        <v>306985</v>
      </c>
      <c r="B1898" t="s">
        <v>2681</v>
      </c>
    </row>
    <row r="1899" spans="1:2">
      <c r="A1899">
        <v>321765</v>
      </c>
      <c r="B1899" t="s">
        <v>2682</v>
      </c>
    </row>
    <row r="1900" spans="1:2">
      <c r="A1900">
        <v>323619</v>
      </c>
      <c r="B1900" t="s">
        <v>2683</v>
      </c>
    </row>
    <row r="1901" spans="1:2">
      <c r="A1901">
        <v>329663</v>
      </c>
      <c r="B1901" t="s">
        <v>2684</v>
      </c>
    </row>
    <row r="1902" spans="1:2">
      <c r="A1902">
        <v>330274</v>
      </c>
      <c r="B1902" t="s">
        <v>2685</v>
      </c>
    </row>
    <row r="1903" spans="1:2">
      <c r="A1903">
        <v>330401</v>
      </c>
      <c r="B1903" t="s">
        <v>2686</v>
      </c>
    </row>
    <row r="1904" spans="1:2">
      <c r="A1904">
        <v>330864</v>
      </c>
      <c r="B1904" t="s">
        <v>2687</v>
      </c>
    </row>
    <row r="1905" spans="1:2">
      <c r="A1905">
        <v>331504</v>
      </c>
      <c r="B1905" t="s">
        <v>2688</v>
      </c>
    </row>
    <row r="1906" spans="1:2">
      <c r="A1906">
        <v>347365</v>
      </c>
      <c r="B1906" t="s">
        <v>3079</v>
      </c>
    </row>
    <row r="1907" spans="1:2">
      <c r="A1907">
        <v>353083</v>
      </c>
      <c r="B1907" t="s">
        <v>2690</v>
      </c>
    </row>
    <row r="1908" spans="1:2">
      <c r="A1908">
        <v>354066</v>
      </c>
      <c r="B1908" t="s">
        <v>2691</v>
      </c>
    </row>
    <row r="1909" spans="1:2">
      <c r="A1909">
        <v>354068</v>
      </c>
      <c r="B1909" t="s">
        <v>2692</v>
      </c>
    </row>
    <row r="1910" spans="1:2">
      <c r="A1910">
        <v>354069</v>
      </c>
      <c r="B1910" t="s">
        <v>2693</v>
      </c>
    </row>
    <row r="1911" spans="1:2">
      <c r="A1911">
        <v>354070</v>
      </c>
      <c r="B1911" t="s">
        <v>3080</v>
      </c>
    </row>
    <row r="1912" spans="1:2">
      <c r="A1912">
        <v>354072</v>
      </c>
      <c r="B1912" t="s">
        <v>3081</v>
      </c>
    </row>
    <row r="1913" spans="1:2">
      <c r="A1913">
        <v>367425</v>
      </c>
      <c r="B1913" t="s">
        <v>2696</v>
      </c>
    </row>
    <row r="1914" spans="1:2">
      <c r="A1914">
        <v>369070</v>
      </c>
      <c r="B1914" t="s">
        <v>2697</v>
      </c>
    </row>
    <row r="1915" spans="1:2">
      <c r="A1915">
        <v>370411</v>
      </c>
      <c r="B1915" t="s">
        <v>3082</v>
      </c>
    </row>
    <row r="1916" spans="1:2">
      <c r="A1916">
        <v>371694</v>
      </c>
      <c r="B1916" t="s">
        <v>3083</v>
      </c>
    </row>
    <row r="1917" spans="1:2">
      <c r="A1917">
        <v>380896</v>
      </c>
      <c r="B1917" t="s">
        <v>3084</v>
      </c>
    </row>
    <row r="1918" spans="1:2">
      <c r="A1918">
        <v>381189</v>
      </c>
      <c r="B1918" t="s">
        <v>2701</v>
      </c>
    </row>
    <row r="1919" spans="1:2">
      <c r="A1919">
        <v>381297</v>
      </c>
      <c r="B1919" t="s">
        <v>2702</v>
      </c>
    </row>
    <row r="1920" spans="1:2">
      <c r="A1920">
        <v>381496</v>
      </c>
      <c r="B1920" t="s">
        <v>3085</v>
      </c>
    </row>
    <row r="1921" spans="1:2">
      <c r="A1921">
        <v>384309</v>
      </c>
      <c r="B1921" t="s">
        <v>3086</v>
      </c>
    </row>
    <row r="1922" spans="1:2">
      <c r="A1922">
        <v>397485</v>
      </c>
      <c r="B1922" t="s">
        <v>2705</v>
      </c>
    </row>
    <row r="1923" spans="1:2">
      <c r="A1923">
        <v>397764</v>
      </c>
      <c r="B1923" t="s">
        <v>2706</v>
      </c>
    </row>
    <row r="1924" spans="1:2">
      <c r="A1924">
        <v>409017</v>
      </c>
      <c r="B1924" t="s">
        <v>3087</v>
      </c>
    </row>
    <row r="1925" spans="1:2">
      <c r="A1925">
        <v>410603</v>
      </c>
      <c r="B1925" t="s">
        <v>2708</v>
      </c>
    </row>
    <row r="1926" spans="1:2">
      <c r="A1926">
        <v>418131</v>
      </c>
      <c r="B1926" t="s">
        <v>2709</v>
      </c>
    </row>
    <row r="1927" spans="1:2">
      <c r="A1927">
        <v>452977</v>
      </c>
      <c r="B1927" t="s">
        <v>2710</v>
      </c>
    </row>
    <row r="1928" spans="1:2">
      <c r="A1928">
        <v>453338</v>
      </c>
      <c r="B1928" t="s">
        <v>2711</v>
      </c>
    </row>
    <row r="1929" spans="1:2">
      <c r="A1929">
        <v>454847</v>
      </c>
      <c r="B1929" t="s">
        <v>2712</v>
      </c>
    </row>
    <row r="1930" spans="1:2">
      <c r="A1930">
        <v>454895</v>
      </c>
      <c r="B1930" t="s">
        <v>3088</v>
      </c>
    </row>
    <row r="1931" spans="1:2">
      <c r="A1931">
        <v>455285</v>
      </c>
      <c r="B1931" t="s">
        <v>2714</v>
      </c>
    </row>
    <row r="1932" spans="1:2">
      <c r="A1932">
        <v>455286</v>
      </c>
      <c r="B1932" t="s">
        <v>3089</v>
      </c>
    </row>
    <row r="1933" spans="1:2">
      <c r="A1933">
        <v>458554</v>
      </c>
      <c r="B1933" t="s">
        <v>3090</v>
      </c>
    </row>
    <row r="1934" spans="1:2">
      <c r="A1934">
        <v>464848</v>
      </c>
      <c r="B1934" t="s">
        <v>2717</v>
      </c>
    </row>
    <row r="1935" spans="1:2">
      <c r="A1935">
        <v>465383</v>
      </c>
      <c r="B1935" t="s">
        <v>2718</v>
      </c>
    </row>
    <row r="1936" spans="1:2">
      <c r="A1936">
        <v>466734</v>
      </c>
      <c r="B1936" t="s">
        <v>3091</v>
      </c>
    </row>
    <row r="1937" spans="1:2">
      <c r="A1937">
        <v>468416</v>
      </c>
      <c r="B1937" t="s">
        <v>3092</v>
      </c>
    </row>
    <row r="1938" spans="1:2">
      <c r="A1938">
        <v>475192</v>
      </c>
      <c r="B1938" t="s">
        <v>2721</v>
      </c>
    </row>
    <row r="1939" spans="1:2">
      <c r="A1939">
        <v>475373</v>
      </c>
      <c r="B1939" t="s">
        <v>2722</v>
      </c>
    </row>
    <row r="1940" spans="1:2">
      <c r="A1940">
        <v>475377</v>
      </c>
      <c r="B1940" t="s">
        <v>2723</v>
      </c>
    </row>
    <row r="1941" spans="1:2">
      <c r="A1941">
        <v>475379</v>
      </c>
      <c r="B1941" t="s">
        <v>2724</v>
      </c>
    </row>
    <row r="1942" spans="1:2">
      <c r="A1942">
        <v>475380</v>
      </c>
      <c r="B1942" t="s">
        <v>2725</v>
      </c>
    </row>
    <row r="1943" spans="1:2">
      <c r="A1943">
        <v>475383</v>
      </c>
      <c r="B1943" t="s">
        <v>2726</v>
      </c>
    </row>
    <row r="1944" spans="1:2">
      <c r="A1944">
        <v>475384</v>
      </c>
      <c r="B1944" t="s">
        <v>2727</v>
      </c>
    </row>
    <row r="1945" spans="1:2">
      <c r="A1945">
        <v>475385</v>
      </c>
      <c r="B1945" t="s">
        <v>2728</v>
      </c>
    </row>
    <row r="1946" spans="1:2">
      <c r="A1946">
        <v>475387</v>
      </c>
      <c r="B1946" t="s">
        <v>2729</v>
      </c>
    </row>
    <row r="1947" spans="1:2">
      <c r="A1947">
        <v>475425</v>
      </c>
      <c r="B1947" t="s">
        <v>2730</v>
      </c>
    </row>
    <row r="1948" spans="1:2">
      <c r="A1948">
        <v>475428</v>
      </c>
      <c r="B1948" t="s">
        <v>2731</v>
      </c>
    </row>
    <row r="1949" spans="1:2">
      <c r="A1949">
        <v>475467</v>
      </c>
      <c r="B1949" t="s">
        <v>2732</v>
      </c>
    </row>
    <row r="1950" spans="1:2">
      <c r="A1950">
        <v>490174</v>
      </c>
      <c r="B1950" t="s">
        <v>2733</v>
      </c>
    </row>
    <row r="1951" spans="1:2">
      <c r="A1951">
        <v>523218</v>
      </c>
      <c r="B1951" t="s">
        <v>2734</v>
      </c>
    </row>
    <row r="1952" spans="1:2">
      <c r="A1952">
        <v>640093</v>
      </c>
      <c r="B1952" t="s">
        <v>2735</v>
      </c>
    </row>
    <row r="1953" spans="1:2">
      <c r="A1953">
        <v>742179</v>
      </c>
      <c r="B1953" t="s">
        <v>2736</v>
      </c>
    </row>
    <row r="1954" spans="1:2">
      <c r="A1954">
        <v>764114</v>
      </c>
      <c r="B1954" t="s">
        <v>2737</v>
      </c>
    </row>
    <row r="1955" spans="1:2">
      <c r="A1955">
        <v>764841</v>
      </c>
      <c r="B1955" t="s">
        <v>2738</v>
      </c>
    </row>
    <row r="1956" spans="1:2">
      <c r="A1956">
        <v>764871</v>
      </c>
      <c r="B1956" t="s">
        <v>2739</v>
      </c>
    </row>
    <row r="1957" spans="1:2">
      <c r="A1957">
        <v>765042</v>
      </c>
      <c r="B1957" t="s">
        <v>2740</v>
      </c>
    </row>
    <row r="1958" spans="1:2">
      <c r="A1958">
        <v>765278</v>
      </c>
      <c r="B1958" t="s">
        <v>2741</v>
      </c>
    </row>
    <row r="1959" spans="1:2">
      <c r="A1959">
        <v>765475</v>
      </c>
      <c r="B1959" t="s">
        <v>3093</v>
      </c>
    </row>
    <row r="1960" spans="1:2">
      <c r="A1960">
        <v>765479</v>
      </c>
      <c r="B1960" t="s">
        <v>2743</v>
      </c>
    </row>
    <row r="1961" spans="1:2">
      <c r="A1961">
        <v>765481</v>
      </c>
      <c r="B1961" t="s">
        <v>2744</v>
      </c>
    </row>
    <row r="1962" spans="1:2">
      <c r="A1962">
        <v>765484</v>
      </c>
      <c r="B1962" t="s">
        <v>3094</v>
      </c>
    </row>
    <row r="1963" spans="1:2">
      <c r="A1963">
        <v>765489</v>
      </c>
      <c r="B1963" t="s">
        <v>2746</v>
      </c>
    </row>
    <row r="1964" spans="1:2">
      <c r="A1964">
        <v>766192</v>
      </c>
      <c r="B1964" t="s">
        <v>2747</v>
      </c>
    </row>
    <row r="1965" spans="1:2">
      <c r="A1965">
        <v>766195</v>
      </c>
      <c r="B1965" t="s">
        <v>2748</v>
      </c>
    </row>
    <row r="1966" spans="1:2">
      <c r="A1966">
        <v>766200</v>
      </c>
      <c r="B1966" t="s">
        <v>2749</v>
      </c>
    </row>
    <row r="1967" spans="1:2">
      <c r="A1967">
        <v>770257</v>
      </c>
      <c r="B1967" t="s">
        <v>2750</v>
      </c>
    </row>
    <row r="1968" spans="1:2">
      <c r="A1968">
        <v>789263</v>
      </c>
      <c r="B1968" t="s">
        <v>3095</v>
      </c>
    </row>
    <row r="1969" spans="1:2">
      <c r="A1969">
        <v>804502</v>
      </c>
      <c r="B1969" t="s">
        <v>2752</v>
      </c>
    </row>
    <row r="1970" spans="1:2">
      <c r="A1970">
        <v>808818</v>
      </c>
      <c r="B1970" t="s">
        <v>3096</v>
      </c>
    </row>
    <row r="1971" spans="1:2">
      <c r="A1971">
        <v>823010</v>
      </c>
      <c r="B1971" t="s">
        <v>2754</v>
      </c>
    </row>
    <row r="1972" spans="1:2">
      <c r="A1972">
        <v>831967</v>
      </c>
      <c r="B1972" t="s">
        <v>2755</v>
      </c>
    </row>
    <row r="1973" spans="1:2">
      <c r="A1973">
        <v>845518</v>
      </c>
      <c r="B1973" t="s">
        <v>2756</v>
      </c>
    </row>
    <row r="1974" spans="1:2">
      <c r="A1974">
        <v>846012</v>
      </c>
      <c r="B1974" t="s">
        <v>2757</v>
      </c>
    </row>
    <row r="1975" spans="1:2">
      <c r="A1975">
        <v>849665</v>
      </c>
      <c r="B1975" t="s">
        <v>2758</v>
      </c>
    </row>
    <row r="1976" spans="1:2">
      <c r="A1976">
        <v>849972</v>
      </c>
      <c r="B1976" t="s">
        <v>2759</v>
      </c>
    </row>
    <row r="1977" spans="1:2">
      <c r="A1977">
        <v>852138</v>
      </c>
      <c r="B1977" t="s">
        <v>2760</v>
      </c>
    </row>
    <row r="1978" spans="1:2">
      <c r="A1978">
        <v>862634</v>
      </c>
      <c r="B1978" t="s">
        <v>2761</v>
      </c>
    </row>
    <row r="1979" spans="1:2">
      <c r="A1979">
        <v>865321</v>
      </c>
      <c r="B1979" t="s">
        <v>2762</v>
      </c>
    </row>
    <row r="1980" spans="1:2">
      <c r="A1980">
        <v>865343</v>
      </c>
      <c r="B1980" t="s">
        <v>3097</v>
      </c>
    </row>
    <row r="1981" spans="1:2">
      <c r="A1981">
        <v>865402</v>
      </c>
      <c r="B1981" t="s">
        <v>2764</v>
      </c>
    </row>
    <row r="1982" spans="1:2">
      <c r="A1982">
        <v>865416</v>
      </c>
      <c r="B1982" t="s">
        <v>2765</v>
      </c>
    </row>
    <row r="1983" spans="1:2">
      <c r="A1983">
        <v>874437</v>
      </c>
      <c r="B1983" t="s">
        <v>3098</v>
      </c>
    </row>
    <row r="1984" spans="1:2">
      <c r="A1984">
        <v>960015</v>
      </c>
      <c r="B1984" t="s">
        <v>3099</v>
      </c>
    </row>
    <row r="1985" spans="1:2">
      <c r="A1985">
        <v>1066416</v>
      </c>
      <c r="B1985" t="s">
        <v>2768</v>
      </c>
    </row>
    <row r="1986" spans="1:2">
      <c r="A1986">
        <v>1072997</v>
      </c>
      <c r="B1986" t="s">
        <v>2769</v>
      </c>
    </row>
    <row r="1987" spans="1:2">
      <c r="A1987">
        <v>1075528</v>
      </c>
      <c r="B1987" t="s">
        <v>2770</v>
      </c>
    </row>
    <row r="1988" spans="1:2">
      <c r="A1988">
        <v>1730027</v>
      </c>
      <c r="B1988" t="s">
        <v>2771</v>
      </c>
    </row>
    <row r="1989" spans="1:2">
      <c r="A1989">
        <v>2194758</v>
      </c>
      <c r="B1989" t="s">
        <v>3100</v>
      </c>
    </row>
    <row r="1990" spans="1:2">
      <c r="A1990">
        <v>2194769</v>
      </c>
      <c r="B1990" t="s">
        <v>3101</v>
      </c>
    </row>
    <row r="1991" spans="1:2">
      <c r="A1991">
        <v>2194786</v>
      </c>
      <c r="B1991" t="s">
        <v>3102</v>
      </c>
    </row>
    <row r="1992" spans="1:2">
      <c r="A1992">
        <v>2194827</v>
      </c>
      <c r="B1992" t="s">
        <v>3103</v>
      </c>
    </row>
    <row r="1993" spans="1:2">
      <c r="A1993">
        <v>2194832</v>
      </c>
      <c r="B1993" t="s">
        <v>3104</v>
      </c>
    </row>
    <row r="1994" spans="1:2">
      <c r="A1994">
        <v>2194842</v>
      </c>
      <c r="B1994" t="s">
        <v>3105</v>
      </c>
    </row>
    <row r="1995" spans="1:2">
      <c r="A1995">
        <v>2194846</v>
      </c>
      <c r="B1995" t="s">
        <v>3106</v>
      </c>
    </row>
    <row r="1996" spans="1:2">
      <c r="A1996">
        <v>2194848</v>
      </c>
      <c r="B1996" t="s">
        <v>3107</v>
      </c>
    </row>
    <row r="1997" spans="1:2">
      <c r="A1997">
        <v>2194855</v>
      </c>
      <c r="B1997" t="s">
        <v>3108</v>
      </c>
    </row>
    <row r="1998" spans="1:2">
      <c r="A1998">
        <v>2194859</v>
      </c>
      <c r="B1998" t="s">
        <v>3109</v>
      </c>
    </row>
    <row r="1999" spans="1:2">
      <c r="A1999">
        <v>2194870</v>
      </c>
      <c r="B1999" t="s">
        <v>3110</v>
      </c>
    </row>
    <row r="2000" spans="1:2">
      <c r="A2000">
        <v>2194873</v>
      </c>
      <c r="B2000" t="s">
        <v>3111</v>
      </c>
    </row>
    <row r="2001" spans="1:2">
      <c r="A2001">
        <v>2194875</v>
      </c>
      <c r="B2001" t="s">
        <v>3112</v>
      </c>
    </row>
    <row r="2002" spans="1:2">
      <c r="A2002">
        <v>2194878</v>
      </c>
      <c r="B2002" t="s">
        <v>3113</v>
      </c>
    </row>
    <row r="2003" spans="1:2">
      <c r="A2003">
        <v>2194879</v>
      </c>
      <c r="B2003" t="s">
        <v>3114</v>
      </c>
    </row>
    <row r="2004" spans="1:2">
      <c r="A2004">
        <v>2195048</v>
      </c>
      <c r="B2004" t="s">
        <v>3115</v>
      </c>
    </row>
    <row r="2005" spans="1:2">
      <c r="A2005">
        <v>2195057</v>
      </c>
      <c r="B2005" t="s">
        <v>2788</v>
      </c>
    </row>
    <row r="2006" spans="1:2">
      <c r="A2006">
        <v>2195072</v>
      </c>
      <c r="B2006" t="s">
        <v>3116</v>
      </c>
    </row>
    <row r="2007" spans="1:2">
      <c r="A2007">
        <v>2195077</v>
      </c>
      <c r="B2007" t="s">
        <v>3117</v>
      </c>
    </row>
    <row r="2008" spans="1:2">
      <c r="A2008">
        <v>2195081</v>
      </c>
      <c r="B2008" t="s">
        <v>3118</v>
      </c>
    </row>
    <row r="2009" spans="1:2">
      <c r="A2009">
        <v>2195084</v>
      </c>
      <c r="B2009" t="s">
        <v>3119</v>
      </c>
    </row>
    <row r="2010" spans="1:2">
      <c r="A2010">
        <v>2195085</v>
      </c>
      <c r="B2010" t="s">
        <v>2793</v>
      </c>
    </row>
    <row r="2011" spans="1:2">
      <c r="A2011">
        <v>2195086</v>
      </c>
      <c r="B2011" t="s">
        <v>2794</v>
      </c>
    </row>
    <row r="2012" spans="1:2">
      <c r="A2012">
        <v>2195087</v>
      </c>
      <c r="B2012" t="s">
        <v>2795</v>
      </c>
    </row>
    <row r="2013" spans="1:2">
      <c r="A2013">
        <v>2195088</v>
      </c>
      <c r="B2013" t="s">
        <v>2796</v>
      </c>
    </row>
    <row r="2014" spans="1:2">
      <c r="A2014">
        <v>2195089</v>
      </c>
      <c r="B2014" t="s">
        <v>3120</v>
      </c>
    </row>
    <row r="2015" spans="1:2">
      <c r="A2015">
        <v>2195090</v>
      </c>
      <c r="B2015" t="s">
        <v>3121</v>
      </c>
    </row>
    <row r="2016" spans="1:2">
      <c r="A2016">
        <v>2195091</v>
      </c>
      <c r="B2016" t="s">
        <v>3122</v>
      </c>
    </row>
    <row r="2017" spans="1:2">
      <c r="A2017">
        <v>2195173</v>
      </c>
      <c r="B2017" t="s">
        <v>3123</v>
      </c>
    </row>
    <row r="2018" spans="1:2">
      <c r="A2018">
        <v>2195186</v>
      </c>
      <c r="B2018" t="s">
        <v>3124</v>
      </c>
    </row>
    <row r="2019" spans="1:2">
      <c r="A2019">
        <v>2195195</v>
      </c>
      <c r="B2019" t="s">
        <v>3125</v>
      </c>
    </row>
    <row r="2020" spans="1:2">
      <c r="A2020">
        <v>2195202</v>
      </c>
      <c r="B2020" t="s">
        <v>3126</v>
      </c>
    </row>
    <row r="2021" spans="1:2">
      <c r="A2021">
        <v>2195211</v>
      </c>
      <c r="B2021" t="s">
        <v>3127</v>
      </c>
    </row>
    <row r="2022" spans="1:2">
      <c r="A2022">
        <v>2195231</v>
      </c>
      <c r="B2022" t="s">
        <v>3128</v>
      </c>
    </row>
  </sheetData>
  <sortState xmlns:xlrd2="http://schemas.microsoft.com/office/spreadsheetml/2017/richdata2" ref="A1:B591">
    <sortCondition ref="A2:A5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Folha1</vt:lpstr>
      <vt:lpstr>Folha4</vt:lpstr>
      <vt:lpstr>Folha2</vt:lpstr>
      <vt:lpstr>Folha3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de Ayala Serôdio de Sales Baptista</dc:creator>
  <cp:lastModifiedBy>Miguel de Ayala Serôdio de Sales Baptista</cp:lastModifiedBy>
  <dcterms:created xsi:type="dcterms:W3CDTF">2026-03-18T14:03:47Z</dcterms:created>
  <dcterms:modified xsi:type="dcterms:W3CDTF">2026-03-23T13:42:27Z</dcterms:modified>
</cp:coreProperties>
</file>